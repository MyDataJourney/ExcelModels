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ux\Documents\Forest Investment\"/>
    </mc:Choice>
  </mc:AlternateContent>
  <xr:revisionPtr revIDLastSave="0" documentId="13_ncr:1_{2BC95FFB-F3DA-414B-9187-9ECC8B7668F4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Cover" sheetId="4" r:id="rId1"/>
    <sheet name="R_Synthesis" sheetId="13" r:id="rId2"/>
    <sheet name="C_Bilan" sheetId="5" r:id="rId3"/>
    <sheet name="C_CdR" sheetId="6" r:id="rId4"/>
    <sheet name="C_TFT" sheetId="7" r:id="rId5"/>
    <sheet name="C_Woodcutting" sheetId="12" r:id="rId6"/>
    <sheet name="C_WoodInventory" sheetId="9" r:id="rId7"/>
    <sheet name="C_Property_Valuation" sheetId="11" r:id="rId8"/>
    <sheet name="H_Time hypothesis" sheetId="10" r:id="rId9"/>
    <sheet name="D_Assumptions" sheetId="2" r:id="rId10"/>
  </sheets>
  <definedNames>
    <definedName name="_xlchart.v1.0" hidden="1">C_Property_Valuation!$D$10:$S$10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40869.3787037037</definedName>
    <definedName name="IQ_NTM" hidden="1">6000</definedName>
    <definedName name="IQ_OPENED55" hidden="1">1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IQRA8" hidden="1">"$A$9:$A$261"</definedName>
    <definedName name="IQRB8" hidden="1">"$B$9:$B$261"</definedName>
    <definedName name="IQRC8" hidden="1">"$C$9:$C$261"</definedName>
    <definedName name="_xlnm.Print_Area" localSheetId="0">Cover!$B$1:$O$39</definedName>
    <definedName name="_xlnm.Print_Area" localSheetId="9">D_Assumptions!$A$1:$N$35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7" l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N18" i="5"/>
  <c r="S6" i="12"/>
  <c r="D3" i="13" a="1"/>
  <c r="D3" i="13" s="1"/>
  <c r="D13" i="6"/>
  <c r="S13" i="6"/>
  <c r="D13" i="10"/>
  <c r="S7" i="9"/>
  <c r="S8" i="9" s="1"/>
  <c r="R7" i="9"/>
  <c r="R8" i="9" s="1"/>
  <c r="Q7" i="9"/>
  <c r="Q8" i="9" s="1"/>
  <c r="P7" i="9"/>
  <c r="P8" i="9" s="1"/>
  <c r="O7" i="9"/>
  <c r="O8" i="9" s="1"/>
  <c r="N7" i="9"/>
  <c r="N8" i="9" s="1"/>
  <c r="M7" i="9"/>
  <c r="M8" i="9" s="1"/>
  <c r="L7" i="9"/>
  <c r="L8" i="9" s="1"/>
  <c r="K7" i="9"/>
  <c r="K8" i="9" s="1"/>
  <c r="J7" i="9"/>
  <c r="J8" i="9" s="1"/>
  <c r="I7" i="9"/>
  <c r="I8" i="9" s="1"/>
  <c r="H7" i="9"/>
  <c r="H8" i="9" s="1"/>
  <c r="G7" i="9"/>
  <c r="G8" i="9" s="1"/>
  <c r="F7" i="9"/>
  <c r="F8" i="9" s="1"/>
  <c r="D5" i="6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E6" i="12"/>
  <c r="D3" i="12" a="1"/>
  <c r="D3" i="12" s="1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D7" i="6"/>
  <c r="D4" i="6"/>
  <c r="D9" i="11"/>
  <c r="E5" i="11"/>
  <c r="F5" i="11"/>
  <c r="G5" i="11"/>
  <c r="H5" i="11"/>
  <c r="I5" i="11"/>
  <c r="J5" i="11"/>
  <c r="K5" i="11"/>
  <c r="L5" i="11"/>
  <c r="M5" i="11"/>
  <c r="N5" i="11"/>
  <c r="N8" i="11" s="1"/>
  <c r="O5" i="11"/>
  <c r="P5" i="11"/>
  <c r="Q5" i="11"/>
  <c r="R5" i="11"/>
  <c r="S5" i="11"/>
  <c r="D5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S6" i="11"/>
  <c r="S8" i="11" s="1"/>
  <c r="R6" i="11"/>
  <c r="Q6" i="11"/>
  <c r="P6" i="11"/>
  <c r="O6" i="11"/>
  <c r="N6" i="11"/>
  <c r="M6" i="11"/>
  <c r="L6" i="11"/>
  <c r="K6" i="11"/>
  <c r="K8" i="11" s="1"/>
  <c r="J6" i="11"/>
  <c r="I6" i="11"/>
  <c r="H6" i="11"/>
  <c r="G6" i="11"/>
  <c r="F6" i="11"/>
  <c r="E6" i="11"/>
  <c r="D7" i="11"/>
  <c r="D6" i="11"/>
  <c r="J8" i="11"/>
  <c r="O8" i="11"/>
  <c r="R8" i="11"/>
  <c r="I8" i="11"/>
  <c r="Q8" i="11"/>
  <c r="H8" i="11"/>
  <c r="P8" i="11"/>
  <c r="D3" i="11" a="1"/>
  <c r="D3" i="11" s="1"/>
  <c r="D3" i="9" a="1"/>
  <c r="D3" i="9" s="1"/>
  <c r="D3" i="5" a="1"/>
  <c r="D3" i="5" s="1"/>
  <c r="D3" i="7" a="1"/>
  <c r="D3" i="6" a="1"/>
  <c r="E12" i="7"/>
  <c r="E25" i="5" s="1"/>
  <c r="L12" i="7"/>
  <c r="L25" i="5" s="1"/>
  <c r="F8" i="7"/>
  <c r="F6" i="5" s="1"/>
  <c r="G8" i="7"/>
  <c r="G6" i="5" s="1"/>
  <c r="N8" i="7"/>
  <c r="N6" i="5" s="1"/>
  <c r="D24" i="5"/>
  <c r="D17" i="5"/>
  <c r="D12" i="5"/>
  <c r="D5" i="5"/>
  <c r="D8" i="6" s="1"/>
  <c r="E5" i="9"/>
  <c r="D9" i="9"/>
  <c r="D5" i="10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E6" i="9"/>
  <c r="N9" i="2"/>
  <c r="R13" i="7" s="1"/>
  <c r="R26" i="5" s="1"/>
  <c r="M12" i="7" l="1"/>
  <c r="M25" i="5" s="1"/>
  <c r="O8" i="7"/>
  <c r="O6" i="5" s="1"/>
  <c r="E18" i="5"/>
  <c r="F18" i="5"/>
  <c r="J13" i="7"/>
  <c r="J26" i="5" s="1"/>
  <c r="M15" i="7"/>
  <c r="D3" i="6"/>
  <c r="L15" i="6"/>
  <c r="K15" i="6"/>
  <c r="E15" i="6"/>
  <c r="M15" i="6"/>
  <c r="F15" i="6"/>
  <c r="N15" i="6"/>
  <c r="P15" i="6"/>
  <c r="Q15" i="6"/>
  <c r="R15" i="6"/>
  <c r="H15" i="6"/>
  <c r="S15" i="6"/>
  <c r="G15" i="6"/>
  <c r="O15" i="6"/>
  <c r="J15" i="6"/>
  <c r="D3" i="7"/>
  <c r="D13" i="7" s="1"/>
  <c r="D26" i="5" s="1"/>
  <c r="K13" i="7"/>
  <c r="K26" i="5" s="1"/>
  <c r="S13" i="7"/>
  <c r="S26" i="5" s="1"/>
  <c r="F12" i="7"/>
  <c r="F25" i="5" s="1"/>
  <c r="N12" i="7"/>
  <c r="N25" i="5" s="1"/>
  <c r="O18" i="5"/>
  <c r="H8" i="7"/>
  <c r="H6" i="5" s="1"/>
  <c r="P8" i="7"/>
  <c r="P6" i="5" s="1"/>
  <c r="L13" i="7"/>
  <c r="L26" i="5" s="1"/>
  <c r="G12" i="7"/>
  <c r="G25" i="5" s="1"/>
  <c r="O12" i="7"/>
  <c r="O25" i="5" s="1"/>
  <c r="I8" i="7"/>
  <c r="I6" i="5" s="1"/>
  <c r="Q8" i="7"/>
  <c r="Q6" i="5" s="1"/>
  <c r="E13" i="7"/>
  <c r="E26" i="5" s="1"/>
  <c r="M13" i="7"/>
  <c r="M26" i="5" s="1"/>
  <c r="Q12" i="7"/>
  <c r="Q25" i="5" s="1"/>
  <c r="R18" i="5"/>
  <c r="S8" i="7"/>
  <c r="S6" i="5" s="1"/>
  <c r="G13" i="7"/>
  <c r="G26" i="5" s="1"/>
  <c r="O13" i="7"/>
  <c r="O26" i="5" s="1"/>
  <c r="J12" i="7"/>
  <c r="J25" i="5" s="1"/>
  <c r="K18" i="5"/>
  <c r="S11" i="7"/>
  <c r="S18" i="5" s="1"/>
  <c r="K12" i="7"/>
  <c r="K25" i="5" s="1"/>
  <c r="S12" i="7"/>
  <c r="S25" i="5" s="1"/>
  <c r="L18" i="5"/>
  <c r="M8" i="7"/>
  <c r="M6" i="5" s="1"/>
  <c r="I13" i="7"/>
  <c r="I26" i="5" s="1"/>
  <c r="Q13" i="7"/>
  <c r="Q26" i="5" s="1"/>
  <c r="H12" i="7"/>
  <c r="H25" i="5" s="1"/>
  <c r="P12" i="7"/>
  <c r="P25" i="5" s="1"/>
  <c r="I18" i="5"/>
  <c r="J8" i="7"/>
  <c r="J6" i="5" s="1"/>
  <c r="R8" i="7"/>
  <c r="R6" i="5" s="1"/>
  <c r="I12" i="7"/>
  <c r="I25" i="5" s="1"/>
  <c r="J18" i="5"/>
  <c r="K8" i="7"/>
  <c r="K6" i="5" s="1"/>
  <c r="F13" i="7"/>
  <c r="F26" i="5" s="1"/>
  <c r="N13" i="7"/>
  <c r="N26" i="5" s="1"/>
  <c r="L8" i="7"/>
  <c r="L6" i="5" s="1"/>
  <c r="H13" i="7"/>
  <c r="H26" i="5" s="1"/>
  <c r="P13" i="7"/>
  <c r="P26" i="5" s="1"/>
  <c r="E8" i="7"/>
  <c r="E6" i="5" s="1"/>
  <c r="I15" i="6"/>
  <c r="R12" i="7"/>
  <c r="R25" i="5" s="1"/>
  <c r="D6" i="6"/>
  <c r="O15" i="7"/>
  <c r="G18" i="5"/>
  <c r="H18" i="5"/>
  <c r="P18" i="5"/>
  <c r="Q18" i="5"/>
  <c r="M18" i="5"/>
  <c r="L15" i="7"/>
  <c r="E8" i="11"/>
  <c r="M8" i="11"/>
  <c r="L8" i="11"/>
  <c r="F8" i="11"/>
  <c r="G8" i="11"/>
  <c r="D8" i="11"/>
  <c r="D10" i="11" s="1"/>
  <c r="B2" i="2"/>
  <c r="P15" i="7" l="1"/>
  <c r="N15" i="7"/>
  <c r="G15" i="7"/>
  <c r="D8" i="7"/>
  <c r="D6" i="5" s="1"/>
  <c r="D7" i="5" s="1"/>
  <c r="D9" i="6" s="1"/>
  <c r="H15" i="7"/>
  <c r="J15" i="7"/>
  <c r="E15" i="7"/>
  <c r="I15" i="7"/>
  <c r="S15" i="7"/>
  <c r="D12" i="7"/>
  <c r="D25" i="5" s="1"/>
  <c r="D27" i="5" s="1"/>
  <c r="E24" i="5" s="1"/>
  <c r="E27" i="5" s="1"/>
  <c r="F24" i="5" s="1"/>
  <c r="F27" i="5" s="1"/>
  <c r="G24" i="5" s="1"/>
  <c r="G27" i="5" s="1"/>
  <c r="H24" i="5" s="1"/>
  <c r="H27" i="5" s="1"/>
  <c r="I24" i="5" s="1"/>
  <c r="I27" i="5" s="1"/>
  <c r="J24" i="5" s="1"/>
  <c r="J27" i="5" s="1"/>
  <c r="K24" i="5" s="1"/>
  <c r="K27" i="5" s="1"/>
  <c r="L24" i="5" s="1"/>
  <c r="L27" i="5" s="1"/>
  <c r="M24" i="5" s="1"/>
  <c r="M27" i="5" s="1"/>
  <c r="N24" i="5" s="1"/>
  <c r="N27" i="5" s="1"/>
  <c r="O24" i="5" s="1"/>
  <c r="O27" i="5" s="1"/>
  <c r="P24" i="5" s="1"/>
  <c r="P27" i="5" s="1"/>
  <c r="Q24" i="5" s="1"/>
  <c r="Q27" i="5" s="1"/>
  <c r="R24" i="5" s="1"/>
  <c r="R27" i="5" s="1"/>
  <c r="S24" i="5" s="1"/>
  <c r="S27" i="5" s="1"/>
  <c r="R15" i="7"/>
  <c r="Q15" i="7"/>
  <c r="F15" i="7"/>
  <c r="K15" i="7"/>
  <c r="D15" i="6"/>
  <c r="D10" i="6"/>
  <c r="D9" i="7" s="1"/>
  <c r="D10" i="7" s="1"/>
  <c r="D11" i="6" l="1"/>
  <c r="D8" i="5"/>
  <c r="D6" i="7"/>
  <c r="D14" i="6"/>
  <c r="D16" i="6" s="1"/>
  <c r="D18" i="6" s="1"/>
  <c r="D6" i="13" s="1"/>
  <c r="D9" i="5" l="1"/>
  <c r="E5" i="5" s="1"/>
  <c r="D5" i="7"/>
  <c r="D7" i="7" s="1"/>
  <c r="D18" i="7" s="1"/>
  <c r="D10" i="13" s="1"/>
  <c r="D19" i="5"/>
  <c r="D11" i="13" l="1"/>
  <c r="D9" i="10"/>
  <c r="D11" i="7" s="1"/>
  <c r="E8" i="6"/>
  <c r="E7" i="9"/>
  <c r="E8" i="9" s="1"/>
  <c r="E7" i="6" s="1"/>
  <c r="D18" i="5" l="1"/>
  <c r="D21" i="5" s="1"/>
  <c r="D15" i="7"/>
  <c r="D16" i="7" s="1"/>
  <c r="D13" i="5" s="1"/>
  <c r="D14" i="5" s="1"/>
  <c r="E12" i="5" s="1"/>
  <c r="E9" i="9"/>
  <c r="F5" i="9" s="1"/>
  <c r="F6" i="9" s="1"/>
  <c r="E5" i="6"/>
  <c r="E4" i="6"/>
  <c r="F5" i="6"/>
  <c r="E17" i="5" l="1"/>
  <c r="D7" i="13"/>
  <c r="D29" i="5"/>
  <c r="E9" i="11"/>
  <c r="E10" i="11" s="1"/>
  <c r="E6" i="6"/>
  <c r="F9" i="9"/>
  <c r="F9" i="11" s="1"/>
  <c r="F10" i="11" s="1"/>
  <c r="F4" i="6"/>
  <c r="F7" i="6"/>
  <c r="G5" i="9" l="1"/>
  <c r="G6" i="9" s="1"/>
  <c r="E10" i="6"/>
  <c r="E9" i="7" s="1"/>
  <c r="E11" i="6" s="1"/>
  <c r="E5" i="12" s="1"/>
  <c r="E7" i="5"/>
  <c r="E9" i="6" s="1"/>
  <c r="G5" i="6"/>
  <c r="F6" i="6"/>
  <c r="E10" i="7" l="1"/>
  <c r="E8" i="5"/>
  <c r="E9" i="5" s="1"/>
  <c r="F5" i="5" s="1"/>
  <c r="F7" i="5" s="1"/>
  <c r="F9" i="6" s="1"/>
  <c r="F6" i="7" s="1"/>
  <c r="G9" i="9"/>
  <c r="G9" i="11" s="1"/>
  <c r="G10" i="11" s="1"/>
  <c r="E6" i="7"/>
  <c r="E14" i="6"/>
  <c r="E16" i="6" s="1"/>
  <c r="E18" i="6" s="1"/>
  <c r="E6" i="13" s="1"/>
  <c r="G4" i="6"/>
  <c r="G6" i="6" s="1"/>
  <c r="G7" i="6"/>
  <c r="F10" i="6" l="1"/>
  <c r="F9" i="7" s="1"/>
  <c r="F11" i="6" s="1"/>
  <c r="F8" i="6"/>
  <c r="H5" i="9"/>
  <c r="H6" i="9" s="1"/>
  <c r="E19" i="5"/>
  <c r="E21" i="5" s="1"/>
  <c r="F17" i="5" s="1"/>
  <c r="E5" i="7"/>
  <c r="E7" i="7" s="1"/>
  <c r="E18" i="7" s="1"/>
  <c r="E10" i="13" s="1"/>
  <c r="H5" i="6"/>
  <c r="F8" i="5" l="1"/>
  <c r="F9" i="5" s="1"/>
  <c r="G5" i="5" s="1"/>
  <c r="G7" i="5" s="1"/>
  <c r="F10" i="7"/>
  <c r="F14" i="6"/>
  <c r="F16" i="6" s="1"/>
  <c r="F18" i="6" s="1"/>
  <c r="F5" i="7" s="1"/>
  <c r="F7" i="7" s="1"/>
  <c r="F18" i="7" s="1"/>
  <c r="F10" i="13" s="1"/>
  <c r="F11" i="13" s="1"/>
  <c r="F5" i="12"/>
  <c r="F19" i="5"/>
  <c r="F21" i="5" s="1"/>
  <c r="G17" i="5" s="1"/>
  <c r="F6" i="13"/>
  <c r="E11" i="13"/>
  <c r="E7" i="13"/>
  <c r="E16" i="7"/>
  <c r="E13" i="5" s="1"/>
  <c r="E14" i="5" s="1"/>
  <c r="F12" i="5" s="1"/>
  <c r="H9" i="9"/>
  <c r="I5" i="9" s="1"/>
  <c r="H4" i="6"/>
  <c r="H7" i="6"/>
  <c r="G10" i="6" l="1"/>
  <c r="G9" i="7" s="1"/>
  <c r="G11" i="6" s="1"/>
  <c r="G5" i="12" s="1"/>
  <c r="G8" i="6"/>
  <c r="F7" i="13"/>
  <c r="E29" i="5"/>
  <c r="F16" i="7"/>
  <c r="F13" i="5" s="1"/>
  <c r="F14" i="5" s="1"/>
  <c r="G12" i="5" s="1"/>
  <c r="G9" i="6"/>
  <c r="G6" i="7" s="1"/>
  <c r="H9" i="11"/>
  <c r="H10" i="11" s="1"/>
  <c r="H6" i="6"/>
  <c r="I5" i="6"/>
  <c r="I6" i="9"/>
  <c r="G8" i="5" l="1"/>
  <c r="G9" i="5" s="1"/>
  <c r="H5" i="5" s="1"/>
  <c r="H7" i="5" s="1"/>
  <c r="G10" i="7"/>
  <c r="G14" i="6"/>
  <c r="G16" i="6" s="1"/>
  <c r="G18" i="6" s="1"/>
  <c r="F29" i="5"/>
  <c r="I9" i="9"/>
  <c r="I9" i="11" s="1"/>
  <c r="I10" i="11" s="1"/>
  <c r="I4" i="6"/>
  <c r="I7" i="6"/>
  <c r="H8" i="6" l="1"/>
  <c r="H10" i="6"/>
  <c r="H9" i="7" s="1"/>
  <c r="H11" i="6" s="1"/>
  <c r="G5" i="7"/>
  <c r="G7" i="7" s="1"/>
  <c r="G18" i="7" s="1"/>
  <c r="G10" i="13" s="1"/>
  <c r="G6" i="13"/>
  <c r="G19" i="5"/>
  <c r="G21" i="5" s="1"/>
  <c r="H17" i="5" s="1"/>
  <c r="H9" i="6"/>
  <c r="H6" i="7" s="1"/>
  <c r="J5" i="9"/>
  <c r="J6" i="9" s="1"/>
  <c r="H5" i="12"/>
  <c r="I6" i="6"/>
  <c r="J5" i="6"/>
  <c r="H8" i="5" l="1"/>
  <c r="H9" i="5" s="1"/>
  <c r="I5" i="5" s="1"/>
  <c r="I8" i="6" s="1"/>
  <c r="H10" i="7"/>
  <c r="G16" i="7"/>
  <c r="G13" i="5" s="1"/>
  <c r="G14" i="5" s="1"/>
  <c r="H12" i="5" s="1"/>
  <c r="H14" i="6"/>
  <c r="H16" i="6" s="1"/>
  <c r="H18" i="6" s="1"/>
  <c r="H6" i="13" s="1"/>
  <c r="G7" i="13"/>
  <c r="G11" i="13"/>
  <c r="J9" i="9"/>
  <c r="J9" i="11" s="1"/>
  <c r="J10" i="11" s="1"/>
  <c r="J7" i="6"/>
  <c r="J4" i="6"/>
  <c r="I7" i="5" l="1"/>
  <c r="I9" i="6" s="1"/>
  <c r="I6" i="7" s="1"/>
  <c r="I10" i="6"/>
  <c r="I9" i="7" s="1"/>
  <c r="I11" i="6" s="1"/>
  <c r="G29" i="5"/>
  <c r="H5" i="7"/>
  <c r="H7" i="7" s="1"/>
  <c r="H18" i="7" s="1"/>
  <c r="H10" i="13" s="1"/>
  <c r="H11" i="13" s="1"/>
  <c r="H19" i="5"/>
  <c r="H21" i="5" s="1"/>
  <c r="I17" i="5" s="1"/>
  <c r="I8" i="5"/>
  <c r="K5" i="9"/>
  <c r="K6" i="9" s="1"/>
  <c r="I5" i="12"/>
  <c r="K5" i="6"/>
  <c r="J6" i="6"/>
  <c r="I10" i="7" l="1"/>
  <c r="I9" i="5"/>
  <c r="J5" i="5" s="1"/>
  <c r="I14" i="6"/>
  <c r="I16" i="6" s="1"/>
  <c r="I18" i="6" s="1"/>
  <c r="I5" i="7" s="1"/>
  <c r="I7" i="7" s="1"/>
  <c r="I18" i="7" s="1"/>
  <c r="I10" i="13" s="1"/>
  <c r="H16" i="7"/>
  <c r="H13" i="5" s="1"/>
  <c r="H14" i="5" s="1"/>
  <c r="I12" i="5" s="1"/>
  <c r="H7" i="13"/>
  <c r="I19" i="5"/>
  <c r="I21" i="5" s="1"/>
  <c r="J17" i="5" s="1"/>
  <c r="I6" i="13"/>
  <c r="J7" i="5"/>
  <c r="J10" i="6"/>
  <c r="J9" i="7" s="1"/>
  <c r="J11" i="6" s="1"/>
  <c r="K9" i="9"/>
  <c r="K9" i="11" s="1"/>
  <c r="K10" i="11" s="1"/>
  <c r="J8" i="6"/>
  <c r="K7" i="6"/>
  <c r="K4" i="6"/>
  <c r="I7" i="13" l="1"/>
  <c r="H29" i="5"/>
  <c r="I11" i="13"/>
  <c r="J8" i="5"/>
  <c r="J9" i="5" s="1"/>
  <c r="K5" i="5" s="1"/>
  <c r="J10" i="7"/>
  <c r="I16" i="7"/>
  <c r="I13" i="5" s="1"/>
  <c r="I14" i="5" s="1"/>
  <c r="I29" i="5" s="1"/>
  <c r="J9" i="6"/>
  <c r="J6" i="7" s="1"/>
  <c r="L5" i="9"/>
  <c r="L6" i="9" s="1"/>
  <c r="J5" i="12"/>
  <c r="K6" i="6"/>
  <c r="L5" i="6"/>
  <c r="J12" i="5" l="1"/>
  <c r="K7" i="5"/>
  <c r="K9" i="6" s="1"/>
  <c r="K6" i="7" s="1"/>
  <c r="K10" i="6"/>
  <c r="K9" i="7" s="1"/>
  <c r="K11" i="6" s="1"/>
  <c r="J14" i="6"/>
  <c r="J16" i="6" s="1"/>
  <c r="J18" i="6" s="1"/>
  <c r="K8" i="6"/>
  <c r="L4" i="6"/>
  <c r="L6" i="6" s="1"/>
  <c r="L7" i="6"/>
  <c r="L9" i="9"/>
  <c r="J5" i="7" l="1"/>
  <c r="J7" i="7" s="1"/>
  <c r="J18" i="7" s="1"/>
  <c r="J10" i="13" s="1"/>
  <c r="J11" i="13" s="1"/>
  <c r="J6" i="13"/>
  <c r="K10" i="7"/>
  <c r="K8" i="5"/>
  <c r="K9" i="5" s="1"/>
  <c r="L5" i="5" s="1"/>
  <c r="J19" i="5"/>
  <c r="J21" i="5" s="1"/>
  <c r="K17" i="5" s="1"/>
  <c r="K5" i="12"/>
  <c r="L9" i="11"/>
  <c r="L10" i="11" s="1"/>
  <c r="M5" i="9"/>
  <c r="K14" i="6"/>
  <c r="K16" i="6" s="1"/>
  <c r="K18" i="6" s="1"/>
  <c r="K6" i="13" s="1"/>
  <c r="J16" i="7" l="1"/>
  <c r="J13" i="5" s="1"/>
  <c r="J14" i="5" s="1"/>
  <c r="K12" i="5" s="1"/>
  <c r="J7" i="13"/>
  <c r="L7" i="5"/>
  <c r="L10" i="6"/>
  <c r="L9" i="7" s="1"/>
  <c r="L11" i="6" s="1"/>
  <c r="K5" i="7"/>
  <c r="K7" i="7" s="1"/>
  <c r="K18" i="7" s="1"/>
  <c r="K10" i="13" s="1"/>
  <c r="K11" i="13" s="1"/>
  <c r="K19" i="5"/>
  <c r="K21" i="5" s="1"/>
  <c r="L17" i="5" s="1"/>
  <c r="M5" i="6"/>
  <c r="M6" i="9"/>
  <c r="M9" i="9" s="1"/>
  <c r="L8" i="6"/>
  <c r="J29" i="5" l="1"/>
  <c r="K7" i="13"/>
  <c r="K16" i="7"/>
  <c r="K13" i="5" s="1"/>
  <c r="K14" i="5" s="1"/>
  <c r="L12" i="5" s="1"/>
  <c r="L9" i="6"/>
  <c r="L6" i="7" s="1"/>
  <c r="N5" i="9"/>
  <c r="M9" i="11"/>
  <c r="M10" i="11" s="1"/>
  <c r="M7" i="6"/>
  <c r="M4" i="6"/>
  <c r="L8" i="5"/>
  <c r="L9" i="5" s="1"/>
  <c r="L10" i="7"/>
  <c r="L5" i="12"/>
  <c r="K29" i="5" l="1"/>
  <c r="L14" i="6"/>
  <c r="L16" i="6" s="1"/>
  <c r="L18" i="6" s="1"/>
  <c r="M5" i="5"/>
  <c r="N5" i="6"/>
  <c r="N6" i="9"/>
  <c r="N9" i="9" s="1"/>
  <c r="M6" i="6"/>
  <c r="L5" i="7" l="1"/>
  <c r="L7" i="7" s="1"/>
  <c r="L18" i="7" s="1"/>
  <c r="L10" i="13" s="1"/>
  <c r="L11" i="13" s="1"/>
  <c r="L6" i="13"/>
  <c r="M7" i="5"/>
  <c r="M9" i="6" s="1"/>
  <c r="M6" i="7" s="1"/>
  <c r="M10" i="6"/>
  <c r="M9" i="7" s="1"/>
  <c r="M11" i="6" s="1"/>
  <c r="L19" i="5"/>
  <c r="L21" i="5" s="1"/>
  <c r="M17" i="5" s="1"/>
  <c r="N4" i="6"/>
  <c r="N6" i="6" s="1"/>
  <c r="N7" i="6"/>
  <c r="O5" i="9"/>
  <c r="N9" i="11"/>
  <c r="N10" i="11" s="1"/>
  <c r="M8" i="6"/>
  <c r="L16" i="7" l="1"/>
  <c r="L13" i="5" s="1"/>
  <c r="L14" i="5" s="1"/>
  <c r="M12" i="5" s="1"/>
  <c r="L7" i="13"/>
  <c r="M10" i="7"/>
  <c r="M8" i="5"/>
  <c r="M9" i="5" s="1"/>
  <c r="N5" i="5" s="1"/>
  <c r="M5" i="12"/>
  <c r="M14" i="6"/>
  <c r="M16" i="6" s="1"/>
  <c r="M18" i="6" s="1"/>
  <c r="M6" i="13" s="1"/>
  <c r="O6" i="9"/>
  <c r="L29" i="5" l="1"/>
  <c r="N7" i="5"/>
  <c r="N9" i="6" s="1"/>
  <c r="N6" i="7" s="1"/>
  <c r="N10" i="6"/>
  <c r="N9" i="7" s="1"/>
  <c r="N11" i="6" s="1"/>
  <c r="O9" i="9"/>
  <c r="O9" i="11" s="1"/>
  <c r="O10" i="11" s="1"/>
  <c r="O5" i="6"/>
  <c r="M5" i="7"/>
  <c r="M7" i="7" s="1"/>
  <c r="M18" i="7" s="1"/>
  <c r="M10" i="13" s="1"/>
  <c r="M11" i="13" s="1"/>
  <c r="M19" i="5"/>
  <c r="M21" i="5" s="1"/>
  <c r="N17" i="5" s="1"/>
  <c r="O4" i="6"/>
  <c r="O6" i="6" s="1"/>
  <c r="O7" i="6"/>
  <c r="N8" i="6"/>
  <c r="M7" i="13" l="1"/>
  <c r="N8" i="5"/>
  <c r="N9" i="5" s="1"/>
  <c r="O5" i="5" s="1"/>
  <c r="N10" i="7"/>
  <c r="M16" i="7"/>
  <c r="M13" i="5" s="1"/>
  <c r="M14" i="5" s="1"/>
  <c r="N12" i="5" s="1"/>
  <c r="P5" i="9"/>
  <c r="P6" i="9" s="1"/>
  <c r="N5" i="12"/>
  <c r="N14" i="6"/>
  <c r="N16" i="6" s="1"/>
  <c r="N18" i="6" s="1"/>
  <c r="N6" i="13" s="1"/>
  <c r="P5" i="6"/>
  <c r="M29" i="5" l="1"/>
  <c r="O7" i="5"/>
  <c r="O9" i="6" s="1"/>
  <c r="O6" i="7" s="1"/>
  <c r="O10" i="6"/>
  <c r="O9" i="7" s="1"/>
  <c r="O11" i="6" s="1"/>
  <c r="P9" i="9"/>
  <c r="P9" i="11" s="1"/>
  <c r="P10" i="11" s="1"/>
  <c r="N5" i="7"/>
  <c r="N7" i="7" s="1"/>
  <c r="N18" i="7" s="1"/>
  <c r="N10" i="13" s="1"/>
  <c r="N11" i="13" s="1"/>
  <c r="N19" i="5"/>
  <c r="N21" i="5" s="1"/>
  <c r="O17" i="5" s="1"/>
  <c r="P4" i="6"/>
  <c r="P7" i="6"/>
  <c r="O8" i="6"/>
  <c r="O10" i="7" l="1"/>
  <c r="O8" i="5"/>
  <c r="O9" i="5" s="1"/>
  <c r="P5" i="5" s="1"/>
  <c r="N7" i="13"/>
  <c r="N16" i="7"/>
  <c r="N13" i="5" s="1"/>
  <c r="N14" i="5" s="1"/>
  <c r="N29" i="5" s="1"/>
  <c r="Q5" i="9"/>
  <c r="Q6" i="9" s="1"/>
  <c r="P6" i="6"/>
  <c r="O5" i="12"/>
  <c r="O14" i="6"/>
  <c r="O16" i="6" s="1"/>
  <c r="O18" i="6" s="1"/>
  <c r="O6" i="13" s="1"/>
  <c r="Q5" i="6"/>
  <c r="P7" i="5" l="1"/>
  <c r="P9" i="6" s="1"/>
  <c r="P6" i="7" s="1"/>
  <c r="P10" i="6"/>
  <c r="P9" i="7" s="1"/>
  <c r="P11" i="6" s="1"/>
  <c r="O12" i="5"/>
  <c r="Q9" i="9"/>
  <c r="Q9" i="11" s="1"/>
  <c r="Q10" i="11" s="1"/>
  <c r="Q7" i="6"/>
  <c r="Q4" i="6"/>
  <c r="Q6" i="6" s="1"/>
  <c r="O5" i="7"/>
  <c r="O7" i="7" s="1"/>
  <c r="O18" i="7" s="1"/>
  <c r="O10" i="13" s="1"/>
  <c r="O11" i="13" s="1"/>
  <c r="O19" i="5"/>
  <c r="O21" i="5" s="1"/>
  <c r="P17" i="5" s="1"/>
  <c r="P8" i="6"/>
  <c r="O7" i="13" l="1"/>
  <c r="P8" i="5"/>
  <c r="P9" i="5" s="1"/>
  <c r="Q5" i="5" s="1"/>
  <c r="P10" i="7"/>
  <c r="O16" i="7"/>
  <c r="O13" i="5" s="1"/>
  <c r="O14" i="5" s="1"/>
  <c r="O29" i="5" s="1"/>
  <c r="R5" i="9"/>
  <c r="R6" i="9" s="1"/>
  <c r="R9" i="9" s="1"/>
  <c r="P5" i="12"/>
  <c r="P14" i="6"/>
  <c r="P16" i="6" s="1"/>
  <c r="P18" i="6" s="1"/>
  <c r="P6" i="13" s="1"/>
  <c r="R5" i="6"/>
  <c r="P12" i="5" l="1"/>
  <c r="Q7" i="5"/>
  <c r="Q10" i="6"/>
  <c r="Q9" i="7" s="1"/>
  <c r="Q11" i="6" s="1"/>
  <c r="S5" i="9"/>
  <c r="R9" i="11"/>
  <c r="R10" i="11" s="1"/>
  <c r="Q8" i="6"/>
  <c r="P19" i="5"/>
  <c r="P21" i="5" s="1"/>
  <c r="Q17" i="5" s="1"/>
  <c r="P5" i="7"/>
  <c r="P7" i="7" s="1"/>
  <c r="P18" i="7" s="1"/>
  <c r="P10" i="13" s="1"/>
  <c r="P11" i="13" s="1"/>
  <c r="R7" i="6"/>
  <c r="R4" i="6"/>
  <c r="Q10" i="7" l="1"/>
  <c r="P7" i="13"/>
  <c r="Q8" i="5"/>
  <c r="P16" i="7"/>
  <c r="P13" i="5" s="1"/>
  <c r="P14" i="5" s="1"/>
  <c r="Q12" i="5" s="1"/>
  <c r="Q9" i="6"/>
  <c r="Q6" i="7" s="1"/>
  <c r="Q9" i="5"/>
  <c r="R5" i="5" s="1"/>
  <c r="R6" i="6"/>
  <c r="Q5" i="12"/>
  <c r="S5" i="6"/>
  <c r="S6" i="9"/>
  <c r="P29" i="5" l="1"/>
  <c r="R7" i="5"/>
  <c r="R9" i="6" s="1"/>
  <c r="R6" i="7" s="1"/>
  <c r="R10" i="6"/>
  <c r="R9" i="7" s="1"/>
  <c r="R11" i="6" s="1"/>
  <c r="Q14" i="6"/>
  <c r="Q16" i="6" s="1"/>
  <c r="Q18" i="6" s="1"/>
  <c r="S9" i="9"/>
  <c r="S7" i="6"/>
  <c r="S4" i="6"/>
  <c r="R8" i="6"/>
  <c r="S9" i="11" l="1"/>
  <c r="S10" i="11" s="1"/>
  <c r="R8" i="5"/>
  <c r="R9" i="5" s="1"/>
  <c r="S5" i="5" s="1"/>
  <c r="Q5" i="7"/>
  <c r="Q7" i="7" s="1"/>
  <c r="Q18" i="7" s="1"/>
  <c r="Q10" i="13" s="1"/>
  <c r="Q11" i="13" s="1"/>
  <c r="Q6" i="13"/>
  <c r="R10" i="7"/>
  <c r="Q19" i="5"/>
  <c r="Q21" i="5" s="1"/>
  <c r="R17" i="5" s="1"/>
  <c r="R14" i="6"/>
  <c r="R16" i="6" s="1"/>
  <c r="R18" i="6" s="1"/>
  <c r="R5" i="12"/>
  <c r="S6" i="6"/>
  <c r="Q16" i="7" l="1"/>
  <c r="Q13" i="5" s="1"/>
  <c r="Q14" i="5" s="1"/>
  <c r="R12" i="5" s="1"/>
  <c r="R19" i="5"/>
  <c r="R21" i="5" s="1"/>
  <c r="S17" i="5" s="1"/>
  <c r="R6" i="13"/>
  <c r="Q7" i="13"/>
  <c r="S7" i="5"/>
  <c r="S8" i="6"/>
  <c r="S10" i="6"/>
  <c r="S9" i="7" s="1"/>
  <c r="S11" i="6" s="1"/>
  <c r="R5" i="7"/>
  <c r="R7" i="7" s="1"/>
  <c r="R18" i="7" s="1"/>
  <c r="R10" i="13" s="1"/>
  <c r="R11" i="13" s="1"/>
  <c r="Q29" i="5" l="1"/>
  <c r="S5" i="12"/>
  <c r="R7" i="13"/>
  <c r="S10" i="7"/>
  <c r="S8" i="5"/>
  <c r="S9" i="5" s="1"/>
  <c r="R16" i="7"/>
  <c r="R13" i="5" s="1"/>
  <c r="R14" i="5" s="1"/>
  <c r="R29" i="5" s="1"/>
  <c r="S9" i="6"/>
  <c r="S6" i="7" s="1"/>
  <c r="S12" i="5" l="1"/>
  <c r="S14" i="6"/>
  <c r="S16" i="6" s="1"/>
  <c r="S18" i="6" s="1"/>
  <c r="S19" i="5" l="1"/>
  <c r="S21" i="5" s="1"/>
  <c r="S6" i="13"/>
  <c r="S5" i="7"/>
  <c r="S7" i="7" s="1"/>
  <c r="S18" i="7" s="1"/>
  <c r="S10" i="13" s="1"/>
  <c r="D15" i="13" s="1"/>
  <c r="S7" i="13" l="1"/>
  <c r="S11" i="13"/>
  <c r="D13" i="13" s="1"/>
  <c r="S16" i="7"/>
  <c r="S13" i="5" l="1"/>
  <c r="S14" i="5" s="1"/>
  <c r="S29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<sst xmlns="http://schemas.openxmlformats.org/spreadsheetml/2006/main" count="131" uniqueCount="105">
  <si>
    <t>Case Author: Andrew Grigolyunovich, CFA, CFM, FMVA</t>
  </si>
  <si>
    <t>Company Name:</t>
  </si>
  <si>
    <r>
      <rPr>
        <sz val="8"/>
        <rFont val="Calibri"/>
        <family val="2"/>
      </rPr>
      <t>[%</t>
    </r>
    <r>
      <rPr>
        <sz val="8"/>
        <rFont val="Roboto"/>
      </rPr>
      <t>]</t>
    </r>
  </si>
  <si>
    <t>Inputs and Assumptions</t>
  </si>
  <si>
    <t>Origination Fee</t>
  </si>
  <si>
    <t>Disposition Fee</t>
  </si>
  <si>
    <t>Interest Rate</t>
  </si>
  <si>
    <t>Loan-to-Value (LTV)</t>
  </si>
  <si>
    <t>Forest Investment</t>
  </si>
  <si>
    <t>Case Assumptions</t>
  </si>
  <si>
    <t>Perpetual Growth Capital</t>
  </si>
  <si>
    <r>
      <rPr>
        <sz val="8"/>
        <rFont val="Calibri"/>
        <family val="2"/>
      </rPr>
      <t>[Year</t>
    </r>
    <r>
      <rPr>
        <sz val="8"/>
        <rFont val="Roboto"/>
      </rPr>
      <t>]</t>
    </r>
  </si>
  <si>
    <t>Model Start Year</t>
  </si>
  <si>
    <t>Property Sale (Year of Operations)</t>
  </si>
  <si>
    <t>Property Sale (Calendar Year)</t>
  </si>
  <si>
    <t>Bank Loan</t>
  </si>
  <si>
    <t>Operating Assumptions</t>
  </si>
  <si>
    <t>Management fee</t>
  </si>
  <si>
    <t>Cutting Costs</t>
  </si>
  <si>
    <t>Forest Annual Growth Rate</t>
  </si>
  <si>
    <t>Planting Costs</t>
  </si>
  <si>
    <t>Annual Inflation Rate</t>
  </si>
  <si>
    <t>Acquisition and Disposition Assumptions</t>
  </si>
  <si>
    <t>Acquisition Price</t>
  </si>
  <si>
    <r>
      <rPr>
        <sz val="8"/>
        <rFont val="Calibri"/>
        <family val="2"/>
      </rPr>
      <t>[$</t>
    </r>
    <r>
      <rPr>
        <sz val="8"/>
        <rFont val="Roboto"/>
      </rPr>
      <t>]</t>
    </r>
  </si>
  <si>
    <r>
      <rPr>
        <sz val="8"/>
        <rFont val="Calibri"/>
        <family val="2"/>
      </rPr>
      <t>[#</t>
    </r>
    <r>
      <rPr>
        <sz val="8"/>
        <rFont val="Roboto"/>
      </rPr>
      <t>]</t>
    </r>
  </si>
  <si>
    <t>Initial Wood Volume</t>
  </si>
  <si>
    <r>
      <rPr>
        <sz val="8"/>
        <rFont val="Calibri"/>
        <family val="2"/>
      </rPr>
      <t>[M</t>
    </r>
    <r>
      <rPr>
        <vertAlign val="superscript"/>
        <sz val="8"/>
        <rFont val="Calibri"/>
        <family val="2"/>
      </rPr>
      <t>3</t>
    </r>
    <r>
      <rPr>
        <sz val="8"/>
        <rFont val="Roboto"/>
      </rPr>
      <t>]</t>
    </r>
  </si>
  <si>
    <t>Wood Price at Acquisition</t>
  </si>
  <si>
    <r>
      <rPr>
        <sz val="8"/>
        <rFont val="Calibri"/>
        <family val="2"/>
      </rPr>
      <t>[$/M</t>
    </r>
    <r>
      <rPr>
        <vertAlign val="superscript"/>
        <sz val="8"/>
        <rFont val="Calibri"/>
        <family val="2"/>
      </rPr>
      <t>3</t>
    </r>
    <r>
      <rPr>
        <sz val="8"/>
        <rFont val="Roboto"/>
      </rPr>
      <t>]</t>
    </r>
  </si>
  <si>
    <r>
      <rPr>
        <sz val="8"/>
        <rFont val="Calibri"/>
        <family val="2"/>
      </rPr>
      <t>[% p.a.</t>
    </r>
    <r>
      <rPr>
        <sz val="8"/>
        <rFont val="Roboto"/>
      </rPr>
      <t>]</t>
    </r>
  </si>
  <si>
    <r>
      <rPr>
        <sz val="8"/>
        <rFont val="Calibri"/>
        <family val="2"/>
      </rPr>
      <t>[% of Value</t>
    </r>
    <r>
      <rPr>
        <sz val="8"/>
        <rFont val="Roboto"/>
      </rPr>
      <t>]</t>
    </r>
  </si>
  <si>
    <t>RE Tax</t>
  </si>
  <si>
    <r>
      <rPr>
        <sz val="8"/>
        <rFont val="Calibri"/>
        <family val="2"/>
      </rPr>
      <t>[$/Year</t>
    </r>
    <r>
      <rPr>
        <sz val="8"/>
        <rFont val="Roboto"/>
      </rPr>
      <t>]</t>
    </r>
  </si>
  <si>
    <t>General &amp; Macroeconomy Assumptions</t>
  </si>
  <si>
    <t>Timeline</t>
  </si>
  <si>
    <t>Cash</t>
  </si>
  <si>
    <t>Equity</t>
  </si>
  <si>
    <t>BoY Value</t>
  </si>
  <si>
    <t>EoY Value</t>
  </si>
  <si>
    <t>BoY Inventory (m3)</t>
  </si>
  <si>
    <t>+Forrest Growth</t>
  </si>
  <si>
    <t>-WoodCut</t>
  </si>
  <si>
    <t>EoY Inventory (m3)</t>
  </si>
  <si>
    <t>As much for FCFE = 0</t>
  </si>
  <si>
    <t>Forest</t>
  </si>
  <si>
    <t>+ Cash variation</t>
  </si>
  <si>
    <t>+ Net Result</t>
  </si>
  <si>
    <t>-Dividend</t>
  </si>
  <si>
    <t>Liabilities</t>
  </si>
  <si>
    <t>-Reimbursement</t>
  </si>
  <si>
    <t>Control</t>
  </si>
  <si>
    <t>+ CAPEX</t>
  </si>
  <si>
    <t>Initial Cash Balance (01/01/2021)</t>
  </si>
  <si>
    <t>Revenues</t>
  </si>
  <si>
    <t>COGs</t>
  </si>
  <si>
    <t>+Planting</t>
  </si>
  <si>
    <t>Gross Margin</t>
  </si>
  <si>
    <t>Planting costs</t>
  </si>
  <si>
    <t>Real estate tax</t>
  </si>
  <si>
    <t>Financial Interests</t>
  </si>
  <si>
    <t>EBIT</t>
  </si>
  <si>
    <t>EBT</t>
  </si>
  <si>
    <t>Taxes</t>
  </si>
  <si>
    <t>Net result</t>
  </si>
  <si>
    <t>Forest value change</t>
  </si>
  <si>
    <t>- Forest value change</t>
  </si>
  <si>
    <t>Operating Cash flow</t>
  </si>
  <si>
    <t>CAPEX</t>
  </si>
  <si>
    <t>Project Sale</t>
  </si>
  <si>
    <t>Investing Cash flow</t>
  </si>
  <si>
    <t>Financing from equity</t>
  </si>
  <si>
    <t>Financing from debt</t>
  </si>
  <si>
    <t>Repayment of debt</t>
  </si>
  <si>
    <t>Dividend</t>
  </si>
  <si>
    <t>Financing Cash flow</t>
  </si>
  <si>
    <t>Cash flow variation</t>
  </si>
  <si>
    <t>Initial Cash</t>
  </si>
  <si>
    <t>Initial property</t>
  </si>
  <si>
    <t>Initial Liability</t>
  </si>
  <si>
    <t>Initial equity</t>
  </si>
  <si>
    <t>Weighted Price</t>
  </si>
  <si>
    <t>- Cutting costs</t>
  </si>
  <si>
    <t>- Planting costs</t>
  </si>
  <si>
    <t>Valuation/m3</t>
  </si>
  <si>
    <t>Volume (m3)</t>
  </si>
  <si>
    <t>Property valuation</t>
  </si>
  <si>
    <t>Origination fee</t>
  </si>
  <si>
    <t>Disposition fee</t>
  </si>
  <si>
    <t>+Valuation change</t>
  </si>
  <si>
    <t>+ Equity financing</t>
  </si>
  <si>
    <t>+ Debt financing</t>
  </si>
  <si>
    <t>- Project Sale</t>
  </si>
  <si>
    <t>Expenses covered</t>
  </si>
  <si>
    <t>Unitary margin</t>
  </si>
  <si>
    <t>Volume to be cut</t>
  </si>
  <si>
    <t>Capital gain</t>
  </si>
  <si>
    <t>FCFE</t>
  </si>
  <si>
    <t>Equity Cost of Capital</t>
  </si>
  <si>
    <t>NPV</t>
  </si>
  <si>
    <t>Discounted CF</t>
  </si>
  <si>
    <t>IRR</t>
  </si>
  <si>
    <t>CF</t>
  </si>
  <si>
    <t>IS</t>
  </si>
  <si>
    <t>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</si>
</sst>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_);[Red]\(&quot;$&quot;#,##0\)"/>
    <numFmt numFmtId="165" formatCode="&quot;$&quot;#,##0.00_);[Red]\(&quot;$&quot;#,##0.00\)"/>
    <numFmt numFmtId="166" formatCode="_-* #,##0_-;\-* #,##0_-;_-* &quot;-&quot;??_-;_-@_-"/>
    <numFmt numFmtId="167" formatCode="0.0%"/>
  </numFmts>
  <fonts count="25">
    <font>
      <sz val="10"/>
      <name val="Arial"/>
      <family val="2"/>
    </font>
    <font>
      <sz val="10"/>
      <name val="Arial"/>
      <family val="2"/>
    </font>
    <font>
      <sz val="10"/>
      <name val="Aldine401 BT"/>
    </font>
    <font>
      <sz val="10"/>
      <name val="Book Antiqua"/>
      <family val="1"/>
    </font>
    <font>
      <sz val="11"/>
      <color indexed="12"/>
      <name val="Book Antiqua"/>
      <family val="1"/>
    </font>
    <font>
      <sz val="8"/>
      <name val="Arial"/>
      <family val="2"/>
    </font>
    <font>
      <sz val="11"/>
      <color rgb="FF3F3F76"/>
      <name val="Calibri"/>
      <family val="2"/>
      <scheme val="minor"/>
    </font>
    <font>
      <sz val="10"/>
      <name val="Roboto"/>
    </font>
    <font>
      <b/>
      <sz val="10"/>
      <name val="Roboto"/>
    </font>
    <font>
      <b/>
      <sz val="20"/>
      <color theme="0"/>
      <name val="Roboto"/>
    </font>
    <font>
      <b/>
      <sz val="28"/>
      <color theme="0"/>
      <name val="Roboto"/>
    </font>
    <font>
      <b/>
      <sz val="10"/>
      <color rgb="FF6C7079"/>
      <name val="Roboto"/>
    </font>
    <font>
      <u/>
      <sz val="10"/>
      <color theme="10"/>
      <name val="Arial"/>
      <family val="2"/>
    </font>
    <font>
      <b/>
      <u/>
      <sz val="10"/>
      <color rgb="FF6C7079"/>
      <name val="roboto"/>
    </font>
    <font>
      <sz val="10"/>
      <color rgb="FF0085B2"/>
      <name val="Roboto"/>
    </font>
    <font>
      <sz val="8"/>
      <name val="Roboto"/>
      <family val="2"/>
    </font>
    <font>
      <sz val="8"/>
      <name val="Calibri"/>
      <family val="2"/>
    </font>
    <font>
      <sz val="8"/>
      <name val="Roboto"/>
    </font>
    <font>
      <b/>
      <sz val="18"/>
      <name val="Roboto"/>
    </font>
    <font>
      <sz val="12"/>
      <name val="Roboto"/>
    </font>
    <font>
      <vertAlign val="superscript"/>
      <sz val="8"/>
      <name val="Calibri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i/>
      <u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208BB7"/>
        <bgColor indexed="64"/>
      </patternFill>
    </fill>
    <fill>
      <patternFill patternType="solid">
        <fgColor rgb="FF6C70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3" fillId="0" borderId="0" applyNumberFormat="0" applyFont="0" applyFill="0" applyBorder="0" applyProtection="0">
      <alignment horizontal="centerContinuous"/>
    </xf>
    <xf numFmtId="0" fontId="3" fillId="0" borderId="2" applyNumberFormat="0" applyFont="0" applyFill="0" applyAlignment="0" applyProtection="0"/>
    <xf numFmtId="0" fontId="3" fillId="0" borderId="0" applyNumberFormat="0" applyFont="0" applyFill="0" applyBorder="0" applyProtection="0">
      <alignment horizontal="center"/>
    </xf>
    <xf numFmtId="165" fontId="4" fillId="0" borderId="4">
      <protection locked="0"/>
    </xf>
    <xf numFmtId="0" fontId="3" fillId="0" borderId="5" applyNumberFormat="0" applyFont="0" applyFill="0" applyAlignment="0" applyProtection="0"/>
    <xf numFmtId="0" fontId="5" fillId="0" borderId="0" applyNumberFormat="0" applyFill="0" applyBorder="0" applyAlignment="0" applyProtection="0"/>
    <xf numFmtId="166" fontId="2" fillId="0" borderId="0" applyNumberFormat="0" applyFill="0" applyBorder="0" applyAlignment="0" applyProtection="0"/>
    <xf numFmtId="0" fontId="3" fillId="0" borderId="3" applyNumberFormat="0" applyFont="0" applyFill="0" applyAlignment="0" applyProtection="0"/>
    <xf numFmtId="9" fontId="1" fillId="0" borderId="0" applyFont="0" applyFill="0" applyBorder="0" applyAlignment="0" applyProtection="0"/>
    <xf numFmtId="0" fontId="6" fillId="2" borderId="6" applyNumberFormat="0" applyAlignment="0" applyProtection="0"/>
    <xf numFmtId="0" fontId="12" fillId="0" borderId="0" applyNumberFormat="0" applyFill="0" applyBorder="0" applyAlignment="0" applyProtection="0"/>
  </cellStyleXfs>
  <cellXfs count="49">
    <xf numFmtId="0" fontId="0" fillId="0" borderId="0" xfId="0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centerContinuous"/>
    </xf>
    <xf numFmtId="0" fontId="7" fillId="0" borderId="0" xfId="0" applyFont="1" applyAlignment="1">
      <alignment horizontal="centerContinuous"/>
    </xf>
    <xf numFmtId="15" fontId="11" fillId="0" borderId="0" xfId="0" applyNumberFormat="1" applyFont="1" applyAlignment="1">
      <alignment horizontal="right"/>
    </xf>
    <xf numFmtId="0" fontId="13" fillId="0" borderId="0" xfId="11" applyFont="1"/>
    <xf numFmtId="0" fontId="14" fillId="2" borderId="6" xfId="10" applyNumberFormat="1" applyFont="1" applyAlignment="1" applyProtection="1">
      <alignment horizontal="center"/>
      <protection locked="0"/>
    </xf>
    <xf numFmtId="0" fontId="8" fillId="0" borderId="2" xfId="0" applyFont="1" applyBorder="1"/>
    <xf numFmtId="0" fontId="7" fillId="0" borderId="2" xfId="0" applyFont="1" applyBorder="1"/>
    <xf numFmtId="0" fontId="7" fillId="0" borderId="0" xfId="0" applyFont="1" applyAlignment="1">
      <alignment horizontal="left" indent="1"/>
    </xf>
    <xf numFmtId="0" fontId="15" fillId="0" borderId="0" xfId="0" applyFont="1" applyAlignment="1">
      <alignment horizontal="center"/>
    </xf>
    <xf numFmtId="10" fontId="14" fillId="2" borderId="6" xfId="10" applyNumberFormat="1" applyFont="1" applyAlignment="1" applyProtection="1">
      <alignment horizontal="center"/>
      <protection locked="0"/>
    </xf>
    <xf numFmtId="3" fontId="18" fillId="0" borderId="0" xfId="0" applyNumberFormat="1" applyFont="1" applyFill="1" applyBorder="1" applyAlignment="1">
      <alignment horizontal="centerContinuous"/>
    </xf>
    <xf numFmtId="0" fontId="7" fillId="0" borderId="0" xfId="0" applyFont="1" applyFill="1" applyBorder="1" applyAlignment="1">
      <alignment horizontal="centerContinuous"/>
    </xf>
    <xf numFmtId="0" fontId="19" fillId="0" borderId="1" xfId="0" applyFont="1" applyBorder="1" applyAlignment="1">
      <alignment horizontal="centerContinuous"/>
    </xf>
    <xf numFmtId="0" fontId="7" fillId="0" borderId="1" xfId="0" applyFont="1" applyBorder="1" applyAlignment="1">
      <alignment horizontal="centerContinuous"/>
    </xf>
    <xf numFmtId="164" fontId="14" fillId="2" borderId="6" xfId="10" applyNumberFormat="1" applyFont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10" fontId="14" fillId="2" borderId="7" xfId="10" applyNumberFormat="1" applyFont="1" applyBorder="1" applyAlignment="1" applyProtection="1">
      <alignment horizontal="center"/>
      <protection locked="0"/>
    </xf>
    <xf numFmtId="167" fontId="14" fillId="2" borderId="6" xfId="10" applyNumberFormat="1" applyFont="1" applyAlignment="1" applyProtection="1">
      <alignment horizontal="center"/>
      <protection locked="0"/>
    </xf>
    <xf numFmtId="165" fontId="14" fillId="2" borderId="6" xfId="10" applyNumberFormat="1" applyFont="1" applyAlignment="1" applyProtection="1">
      <alignment horizontal="center"/>
      <protection locked="0"/>
    </xf>
    <xf numFmtId="3" fontId="14" fillId="2" borderId="6" xfId="10" applyNumberFormat="1" applyFont="1" applyAlignment="1" applyProtection="1">
      <alignment horizontal="center"/>
      <protection locked="0"/>
    </xf>
    <xf numFmtId="4" fontId="0" fillId="0" borderId="0" xfId="0" applyNumberFormat="1"/>
    <xf numFmtId="0" fontId="0" fillId="0" borderId="0" xfId="0" quotePrefix="1"/>
    <xf numFmtId="3" fontId="0" fillId="0" borderId="0" xfId="0" applyNumberFormat="1"/>
    <xf numFmtId="0" fontId="21" fillId="0" borderId="0" xfId="0" applyFont="1"/>
    <xf numFmtId="4" fontId="21" fillId="0" borderId="0" xfId="0" applyNumberFormat="1" applyFont="1"/>
    <xf numFmtId="0" fontId="22" fillId="5" borderId="8" xfId="0" applyFont="1" applyFill="1" applyBorder="1"/>
    <xf numFmtId="0" fontId="22" fillId="5" borderId="9" xfId="0" applyFon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0" xfId="0" applyFill="1"/>
    <xf numFmtId="0" fontId="0" fillId="6" borderId="0" xfId="0" quotePrefix="1" applyFill="1"/>
    <xf numFmtId="4" fontId="0" fillId="0" borderId="0" xfId="0" quotePrefix="1" applyNumberFormat="1"/>
    <xf numFmtId="9" fontId="7" fillId="0" borderId="0" xfId="0" applyNumberFormat="1" applyFont="1"/>
    <xf numFmtId="2" fontId="0" fillId="0" borderId="0" xfId="0" applyNumberFormat="1"/>
    <xf numFmtId="9" fontId="0" fillId="0" borderId="0" xfId="0" applyNumberFormat="1"/>
    <xf numFmtId="10" fontId="0" fillId="0" borderId="0" xfId="0" applyNumberFormat="1"/>
    <xf numFmtId="4" fontId="0" fillId="0" borderId="11" xfId="0" applyNumberFormat="1" applyBorder="1"/>
    <xf numFmtId="0" fontId="10" fillId="3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10" fontId="21" fillId="0" borderId="0" xfId="0" applyNumberFormat="1" applyFont="1"/>
    <xf numFmtId="0" fontId="24" fillId="0" borderId="0" xfId="0" applyFont="1"/>
    <xf numFmtId="0" fontId="0" fillId="0" borderId="0" xfId="0" applyFont="1"/>
    <xf numFmtId="9" fontId="21" fillId="0" borderId="0" xfId="0" applyNumberFormat="1" applyFont="1"/>
    <xf numFmtId="0" fontId="22" fillId="5" borderId="0" xfId="0" applyFont="1" applyFill="1"/>
  </cellXfs>
  <cellStyles count="12">
    <cellStyle name="Across" xfId="1" xr:uid="{00000000-0005-0000-0000-000000000000}"/>
    <cellStyle name="Bottom" xfId="2" xr:uid="{00000000-0005-0000-0000-000001000000}"/>
    <cellStyle name="Center" xfId="3" xr:uid="{00000000-0005-0000-0000-000002000000}"/>
    <cellStyle name="Currency [2]" xfId="4" xr:uid="{00000000-0005-0000-0000-000004000000}"/>
    <cellStyle name="Double" xfId="5" xr:uid="{00000000-0005-0000-0000-000005000000}"/>
    <cellStyle name="Entrée" xfId="10" builtinId="20"/>
    <cellStyle name="Lien hypertexte" xfId="11" builtinId="8"/>
    <cellStyle name="Normal" xfId="0" builtinId="0"/>
    <cellStyle name="Numbers" xfId="6" xr:uid="{00000000-0005-0000-0000-000007000000}"/>
    <cellStyle name="Numbers - Bold - Italic" xfId="7" xr:uid="{00000000-0005-0000-0000-000008000000}"/>
    <cellStyle name="Outline" xfId="8" xr:uid="{00000000-0005-0000-0000-000009000000}"/>
    <cellStyle name="Percent 2" xfId="9" xr:uid="{00000000-0005-0000-0000-00000B000000}"/>
  </cellStyles>
  <dxfs count="0"/>
  <tableStyles count="0" defaultTableStyle="TableStyleMedium2" defaultPivotStyle="PivotStyleLight16"/>
  <colors>
    <mruColors>
      <color rgb="FF208BB7"/>
      <color rgb="FF0085B2"/>
      <color rgb="FF6C707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Property</a:t>
            </a:r>
            <a:r>
              <a:rPr lang="fr-FR" baseline="0"/>
              <a:t> valuation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circle"/>
              <c:size val="8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FF2-410B-AFF1-5EF4B331AAE4}"/>
              </c:ext>
            </c:extLst>
          </c:dPt>
          <c:dLbls>
            <c:dLbl>
              <c:idx val="15"/>
              <c:layout>
                <c:manualLayout>
                  <c:x val="-5.5555555555555558E-3"/>
                  <c:y val="-5.092592592592592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F2-410B-AFF1-5EF4B331AA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R_Synthesis!$D$3:$S$3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C_Property_Valuation!$D$10:$S$10</c:f>
              <c:numCache>
                <c:formatCode>#,##0.00</c:formatCode>
                <c:ptCount val="16"/>
                <c:pt idx="0">
                  <c:v>2187500</c:v>
                </c:pt>
                <c:pt idx="1">
                  <c:v>2269350</c:v>
                </c:pt>
                <c:pt idx="2">
                  <c:v>2355758.0999999996</c:v>
                </c:pt>
                <c:pt idx="3">
                  <c:v>2446979.0436</c:v>
                </c:pt>
                <c:pt idx="4">
                  <c:v>2543281.8298415998</c:v>
                </c:pt>
                <c:pt idx="5">
                  <c:v>2644950.5113087292</c:v>
                </c:pt>
                <c:pt idx="6">
                  <c:v>2752285.0369179389</c:v>
                </c:pt>
                <c:pt idx="7">
                  <c:v>2865602.1419007806</c:v>
                </c:pt>
                <c:pt idx="8">
                  <c:v>2985236.2876209719</c:v>
                </c:pt>
                <c:pt idx="9">
                  <c:v>3111540.6540169688</c:v>
                </c:pt>
                <c:pt idx="10">
                  <c:v>3244888.1876169257</c:v>
                </c:pt>
                <c:pt idx="11">
                  <c:v>3385672.70823798</c:v>
                </c:pt>
                <c:pt idx="12">
                  <c:v>3534310.0776561038</c:v>
                </c:pt>
                <c:pt idx="13">
                  <c:v>3691239.4337167782</c:v>
                </c:pt>
                <c:pt idx="14">
                  <c:v>3856924.4935510899</c:v>
                </c:pt>
                <c:pt idx="15">
                  <c:v>3993285.6848315336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2-410B-AFF1-5EF4B331A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257903"/>
        <c:axId val="1739267055"/>
      </c:lineChart>
      <c:catAx>
        <c:axId val="173925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9267055"/>
        <c:crosses val="autoZero"/>
        <c:auto val="1"/>
        <c:lblAlgn val="ctr"/>
        <c:lblOffset val="100"/>
        <c:noMultiLvlLbl val="0"/>
      </c:catAx>
      <c:valAx>
        <c:axId val="17392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925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fmworldcup.com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127002</xdr:colOff>
      <xdr:row>2</xdr:row>
      <xdr:rowOff>161635</xdr:rowOff>
    </xdr:from>
    <xdr:to>
      <xdr:col>13</xdr:col>
      <xdr:colOff>568470</xdr:colOff>
      <xdr:row>28</xdr:row>
      <xdr:rowOff>126999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9093" y="484908"/>
          <a:ext cx="7172468" cy="41679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16</xdr:row>
      <xdr:rowOff>6350</xdr:rowOff>
    </xdr:from>
    <xdr:to>
      <xdr:col>8</xdr:col>
      <xdr:colOff>9525</xdr:colOff>
      <xdr:row>33</xdr:row>
      <xdr:rowOff>50800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C84F8BA-12C9-9573-63FC-5D386F7D2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12700</xdr:rowOff>
        </xdr:from>
        <xdr:to>
          <xdr:col>2</xdr:col>
          <xdr:colOff>0</xdr:colOff>
          <xdr:row>2</xdr:row>
          <xdr:rowOff>19050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MàJ V2C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13073</xdr:colOff>
      <xdr:row>0</xdr:row>
      <xdr:rowOff>0</xdr:rowOff>
    </xdr:from>
    <xdr:to>
      <xdr:col>2</xdr:col>
      <xdr:colOff>476250</xdr:colOff>
      <xdr:row>2</xdr:row>
      <xdr:rowOff>191090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673" y="0"/>
          <a:ext cx="1072777" cy="641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linkedin.com/in/andrewgri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7E294-DDE5-4897-92CE-3894C5676D91}">
  <sheetPr codeName="Feuil1"/>
  <dimension ref="B20:O39"/>
  <sheetViews>
    <sheetView showGridLines="0" topLeftCell="A2" zoomScale="70" zoomScaleNormal="70" workbookViewId="0">
      <selection activeCell="C31" sqref="C31"/>
    </sheetView>
  </sheetViews>
  <sheetFormatPr baseColWidth="10" defaultColWidth="8.7265625" defaultRowHeight="12.5"/>
  <cols>
    <col min="1" max="1" width="4.26953125" style="1" customWidth="1"/>
    <col min="2" max="14" width="8.7265625" style="1"/>
    <col min="15" max="15" width="10.1796875" style="1" bestFit="1" customWidth="1"/>
    <col min="16" max="16" width="3.26953125" style="1" customWidth="1"/>
    <col min="17" max="16384" width="8.7265625" style="1"/>
  </cols>
  <sheetData>
    <row r="20" spans="2:15" ht="13">
      <c r="B20" s="2"/>
      <c r="C20" s="2"/>
      <c r="D20" s="2"/>
      <c r="E20" s="2"/>
      <c r="F20" s="2"/>
      <c r="G20" s="2"/>
      <c r="H20" s="2"/>
      <c r="I20" s="2"/>
    </row>
    <row r="21" spans="2:15" ht="13">
      <c r="B21" s="3"/>
      <c r="C21" s="3"/>
      <c r="D21" s="3"/>
      <c r="E21" s="3"/>
      <c r="F21" s="3"/>
      <c r="G21" s="3"/>
      <c r="H21" s="3"/>
      <c r="I21" s="3"/>
      <c r="J21" s="4"/>
    </row>
    <row r="22" spans="2:15" ht="13">
      <c r="B22" s="3"/>
    </row>
    <row r="24" spans="2:15" ht="13" customHeight="1"/>
    <row r="25" spans="2:15" ht="13" customHeight="1"/>
    <row r="26" spans="2:15" ht="13" customHeight="1"/>
    <row r="27" spans="2:15" ht="13" customHeight="1"/>
    <row r="28" spans="2:15" ht="13" customHeight="1"/>
    <row r="31" spans="2:15" ht="13">
      <c r="B31" s="6" t="s">
        <v>0</v>
      </c>
      <c r="O31" s="5">
        <v>44077</v>
      </c>
    </row>
    <row r="32" spans="2:15">
      <c r="B32" s="42" t="s">
        <v>8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</row>
    <row r="33" spans="2:15"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</row>
    <row r="34" spans="2:1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</row>
    <row r="35" spans="2:15"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</row>
    <row r="36" spans="2:15"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</row>
    <row r="37" spans="2:15">
      <c r="B37" s="43" t="s">
        <v>9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</row>
    <row r="38" spans="2:15"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</row>
    <row r="39" spans="2:15"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</row>
  </sheetData>
  <mergeCells count="2">
    <mergeCell ref="B32:O36"/>
    <mergeCell ref="B37:O39"/>
  </mergeCells>
  <hyperlinks>
    <hyperlink ref="B31" r:id="rId1" xr:uid="{73D4DCAE-D521-4089-ABF4-5FF4BF9852F3}"/>
  </hyperlinks>
  <pageMargins left="0.7" right="0.7" top="0.75" bottom="0.75" header="0.3" footer="0.3"/>
  <pageSetup scale="99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39E36-828D-4B80-B1DA-56152F2D7091}">
  <sheetPr codeName="Feuil10">
    <tabColor rgb="FF7030A0"/>
  </sheetPr>
  <dimension ref="C1:S15"/>
  <sheetViews>
    <sheetView tabSelected="1" workbookViewId="0">
      <selection activeCell="G8" sqref="G8"/>
    </sheetView>
  </sheetViews>
  <sheetFormatPr baseColWidth="10" defaultRowHeight="12.5"/>
  <cols>
    <col min="19" max="19" width="11.453125" bestFit="1" customWidth="1"/>
  </cols>
  <sheetData>
    <row r="1" spans="3:19"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</row>
    <row r="2" spans="3:19" ht="13">
      <c r="D2" s="48" t="s">
        <v>35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3:19" ht="13">
      <c r="D3" s="48" cm="1">
        <f t="array" ref="D3:S3">TRANSPOSE(_xlfn.SEQUENCE(D_Assumptions!$N$8+1,1,D_Assumptions!$G$8-1,1))</f>
        <v>2020</v>
      </c>
      <c r="E3" s="48">
        <v>2021</v>
      </c>
      <c r="F3" s="48">
        <v>2022</v>
      </c>
      <c r="G3" s="48">
        <v>2023</v>
      </c>
      <c r="H3" s="48">
        <v>2024</v>
      </c>
      <c r="I3" s="48">
        <v>2025</v>
      </c>
      <c r="J3" s="48">
        <v>2026</v>
      </c>
      <c r="K3" s="48">
        <v>2027</v>
      </c>
      <c r="L3" s="48">
        <v>2028</v>
      </c>
      <c r="M3" s="48">
        <v>2029</v>
      </c>
      <c r="N3" s="48">
        <v>2030</v>
      </c>
      <c r="O3" s="48">
        <v>2031</v>
      </c>
      <c r="P3" s="48">
        <v>2032</v>
      </c>
      <c r="Q3" s="48">
        <v>2033</v>
      </c>
      <c r="R3" s="48">
        <v>2034</v>
      </c>
      <c r="S3" s="48">
        <v>2035</v>
      </c>
    </row>
    <row r="5" spans="3:19" ht="13">
      <c r="C5" s="45" t="s">
        <v>103</v>
      </c>
    </row>
    <row r="6" spans="3:19">
      <c r="C6" s="46" t="s">
        <v>64</v>
      </c>
      <c r="D6" s="23">
        <f>C_CdR!D18</f>
        <v>173125</v>
      </c>
      <c r="E6" s="23">
        <f>C_CdR!E18</f>
        <v>81850</v>
      </c>
      <c r="F6" s="23">
        <f>C_CdR!F18</f>
        <v>86408.099999999627</v>
      </c>
      <c r="G6" s="23">
        <f>C_CdR!G18</f>
        <v>91220.943600000362</v>
      </c>
      <c r="H6" s="23">
        <f>C_CdR!H18</f>
        <v>96302.786241599824</v>
      </c>
      <c r="I6" s="23">
        <f>C_CdR!I18</f>
        <v>101668.68146712938</v>
      </c>
      <c r="J6" s="23">
        <f>C_CdR!J18</f>
        <v>107334.52560920967</v>
      </c>
      <c r="K6" s="23">
        <f>C_CdR!K18</f>
        <v>113317.10498284176</v>
      </c>
      <c r="L6" s="23">
        <f>C_CdR!L18</f>
        <v>119634.14572019133</v>
      </c>
      <c r="M6" s="23">
        <f>C_CdR!M18</f>
        <v>126304.36639599685</v>
      </c>
      <c r="N6" s="23">
        <f>C_CdR!N18</f>
        <v>133347.53359995686</v>
      </c>
      <c r="O6" s="23">
        <f>C_CdR!O18</f>
        <v>140784.52062105434</v>
      </c>
      <c r="P6" s="23">
        <f>C_CdR!P18</f>
        <v>148637.36941812374</v>
      </c>
      <c r="Q6" s="23">
        <f>C_CdR!Q18</f>
        <v>156929.35606067438</v>
      </c>
      <c r="R6" s="23">
        <f>C_CdR!R18</f>
        <v>165685.05983431172</v>
      </c>
      <c r="S6" s="23">
        <f>C_CdR!S18</f>
        <v>136361.19128044369</v>
      </c>
    </row>
    <row r="7" spans="3:19" ht="13">
      <c r="C7" s="26" t="s">
        <v>104</v>
      </c>
      <c r="D7" s="47">
        <f>D6/C_Bilan!D21</f>
        <v>0.19785714285714287</v>
      </c>
      <c r="E7" s="47">
        <f>E6/C_Bilan!E21</f>
        <v>8.5541098395777809E-2</v>
      </c>
      <c r="F7" s="47">
        <f>F6/C_Bilan!F21</f>
        <v>8.2825237589815651E-2</v>
      </c>
      <c r="G7" s="47">
        <f>G6/C_Bilan!G21</f>
        <v>8.0407781981174681E-2</v>
      </c>
      <c r="H7" s="47">
        <f>H6/C_Bilan!H21</f>
        <v>7.8245212844906792E-2</v>
      </c>
      <c r="I7" s="47">
        <f>I6/C_Bilan!I21</f>
        <v>7.6302031936083453E-2</v>
      </c>
      <c r="J7" s="47">
        <f>J6/C_Bilan!J21</f>
        <v>7.4548993674065561E-2</v>
      </c>
      <c r="K7" s="47">
        <f>K6/C_Bilan!K21</f>
        <v>7.2961785271995969E-2</v>
      </c>
      <c r="L7" s="47">
        <f>L6/C_Bilan!L21</f>
        <v>7.1520027756640278E-2</v>
      </c>
      <c r="M7" s="47">
        <f>M6/C_Bilan!M21</f>
        <v>7.02065104054094E-2</v>
      </c>
      <c r="N7" s="47">
        <f>N6/C_Bilan!N21</f>
        <v>6.9006597356820271E-2</v>
      </c>
      <c r="O7" s="47">
        <f>O6/C_Bilan!O21</f>
        <v>6.7907762851416836E-2</v>
      </c>
      <c r="P7" s="47">
        <f>P6/C_Bilan!P21</f>
        <v>6.6899223706343339E-2</v>
      </c>
      <c r="Q7" s="47">
        <f>Q6/C_Bilan!Q21</f>
        <v>6.5971646089656999E-2</v>
      </c>
      <c r="R7" s="47">
        <f>R6/C_Bilan!R21</f>
        <v>6.5116909640763485E-2</v>
      </c>
      <c r="S7" s="47">
        <f>S6/C_Bilan!S21</f>
        <v>5.0866129303810022E-2</v>
      </c>
    </row>
    <row r="9" spans="3:19" ht="13">
      <c r="C9" s="45" t="s">
        <v>102</v>
      </c>
    </row>
    <row r="10" spans="3:19">
      <c r="C10" t="s">
        <v>97</v>
      </c>
      <c r="D10" s="23">
        <f>C_TFT!D18</f>
        <v>-701875</v>
      </c>
      <c r="E10" s="23">
        <f>C_TFT!E18</f>
        <v>0</v>
      </c>
      <c r="F10" s="23">
        <f>C_TFT!F18</f>
        <v>0</v>
      </c>
      <c r="G10" s="23">
        <f>C_TFT!G18</f>
        <v>0</v>
      </c>
      <c r="H10" s="23">
        <f>C_TFT!H18</f>
        <v>0</v>
      </c>
      <c r="I10" s="23">
        <f>C_TFT!I18</f>
        <v>0</v>
      </c>
      <c r="J10" s="23">
        <f>C_TFT!J18</f>
        <v>0</v>
      </c>
      <c r="K10" s="23">
        <f>C_TFT!K18</f>
        <v>0</v>
      </c>
      <c r="L10" s="23">
        <f>C_TFT!L18</f>
        <v>0</v>
      </c>
      <c r="M10" s="23">
        <f>C_TFT!M18</f>
        <v>0</v>
      </c>
      <c r="N10" s="23">
        <f>C_TFT!N18</f>
        <v>0</v>
      </c>
      <c r="O10" s="23">
        <f>C_TFT!O18</f>
        <v>0</v>
      </c>
      <c r="P10" s="23">
        <f>C_TFT!P18</f>
        <v>0</v>
      </c>
      <c r="Q10" s="23">
        <f>C_TFT!Q18</f>
        <v>0</v>
      </c>
      <c r="R10" s="23">
        <f>C_TFT!R18</f>
        <v>0</v>
      </c>
      <c r="S10" s="23">
        <f>C_TFT!S18</f>
        <v>2680785.6848315336</v>
      </c>
    </row>
    <row r="11" spans="3:19">
      <c r="C11" t="s">
        <v>100</v>
      </c>
      <c r="D11" s="23">
        <f>D10/(1+D_Assumptions!$N$24)^D1</f>
        <v>-701875</v>
      </c>
      <c r="E11" s="23">
        <f>E10/(1+D_Assumptions!$N$24)^E1</f>
        <v>0</v>
      </c>
      <c r="F11" s="23">
        <f>F10/(1+D_Assumptions!$N$24)^F1</f>
        <v>0</v>
      </c>
      <c r="G11" s="23">
        <f>G10/(1+D_Assumptions!$N$24)^G1</f>
        <v>0</v>
      </c>
      <c r="H11" s="23">
        <f>H10/(1+D_Assumptions!$N$24)^H1</f>
        <v>0</v>
      </c>
      <c r="I11" s="23">
        <f>I10/(1+D_Assumptions!$N$24)^I1</f>
        <v>0</v>
      </c>
      <c r="J11" s="23">
        <f>J10/(1+D_Assumptions!$N$24)^J1</f>
        <v>0</v>
      </c>
      <c r="K11" s="23">
        <f>K10/(1+D_Assumptions!$N$24)^K1</f>
        <v>0</v>
      </c>
      <c r="L11" s="23">
        <f>L10/(1+D_Assumptions!$N$24)^L1</f>
        <v>0</v>
      </c>
      <c r="M11" s="23">
        <f>M10/(1+D_Assumptions!$N$24)^M1</f>
        <v>0</v>
      </c>
      <c r="N11" s="23">
        <f>N10/(1+D_Assumptions!$N$24)^N1</f>
        <v>0</v>
      </c>
      <c r="O11" s="23">
        <f>O10/(1+D_Assumptions!$N$24)^O1</f>
        <v>0</v>
      </c>
      <c r="P11" s="23">
        <f>P10/(1+D_Assumptions!$N$24)^P1</f>
        <v>0</v>
      </c>
      <c r="Q11" s="23">
        <f>Q10/(1+D_Assumptions!$N$24)^Q1</f>
        <v>0</v>
      </c>
      <c r="R11" s="23">
        <f>R10/(1+D_Assumptions!$N$24)^R1</f>
        <v>0</v>
      </c>
      <c r="S11" s="23">
        <f>S10/(1+D_Assumptions!$N$24)^S1</f>
        <v>735977.65109389427</v>
      </c>
    </row>
    <row r="13" spans="3:19" ht="13">
      <c r="C13" s="26" t="s">
        <v>99</v>
      </c>
      <c r="D13" s="27">
        <f>SUM(D11:S11)</f>
        <v>34102.651093894267</v>
      </c>
    </row>
    <row r="15" spans="3:19" ht="13">
      <c r="C15" s="26" t="s">
        <v>101</v>
      </c>
      <c r="D15" s="44">
        <f>IRR(D10:S10)</f>
        <v>9.3453086503635596E-2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18B6-0DB7-4930-88B9-397D73AD93C4}">
  <sheetPr codeName="Feuil7">
    <tabColor theme="9"/>
  </sheetPr>
  <dimension ref="C2:AC29"/>
  <sheetViews>
    <sheetView topLeftCell="R1" zoomScale="85" zoomScaleNormal="85" workbookViewId="0">
      <selection activeCell="T5" sqref="T5:AC29"/>
    </sheetView>
  </sheetViews>
  <sheetFormatPr baseColWidth="10" defaultRowHeight="12.5"/>
  <cols>
    <col min="4" max="18" width="11.453125" bestFit="1" customWidth="1"/>
    <col min="19" max="19" width="12.453125" bestFit="1" customWidth="1"/>
  </cols>
  <sheetData>
    <row r="2" spans="3:29" ht="13">
      <c r="D2" s="48" t="s">
        <v>35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3:29" ht="13">
      <c r="D3" s="48" cm="1">
        <f t="array" ref="D3:S3">TRANSPOSE(_xlfn.SEQUENCE(D_Assumptions!$N$8+1,1,D_Assumptions!$G$8-1,1))</f>
        <v>2020</v>
      </c>
      <c r="E3" s="48">
        <v>2021</v>
      </c>
      <c r="F3" s="48">
        <v>2022</v>
      </c>
      <c r="G3" s="48">
        <v>2023</v>
      </c>
      <c r="H3" s="48">
        <v>2024</v>
      </c>
      <c r="I3" s="48">
        <v>2025</v>
      </c>
      <c r="J3" s="48">
        <v>2026</v>
      </c>
      <c r="K3" s="48">
        <v>2027</v>
      </c>
      <c r="L3" s="48">
        <v>2028</v>
      </c>
      <c r="M3" s="48">
        <v>2029</v>
      </c>
      <c r="N3" s="48">
        <v>2030</v>
      </c>
      <c r="O3" s="48">
        <v>2031</v>
      </c>
      <c r="P3" s="48">
        <v>2032</v>
      </c>
      <c r="Q3" s="48">
        <v>2033</v>
      </c>
      <c r="R3" s="48">
        <v>2034</v>
      </c>
      <c r="S3" s="48">
        <v>2035</v>
      </c>
    </row>
    <row r="4" spans="3:29">
      <c r="C4" t="s">
        <v>45</v>
      </c>
    </row>
    <row r="5" spans="3:29">
      <c r="C5" t="s">
        <v>38</v>
      </c>
      <c r="D5">
        <f>D_Assumptions!$N$20</f>
        <v>0</v>
      </c>
      <c r="E5" s="23">
        <f>D9</f>
        <v>2187500</v>
      </c>
      <c r="F5" s="23">
        <f>E9</f>
        <v>2269350</v>
      </c>
      <c r="G5" s="23">
        <f t="shared" ref="G5:S5" si="0">F9</f>
        <v>2355758.0999999996</v>
      </c>
      <c r="H5" s="23">
        <f t="shared" si="0"/>
        <v>2446979.0436</v>
      </c>
      <c r="I5" s="23">
        <f t="shared" si="0"/>
        <v>2543281.8298415998</v>
      </c>
      <c r="J5" s="23">
        <f t="shared" si="0"/>
        <v>2644950.5113087292</v>
      </c>
      <c r="K5" s="23">
        <f t="shared" si="0"/>
        <v>2752285.0369179389</v>
      </c>
      <c r="L5" s="23">
        <f t="shared" si="0"/>
        <v>2865602.1419007806</v>
      </c>
      <c r="M5" s="23">
        <f t="shared" si="0"/>
        <v>2985236.2876209719</v>
      </c>
      <c r="N5" s="23">
        <f t="shared" si="0"/>
        <v>3111540.6540169688</v>
      </c>
      <c r="O5" s="23">
        <f t="shared" si="0"/>
        <v>3244888.1876169257</v>
      </c>
      <c r="P5" s="23">
        <f t="shared" si="0"/>
        <v>3385672.70823798</v>
      </c>
      <c r="Q5" s="23">
        <f t="shared" si="0"/>
        <v>3534310.0776561038</v>
      </c>
      <c r="R5" s="23">
        <f t="shared" si="0"/>
        <v>3691239.4337167782</v>
      </c>
      <c r="S5" s="23">
        <f t="shared" si="0"/>
        <v>3856924.4935510899</v>
      </c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3:29">
      <c r="C6" s="24" t="s">
        <v>52</v>
      </c>
      <c r="D6" s="24">
        <f>-1*C_TFT!D8</f>
        <v>2000000</v>
      </c>
      <c r="E6" s="23">
        <f>-1*C_TFT!E8</f>
        <v>0</v>
      </c>
      <c r="F6" s="23">
        <f>-1*C_TFT!F8</f>
        <v>0</v>
      </c>
      <c r="G6" s="23">
        <f>-1*C_TFT!G8</f>
        <v>0</v>
      </c>
      <c r="H6" s="23">
        <f>-1*C_TFT!H8</f>
        <v>0</v>
      </c>
      <c r="I6" s="23">
        <f>-1*C_TFT!I8</f>
        <v>0</v>
      </c>
      <c r="J6" s="23">
        <f>-1*C_TFT!J8</f>
        <v>0</v>
      </c>
      <c r="K6" s="23">
        <f>-1*C_TFT!K8</f>
        <v>0</v>
      </c>
      <c r="L6" s="23">
        <f>-1*C_TFT!L8</f>
        <v>0</v>
      </c>
      <c r="M6" s="23">
        <f>-1*C_TFT!M8</f>
        <v>0</v>
      </c>
      <c r="N6" s="23">
        <f>-1*C_TFT!N8</f>
        <v>0</v>
      </c>
      <c r="O6" s="23">
        <f>-1*C_TFT!O8</f>
        <v>0</v>
      </c>
      <c r="P6" s="23">
        <f>-1*C_TFT!P8</f>
        <v>0</v>
      </c>
      <c r="Q6" s="23">
        <f>-1*C_TFT!Q8</f>
        <v>0</v>
      </c>
      <c r="R6" s="23">
        <f>-1*C_TFT!R8</f>
        <v>0</v>
      </c>
      <c r="S6" s="23">
        <f>-1*C_TFT!S8</f>
        <v>0</v>
      </c>
      <c r="T6" s="23"/>
      <c r="U6" s="23"/>
      <c r="V6" s="23"/>
      <c r="W6" s="23"/>
      <c r="X6" s="23"/>
      <c r="Y6" s="23"/>
      <c r="Z6" s="23"/>
      <c r="AA6" s="23"/>
      <c r="AB6" s="23"/>
      <c r="AC6" s="23"/>
    </row>
    <row r="7" spans="3:29">
      <c r="C7" s="24" t="s">
        <v>89</v>
      </c>
      <c r="D7" s="36">
        <f>(C_Property_Valuation!D10-SUM(D5:D6))*(D3&lt;&gt;D_Assumptions!$N$9)</f>
        <v>187500</v>
      </c>
      <c r="E7" s="36">
        <f>(C_Property_Valuation!E10-SUM(E5:E6))*(E3&lt;&gt;D_Assumptions!$N$9)</f>
        <v>81850</v>
      </c>
      <c r="F7" s="36">
        <f>(C_Property_Valuation!F10-SUM(F5:F6))*(F3&lt;&gt;D_Assumptions!$N$9)</f>
        <v>86408.099999999627</v>
      </c>
      <c r="G7" s="36">
        <f>(C_Property_Valuation!G10-SUM(G5:G6))*(G3&lt;&gt;D_Assumptions!$N$9)</f>
        <v>91220.943600000348</v>
      </c>
      <c r="H7" s="36">
        <f>(C_Property_Valuation!H10-SUM(H5:H6))*(H3&lt;&gt;D_Assumptions!$N$9)</f>
        <v>96302.786241599824</v>
      </c>
      <c r="I7" s="36">
        <f>(C_Property_Valuation!I10-SUM(I5:I6))*(I3&lt;&gt;D_Assumptions!$N$9)</f>
        <v>101668.68146712938</v>
      </c>
      <c r="J7" s="36">
        <f>(C_Property_Valuation!J10-SUM(J5:J6))*(J3&lt;&gt;D_Assumptions!$N$9)</f>
        <v>107334.52560920967</v>
      </c>
      <c r="K7" s="36">
        <f>(C_Property_Valuation!K10-SUM(K5:K6))*(K3&lt;&gt;D_Assumptions!$N$9)</f>
        <v>113317.10498284176</v>
      </c>
      <c r="L7" s="36">
        <f>(C_Property_Valuation!L10-SUM(L5:L6))*(L3&lt;&gt;D_Assumptions!$N$9)</f>
        <v>119634.1457201913</v>
      </c>
      <c r="M7" s="36">
        <f>(C_Property_Valuation!M10-SUM(M5:M6))*(M3&lt;&gt;D_Assumptions!$N$9)</f>
        <v>126304.36639599688</v>
      </c>
      <c r="N7" s="36">
        <f>(C_Property_Valuation!N10-SUM(N5:N6))*(N3&lt;&gt;D_Assumptions!$N$9)</f>
        <v>133347.53359995689</v>
      </c>
      <c r="O7" s="36">
        <f>(C_Property_Valuation!O10-SUM(O5:O6))*(O3&lt;&gt;D_Assumptions!$N$9)</f>
        <v>140784.52062105434</v>
      </c>
      <c r="P7" s="36">
        <f>(C_Property_Valuation!P10-SUM(P5:P6))*(P3&lt;&gt;D_Assumptions!$N$9)</f>
        <v>148637.36941812374</v>
      </c>
      <c r="Q7" s="36">
        <f>(C_Property_Valuation!Q10-SUM(Q5:Q6))*(Q3&lt;&gt;D_Assumptions!$N$9)</f>
        <v>156929.35606067441</v>
      </c>
      <c r="R7" s="36">
        <f>(C_Property_Valuation!R10-SUM(R5:R6))*(R3&lt;&gt;D_Assumptions!$N$9)</f>
        <v>165685.05983431172</v>
      </c>
      <c r="S7" s="36">
        <f>(C_Property_Valuation!S10-SUM(S5:S6))*(S3&lt;&gt;D_Assumptions!$N$9)</f>
        <v>0</v>
      </c>
      <c r="T7" s="36"/>
      <c r="U7" s="36"/>
      <c r="V7" s="36"/>
      <c r="W7" s="36"/>
      <c r="X7" s="36"/>
      <c r="Y7" s="36"/>
      <c r="Z7" s="36"/>
      <c r="AA7" s="36"/>
      <c r="AB7" s="36"/>
      <c r="AC7" s="36"/>
    </row>
    <row r="8" spans="3:29">
      <c r="C8" s="24" t="s">
        <v>92</v>
      </c>
      <c r="D8" s="36">
        <f>-1*C_TFT!D9</f>
        <v>0</v>
      </c>
      <c r="E8" s="36">
        <f>-1*C_TFT!E9</f>
        <v>0</v>
      </c>
      <c r="F8" s="36">
        <f>-1*C_TFT!F9</f>
        <v>0</v>
      </c>
      <c r="G8" s="36">
        <f>-1*C_TFT!G9</f>
        <v>0</v>
      </c>
      <c r="H8" s="36">
        <f>-1*C_TFT!H9</f>
        <v>0</v>
      </c>
      <c r="I8" s="36">
        <f>-1*C_TFT!I9</f>
        <v>0</v>
      </c>
      <c r="J8" s="36">
        <f>-1*C_TFT!J9</f>
        <v>0</v>
      </c>
      <c r="K8" s="36">
        <f>-1*C_TFT!K9</f>
        <v>0</v>
      </c>
      <c r="L8" s="36">
        <f>-1*C_TFT!L9</f>
        <v>0</v>
      </c>
      <c r="M8" s="36">
        <f>-1*C_TFT!M9</f>
        <v>0</v>
      </c>
      <c r="N8" s="36">
        <f>-1*C_TFT!N9</f>
        <v>0</v>
      </c>
      <c r="O8" s="36">
        <f>-1*C_TFT!O9</f>
        <v>0</v>
      </c>
      <c r="P8" s="36">
        <f>-1*C_TFT!P9</f>
        <v>0</v>
      </c>
      <c r="Q8" s="36">
        <f>-1*C_TFT!Q9</f>
        <v>0</v>
      </c>
      <c r="R8" s="36">
        <f>-1*C_TFT!R9</f>
        <v>0</v>
      </c>
      <c r="S8" s="36">
        <f>-1*C_TFT!S9</f>
        <v>-3856924.4935510899</v>
      </c>
      <c r="T8" s="36"/>
      <c r="U8" s="36"/>
      <c r="V8" s="36"/>
      <c r="W8" s="36"/>
      <c r="X8" s="36"/>
      <c r="Y8" s="36"/>
      <c r="Z8" s="36"/>
      <c r="AA8" s="36"/>
      <c r="AB8" s="36"/>
      <c r="AC8" s="36"/>
    </row>
    <row r="9" spans="3:29">
      <c r="C9" t="s">
        <v>39</v>
      </c>
      <c r="D9" s="23">
        <f>SUM(D5:D8)</f>
        <v>2187500</v>
      </c>
      <c r="E9" s="23">
        <f t="shared" ref="E9:S9" si="1">SUM(E5:E8)</f>
        <v>2269350</v>
      </c>
      <c r="F9" s="23">
        <f t="shared" si="1"/>
        <v>2355758.0999999996</v>
      </c>
      <c r="G9" s="23">
        <f t="shared" si="1"/>
        <v>2446979.0436</v>
      </c>
      <c r="H9" s="23">
        <f t="shared" si="1"/>
        <v>2543281.8298415998</v>
      </c>
      <c r="I9" s="23">
        <f t="shared" si="1"/>
        <v>2644950.5113087292</v>
      </c>
      <c r="J9" s="23">
        <f t="shared" si="1"/>
        <v>2752285.0369179389</v>
      </c>
      <c r="K9" s="23">
        <f t="shared" si="1"/>
        <v>2865602.1419007806</v>
      </c>
      <c r="L9" s="23">
        <f t="shared" si="1"/>
        <v>2985236.2876209719</v>
      </c>
      <c r="M9" s="23">
        <f t="shared" si="1"/>
        <v>3111540.6540169688</v>
      </c>
      <c r="N9" s="23">
        <f t="shared" si="1"/>
        <v>3244888.1876169257</v>
      </c>
      <c r="O9" s="23">
        <f t="shared" si="1"/>
        <v>3385672.70823798</v>
      </c>
      <c r="P9" s="23">
        <f t="shared" si="1"/>
        <v>3534310.0776561038</v>
      </c>
      <c r="Q9" s="23">
        <f t="shared" si="1"/>
        <v>3691239.4337167782</v>
      </c>
      <c r="R9" s="23">
        <f t="shared" si="1"/>
        <v>3856924.4935510899</v>
      </c>
      <c r="S9" s="23">
        <f t="shared" si="1"/>
        <v>0</v>
      </c>
      <c r="T9" s="23"/>
      <c r="U9" s="23"/>
      <c r="V9" s="23"/>
      <c r="W9" s="23"/>
      <c r="X9" s="23"/>
      <c r="Y9" s="23"/>
      <c r="Z9" s="23"/>
      <c r="AA9" s="23"/>
      <c r="AB9" s="23"/>
      <c r="AC9" s="23"/>
    </row>
    <row r="11" spans="3:29">
      <c r="C11" t="s">
        <v>36</v>
      </c>
    </row>
    <row r="12" spans="3:29">
      <c r="C12" t="s">
        <v>38</v>
      </c>
      <c r="D12" s="23">
        <f>D_Assumptions!$N$19</f>
        <v>0</v>
      </c>
      <c r="E12" s="23">
        <f>D14</f>
        <v>0</v>
      </c>
      <c r="F12" s="23">
        <f>E14</f>
        <v>0</v>
      </c>
      <c r="G12" s="23">
        <f t="shared" ref="G12:S12" si="2">F14</f>
        <v>0</v>
      </c>
      <c r="H12" s="23">
        <f t="shared" si="2"/>
        <v>0</v>
      </c>
      <c r="I12" s="23">
        <f t="shared" si="2"/>
        <v>0</v>
      </c>
      <c r="J12" s="23">
        <f t="shared" si="2"/>
        <v>0</v>
      </c>
      <c r="K12" s="23">
        <f t="shared" si="2"/>
        <v>0</v>
      </c>
      <c r="L12" s="23">
        <f t="shared" si="2"/>
        <v>0</v>
      </c>
      <c r="M12" s="23">
        <f t="shared" si="2"/>
        <v>0</v>
      </c>
      <c r="N12" s="23">
        <f t="shared" si="2"/>
        <v>0</v>
      </c>
      <c r="O12" s="23">
        <f t="shared" si="2"/>
        <v>0</v>
      </c>
      <c r="P12" s="23">
        <f t="shared" si="2"/>
        <v>0</v>
      </c>
      <c r="Q12" s="23">
        <f t="shared" si="2"/>
        <v>0</v>
      </c>
      <c r="R12" s="23">
        <f t="shared" si="2"/>
        <v>0</v>
      </c>
      <c r="S12" s="23">
        <f t="shared" si="2"/>
        <v>0</v>
      </c>
      <c r="T12" s="23"/>
      <c r="U12" s="23"/>
      <c r="V12" s="23"/>
      <c r="W12" s="23"/>
      <c r="X12" s="23"/>
      <c r="Y12" s="23"/>
      <c r="Z12" s="23"/>
      <c r="AA12" s="23"/>
      <c r="AB12" s="23"/>
      <c r="AC12" s="23"/>
    </row>
    <row r="13" spans="3:29">
      <c r="C13" s="24" t="s">
        <v>46</v>
      </c>
      <c r="D13" s="23">
        <f>C_TFT!D16</f>
        <v>0</v>
      </c>
      <c r="E13" s="23">
        <f>C_TFT!E16</f>
        <v>0</v>
      </c>
      <c r="F13" s="23">
        <f>C_TFT!F16</f>
        <v>0</v>
      </c>
      <c r="G13" s="23">
        <f>C_TFT!G16</f>
        <v>0</v>
      </c>
      <c r="H13" s="23">
        <f>C_TFT!H16</f>
        <v>0</v>
      </c>
      <c r="I13" s="23">
        <f>C_TFT!I16</f>
        <v>0</v>
      </c>
      <c r="J13" s="23">
        <f>C_TFT!J16</f>
        <v>0</v>
      </c>
      <c r="K13" s="23">
        <f>C_TFT!K16</f>
        <v>0</v>
      </c>
      <c r="L13" s="23">
        <f>C_TFT!L16</f>
        <v>0</v>
      </c>
      <c r="M13" s="23">
        <f>C_TFT!M16</f>
        <v>0</v>
      </c>
      <c r="N13" s="23">
        <f>C_TFT!N16</f>
        <v>0</v>
      </c>
      <c r="O13" s="23">
        <f>C_TFT!O16</f>
        <v>0</v>
      </c>
      <c r="P13" s="23">
        <f>C_TFT!P16</f>
        <v>0</v>
      </c>
      <c r="Q13" s="23">
        <f>C_TFT!Q16</f>
        <v>0</v>
      </c>
      <c r="R13" s="23">
        <f>C_TFT!R16</f>
        <v>0</v>
      </c>
      <c r="S13" s="23">
        <f>C_TFT!S16</f>
        <v>2680785.6848315336</v>
      </c>
      <c r="T13" s="23"/>
      <c r="U13" s="23"/>
      <c r="V13" s="23"/>
      <c r="W13" s="23"/>
      <c r="X13" s="23"/>
      <c r="Y13" s="23"/>
      <c r="Z13" s="23"/>
      <c r="AA13" s="23"/>
      <c r="AB13" s="23"/>
      <c r="AC13" s="23"/>
    </row>
    <row r="14" spans="3:29">
      <c r="C14" t="s">
        <v>39</v>
      </c>
      <c r="D14" s="23">
        <f>D12+D13</f>
        <v>0</v>
      </c>
      <c r="E14" s="23">
        <f>SUM(E12:E13)</f>
        <v>0</v>
      </c>
      <c r="F14" s="23">
        <f>SUM(F12:F13)</f>
        <v>0</v>
      </c>
      <c r="G14" s="23">
        <f t="shared" ref="G14:S14" si="3">SUM(G12:G13)</f>
        <v>0</v>
      </c>
      <c r="H14" s="23">
        <f t="shared" si="3"/>
        <v>0</v>
      </c>
      <c r="I14" s="23">
        <f t="shared" si="3"/>
        <v>0</v>
      </c>
      <c r="J14" s="23">
        <f t="shared" si="3"/>
        <v>0</v>
      </c>
      <c r="K14" s="23">
        <f t="shared" si="3"/>
        <v>0</v>
      </c>
      <c r="L14" s="23">
        <f t="shared" si="3"/>
        <v>0</v>
      </c>
      <c r="M14" s="23">
        <f t="shared" si="3"/>
        <v>0</v>
      </c>
      <c r="N14" s="23">
        <f t="shared" si="3"/>
        <v>0</v>
      </c>
      <c r="O14" s="23">
        <f t="shared" si="3"/>
        <v>0</v>
      </c>
      <c r="P14" s="23">
        <f t="shared" si="3"/>
        <v>0</v>
      </c>
      <c r="Q14" s="23">
        <f t="shared" si="3"/>
        <v>0</v>
      </c>
      <c r="R14" s="23">
        <f t="shared" si="3"/>
        <v>0</v>
      </c>
      <c r="S14" s="23">
        <f t="shared" si="3"/>
        <v>2680785.6848315336</v>
      </c>
      <c r="T14" s="23"/>
      <c r="U14" s="23"/>
      <c r="V14" s="23"/>
      <c r="W14" s="23"/>
      <c r="X14" s="23"/>
      <c r="Y14" s="23"/>
      <c r="Z14" s="23"/>
      <c r="AA14" s="23"/>
      <c r="AB14" s="23"/>
      <c r="AC14" s="23"/>
    </row>
    <row r="16" spans="3:29">
      <c r="C16" t="s">
        <v>37</v>
      </c>
    </row>
    <row r="17" spans="3:29">
      <c r="C17" t="s">
        <v>38</v>
      </c>
      <c r="D17" s="23">
        <f>D_Assumptions!$N$22</f>
        <v>0</v>
      </c>
      <c r="E17" s="23">
        <f>D21</f>
        <v>875000</v>
      </c>
      <c r="F17" s="23">
        <f>E21</f>
        <v>956850</v>
      </c>
      <c r="G17" s="23">
        <f t="shared" ref="G17:S17" si="4">F21</f>
        <v>1043258.0999999996</v>
      </c>
      <c r="H17" s="23">
        <f t="shared" si="4"/>
        <v>1134479.0436</v>
      </c>
      <c r="I17" s="23">
        <f t="shared" si="4"/>
        <v>1230781.8298415998</v>
      </c>
      <c r="J17" s="23">
        <f t="shared" si="4"/>
        <v>1332450.5113087292</v>
      </c>
      <c r="K17" s="23">
        <f t="shared" si="4"/>
        <v>1439785.0369179389</v>
      </c>
      <c r="L17" s="23">
        <f t="shared" si="4"/>
        <v>1553102.1419007806</v>
      </c>
      <c r="M17" s="23">
        <f t="shared" si="4"/>
        <v>1672736.2876209719</v>
      </c>
      <c r="N17" s="23">
        <f t="shared" si="4"/>
        <v>1799040.6540169688</v>
      </c>
      <c r="O17" s="23">
        <f t="shared" si="4"/>
        <v>1932388.1876169257</v>
      </c>
      <c r="P17" s="23">
        <f t="shared" si="4"/>
        <v>2073172.70823798</v>
      </c>
      <c r="Q17" s="23">
        <f t="shared" si="4"/>
        <v>2221810.0776561038</v>
      </c>
      <c r="R17" s="23">
        <f t="shared" si="4"/>
        <v>2378739.4337167782</v>
      </c>
      <c r="S17" s="23">
        <f t="shared" si="4"/>
        <v>2544424.4935510899</v>
      </c>
      <c r="T17" s="23"/>
      <c r="U17" s="23"/>
      <c r="V17" s="23"/>
      <c r="W17" s="23"/>
      <c r="X17" s="23"/>
      <c r="Y17" s="23"/>
      <c r="Z17" s="23"/>
      <c r="AA17" s="23"/>
      <c r="AB17" s="23"/>
      <c r="AC17" s="23"/>
    </row>
    <row r="18" spans="3:29">
      <c r="C18" s="24" t="s">
        <v>90</v>
      </c>
      <c r="D18" s="23">
        <f>C_TFT!D11</f>
        <v>701875</v>
      </c>
      <c r="E18" s="23">
        <f>C_TFT!E11</f>
        <v>0</v>
      </c>
      <c r="F18" s="23">
        <f>C_TFT!F11</f>
        <v>0</v>
      </c>
      <c r="G18" s="23">
        <f>C_TFT!G11</f>
        <v>0</v>
      </c>
      <c r="H18" s="23">
        <f>C_TFT!H11</f>
        <v>0</v>
      </c>
      <c r="I18" s="23">
        <f>C_TFT!I11</f>
        <v>0</v>
      </c>
      <c r="J18" s="23">
        <f>C_TFT!J11</f>
        <v>0</v>
      </c>
      <c r="K18" s="23">
        <f>C_TFT!K11</f>
        <v>0</v>
      </c>
      <c r="L18" s="23">
        <f>C_TFT!L11</f>
        <v>0</v>
      </c>
      <c r="M18" s="23">
        <f>C_TFT!M11</f>
        <v>0</v>
      </c>
      <c r="N18" s="23">
        <f>C_TFT!N11</f>
        <v>0</v>
      </c>
      <c r="O18" s="23">
        <f>C_TFT!O11</f>
        <v>0</v>
      </c>
      <c r="P18" s="23">
        <f>C_TFT!P11</f>
        <v>0</v>
      </c>
      <c r="Q18" s="23">
        <f>C_TFT!Q11</f>
        <v>0</v>
      </c>
      <c r="R18" s="23">
        <f>C_TFT!R11</f>
        <v>0</v>
      </c>
      <c r="S18" s="23">
        <f>C_TFT!S11</f>
        <v>0</v>
      </c>
      <c r="T18" s="23"/>
      <c r="U18" s="23"/>
      <c r="V18" s="23"/>
      <c r="W18" s="23"/>
      <c r="X18" s="23"/>
      <c r="Y18" s="23"/>
      <c r="Z18" s="23"/>
      <c r="AA18" s="23"/>
      <c r="AB18" s="23"/>
      <c r="AC18" s="23"/>
    </row>
    <row r="19" spans="3:29">
      <c r="C19" s="24" t="s">
        <v>47</v>
      </c>
      <c r="D19" s="23">
        <f>C_CdR!D18</f>
        <v>173125</v>
      </c>
      <c r="E19" s="23">
        <f>C_CdR!E18</f>
        <v>81850</v>
      </c>
      <c r="F19" s="23">
        <f>C_CdR!F18</f>
        <v>86408.099999999627</v>
      </c>
      <c r="G19" s="23">
        <f>C_CdR!G18</f>
        <v>91220.943600000362</v>
      </c>
      <c r="H19" s="23">
        <f>C_CdR!H18</f>
        <v>96302.786241599824</v>
      </c>
      <c r="I19" s="23">
        <f>C_CdR!I18</f>
        <v>101668.68146712938</v>
      </c>
      <c r="J19" s="23">
        <f>C_CdR!J18</f>
        <v>107334.52560920967</v>
      </c>
      <c r="K19" s="23">
        <f>C_CdR!K18</f>
        <v>113317.10498284176</v>
      </c>
      <c r="L19" s="23">
        <f>C_CdR!L18</f>
        <v>119634.14572019133</v>
      </c>
      <c r="M19" s="23">
        <f>C_CdR!M18</f>
        <v>126304.36639599685</v>
      </c>
      <c r="N19" s="23">
        <f>C_CdR!N18</f>
        <v>133347.53359995686</v>
      </c>
      <c r="O19" s="23">
        <f>C_CdR!O18</f>
        <v>140784.52062105434</v>
      </c>
      <c r="P19" s="23">
        <f>C_CdR!P18</f>
        <v>148637.36941812374</v>
      </c>
      <c r="Q19" s="23">
        <f>C_CdR!Q18</f>
        <v>156929.35606067438</v>
      </c>
      <c r="R19" s="23">
        <f>C_CdR!R18</f>
        <v>165685.05983431172</v>
      </c>
      <c r="S19" s="23">
        <f>C_CdR!S18</f>
        <v>136361.19128044369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</row>
    <row r="20" spans="3:29">
      <c r="C20" s="24" t="s">
        <v>48</v>
      </c>
      <c r="D20" s="36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</row>
    <row r="21" spans="3:29">
      <c r="C21" t="s">
        <v>39</v>
      </c>
      <c r="D21" s="23">
        <f>SUM(D17:D20)</f>
        <v>875000</v>
      </c>
      <c r="E21" s="23">
        <f>SUM(E17:E20)</f>
        <v>956850</v>
      </c>
      <c r="F21" s="23">
        <f>SUM(F17:F20)</f>
        <v>1043258.0999999996</v>
      </c>
      <c r="G21" s="23">
        <f t="shared" ref="G21:S21" si="5">SUM(G17:G20)</f>
        <v>1134479.0436</v>
      </c>
      <c r="H21" s="23">
        <f t="shared" si="5"/>
        <v>1230781.8298415998</v>
      </c>
      <c r="I21" s="23">
        <f t="shared" si="5"/>
        <v>1332450.5113087292</v>
      </c>
      <c r="J21" s="23">
        <f t="shared" si="5"/>
        <v>1439785.0369179389</v>
      </c>
      <c r="K21" s="23">
        <f t="shared" si="5"/>
        <v>1553102.1419007806</v>
      </c>
      <c r="L21" s="23">
        <f t="shared" si="5"/>
        <v>1672736.2876209719</v>
      </c>
      <c r="M21" s="23">
        <f t="shared" si="5"/>
        <v>1799040.6540169688</v>
      </c>
      <c r="N21" s="23">
        <f t="shared" si="5"/>
        <v>1932388.1876169257</v>
      </c>
      <c r="O21" s="23">
        <f t="shared" si="5"/>
        <v>2073172.70823798</v>
      </c>
      <c r="P21" s="23">
        <f t="shared" si="5"/>
        <v>2221810.0776561038</v>
      </c>
      <c r="Q21" s="23">
        <f t="shared" si="5"/>
        <v>2378739.4337167782</v>
      </c>
      <c r="R21" s="23">
        <f t="shared" si="5"/>
        <v>2544424.4935510899</v>
      </c>
      <c r="S21" s="23">
        <f t="shared" si="5"/>
        <v>2680785.6848315336</v>
      </c>
      <c r="T21" s="23"/>
      <c r="U21" s="23"/>
      <c r="V21" s="23"/>
      <c r="W21" s="23"/>
      <c r="X21" s="23"/>
      <c r="Y21" s="23"/>
      <c r="Z21" s="23"/>
      <c r="AA21" s="23"/>
      <c r="AB21" s="23"/>
      <c r="AC21" s="23"/>
    </row>
    <row r="23" spans="3:29">
      <c r="C23" t="s">
        <v>49</v>
      </c>
    </row>
    <row r="24" spans="3:29">
      <c r="C24" t="s">
        <v>38</v>
      </c>
      <c r="D24" s="23">
        <f>D_Assumptions!$N$21</f>
        <v>0</v>
      </c>
      <c r="E24" s="23">
        <f>D27</f>
        <v>1312500</v>
      </c>
      <c r="F24" s="23">
        <f>E27</f>
        <v>1312500</v>
      </c>
      <c r="G24" s="23">
        <f t="shared" ref="G24:S24" si="6">F27</f>
        <v>1312500</v>
      </c>
      <c r="H24" s="23">
        <f t="shared" si="6"/>
        <v>1312500</v>
      </c>
      <c r="I24" s="23">
        <f t="shared" si="6"/>
        <v>1312500</v>
      </c>
      <c r="J24" s="23">
        <f t="shared" si="6"/>
        <v>1312500</v>
      </c>
      <c r="K24" s="23">
        <f t="shared" si="6"/>
        <v>1312500</v>
      </c>
      <c r="L24" s="23">
        <f t="shared" si="6"/>
        <v>1312500</v>
      </c>
      <c r="M24" s="23">
        <f t="shared" si="6"/>
        <v>1312500</v>
      </c>
      <c r="N24" s="23">
        <f t="shared" si="6"/>
        <v>1312500</v>
      </c>
      <c r="O24" s="23">
        <f t="shared" si="6"/>
        <v>1312500</v>
      </c>
      <c r="P24" s="23">
        <f t="shared" si="6"/>
        <v>1312500</v>
      </c>
      <c r="Q24" s="23">
        <f t="shared" si="6"/>
        <v>1312500</v>
      </c>
      <c r="R24" s="23">
        <f t="shared" si="6"/>
        <v>1312500</v>
      </c>
      <c r="S24" s="23">
        <f t="shared" si="6"/>
        <v>1312500</v>
      </c>
      <c r="T24" s="23"/>
      <c r="U24" s="23"/>
      <c r="V24" s="23"/>
      <c r="W24" s="23"/>
      <c r="X24" s="23"/>
      <c r="Y24" s="23"/>
      <c r="Z24" s="23"/>
      <c r="AA24" s="23"/>
      <c r="AB24" s="23"/>
      <c r="AC24" s="23"/>
    </row>
    <row r="25" spans="3:29">
      <c r="C25" s="24" t="s">
        <v>91</v>
      </c>
      <c r="D25" s="23">
        <f>C_TFT!D12</f>
        <v>1312500</v>
      </c>
      <c r="E25" s="23">
        <f>C_TFT!E12</f>
        <v>0</v>
      </c>
      <c r="F25" s="23">
        <f>C_TFT!F12</f>
        <v>0</v>
      </c>
      <c r="G25" s="23">
        <f>C_TFT!G12</f>
        <v>0</v>
      </c>
      <c r="H25" s="23">
        <f>C_TFT!H12</f>
        <v>0</v>
      </c>
      <c r="I25" s="23">
        <f>C_TFT!I12</f>
        <v>0</v>
      </c>
      <c r="J25" s="23">
        <f>C_TFT!J12</f>
        <v>0</v>
      </c>
      <c r="K25" s="23">
        <f>C_TFT!K12</f>
        <v>0</v>
      </c>
      <c r="L25" s="23">
        <f>C_TFT!L12</f>
        <v>0</v>
      </c>
      <c r="M25" s="23">
        <f>C_TFT!M12</f>
        <v>0</v>
      </c>
      <c r="N25" s="23">
        <f>C_TFT!N12</f>
        <v>0</v>
      </c>
      <c r="O25" s="23">
        <f>C_TFT!O12</f>
        <v>0</v>
      </c>
      <c r="P25" s="23">
        <f>C_TFT!P12</f>
        <v>0</v>
      </c>
      <c r="Q25" s="23">
        <f>C_TFT!Q12</f>
        <v>0</v>
      </c>
      <c r="R25" s="23">
        <f>C_TFT!R12</f>
        <v>0</v>
      </c>
      <c r="S25" s="23">
        <f>C_TFT!S12</f>
        <v>0</v>
      </c>
      <c r="T25" s="23"/>
      <c r="U25" s="23"/>
      <c r="V25" s="23"/>
      <c r="W25" s="23"/>
      <c r="X25" s="23"/>
      <c r="Y25" s="23"/>
      <c r="Z25" s="23"/>
      <c r="AA25" s="23"/>
      <c r="AB25" s="23"/>
      <c r="AC25" s="23"/>
    </row>
    <row r="26" spans="3:29">
      <c r="C26" s="24" t="s">
        <v>50</v>
      </c>
      <c r="D26" s="36">
        <f>C_TFT!D13</f>
        <v>0</v>
      </c>
      <c r="E26" s="36">
        <f>C_TFT!E13</f>
        <v>0</v>
      </c>
      <c r="F26" s="36">
        <f>C_TFT!F13</f>
        <v>0</v>
      </c>
      <c r="G26" s="36">
        <f>C_TFT!G13</f>
        <v>0</v>
      </c>
      <c r="H26" s="36">
        <f>C_TFT!H13</f>
        <v>0</v>
      </c>
      <c r="I26" s="36">
        <f>C_TFT!I13</f>
        <v>0</v>
      </c>
      <c r="J26" s="36">
        <f>C_TFT!J13</f>
        <v>0</v>
      </c>
      <c r="K26" s="36">
        <f>C_TFT!K13</f>
        <v>0</v>
      </c>
      <c r="L26" s="36">
        <f>C_TFT!L13</f>
        <v>0</v>
      </c>
      <c r="M26" s="36">
        <f>C_TFT!M13</f>
        <v>0</v>
      </c>
      <c r="N26" s="36">
        <f>C_TFT!N13</f>
        <v>0</v>
      </c>
      <c r="O26" s="36">
        <f>C_TFT!O13</f>
        <v>0</v>
      </c>
      <c r="P26" s="36">
        <f>C_TFT!P13</f>
        <v>0</v>
      </c>
      <c r="Q26" s="36">
        <f>C_TFT!Q13</f>
        <v>0</v>
      </c>
      <c r="R26" s="36">
        <f>C_TFT!R13</f>
        <v>0</v>
      </c>
      <c r="S26" s="36">
        <f>C_TFT!S13</f>
        <v>-1312500</v>
      </c>
      <c r="T26" s="36"/>
      <c r="U26" s="36"/>
      <c r="V26" s="36"/>
      <c r="W26" s="36"/>
      <c r="X26" s="36"/>
      <c r="Y26" s="36"/>
      <c r="Z26" s="36"/>
      <c r="AA26" s="36"/>
      <c r="AB26" s="36"/>
      <c r="AC26" s="36"/>
    </row>
    <row r="27" spans="3:29">
      <c r="C27" t="s">
        <v>39</v>
      </c>
      <c r="D27" s="23">
        <f>SUM(D24:D26)</f>
        <v>1312500</v>
      </c>
      <c r="E27" s="23">
        <f>SUM(E24:E26)</f>
        <v>1312500</v>
      </c>
      <c r="F27" s="23">
        <f>SUM(F24:F26)</f>
        <v>1312500</v>
      </c>
      <c r="G27" s="23">
        <f t="shared" ref="G27:S27" si="7">SUM(G24:G26)</f>
        <v>1312500</v>
      </c>
      <c r="H27" s="23">
        <f t="shared" si="7"/>
        <v>1312500</v>
      </c>
      <c r="I27" s="23">
        <f t="shared" si="7"/>
        <v>1312500</v>
      </c>
      <c r="J27" s="23">
        <f t="shared" si="7"/>
        <v>1312500</v>
      </c>
      <c r="K27" s="23">
        <f t="shared" si="7"/>
        <v>1312500</v>
      </c>
      <c r="L27" s="23">
        <f t="shared" si="7"/>
        <v>1312500</v>
      </c>
      <c r="M27" s="23">
        <f t="shared" si="7"/>
        <v>1312500</v>
      </c>
      <c r="N27" s="23">
        <f t="shared" si="7"/>
        <v>1312500</v>
      </c>
      <c r="O27" s="23">
        <f t="shared" si="7"/>
        <v>1312500</v>
      </c>
      <c r="P27" s="23">
        <f t="shared" si="7"/>
        <v>1312500</v>
      </c>
      <c r="Q27" s="23">
        <f t="shared" si="7"/>
        <v>1312500</v>
      </c>
      <c r="R27" s="23">
        <f t="shared" si="7"/>
        <v>1312500</v>
      </c>
      <c r="S27" s="23">
        <f t="shared" si="7"/>
        <v>0</v>
      </c>
      <c r="T27" s="23"/>
      <c r="U27" s="23"/>
      <c r="V27" s="23"/>
      <c r="W27" s="23"/>
      <c r="X27" s="23"/>
      <c r="Y27" s="23"/>
      <c r="Z27" s="23"/>
      <c r="AA27" s="23"/>
      <c r="AB27" s="23"/>
      <c r="AC27" s="23"/>
    </row>
    <row r="29" spans="3:29">
      <c r="C29" t="s">
        <v>51</v>
      </c>
      <c r="D29" s="23">
        <f>D9+D14-D21-D27</f>
        <v>0</v>
      </c>
      <c r="E29" s="23">
        <f>E9+E14-E21-E27</f>
        <v>0</v>
      </c>
      <c r="F29" s="23">
        <f t="shared" ref="F29:S29" si="8">F9+F14-F21-F27</f>
        <v>0</v>
      </c>
      <c r="G29" s="23">
        <f t="shared" si="8"/>
        <v>0</v>
      </c>
      <c r="H29" s="23">
        <f t="shared" si="8"/>
        <v>0</v>
      </c>
      <c r="I29" s="23">
        <f t="shared" si="8"/>
        <v>0</v>
      </c>
      <c r="J29" s="23">
        <f t="shared" si="8"/>
        <v>0</v>
      </c>
      <c r="K29" s="23">
        <f t="shared" si="8"/>
        <v>0</v>
      </c>
      <c r="L29" s="23">
        <f t="shared" si="8"/>
        <v>0</v>
      </c>
      <c r="M29" s="23">
        <f t="shared" si="8"/>
        <v>0</v>
      </c>
      <c r="N29" s="23">
        <f t="shared" si="8"/>
        <v>0</v>
      </c>
      <c r="O29" s="23">
        <f t="shared" si="8"/>
        <v>0</v>
      </c>
      <c r="P29" s="23">
        <f t="shared" si="8"/>
        <v>0</v>
      </c>
      <c r="Q29" s="23">
        <f t="shared" si="8"/>
        <v>0</v>
      </c>
      <c r="R29" s="23">
        <f t="shared" si="8"/>
        <v>0</v>
      </c>
      <c r="S29" s="23">
        <f t="shared" si="8"/>
        <v>0</v>
      </c>
      <c r="T29" s="23"/>
      <c r="U29" s="23"/>
      <c r="V29" s="23"/>
      <c r="W29" s="23"/>
      <c r="X29" s="23"/>
      <c r="Y29" s="23"/>
      <c r="Z29" s="23"/>
      <c r="AA29" s="23"/>
      <c r="AB29" s="23"/>
      <c r="AC29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4E5CC-63E2-431D-ADD5-FD1954F9920B}">
  <sheetPr codeName="Feuil4">
    <tabColor theme="9"/>
  </sheetPr>
  <dimension ref="C1:AC20"/>
  <sheetViews>
    <sheetView workbookViewId="0">
      <selection activeCell="AC4" sqref="T4:AC18"/>
    </sheetView>
  </sheetViews>
  <sheetFormatPr baseColWidth="10" defaultRowHeight="12.5"/>
  <cols>
    <col min="3" max="3" width="15.90625" bestFit="1" customWidth="1"/>
    <col min="4" max="4" width="15.90625" customWidth="1"/>
    <col min="16" max="19" width="11.453125" bestFit="1" customWidth="1"/>
    <col min="29" max="29" width="11.453125" bestFit="1" customWidth="1"/>
  </cols>
  <sheetData>
    <row r="1" spans="3:29"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</row>
    <row r="2" spans="3:29" ht="13">
      <c r="D2" s="48" t="s">
        <v>35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3:29" ht="13">
      <c r="D3" s="48" cm="1">
        <f t="array" ref="D3:S3">TRANSPOSE(_xlfn.SEQUENCE(D_Assumptions!$N$8+1,1,D_Assumptions!$G$8-1,1))</f>
        <v>2020</v>
      </c>
      <c r="E3" s="48">
        <v>2021</v>
      </c>
      <c r="F3" s="48">
        <v>2022</v>
      </c>
      <c r="G3" s="48">
        <v>2023</v>
      </c>
      <c r="H3" s="48">
        <v>2024</v>
      </c>
      <c r="I3" s="48">
        <v>2025</v>
      </c>
      <c r="J3" s="48">
        <v>2026</v>
      </c>
      <c r="K3" s="48">
        <v>2027</v>
      </c>
      <c r="L3" s="48">
        <v>2028</v>
      </c>
      <c r="M3" s="48">
        <v>2029</v>
      </c>
      <c r="N3" s="48">
        <v>2030</v>
      </c>
      <c r="O3" s="48">
        <v>2031</v>
      </c>
      <c r="P3" s="48">
        <v>2032</v>
      </c>
      <c r="Q3" s="48">
        <v>2033</v>
      </c>
      <c r="R3" s="48">
        <v>2034</v>
      </c>
      <c r="S3" s="48">
        <v>2035</v>
      </c>
    </row>
    <row r="4" spans="3:29">
      <c r="C4" t="s">
        <v>54</v>
      </c>
      <c r="D4" s="23">
        <f>-1*C_WoodInventory!D7*C_Property_Valuation!D5</f>
        <v>0</v>
      </c>
      <c r="E4" s="23">
        <f>-1*C_WoodInventory!E7*C_Property_Valuation!E5</f>
        <v>83957.142857142855</v>
      </c>
      <c r="F4" s="23">
        <f>-1*C_WoodInventory!F7*C_Property_Valuation!F5</f>
        <v>85389.42857142858</v>
      </c>
      <c r="G4" s="23">
        <f>-1*C_WoodInventory!G7*C_Property_Valuation!G5</f>
        <v>86900.435999999987</v>
      </c>
      <c r="H4" s="23">
        <f>-1*C_WoodInventory!H7*C_Property_Valuation!H5</f>
        <v>88494.54383314286</v>
      </c>
      <c r="I4" s="23">
        <f>-1*C_WoodInventory!I7*C_Property_Valuation!I5</f>
        <v>90176.37537328458</v>
      </c>
      <c r="J4" s="23">
        <f>-1*C_WoodInventory!J7*C_Property_Valuation!J5</f>
        <v>91950.812221383923</v>
      </c>
      <c r="K4" s="23">
        <f>-1*C_WoodInventory!K7*C_Property_Valuation!K5</f>
        <v>93823.008729520792</v>
      </c>
      <c r="L4" s="23">
        <f>-1*C_WoodInventory!L7*C_Property_Valuation!L5</f>
        <v>95798.407262588065</v>
      </c>
      <c r="M4" s="23">
        <f>-1*C_WoodInventory!M7*C_Property_Valuation!M5</f>
        <v>97882.754314391364</v>
      </c>
      <c r="N4" s="23">
        <f>-1*C_WoodInventory!N7*C_Property_Valuation!N5</f>
        <v>100082.11752599767</v>
      </c>
      <c r="O4" s="23">
        <f>-1*C_WoodInventory!O7*C_Property_Valuation!O5</f>
        <v>102402.90365685393</v>
      </c>
      <c r="P4" s="23">
        <f>-1*C_WoodInventory!P7*C_Property_Valuation!P5</f>
        <v>104851.87756202616</v>
      </c>
      <c r="Q4" s="23">
        <f>-1*C_WoodInventory!Q7*C_Property_Valuation!Q5</f>
        <v>107436.18223189574</v>
      </c>
      <c r="R4" s="23">
        <f>-1*C_WoodInventory!R7*C_Property_Valuation!R5</f>
        <v>110163.35995380601</v>
      </c>
      <c r="S4" s="23">
        <f>-1*C_WoodInventory!S7*C_Property_Valuation!S5</f>
        <v>157120.51172763706</v>
      </c>
      <c r="T4" s="23"/>
      <c r="U4" s="23"/>
      <c r="V4" s="23"/>
      <c r="W4" s="23"/>
      <c r="X4" s="23"/>
      <c r="Y4" s="23"/>
      <c r="Z4" s="23"/>
      <c r="AA4" s="23"/>
      <c r="AB4" s="23"/>
      <c r="AC4" s="23"/>
    </row>
    <row r="5" spans="3:29">
      <c r="C5" t="s">
        <v>55</v>
      </c>
      <c r="D5" s="23">
        <f>-1*C_WoodInventory!D7*C_Property_Valuation!D6</f>
        <v>0</v>
      </c>
      <c r="E5" s="23">
        <f>-1*C_WoodInventory!E7*C_Property_Valuation!E6</f>
        <v>-7975.9285714285706</v>
      </c>
      <c r="F5" s="23">
        <f>-1*C_WoodInventory!F7*C_Property_Valuation!F6</f>
        <v>-8111.9957142857165</v>
      </c>
      <c r="G5" s="23">
        <f>-1*C_WoodInventory!G7*C_Property_Valuation!G6</f>
        <v>-8255.5414199999977</v>
      </c>
      <c r="H5" s="23">
        <f>-1*C_WoodInventory!H7*C_Property_Valuation!H6</f>
        <v>-8406.9816641485722</v>
      </c>
      <c r="I5" s="23">
        <f>-1*C_WoodInventory!I7*C_Property_Valuation!I6</f>
        <v>-8566.7556604620349</v>
      </c>
      <c r="J5" s="23">
        <f>-1*C_WoodInventory!J7*C_Property_Valuation!J6</f>
        <v>-8735.3271610314732</v>
      </c>
      <c r="K5" s="23">
        <f>-1*C_WoodInventory!K7*C_Property_Valuation!K6</f>
        <v>-8913.1858293044752</v>
      </c>
      <c r="L5" s="23">
        <f>-1*C_WoodInventory!L7*C_Property_Valuation!L6</f>
        <v>-9100.8486899458658</v>
      </c>
      <c r="M5" s="23">
        <f>-1*C_WoodInventory!M7*C_Property_Valuation!M6</f>
        <v>-9298.8616598671797</v>
      </c>
      <c r="N5" s="23">
        <f>-1*C_WoodInventory!N7*C_Property_Valuation!N6</f>
        <v>-9507.8011649697801</v>
      </c>
      <c r="O5" s="23">
        <f>-1*C_WoodInventory!O7*C_Property_Valuation!O6</f>
        <v>-9728.2758474011243</v>
      </c>
      <c r="P5" s="23">
        <f>-1*C_WoodInventory!P7*C_Property_Valuation!P6</f>
        <v>-9960.9283683924841</v>
      </c>
      <c r="Q5" s="23">
        <f>-1*C_WoodInventory!Q7*C_Property_Valuation!Q6</f>
        <v>-10206.437312030097</v>
      </c>
      <c r="R5" s="23">
        <f>-1*C_WoodInventory!R7*C_Property_Valuation!R6</f>
        <v>-10465.51919561157</v>
      </c>
      <c r="S5" s="23">
        <f>-1*C_WoodInventory!S7*C_Property_Valuation!S6</f>
        <v>-14926.448614125518</v>
      </c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3:29" ht="13">
      <c r="C6" s="26" t="s">
        <v>57</v>
      </c>
      <c r="D6" s="27">
        <f>SUM(D4:D5)</f>
        <v>0</v>
      </c>
      <c r="E6" s="27">
        <f t="shared" ref="E6:S6" si="0">SUM(E4:E5)</f>
        <v>75981.21428571429</v>
      </c>
      <c r="F6" s="27">
        <f t="shared" si="0"/>
        <v>77277.432857142863</v>
      </c>
      <c r="G6" s="27">
        <f t="shared" si="0"/>
        <v>78644.894579999993</v>
      </c>
      <c r="H6" s="27">
        <f t="shared" si="0"/>
        <v>80087.562168994293</v>
      </c>
      <c r="I6" s="27">
        <f t="shared" si="0"/>
        <v>81609.619712822547</v>
      </c>
      <c r="J6" s="27">
        <f t="shared" si="0"/>
        <v>83215.485060352454</v>
      </c>
      <c r="K6" s="27">
        <f t="shared" si="0"/>
        <v>84909.822900216313</v>
      </c>
      <c r="L6" s="27">
        <f t="shared" si="0"/>
        <v>86697.5585726422</v>
      </c>
      <c r="M6" s="27">
        <f t="shared" si="0"/>
        <v>88583.892654524185</v>
      </c>
      <c r="N6" s="27">
        <f t="shared" si="0"/>
        <v>90574.316361027886</v>
      </c>
      <c r="O6" s="27">
        <f t="shared" si="0"/>
        <v>92674.62780945281</v>
      </c>
      <c r="P6" s="27">
        <f t="shared" si="0"/>
        <v>94890.949193633671</v>
      </c>
      <c r="Q6" s="27">
        <f t="shared" si="0"/>
        <v>97229.74491986564</v>
      </c>
      <c r="R6" s="27">
        <f t="shared" si="0"/>
        <v>99697.840758194434</v>
      </c>
      <c r="S6" s="27">
        <f t="shared" si="0"/>
        <v>142194.06311351154</v>
      </c>
      <c r="T6" s="27"/>
      <c r="U6" s="27"/>
      <c r="V6" s="27"/>
      <c r="W6" s="27"/>
      <c r="X6" s="27"/>
      <c r="Y6" s="27"/>
      <c r="Z6" s="27"/>
      <c r="AA6" s="27"/>
      <c r="AB6" s="27"/>
      <c r="AC6" s="27"/>
    </row>
    <row r="7" spans="3:29">
      <c r="C7" t="s">
        <v>58</v>
      </c>
      <c r="D7" s="23">
        <f>C_WoodInventory!D8*C_Property_Valuation!D7</f>
        <v>0</v>
      </c>
      <c r="E7" s="23">
        <f>C_WoodInventory!E8*C_Property_Valuation!E7</f>
        <v>-2518.7142857142858</v>
      </c>
      <c r="F7" s="23">
        <f>C_WoodInventory!F8*C_Property_Valuation!F7</f>
        <v>-2561.6828571428578</v>
      </c>
      <c r="G7" s="23">
        <f>C_WoodInventory!G8*C_Property_Valuation!G7</f>
        <v>-2607.0130799999997</v>
      </c>
      <c r="H7" s="23">
        <f>C_WoodInventory!H8*C_Property_Valuation!H7</f>
        <v>-2654.8363149942861</v>
      </c>
      <c r="I7" s="23">
        <f>C_WoodInventory!I8*C_Property_Valuation!I7</f>
        <v>-2705.2912611985375</v>
      </c>
      <c r="J7" s="23">
        <f>C_WoodInventory!J8*C_Property_Valuation!J7</f>
        <v>-2758.5243666415176</v>
      </c>
      <c r="K7" s="23">
        <f>C_WoodInventory!K8*C_Property_Valuation!K7</f>
        <v>-2814.6902618856238</v>
      </c>
      <c r="L7" s="23">
        <f>C_WoodInventory!L8*C_Property_Valuation!L7</f>
        <v>-2873.9522178776419</v>
      </c>
      <c r="M7" s="23">
        <f>C_WoodInventory!M8*C_Property_Valuation!M7</f>
        <v>-2936.4826294317409</v>
      </c>
      <c r="N7" s="23">
        <f>C_WoodInventory!N8*C_Property_Valuation!N7</f>
        <v>-3002.4635257799305</v>
      </c>
      <c r="O7" s="23">
        <f>C_WoodInventory!O8*C_Property_Valuation!O7</f>
        <v>-3072.0871097056179</v>
      </c>
      <c r="P7" s="23">
        <f>C_WoodInventory!P8*C_Property_Valuation!P7</f>
        <v>-3145.5563268607848</v>
      </c>
      <c r="Q7" s="23">
        <f>C_WoodInventory!Q8*C_Property_Valuation!Q7</f>
        <v>-3223.0854669568726</v>
      </c>
      <c r="R7" s="23">
        <f>C_WoodInventory!R8*C_Property_Valuation!R7</f>
        <v>-3304.9007986141801</v>
      </c>
      <c r="S7" s="23">
        <f>C_WoodInventory!S8*C_Property_Valuation!S7</f>
        <v>-4713.6153518291112</v>
      </c>
      <c r="T7" s="23"/>
      <c r="U7" s="23"/>
      <c r="V7" s="23"/>
      <c r="W7" s="23"/>
      <c r="X7" s="23"/>
      <c r="Y7" s="23"/>
      <c r="Z7" s="23"/>
      <c r="AA7" s="23"/>
      <c r="AB7" s="23"/>
      <c r="AC7" s="23"/>
    </row>
    <row r="8" spans="3:29">
      <c r="C8" t="s">
        <v>17</v>
      </c>
      <c r="D8" s="23">
        <f>-1*C_Bilan!D5*D_Assumptions!$G$16</f>
        <v>0</v>
      </c>
      <c r="E8" s="23">
        <f>-1*C_Bilan!E5*D_Assumptions!$G$16</f>
        <v>-32812.5</v>
      </c>
      <c r="F8" s="23">
        <f>-1*C_Bilan!F5*D_Assumptions!$G$16</f>
        <v>-34040.25</v>
      </c>
      <c r="G8" s="23">
        <f>-1*C_Bilan!G5*D_Assumptions!$G$16</f>
        <v>-35336.371499999994</v>
      </c>
      <c r="H8" s="23">
        <f>-1*C_Bilan!H5*D_Assumptions!$G$16</f>
        <v>-36704.685654000001</v>
      </c>
      <c r="I8" s="23">
        <f>-1*C_Bilan!I5*D_Assumptions!$G$16</f>
        <v>-38149.227447623998</v>
      </c>
      <c r="J8" s="23">
        <f>-1*C_Bilan!J5*D_Assumptions!$G$16</f>
        <v>-39674.257669630933</v>
      </c>
      <c r="K8" s="23">
        <f>-1*C_Bilan!K5*D_Assumptions!$G$16</f>
        <v>-41284.275553769083</v>
      </c>
      <c r="L8" s="23">
        <f>-1*C_Bilan!L5*D_Assumptions!$G$16</f>
        <v>-42984.03212851171</v>
      </c>
      <c r="M8" s="23">
        <f>-1*C_Bilan!M5*D_Assumptions!$G$16</f>
        <v>-44778.544314314575</v>
      </c>
      <c r="N8" s="23">
        <f>-1*C_Bilan!N5*D_Assumptions!$G$16</f>
        <v>-46673.109810254529</v>
      </c>
      <c r="O8" s="23">
        <f>-1*C_Bilan!O5*D_Assumptions!$G$16</f>
        <v>-48673.322814253886</v>
      </c>
      <c r="P8" s="23">
        <f>-1*C_Bilan!P5*D_Assumptions!$G$16</f>
        <v>-50785.090623569697</v>
      </c>
      <c r="Q8" s="23">
        <f>-1*C_Bilan!Q5*D_Assumptions!$G$16</f>
        <v>-53014.651164841554</v>
      </c>
      <c r="R8" s="23">
        <f>-1*C_Bilan!R5*D_Assumptions!$G$16</f>
        <v>-55368.591505751669</v>
      </c>
      <c r="S8" s="23">
        <f>-1*C_Bilan!S5*D_Assumptions!$G$16</f>
        <v>-57853.867403266348</v>
      </c>
      <c r="T8" s="23"/>
      <c r="U8" s="23"/>
      <c r="V8" s="23"/>
      <c r="W8" s="23"/>
      <c r="X8" s="23"/>
      <c r="Y8" s="23"/>
      <c r="Z8" s="23"/>
      <c r="AA8" s="23"/>
      <c r="AB8" s="23"/>
      <c r="AC8" s="23"/>
    </row>
    <row r="9" spans="3:29">
      <c r="C9" t="s">
        <v>65</v>
      </c>
      <c r="D9" s="23">
        <f>(D3&lt;&gt;D_Assumptions!$N$9)*C_Bilan!D7</f>
        <v>187500</v>
      </c>
      <c r="E9" s="23">
        <f>(E3&lt;&gt;D_Assumptions!$N$9)*C_Bilan!E7</f>
        <v>81850</v>
      </c>
      <c r="F9" s="23">
        <f>(F3&lt;&gt;D_Assumptions!$N$9)*C_Bilan!F7</f>
        <v>86408.099999999627</v>
      </c>
      <c r="G9" s="23">
        <f>(G3&lt;&gt;D_Assumptions!$N$9)*C_Bilan!G7</f>
        <v>91220.943600000348</v>
      </c>
      <c r="H9" s="23">
        <f>(H3&lt;&gt;D_Assumptions!$N$9)*C_Bilan!H7</f>
        <v>96302.786241599824</v>
      </c>
      <c r="I9" s="23">
        <f>(I3&lt;&gt;D_Assumptions!$N$9)*C_Bilan!I7</f>
        <v>101668.68146712938</v>
      </c>
      <c r="J9" s="23">
        <f>(J3&lt;&gt;D_Assumptions!$N$9)*C_Bilan!J7</f>
        <v>107334.52560920967</v>
      </c>
      <c r="K9" s="23">
        <f>(K3&lt;&gt;D_Assumptions!$N$9)*C_Bilan!K7</f>
        <v>113317.10498284176</v>
      </c>
      <c r="L9" s="23">
        <f>(L3&lt;&gt;D_Assumptions!$N$9)*C_Bilan!L7</f>
        <v>119634.1457201913</v>
      </c>
      <c r="M9" s="23">
        <f>(M3&lt;&gt;D_Assumptions!$N$9)*C_Bilan!M7</f>
        <v>126304.36639599688</v>
      </c>
      <c r="N9" s="23">
        <f>(N3&lt;&gt;D_Assumptions!$N$9)*C_Bilan!N7</f>
        <v>133347.53359995689</v>
      </c>
      <c r="O9" s="23">
        <f>(O3&lt;&gt;D_Assumptions!$N$9)*C_Bilan!O7</f>
        <v>140784.52062105434</v>
      </c>
      <c r="P9" s="23">
        <f>(P3&lt;&gt;D_Assumptions!$N$9)*C_Bilan!P7</f>
        <v>148637.36941812374</v>
      </c>
      <c r="Q9" s="23">
        <f>(Q3&lt;&gt;D_Assumptions!$N$9)*C_Bilan!Q7</f>
        <v>156929.35606067441</v>
      </c>
      <c r="R9" s="23">
        <f>(R3&lt;&gt;D_Assumptions!$N$9)*C_Bilan!R7</f>
        <v>165685.05983431172</v>
      </c>
      <c r="S9" s="23">
        <f>(S3&lt;&gt;D_Assumptions!$N$9)*C_Bilan!S7</f>
        <v>0</v>
      </c>
      <c r="T9" s="23"/>
      <c r="U9" s="23"/>
      <c r="V9" s="23"/>
      <c r="W9" s="23"/>
      <c r="X9" s="23"/>
      <c r="Y9" s="23"/>
      <c r="Z9" s="23"/>
      <c r="AA9" s="23"/>
      <c r="AB9" s="23"/>
      <c r="AC9" s="23"/>
    </row>
    <row r="10" spans="3:29">
      <c r="C10" t="s">
        <v>96</v>
      </c>
      <c r="D10" s="23">
        <f>(D3=D_Assumptions!$N$9)*(C_Property_Valuation!D10-C_Bilan!D5)</f>
        <v>0</v>
      </c>
      <c r="E10" s="23">
        <f>(E3=D_Assumptions!$N$9)*(C_Property_Valuation!E10-C_Bilan!E5)</f>
        <v>0</v>
      </c>
      <c r="F10" s="23">
        <f>(F3=D_Assumptions!$N$9)*(C_Property_Valuation!F10-C_Bilan!F5)</f>
        <v>0</v>
      </c>
      <c r="G10" s="23">
        <f>(G3=D_Assumptions!$N$9)*(C_Property_Valuation!G10-C_Bilan!G5)</f>
        <v>0</v>
      </c>
      <c r="H10" s="23">
        <f>(H3=D_Assumptions!$N$9)*(C_Property_Valuation!H10-C_Bilan!H5)</f>
        <v>0</v>
      </c>
      <c r="I10" s="23">
        <f>(I3=D_Assumptions!$N$9)*(C_Property_Valuation!I10-C_Bilan!I5)</f>
        <v>0</v>
      </c>
      <c r="J10" s="23">
        <f>(J3=D_Assumptions!$N$9)*(C_Property_Valuation!J10-C_Bilan!J5)</f>
        <v>0</v>
      </c>
      <c r="K10" s="23">
        <f>(K3=D_Assumptions!$N$9)*(C_Property_Valuation!K10-C_Bilan!K5)</f>
        <v>0</v>
      </c>
      <c r="L10" s="23">
        <f>(L3=D_Assumptions!$N$9)*(C_Property_Valuation!L10-C_Bilan!L5)</f>
        <v>0</v>
      </c>
      <c r="M10" s="23">
        <f>(M3=D_Assumptions!$N$9)*(C_Property_Valuation!M10-C_Bilan!M5)</f>
        <v>0</v>
      </c>
      <c r="N10" s="23">
        <f>(N3=D_Assumptions!$N$9)*(C_Property_Valuation!N10-C_Bilan!N5)</f>
        <v>0</v>
      </c>
      <c r="O10" s="23">
        <f>(O3=D_Assumptions!$N$9)*(C_Property_Valuation!O10-C_Bilan!O5)</f>
        <v>0</v>
      </c>
      <c r="P10" s="23">
        <f>(P3=D_Assumptions!$N$9)*(C_Property_Valuation!P10-C_Bilan!P5)</f>
        <v>0</v>
      </c>
      <c r="Q10" s="23">
        <f>(Q3=D_Assumptions!$N$9)*(C_Property_Valuation!Q10-C_Bilan!Q5)</f>
        <v>0</v>
      </c>
      <c r="R10" s="23">
        <f>(R3=D_Assumptions!$N$9)*(C_Property_Valuation!R10-C_Bilan!R5)</f>
        <v>0</v>
      </c>
      <c r="S10" s="23">
        <f>(S3=D_Assumptions!$N$9)*(C_Property_Valuation!S10-C_Bilan!S5)</f>
        <v>136361.19128044369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</row>
    <row r="11" spans="3:29">
      <c r="C11" t="s">
        <v>88</v>
      </c>
      <c r="D11" s="23">
        <f>-1*D_Assumptions!$N$10*C_TFT!D9</f>
        <v>0</v>
      </c>
      <c r="E11" s="23">
        <f>-1*D_Assumptions!$N$10*C_TFT!E9</f>
        <v>0</v>
      </c>
      <c r="F11" s="23">
        <f>-1*D_Assumptions!$N$10*C_TFT!F9</f>
        <v>0</v>
      </c>
      <c r="G11" s="23">
        <f>-1*D_Assumptions!$N$10*C_TFT!G9</f>
        <v>0</v>
      </c>
      <c r="H11" s="23">
        <f>-1*D_Assumptions!$N$10*C_TFT!H9</f>
        <v>0</v>
      </c>
      <c r="I11" s="23">
        <f>-1*D_Assumptions!$N$10*C_TFT!I9</f>
        <v>0</v>
      </c>
      <c r="J11" s="23">
        <f>-1*D_Assumptions!$N$10*C_TFT!J9</f>
        <v>0</v>
      </c>
      <c r="K11" s="23">
        <f>-1*D_Assumptions!$N$10*C_TFT!K9</f>
        <v>0</v>
      </c>
      <c r="L11" s="23">
        <f>-1*D_Assumptions!$N$10*C_TFT!L9</f>
        <v>0</v>
      </c>
      <c r="M11" s="23">
        <f>-1*D_Assumptions!$N$10*C_TFT!M9</f>
        <v>0</v>
      </c>
      <c r="N11" s="23">
        <f>-1*D_Assumptions!$N$10*C_TFT!N9</f>
        <v>0</v>
      </c>
      <c r="O11" s="23">
        <f>-1*D_Assumptions!$N$10*C_TFT!O9</f>
        <v>0</v>
      </c>
      <c r="P11" s="23">
        <f>-1*D_Assumptions!$N$10*C_TFT!P9</f>
        <v>0</v>
      </c>
      <c r="Q11" s="23">
        <f>-1*D_Assumptions!$N$10*C_TFT!Q9</f>
        <v>0</v>
      </c>
      <c r="R11" s="23">
        <f>-1*D_Assumptions!$N$10*C_TFT!R9</f>
        <v>0</v>
      </c>
      <c r="S11" s="23">
        <f>-1*D_Assumptions!$N$10*C_TFT!S9</f>
        <v>-38569.244935510898</v>
      </c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3:29">
      <c r="C12" t="s">
        <v>87</v>
      </c>
      <c r="D12" s="23">
        <f>-1*D_Assumptions!$N$15*'H_Time hypothesis'!D$13</f>
        <v>-13125</v>
      </c>
      <c r="E12" s="23">
        <f>-1*D_Assumptions!$N$15*'H_Time hypothesis'!E$13</f>
        <v>0</v>
      </c>
      <c r="F12" s="23">
        <f>-1*D_Assumptions!$N$15*'H_Time hypothesis'!F$13</f>
        <v>0</v>
      </c>
      <c r="G12" s="23">
        <f>-1*D_Assumptions!$N$15*'H_Time hypothesis'!G$13</f>
        <v>0</v>
      </c>
      <c r="H12" s="23">
        <f>-1*D_Assumptions!$N$15*'H_Time hypothesis'!H$13</f>
        <v>0</v>
      </c>
      <c r="I12" s="23">
        <f>-1*D_Assumptions!$N$15*'H_Time hypothesis'!I$13</f>
        <v>0</v>
      </c>
      <c r="J12" s="23">
        <f>-1*D_Assumptions!$N$15*'H_Time hypothesis'!J$13</f>
        <v>0</v>
      </c>
      <c r="K12" s="23">
        <f>-1*D_Assumptions!$N$15*'H_Time hypothesis'!K$13</f>
        <v>0</v>
      </c>
      <c r="L12" s="23">
        <f>-1*D_Assumptions!$N$15*'H_Time hypothesis'!L$13</f>
        <v>0</v>
      </c>
      <c r="M12" s="23">
        <f>-1*D_Assumptions!$N$15*'H_Time hypothesis'!M$13</f>
        <v>0</v>
      </c>
      <c r="N12" s="23">
        <f>-1*D_Assumptions!$N$15*'H_Time hypothesis'!N$13</f>
        <v>0</v>
      </c>
      <c r="O12" s="23">
        <f>-1*D_Assumptions!$N$15*'H_Time hypothesis'!O$13</f>
        <v>0</v>
      </c>
      <c r="P12" s="23">
        <f>-1*D_Assumptions!$N$15*'H_Time hypothesis'!P$13</f>
        <v>0</v>
      </c>
      <c r="Q12" s="23">
        <f>-1*D_Assumptions!$N$15*'H_Time hypothesis'!Q$13</f>
        <v>0</v>
      </c>
      <c r="R12" s="23">
        <f>-1*D_Assumptions!$N$15*'H_Time hypothesis'!R$13</f>
        <v>0</v>
      </c>
      <c r="S12" s="23">
        <f>-1*D_Assumptions!$N$15*'H_Time hypothesis'!S$13</f>
        <v>0</v>
      </c>
      <c r="T12" s="23"/>
      <c r="U12" s="23"/>
      <c r="V12" s="23"/>
      <c r="W12" s="23"/>
      <c r="X12" s="23"/>
      <c r="Y12" s="23"/>
      <c r="Z12" s="23"/>
      <c r="AA12" s="23"/>
      <c r="AB12" s="23"/>
      <c r="AC12" s="23"/>
    </row>
    <row r="13" spans="3:29">
      <c r="C13" t="s">
        <v>59</v>
      </c>
      <c r="D13" s="23">
        <f>-1*D_Assumptions!$G$17*(1+D_Assumptions!$G$9)^C_CdR!D1</f>
        <v>-1250</v>
      </c>
      <c r="E13" s="23">
        <f>-1*D_Assumptions!$G$17*(1+D_Assumptions!$G$9)^C_CdR!E1</f>
        <v>-1275</v>
      </c>
      <c r="F13" s="23">
        <f>-1*D_Assumptions!$G$17*(1+D_Assumptions!$G$9)^C_CdR!F1</f>
        <v>-1300.5</v>
      </c>
      <c r="G13" s="23">
        <f>-1*D_Assumptions!$G$17*(1+D_Assumptions!$G$9)^C_CdR!G1</f>
        <v>-1326.51</v>
      </c>
      <c r="H13" s="23">
        <f>-1*D_Assumptions!$G$17*(1+D_Assumptions!$G$9)^C_CdR!H1</f>
        <v>-1353.0401999999999</v>
      </c>
      <c r="I13" s="23">
        <f>-1*D_Assumptions!$G$17*(1+D_Assumptions!$G$9)^C_CdR!I1</f>
        <v>-1380.1010040000001</v>
      </c>
      <c r="J13" s="23">
        <f>-1*D_Assumptions!$G$17*(1+D_Assumptions!$G$9)^C_CdR!J1</f>
        <v>-1407.70302408</v>
      </c>
      <c r="K13" s="23">
        <f>-1*D_Assumptions!$G$17*(1+D_Assumptions!$G$9)^C_CdR!K1</f>
        <v>-1435.8570845615998</v>
      </c>
      <c r="L13" s="23">
        <f>-1*D_Assumptions!$G$17*(1+D_Assumptions!$G$9)^C_CdR!L1</f>
        <v>-1464.574226252832</v>
      </c>
      <c r="M13" s="23">
        <f>-1*D_Assumptions!$G$17*(1+D_Assumptions!$G$9)^C_CdR!M1</f>
        <v>-1493.8657107778886</v>
      </c>
      <c r="N13" s="23">
        <f>-1*D_Assumptions!$G$17*(1+D_Assumptions!$G$9)^C_CdR!N1</f>
        <v>-1523.7430249934464</v>
      </c>
      <c r="O13" s="23">
        <f>-1*D_Assumptions!$G$17*(1+D_Assumptions!$G$9)^C_CdR!O1</f>
        <v>-1554.217885493315</v>
      </c>
      <c r="P13" s="23">
        <f>-1*D_Assumptions!$G$17*(1+D_Assumptions!$G$9)^C_CdR!P1</f>
        <v>-1585.3022432031817</v>
      </c>
      <c r="Q13" s="23">
        <f>-1*D_Assumptions!$G$17*(1+D_Assumptions!$G$9)^C_CdR!Q1</f>
        <v>-1617.0082880672451</v>
      </c>
      <c r="R13" s="23">
        <f>-1*D_Assumptions!$G$17*(1+D_Assumptions!$G$9)^C_CdR!R1</f>
        <v>-1649.3484538285902</v>
      </c>
      <c r="S13" s="23">
        <f>-1*D_Assumptions!$G$17*(1+D_Assumptions!$G$9)^C_CdR!S1</f>
        <v>-1682.3354229051615</v>
      </c>
      <c r="T13" s="23"/>
      <c r="U13" s="23"/>
      <c r="V13" s="23"/>
      <c r="W13" s="23"/>
      <c r="X13" s="23"/>
      <c r="Y13" s="23"/>
      <c r="Z13" s="23"/>
      <c r="AA13" s="23"/>
      <c r="AB13" s="23"/>
      <c r="AC13" s="23"/>
    </row>
    <row r="14" spans="3:29" ht="13">
      <c r="C14" s="27" t="s">
        <v>61</v>
      </c>
      <c r="D14" s="27">
        <f>SUM(D6:D13)</f>
        <v>173125</v>
      </c>
      <c r="E14" s="27">
        <f>SUM(E6:E13)</f>
        <v>121225</v>
      </c>
      <c r="F14" s="27">
        <f t="shared" ref="F14:S14" si="1">SUM(F6:F13)</f>
        <v>125783.09999999963</v>
      </c>
      <c r="G14" s="27">
        <f t="shared" si="1"/>
        <v>130595.94360000036</v>
      </c>
      <c r="H14" s="27">
        <f t="shared" si="1"/>
        <v>135677.78624159982</v>
      </c>
      <c r="I14" s="27">
        <f t="shared" si="1"/>
        <v>141043.68146712938</v>
      </c>
      <c r="J14" s="27">
        <f t="shared" si="1"/>
        <v>146709.52560920967</v>
      </c>
      <c r="K14" s="27">
        <f t="shared" si="1"/>
        <v>152692.10498284176</v>
      </c>
      <c r="L14" s="27">
        <f t="shared" si="1"/>
        <v>159009.14572019133</v>
      </c>
      <c r="M14" s="27">
        <f t="shared" si="1"/>
        <v>165679.36639599685</v>
      </c>
      <c r="N14" s="27">
        <f t="shared" si="1"/>
        <v>172722.53359995686</v>
      </c>
      <c r="O14" s="27">
        <f t="shared" si="1"/>
        <v>180159.52062105434</v>
      </c>
      <c r="P14" s="27">
        <f t="shared" si="1"/>
        <v>188012.36941812374</v>
      </c>
      <c r="Q14" s="27">
        <f t="shared" si="1"/>
        <v>196304.35606067438</v>
      </c>
      <c r="R14" s="27">
        <f t="shared" si="1"/>
        <v>205060.05983431172</v>
      </c>
      <c r="S14" s="27">
        <f t="shared" si="1"/>
        <v>175736.19128044369</v>
      </c>
      <c r="T14" s="27"/>
      <c r="U14" s="27"/>
      <c r="V14" s="27"/>
      <c r="W14" s="27"/>
      <c r="X14" s="27"/>
      <c r="Y14" s="27"/>
      <c r="Z14" s="27"/>
      <c r="AA14" s="27"/>
      <c r="AB14" s="27"/>
      <c r="AC14" s="27"/>
    </row>
    <row r="15" spans="3:29">
      <c r="C15" t="s">
        <v>60</v>
      </c>
      <c r="D15" s="23">
        <f>-1*D_Assumptions!$N$14*'H_Time hypothesis'!$D$13*(D3&gt;='H_Time hypothesis'!$C$13+1)</f>
        <v>0</v>
      </c>
      <c r="E15" s="23">
        <f>-1*D_Assumptions!$N$14*'H_Time hypothesis'!$D$13*(E3&gt;='H_Time hypothesis'!$C$13+1)</f>
        <v>-39375</v>
      </c>
      <c r="F15" s="23">
        <f>-1*D_Assumptions!$N$14*'H_Time hypothesis'!$D$13*(F3&gt;='H_Time hypothesis'!$C$13+1)</f>
        <v>-39375</v>
      </c>
      <c r="G15" s="23">
        <f>-1*D_Assumptions!$N$14*'H_Time hypothesis'!$D$13*(G3&gt;='H_Time hypothesis'!$C$13+1)</f>
        <v>-39375</v>
      </c>
      <c r="H15" s="23">
        <f>-1*D_Assumptions!$N$14*'H_Time hypothesis'!$D$13*(H3&gt;='H_Time hypothesis'!$C$13+1)</f>
        <v>-39375</v>
      </c>
      <c r="I15" s="23">
        <f>-1*D_Assumptions!$N$14*'H_Time hypothesis'!$D$13*(I3&gt;='H_Time hypothesis'!$C$13+1)</f>
        <v>-39375</v>
      </c>
      <c r="J15" s="23">
        <f>-1*D_Assumptions!$N$14*'H_Time hypothesis'!$D$13*(J3&gt;='H_Time hypothesis'!$C$13+1)</f>
        <v>-39375</v>
      </c>
      <c r="K15" s="23">
        <f>-1*D_Assumptions!$N$14*'H_Time hypothesis'!$D$13*(K3&gt;='H_Time hypothesis'!$C$13+1)</f>
        <v>-39375</v>
      </c>
      <c r="L15" s="23">
        <f>-1*D_Assumptions!$N$14*'H_Time hypothesis'!$D$13*(L3&gt;='H_Time hypothesis'!$C$13+1)</f>
        <v>-39375</v>
      </c>
      <c r="M15" s="23">
        <f>-1*D_Assumptions!$N$14*'H_Time hypothesis'!$D$13*(M3&gt;='H_Time hypothesis'!$C$13+1)</f>
        <v>-39375</v>
      </c>
      <c r="N15" s="23">
        <f>-1*D_Assumptions!$N$14*'H_Time hypothesis'!$D$13*(N3&gt;='H_Time hypothesis'!$C$13+1)</f>
        <v>-39375</v>
      </c>
      <c r="O15" s="23">
        <f>-1*D_Assumptions!$N$14*'H_Time hypothesis'!$D$13*(O3&gt;='H_Time hypothesis'!$C$13+1)</f>
        <v>-39375</v>
      </c>
      <c r="P15" s="23">
        <f>-1*D_Assumptions!$N$14*'H_Time hypothesis'!$D$13*(P3&gt;='H_Time hypothesis'!$C$13+1)</f>
        <v>-39375</v>
      </c>
      <c r="Q15" s="23">
        <f>-1*D_Assumptions!$N$14*'H_Time hypothesis'!$D$13*(Q3&gt;='H_Time hypothesis'!$C$13+1)</f>
        <v>-39375</v>
      </c>
      <c r="R15" s="23">
        <f>-1*D_Assumptions!$N$14*'H_Time hypothesis'!$D$13*(R3&gt;='H_Time hypothesis'!$C$13+1)</f>
        <v>-39375</v>
      </c>
      <c r="S15" s="23">
        <f>-1*D_Assumptions!$N$14*'H_Time hypothesis'!$D$13*(S3&gt;='H_Time hypothesis'!$C$13+1)</f>
        <v>-39375</v>
      </c>
      <c r="T15" s="23"/>
      <c r="U15" s="23"/>
      <c r="V15" s="23"/>
      <c r="W15" s="23"/>
      <c r="X15" s="23"/>
      <c r="Y15" s="23"/>
      <c r="Z15" s="23"/>
      <c r="AA15" s="23"/>
      <c r="AB15" s="23"/>
      <c r="AC15" s="23"/>
    </row>
    <row r="16" spans="3:29" ht="13">
      <c r="C16" s="27" t="s">
        <v>62</v>
      </c>
      <c r="D16" s="27">
        <f>SUM(D14:D15)</f>
        <v>173125</v>
      </c>
      <c r="E16" s="27">
        <f>SUM(E14:E15)</f>
        <v>81850</v>
      </c>
      <c r="F16" s="27">
        <f t="shared" ref="F16:S16" si="2">SUM(F14:F15)</f>
        <v>86408.099999999627</v>
      </c>
      <c r="G16" s="27">
        <f t="shared" si="2"/>
        <v>91220.943600000362</v>
      </c>
      <c r="H16" s="27">
        <f t="shared" si="2"/>
        <v>96302.786241599824</v>
      </c>
      <c r="I16" s="27">
        <f t="shared" si="2"/>
        <v>101668.68146712938</v>
      </c>
      <c r="J16" s="27">
        <f t="shared" si="2"/>
        <v>107334.52560920967</v>
      </c>
      <c r="K16" s="27">
        <f t="shared" si="2"/>
        <v>113317.10498284176</v>
      </c>
      <c r="L16" s="27">
        <f t="shared" si="2"/>
        <v>119634.14572019133</v>
      </c>
      <c r="M16" s="27">
        <f t="shared" si="2"/>
        <v>126304.36639599685</v>
      </c>
      <c r="N16" s="27">
        <f t="shared" si="2"/>
        <v>133347.53359995686</v>
      </c>
      <c r="O16" s="27">
        <f t="shared" si="2"/>
        <v>140784.52062105434</v>
      </c>
      <c r="P16" s="27">
        <f t="shared" si="2"/>
        <v>148637.36941812374</v>
      </c>
      <c r="Q16" s="27">
        <f t="shared" si="2"/>
        <v>156929.35606067438</v>
      </c>
      <c r="R16" s="27">
        <f t="shared" si="2"/>
        <v>165685.05983431172</v>
      </c>
      <c r="S16" s="27">
        <f t="shared" si="2"/>
        <v>136361.19128044369</v>
      </c>
      <c r="T16" s="27"/>
      <c r="U16" s="27"/>
      <c r="V16" s="27"/>
      <c r="W16" s="27"/>
      <c r="X16" s="27"/>
      <c r="Y16" s="27"/>
      <c r="Z16" s="27"/>
      <c r="AA16" s="27"/>
      <c r="AB16" s="27"/>
      <c r="AC16" s="27"/>
    </row>
    <row r="17" spans="3:29">
      <c r="C17" t="s">
        <v>63</v>
      </c>
    </row>
    <row r="18" spans="3:29" ht="13">
      <c r="C18" s="27" t="s">
        <v>64</v>
      </c>
      <c r="D18" s="27">
        <f>SUM(D16:D17)</f>
        <v>173125</v>
      </c>
      <c r="E18" s="27">
        <f>SUM(E16:E17)</f>
        <v>81850</v>
      </c>
      <c r="F18" s="27">
        <f t="shared" ref="F18:S18" si="3">SUM(F16:F17)</f>
        <v>86408.099999999627</v>
      </c>
      <c r="G18" s="27">
        <f t="shared" si="3"/>
        <v>91220.943600000362</v>
      </c>
      <c r="H18" s="27">
        <f t="shared" si="3"/>
        <v>96302.786241599824</v>
      </c>
      <c r="I18" s="27">
        <f t="shared" si="3"/>
        <v>101668.68146712938</v>
      </c>
      <c r="J18" s="27">
        <f t="shared" si="3"/>
        <v>107334.52560920967</v>
      </c>
      <c r="K18" s="27">
        <f t="shared" si="3"/>
        <v>113317.10498284176</v>
      </c>
      <c r="L18" s="27">
        <f t="shared" si="3"/>
        <v>119634.14572019133</v>
      </c>
      <c r="M18" s="27">
        <f t="shared" si="3"/>
        <v>126304.36639599685</v>
      </c>
      <c r="N18" s="27">
        <f t="shared" si="3"/>
        <v>133347.53359995686</v>
      </c>
      <c r="O18" s="27">
        <f t="shared" si="3"/>
        <v>140784.52062105434</v>
      </c>
      <c r="P18" s="27">
        <f t="shared" si="3"/>
        <v>148637.36941812374</v>
      </c>
      <c r="Q18" s="27">
        <f t="shared" si="3"/>
        <v>156929.35606067438</v>
      </c>
      <c r="R18" s="27">
        <f t="shared" si="3"/>
        <v>165685.05983431172</v>
      </c>
      <c r="S18" s="27">
        <f t="shared" si="3"/>
        <v>136361.19128044369</v>
      </c>
      <c r="T18" s="27"/>
      <c r="U18" s="27"/>
      <c r="V18" s="27"/>
      <c r="W18" s="27"/>
      <c r="X18" s="27"/>
      <c r="Y18" s="27"/>
      <c r="Z18" s="27"/>
      <c r="AA18" s="27"/>
      <c r="AB18" s="27"/>
      <c r="AC18" s="27"/>
    </row>
    <row r="20" spans="3:29">
      <c r="E20" s="2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A9DCB-7FF7-48F9-A69D-2B86DD401F68}">
  <sheetPr codeName="Feuil6">
    <tabColor theme="9"/>
  </sheetPr>
  <dimension ref="C2:AC27"/>
  <sheetViews>
    <sheetView topLeftCell="E1" zoomScale="85" zoomScaleNormal="85" workbookViewId="0">
      <selection activeCell="E11" sqref="E11"/>
    </sheetView>
  </sheetViews>
  <sheetFormatPr baseColWidth="10" defaultRowHeight="12.5"/>
  <cols>
    <col min="4" max="4" width="14.6328125" bestFit="1" customWidth="1"/>
    <col min="5" max="18" width="11.1796875" bestFit="1" customWidth="1"/>
    <col min="19" max="19" width="12.08984375" bestFit="1" customWidth="1"/>
    <col min="21" max="21" width="11.453125" bestFit="1" customWidth="1"/>
    <col min="29" max="29" width="12.08984375" bestFit="1" customWidth="1"/>
  </cols>
  <sheetData>
    <row r="2" spans="3:29" ht="13">
      <c r="D2" s="48" t="s">
        <v>35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3:29" ht="13">
      <c r="D3" s="48" cm="1">
        <f t="array" ref="D3:S3">TRANSPOSE(_xlfn.SEQUENCE(D_Assumptions!$N$8+1,1,D_Assumptions!$G$8-1,1))</f>
        <v>2020</v>
      </c>
      <c r="E3" s="48">
        <v>2021</v>
      </c>
      <c r="F3" s="48">
        <v>2022</v>
      </c>
      <c r="G3" s="48">
        <v>2023</v>
      </c>
      <c r="H3" s="48">
        <v>2024</v>
      </c>
      <c r="I3" s="48">
        <v>2025</v>
      </c>
      <c r="J3" s="48">
        <v>2026</v>
      </c>
      <c r="K3" s="48">
        <v>2027</v>
      </c>
      <c r="L3" s="48">
        <v>2028</v>
      </c>
      <c r="M3" s="48">
        <v>2029</v>
      </c>
      <c r="N3" s="48">
        <v>2030</v>
      </c>
      <c r="O3" s="48">
        <v>2031</v>
      </c>
      <c r="P3" s="48">
        <v>2032</v>
      </c>
      <c r="Q3" s="48">
        <v>2033</v>
      </c>
      <c r="R3" s="48">
        <v>2034</v>
      </c>
      <c r="S3" s="48">
        <v>2035</v>
      </c>
    </row>
    <row r="5" spans="3:29">
      <c r="C5" t="s">
        <v>64</v>
      </c>
      <c r="D5" s="23">
        <f>C_CdR!D18</f>
        <v>173125</v>
      </c>
      <c r="E5" s="23">
        <f>C_CdR!E18</f>
        <v>81850</v>
      </c>
      <c r="F5" s="23">
        <f>C_CdR!F18</f>
        <v>86408.099999999627</v>
      </c>
      <c r="G5" s="23">
        <f>C_CdR!G18</f>
        <v>91220.943600000362</v>
      </c>
      <c r="H5" s="23">
        <f>C_CdR!H18</f>
        <v>96302.786241599824</v>
      </c>
      <c r="I5" s="23">
        <f>C_CdR!I18</f>
        <v>101668.68146712938</v>
      </c>
      <c r="J5" s="23">
        <f>C_CdR!J18</f>
        <v>107334.52560920967</v>
      </c>
      <c r="K5" s="23">
        <f>C_CdR!K18</f>
        <v>113317.10498284176</v>
      </c>
      <c r="L5" s="23">
        <f>C_CdR!L18</f>
        <v>119634.14572019133</v>
      </c>
      <c r="M5" s="23">
        <f>C_CdR!M18</f>
        <v>126304.36639599685</v>
      </c>
      <c r="N5" s="23">
        <f>C_CdR!N18</f>
        <v>133347.53359995686</v>
      </c>
      <c r="O5" s="23">
        <f>C_CdR!O18</f>
        <v>140784.52062105434</v>
      </c>
      <c r="P5" s="23">
        <f>C_CdR!P18</f>
        <v>148637.36941812374</v>
      </c>
      <c r="Q5" s="23">
        <f>C_CdR!Q18</f>
        <v>156929.35606067438</v>
      </c>
      <c r="R5" s="23">
        <f>C_CdR!R18</f>
        <v>165685.05983431172</v>
      </c>
      <c r="S5" s="23">
        <f>C_CdR!S18</f>
        <v>136361.19128044369</v>
      </c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3:29">
      <c r="C6" s="24" t="s">
        <v>66</v>
      </c>
      <c r="D6" s="23">
        <f>-1*C_CdR!D9</f>
        <v>-187500</v>
      </c>
      <c r="E6" s="23">
        <f>-1*C_CdR!E9</f>
        <v>-81850</v>
      </c>
      <c r="F6" s="23">
        <f>-1*C_CdR!F9</f>
        <v>-86408.099999999627</v>
      </c>
      <c r="G6" s="23">
        <f>-1*C_CdR!G9</f>
        <v>-91220.943600000348</v>
      </c>
      <c r="H6" s="23">
        <f>-1*C_CdR!H9</f>
        <v>-96302.786241599824</v>
      </c>
      <c r="I6" s="23">
        <f>-1*C_CdR!I9</f>
        <v>-101668.68146712938</v>
      </c>
      <c r="J6" s="23">
        <f>-1*C_CdR!J9</f>
        <v>-107334.52560920967</v>
      </c>
      <c r="K6" s="23">
        <f>-1*C_CdR!K9</f>
        <v>-113317.10498284176</v>
      </c>
      <c r="L6" s="23">
        <f>-1*C_CdR!L9</f>
        <v>-119634.1457201913</v>
      </c>
      <c r="M6" s="23">
        <f>-1*C_CdR!M9</f>
        <v>-126304.36639599688</v>
      </c>
      <c r="N6" s="23">
        <f>-1*C_CdR!N9</f>
        <v>-133347.53359995689</v>
      </c>
      <c r="O6" s="23">
        <f>-1*C_CdR!O9</f>
        <v>-140784.52062105434</v>
      </c>
      <c r="P6" s="23">
        <f>-1*C_CdR!P9</f>
        <v>-148637.36941812374</v>
      </c>
      <c r="Q6" s="23">
        <f>-1*C_CdR!Q9</f>
        <v>-156929.35606067441</v>
      </c>
      <c r="R6" s="23">
        <f>-1*C_CdR!R9</f>
        <v>-165685.05983431172</v>
      </c>
      <c r="S6" s="23">
        <f>-1*C_CdR!S9</f>
        <v>0</v>
      </c>
      <c r="T6" s="23"/>
      <c r="U6" s="23"/>
      <c r="V6" s="23"/>
      <c r="W6" s="23"/>
      <c r="X6" s="23"/>
      <c r="Y6" s="23"/>
      <c r="Z6" s="23"/>
      <c r="AA6" s="23"/>
      <c r="AB6" s="23"/>
      <c r="AC6" s="23"/>
    </row>
    <row r="7" spans="3:29" ht="13">
      <c r="C7" s="26" t="s">
        <v>67</v>
      </c>
      <c r="D7" s="27">
        <f>SUM(D5:D6)</f>
        <v>-14375</v>
      </c>
      <c r="E7" s="27">
        <f>SUM(E5:E6)</f>
        <v>0</v>
      </c>
      <c r="F7" s="27">
        <f t="shared" ref="F7:S7" si="0">SUM(F5:F6)</f>
        <v>0</v>
      </c>
      <c r="G7" s="27">
        <f t="shared" si="0"/>
        <v>0</v>
      </c>
      <c r="H7" s="27">
        <f t="shared" si="0"/>
        <v>0</v>
      </c>
      <c r="I7" s="27">
        <f t="shared" si="0"/>
        <v>0</v>
      </c>
      <c r="J7" s="27">
        <f t="shared" si="0"/>
        <v>0</v>
      </c>
      <c r="K7" s="27">
        <f t="shared" si="0"/>
        <v>0</v>
      </c>
      <c r="L7" s="27">
        <f t="shared" si="0"/>
        <v>0</v>
      </c>
      <c r="M7" s="27">
        <f t="shared" si="0"/>
        <v>0</v>
      </c>
      <c r="N7" s="27">
        <f t="shared" si="0"/>
        <v>0</v>
      </c>
      <c r="O7" s="27">
        <f t="shared" si="0"/>
        <v>0</v>
      </c>
      <c r="P7" s="27">
        <f t="shared" si="0"/>
        <v>0</v>
      </c>
      <c r="Q7" s="27">
        <f t="shared" si="0"/>
        <v>0</v>
      </c>
      <c r="R7" s="27">
        <f t="shared" si="0"/>
        <v>0</v>
      </c>
      <c r="S7" s="27">
        <f t="shared" si="0"/>
        <v>136361.19128044369</v>
      </c>
      <c r="T7" s="27"/>
      <c r="U7" s="27"/>
      <c r="V7" s="27"/>
      <c r="W7" s="27"/>
      <c r="X7" s="27"/>
      <c r="Y7" s="27"/>
      <c r="Z7" s="27"/>
      <c r="AA7" s="27"/>
      <c r="AB7" s="27"/>
      <c r="AC7" s="27"/>
    </row>
    <row r="8" spans="3:29">
      <c r="C8" t="s">
        <v>68</v>
      </c>
      <c r="D8" s="23">
        <f>-1*VLOOKUP(D3,'H_Time hypothesis'!$C$5:$D$6,2,TRUE)</f>
        <v>-2000000</v>
      </c>
      <c r="E8" s="23">
        <f>-1*VLOOKUP(E3,'H_Time hypothesis'!$C$5:$D$6,2,TRUE)</f>
        <v>0</v>
      </c>
      <c r="F8" s="23">
        <f>-1*VLOOKUP(F3,'H_Time hypothesis'!$C$5:$D$6,2,TRUE)</f>
        <v>0</v>
      </c>
      <c r="G8" s="23">
        <f>-1*VLOOKUP(G3,'H_Time hypothesis'!$C$5:$D$6,2,TRUE)</f>
        <v>0</v>
      </c>
      <c r="H8" s="23">
        <f>-1*VLOOKUP(H3,'H_Time hypothesis'!$C$5:$D$6,2,TRUE)</f>
        <v>0</v>
      </c>
      <c r="I8" s="23">
        <f>-1*VLOOKUP(I3,'H_Time hypothesis'!$C$5:$D$6,2,TRUE)</f>
        <v>0</v>
      </c>
      <c r="J8" s="23">
        <f>-1*VLOOKUP(J3,'H_Time hypothesis'!$C$5:$D$6,2,TRUE)</f>
        <v>0</v>
      </c>
      <c r="K8" s="23">
        <f>-1*VLOOKUP(K3,'H_Time hypothesis'!$C$5:$D$6,2,TRUE)</f>
        <v>0</v>
      </c>
      <c r="L8" s="23">
        <f>-1*VLOOKUP(L3,'H_Time hypothesis'!$C$5:$D$6,2,TRUE)</f>
        <v>0</v>
      </c>
      <c r="M8" s="23">
        <f>-1*VLOOKUP(M3,'H_Time hypothesis'!$C$5:$D$6,2,TRUE)</f>
        <v>0</v>
      </c>
      <c r="N8" s="23">
        <f>-1*VLOOKUP(N3,'H_Time hypothesis'!$C$5:$D$6,2,TRUE)</f>
        <v>0</v>
      </c>
      <c r="O8" s="23">
        <f>-1*VLOOKUP(O3,'H_Time hypothesis'!$C$5:$D$6,2,TRUE)</f>
        <v>0</v>
      </c>
      <c r="P8" s="23">
        <f>-1*VLOOKUP(P3,'H_Time hypothesis'!$C$5:$D$6,2,TRUE)</f>
        <v>0</v>
      </c>
      <c r="Q8" s="23">
        <f>-1*VLOOKUP(Q3,'H_Time hypothesis'!$C$5:$D$6,2,TRUE)</f>
        <v>0</v>
      </c>
      <c r="R8" s="23">
        <f>-1*VLOOKUP(R3,'H_Time hypothesis'!$C$5:$D$6,2,TRUE)</f>
        <v>0</v>
      </c>
      <c r="S8" s="23">
        <f>-1*VLOOKUP(S3,'H_Time hypothesis'!$C$5:$D$6,2,TRUE)</f>
        <v>0</v>
      </c>
      <c r="T8" s="23"/>
      <c r="U8" s="23"/>
      <c r="V8" s="23"/>
      <c r="W8" s="23"/>
      <c r="X8" s="23"/>
      <c r="Y8" s="23"/>
      <c r="Z8" s="23"/>
      <c r="AA8" s="23"/>
      <c r="AB8" s="23"/>
      <c r="AC8" s="23"/>
    </row>
    <row r="9" spans="3:29">
      <c r="C9" t="s">
        <v>69</v>
      </c>
      <c r="D9" s="23">
        <f>(D3=D_Assumptions!$N9)*(C_Property_Valuation!D10-C_CdR!D10)</f>
        <v>0</v>
      </c>
      <c r="E9" s="23">
        <f>(E3=D_Assumptions!$N9)*(C_Property_Valuation!E10-C_CdR!E10)</f>
        <v>0</v>
      </c>
      <c r="F9" s="23">
        <f>(F3=D_Assumptions!$N9)*(C_Property_Valuation!F10-C_CdR!F10)</f>
        <v>0</v>
      </c>
      <c r="G9" s="23">
        <f>(G3=D_Assumptions!$N9)*(C_Property_Valuation!G10-C_CdR!G10)</f>
        <v>0</v>
      </c>
      <c r="H9" s="23">
        <f>(H3=D_Assumptions!$N9)*(C_Property_Valuation!H10-C_CdR!H10)</f>
        <v>0</v>
      </c>
      <c r="I9" s="23">
        <f>(I3=D_Assumptions!$N9)*(C_Property_Valuation!I10-C_CdR!I10)</f>
        <v>0</v>
      </c>
      <c r="J9" s="23">
        <f>(J3=D_Assumptions!$N9)*(C_Property_Valuation!J10-C_CdR!J10)</f>
        <v>0</v>
      </c>
      <c r="K9" s="23">
        <f>(K3=D_Assumptions!$N9)*(C_Property_Valuation!K10-C_CdR!K10)</f>
        <v>0</v>
      </c>
      <c r="L9" s="23">
        <f>(L3=D_Assumptions!$N9)*(C_Property_Valuation!L10-C_CdR!L10)</f>
        <v>0</v>
      </c>
      <c r="M9" s="23">
        <f>(M3=D_Assumptions!$N9)*(C_Property_Valuation!M10-C_CdR!M10)</f>
        <v>0</v>
      </c>
      <c r="N9" s="23">
        <f>(N3=D_Assumptions!$N9)*(C_Property_Valuation!N10-C_CdR!N10)</f>
        <v>0</v>
      </c>
      <c r="O9" s="23">
        <f>(O3=D_Assumptions!$N9)*(C_Property_Valuation!O10-C_CdR!O10)</f>
        <v>0</v>
      </c>
      <c r="P9" s="23">
        <f>(P3=D_Assumptions!$N9)*(C_Property_Valuation!P10-C_CdR!P10)</f>
        <v>0</v>
      </c>
      <c r="Q9" s="23">
        <f>(Q3=D_Assumptions!$N9)*(C_Property_Valuation!Q10-C_CdR!Q10)</f>
        <v>0</v>
      </c>
      <c r="R9" s="23">
        <f>(R3=D_Assumptions!$N9)*(C_Property_Valuation!R10-C_CdR!R10)</f>
        <v>0</v>
      </c>
      <c r="S9" s="23">
        <f>(S3=D_Assumptions!$N9)*(C_Property_Valuation!S10-C_CdR!S10)</f>
        <v>3856924.4935510899</v>
      </c>
      <c r="T9" s="23"/>
      <c r="U9" s="23"/>
      <c r="V9" s="23"/>
      <c r="W9" s="23"/>
      <c r="X9" s="23"/>
      <c r="Y9" s="23"/>
      <c r="Z9" s="23"/>
      <c r="AA9" s="23"/>
      <c r="AB9" s="23"/>
      <c r="AC9" s="23"/>
    </row>
    <row r="10" spans="3:29" ht="13">
      <c r="C10" s="26" t="s">
        <v>70</v>
      </c>
      <c r="D10" s="27">
        <f>SUM(D8:D9)</f>
        <v>-2000000</v>
      </c>
      <c r="E10" s="27">
        <f>SUM(E8:E9)</f>
        <v>0</v>
      </c>
      <c r="F10" s="27">
        <f t="shared" ref="F10:S10" si="1">SUM(F8:F9)</f>
        <v>0</v>
      </c>
      <c r="G10" s="27">
        <f t="shared" si="1"/>
        <v>0</v>
      </c>
      <c r="H10" s="27">
        <f t="shared" si="1"/>
        <v>0</v>
      </c>
      <c r="I10" s="27">
        <f t="shared" si="1"/>
        <v>0</v>
      </c>
      <c r="J10" s="27">
        <f t="shared" si="1"/>
        <v>0</v>
      </c>
      <c r="K10" s="27">
        <f t="shared" si="1"/>
        <v>0</v>
      </c>
      <c r="L10" s="27">
        <f t="shared" si="1"/>
        <v>0</v>
      </c>
      <c r="M10" s="27">
        <f t="shared" si="1"/>
        <v>0</v>
      </c>
      <c r="N10" s="27">
        <f t="shared" si="1"/>
        <v>0</v>
      </c>
      <c r="O10" s="27">
        <f t="shared" si="1"/>
        <v>0</v>
      </c>
      <c r="P10" s="27">
        <f t="shared" si="1"/>
        <v>0</v>
      </c>
      <c r="Q10" s="27">
        <f t="shared" si="1"/>
        <v>0</v>
      </c>
      <c r="R10" s="27">
        <f t="shared" si="1"/>
        <v>0</v>
      </c>
      <c r="S10" s="27">
        <f t="shared" si="1"/>
        <v>3856924.4935510899</v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</row>
    <row r="11" spans="3:29">
      <c r="C11" t="s">
        <v>71</v>
      </c>
      <c r="D11" s="23">
        <f>VLOOKUP(D3,'H_Time hypothesis'!$C$9:$D$10,2,TRUE)</f>
        <v>701875</v>
      </c>
      <c r="E11" s="23">
        <f>VLOOKUP(E3,'H_Time hypothesis'!$C$9:$D$10,2,TRUE)</f>
        <v>0</v>
      </c>
      <c r="F11" s="23">
        <f>VLOOKUP(F3,'H_Time hypothesis'!$C$9:$D$10,2,TRUE)</f>
        <v>0</v>
      </c>
      <c r="G11" s="23">
        <f>VLOOKUP(G3,'H_Time hypothesis'!$C$9:$D$10,2,TRUE)</f>
        <v>0</v>
      </c>
      <c r="H11" s="23">
        <f>VLOOKUP(H3,'H_Time hypothesis'!$C$9:$D$10,2,TRUE)</f>
        <v>0</v>
      </c>
      <c r="I11" s="23">
        <f>VLOOKUP(I3,'H_Time hypothesis'!$C$9:$D$10,2,TRUE)</f>
        <v>0</v>
      </c>
      <c r="J11" s="23">
        <f>VLOOKUP(J3,'H_Time hypothesis'!$C$9:$D$10,2,TRUE)</f>
        <v>0</v>
      </c>
      <c r="K11" s="23">
        <f>VLOOKUP(K3,'H_Time hypothesis'!$C$9:$D$10,2,TRUE)</f>
        <v>0</v>
      </c>
      <c r="L11" s="23">
        <f>VLOOKUP(L3,'H_Time hypothesis'!$C$9:$D$10,2,TRUE)</f>
        <v>0</v>
      </c>
      <c r="M11" s="23">
        <f>VLOOKUP(M3,'H_Time hypothesis'!$C$9:$D$10,2,TRUE)</f>
        <v>0</v>
      </c>
      <c r="N11" s="23">
        <f>VLOOKUP(N3,'H_Time hypothesis'!$C$9:$D$10,2,TRUE)</f>
        <v>0</v>
      </c>
      <c r="O11" s="23">
        <f>VLOOKUP(O3,'H_Time hypothesis'!$C$9:$D$10,2,TRUE)</f>
        <v>0</v>
      </c>
      <c r="P11" s="23">
        <f>VLOOKUP(P3,'H_Time hypothesis'!$C$9:$D$10,2,TRUE)</f>
        <v>0</v>
      </c>
      <c r="Q11" s="23">
        <f>VLOOKUP(Q3,'H_Time hypothesis'!$C$9:$D$10,2,TRUE)</f>
        <v>0</v>
      </c>
      <c r="R11" s="23">
        <f>VLOOKUP(R3,'H_Time hypothesis'!$C$9:$D$10,2,TRUE)</f>
        <v>0</v>
      </c>
      <c r="S11" s="23">
        <f>VLOOKUP(S3,'H_Time hypothesis'!$C$9:$D$10,2,TRUE)</f>
        <v>0</v>
      </c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3:29">
      <c r="C12" t="s">
        <v>72</v>
      </c>
      <c r="D12" s="23">
        <f>VLOOKUP(D3,'H_Time hypothesis'!$C$13:$D$14,2,TRUE)</f>
        <v>1312500</v>
      </c>
      <c r="E12" s="23">
        <f>VLOOKUP(E3,'H_Time hypothesis'!$C$13:$D$14,2,TRUE)</f>
        <v>0</v>
      </c>
      <c r="F12" s="23">
        <f>VLOOKUP(F3,'H_Time hypothesis'!$C$13:$D$14,2,TRUE)</f>
        <v>0</v>
      </c>
      <c r="G12" s="23">
        <f>VLOOKUP(G3,'H_Time hypothesis'!$C$13:$D$14,2,TRUE)</f>
        <v>0</v>
      </c>
      <c r="H12" s="23">
        <f>VLOOKUP(H3,'H_Time hypothesis'!$C$13:$D$14,2,TRUE)</f>
        <v>0</v>
      </c>
      <c r="I12" s="23">
        <f>VLOOKUP(I3,'H_Time hypothesis'!$C$13:$D$14,2,TRUE)</f>
        <v>0</v>
      </c>
      <c r="J12" s="23">
        <f>VLOOKUP(J3,'H_Time hypothesis'!$C$13:$D$14,2,TRUE)</f>
        <v>0</v>
      </c>
      <c r="K12" s="23">
        <f>VLOOKUP(K3,'H_Time hypothesis'!$C$13:$D$14,2,TRUE)</f>
        <v>0</v>
      </c>
      <c r="L12" s="23">
        <f>VLOOKUP(L3,'H_Time hypothesis'!$C$13:$D$14,2,TRUE)</f>
        <v>0</v>
      </c>
      <c r="M12" s="23">
        <f>VLOOKUP(M3,'H_Time hypothesis'!$C$13:$D$14,2,TRUE)</f>
        <v>0</v>
      </c>
      <c r="N12" s="23">
        <f>VLOOKUP(N3,'H_Time hypothesis'!$C$13:$D$14,2,TRUE)</f>
        <v>0</v>
      </c>
      <c r="O12" s="23">
        <f>VLOOKUP(O3,'H_Time hypothesis'!$C$13:$D$14,2,TRUE)</f>
        <v>0</v>
      </c>
      <c r="P12" s="23">
        <f>VLOOKUP(P3,'H_Time hypothesis'!$C$13:$D$14,2,TRUE)</f>
        <v>0</v>
      </c>
      <c r="Q12" s="23">
        <f>VLOOKUP(Q3,'H_Time hypothesis'!$C$13:$D$14,2,TRUE)</f>
        <v>0</v>
      </c>
      <c r="R12" s="23">
        <f>VLOOKUP(R3,'H_Time hypothesis'!$C$13:$D$14,2,TRUE)</f>
        <v>0</v>
      </c>
      <c r="S12" s="23">
        <f>VLOOKUP(S3,'H_Time hypothesis'!$C$13:$D$14,2,TRUE)</f>
        <v>0</v>
      </c>
      <c r="T12" s="23"/>
      <c r="U12" s="23"/>
      <c r="V12" s="23"/>
      <c r="W12" s="23"/>
      <c r="X12" s="23"/>
      <c r="Y12" s="23"/>
      <c r="Z12" s="23"/>
      <c r="AA12" s="23"/>
      <c r="AB12" s="23"/>
      <c r="AC12" s="23"/>
    </row>
    <row r="13" spans="3:29">
      <c r="C13" t="s">
        <v>73</v>
      </c>
      <c r="D13" s="23">
        <f>-1*(D3=D_Assumptions!$N$9)*'H_Time hypothesis'!$D$13</f>
        <v>0</v>
      </c>
      <c r="E13" s="23">
        <f>-1*(E3=D_Assumptions!$N$9)*'H_Time hypothesis'!$D$13</f>
        <v>0</v>
      </c>
      <c r="F13" s="23">
        <f>-1*(F3=D_Assumptions!$N$9)*'H_Time hypothesis'!$D$13</f>
        <v>0</v>
      </c>
      <c r="G13" s="23">
        <f>-1*(G3=D_Assumptions!$N$9)*'H_Time hypothesis'!$D$13</f>
        <v>0</v>
      </c>
      <c r="H13" s="23">
        <f>-1*(H3=D_Assumptions!$N$9)*'H_Time hypothesis'!$D$13</f>
        <v>0</v>
      </c>
      <c r="I13" s="23">
        <f>-1*(I3=D_Assumptions!$N$9)*'H_Time hypothesis'!$D$13</f>
        <v>0</v>
      </c>
      <c r="J13" s="23">
        <f>-1*(J3=D_Assumptions!$N$9)*'H_Time hypothesis'!$D$13</f>
        <v>0</v>
      </c>
      <c r="K13" s="23">
        <f>-1*(K3=D_Assumptions!$N$9)*'H_Time hypothesis'!$D$13</f>
        <v>0</v>
      </c>
      <c r="L13" s="23">
        <f>-1*(L3=D_Assumptions!$N$9)*'H_Time hypothesis'!$D$13</f>
        <v>0</v>
      </c>
      <c r="M13" s="23">
        <f>-1*(M3=D_Assumptions!$N$9)*'H_Time hypothesis'!$D$13</f>
        <v>0</v>
      </c>
      <c r="N13" s="23">
        <f>-1*(N3=D_Assumptions!$N$9)*'H_Time hypothesis'!$D$13</f>
        <v>0</v>
      </c>
      <c r="O13" s="23">
        <f>-1*(O3=D_Assumptions!$N$9)*'H_Time hypothesis'!$D$13</f>
        <v>0</v>
      </c>
      <c r="P13" s="23">
        <f>-1*(P3=D_Assumptions!$N$9)*'H_Time hypothesis'!$D$13</f>
        <v>0</v>
      </c>
      <c r="Q13" s="23">
        <f>-1*(Q3=D_Assumptions!$N$9)*'H_Time hypothesis'!$D$13</f>
        <v>0</v>
      </c>
      <c r="R13" s="23">
        <f>-1*(R3=D_Assumptions!$N$9)*'H_Time hypothesis'!$D$13</f>
        <v>0</v>
      </c>
      <c r="S13" s="23">
        <f>-1*(S3=D_Assumptions!$N$9)*'H_Time hypothesis'!$D$13</f>
        <v>-1312500</v>
      </c>
      <c r="T13" s="23"/>
      <c r="U13" s="23"/>
      <c r="V13" s="23"/>
      <c r="W13" s="23"/>
      <c r="X13" s="23"/>
      <c r="Y13" s="23"/>
      <c r="Z13" s="23"/>
      <c r="AA13" s="23"/>
      <c r="AB13" s="23"/>
      <c r="AC13" s="23"/>
    </row>
    <row r="14" spans="3:29">
      <c r="C14" t="s">
        <v>74</v>
      </c>
    </row>
    <row r="15" spans="3:29" ht="13">
      <c r="C15" s="26" t="s">
        <v>75</v>
      </c>
      <c r="D15" s="27">
        <f>SUM(D11:D14)</f>
        <v>2014375</v>
      </c>
      <c r="E15" s="27">
        <f>SUM(E11:E14)</f>
        <v>0</v>
      </c>
      <c r="F15" s="27">
        <f t="shared" ref="F15:S15" si="2">SUM(F11:F14)</f>
        <v>0</v>
      </c>
      <c r="G15" s="27">
        <f t="shared" si="2"/>
        <v>0</v>
      </c>
      <c r="H15" s="27">
        <f t="shared" si="2"/>
        <v>0</v>
      </c>
      <c r="I15" s="27">
        <f t="shared" si="2"/>
        <v>0</v>
      </c>
      <c r="J15" s="27">
        <f t="shared" si="2"/>
        <v>0</v>
      </c>
      <c r="K15" s="27">
        <f t="shared" si="2"/>
        <v>0</v>
      </c>
      <c r="L15" s="27">
        <f t="shared" si="2"/>
        <v>0</v>
      </c>
      <c r="M15" s="27">
        <f t="shared" si="2"/>
        <v>0</v>
      </c>
      <c r="N15" s="27">
        <f t="shared" si="2"/>
        <v>0</v>
      </c>
      <c r="O15" s="27">
        <f t="shared" si="2"/>
        <v>0</v>
      </c>
      <c r="P15" s="27">
        <f t="shared" si="2"/>
        <v>0</v>
      </c>
      <c r="Q15" s="27">
        <f t="shared" si="2"/>
        <v>0</v>
      </c>
      <c r="R15" s="27">
        <f t="shared" si="2"/>
        <v>0</v>
      </c>
      <c r="S15" s="27">
        <f t="shared" si="2"/>
        <v>-1312500</v>
      </c>
      <c r="T15" s="27"/>
      <c r="U15" s="27"/>
      <c r="V15" s="27"/>
      <c r="W15" s="27"/>
      <c r="X15" s="27"/>
      <c r="Y15" s="27"/>
      <c r="Z15" s="27"/>
      <c r="AA15" s="27"/>
      <c r="AB15" s="27"/>
      <c r="AC15" s="27"/>
    </row>
    <row r="16" spans="3:29" ht="13">
      <c r="C16" s="26" t="s">
        <v>76</v>
      </c>
      <c r="D16" s="27">
        <f>D7+D10+D15</f>
        <v>0</v>
      </c>
      <c r="E16" s="27">
        <f>E7+E10+E15</f>
        <v>0</v>
      </c>
      <c r="F16" s="27">
        <f t="shared" ref="F16:S16" si="3">F7+F10+F15</f>
        <v>0</v>
      </c>
      <c r="G16" s="27">
        <f t="shared" si="3"/>
        <v>0</v>
      </c>
      <c r="H16" s="27">
        <f t="shared" si="3"/>
        <v>0</v>
      </c>
      <c r="I16" s="27">
        <f t="shared" si="3"/>
        <v>0</v>
      </c>
      <c r="J16" s="27">
        <f t="shared" si="3"/>
        <v>0</v>
      </c>
      <c r="K16" s="27">
        <f t="shared" si="3"/>
        <v>0</v>
      </c>
      <c r="L16" s="27">
        <f t="shared" si="3"/>
        <v>0</v>
      </c>
      <c r="M16" s="27">
        <f t="shared" si="3"/>
        <v>0</v>
      </c>
      <c r="N16" s="27">
        <f t="shared" si="3"/>
        <v>0</v>
      </c>
      <c r="O16" s="27">
        <f t="shared" si="3"/>
        <v>0</v>
      </c>
      <c r="P16" s="27">
        <f t="shared" si="3"/>
        <v>0</v>
      </c>
      <c r="Q16" s="27">
        <f t="shared" si="3"/>
        <v>0</v>
      </c>
      <c r="R16" s="27">
        <f t="shared" si="3"/>
        <v>0</v>
      </c>
      <c r="S16" s="27">
        <f t="shared" si="3"/>
        <v>2680785.6848315336</v>
      </c>
      <c r="T16" s="27"/>
      <c r="U16" s="27"/>
      <c r="V16" s="27"/>
      <c r="W16" s="27"/>
      <c r="X16" s="27"/>
      <c r="Y16" s="27"/>
      <c r="Z16" s="27"/>
      <c r="AA16" s="27"/>
      <c r="AB16" s="27"/>
      <c r="AC16" s="27"/>
    </row>
    <row r="18" spans="3:29" ht="13">
      <c r="C18" s="26" t="s">
        <v>97</v>
      </c>
      <c r="D18" s="27">
        <f>SUM(D7:D9,D12:D13)</f>
        <v>-701875</v>
      </c>
      <c r="E18" s="27">
        <f t="shared" ref="E18:S18" si="4">SUM(E7:E9,E12:E13)</f>
        <v>0</v>
      </c>
      <c r="F18" s="27">
        <f t="shared" si="4"/>
        <v>0</v>
      </c>
      <c r="G18" s="27">
        <f t="shared" si="4"/>
        <v>0</v>
      </c>
      <c r="H18" s="27">
        <f t="shared" si="4"/>
        <v>0</v>
      </c>
      <c r="I18" s="27">
        <f t="shared" si="4"/>
        <v>0</v>
      </c>
      <c r="J18" s="27">
        <f t="shared" si="4"/>
        <v>0</v>
      </c>
      <c r="K18" s="27">
        <f t="shared" si="4"/>
        <v>0</v>
      </c>
      <c r="L18" s="27">
        <f t="shared" si="4"/>
        <v>0</v>
      </c>
      <c r="M18" s="27">
        <f t="shared" si="4"/>
        <v>0</v>
      </c>
      <c r="N18" s="27">
        <f t="shared" si="4"/>
        <v>0</v>
      </c>
      <c r="O18" s="27">
        <f t="shared" si="4"/>
        <v>0</v>
      </c>
      <c r="P18" s="27">
        <f t="shared" si="4"/>
        <v>0</v>
      </c>
      <c r="Q18" s="27">
        <f t="shared" si="4"/>
        <v>0</v>
      </c>
      <c r="R18" s="27">
        <f t="shared" si="4"/>
        <v>0</v>
      </c>
      <c r="S18" s="27">
        <f t="shared" si="4"/>
        <v>2680785.6848315336</v>
      </c>
      <c r="T18" s="27"/>
      <c r="U18" s="27"/>
      <c r="V18" s="27"/>
      <c r="W18" s="27"/>
      <c r="X18" s="27"/>
      <c r="Y18" s="27"/>
      <c r="Z18" s="27"/>
      <c r="AA18" s="27"/>
      <c r="AB18" s="27"/>
      <c r="AC18" s="27"/>
    </row>
    <row r="19" spans="3:29">
      <c r="D19" s="39"/>
      <c r="E19" s="40"/>
    </row>
    <row r="20" spans="3:29" ht="13">
      <c r="C20" s="26"/>
      <c r="D20" s="40"/>
      <c r="E20" s="40"/>
    </row>
    <row r="22" spans="3:29"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</row>
    <row r="23" spans="3:29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</row>
    <row r="24" spans="3:29">
      <c r="S24" s="23"/>
    </row>
    <row r="25" spans="3:29">
      <c r="S25" s="23"/>
    </row>
    <row r="27" spans="3:29">
      <c r="D27" s="2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5A3B6-0CF2-477F-BC72-272DF9CA2BCF}">
  <sheetPr codeName="Feuil5">
    <tabColor theme="9"/>
  </sheetPr>
  <dimension ref="C2:AC7"/>
  <sheetViews>
    <sheetView workbookViewId="0">
      <selection activeCell="F11" sqref="F11"/>
    </sheetView>
  </sheetViews>
  <sheetFormatPr baseColWidth="10" defaultRowHeight="12.5"/>
  <sheetData>
    <row r="2" spans="3:29" ht="13">
      <c r="D2" s="48" t="s">
        <v>35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3:29" ht="13">
      <c r="D3" s="48" cm="1">
        <f t="array" ref="D3:S3">TRANSPOSE(_xlfn.SEQUENCE(D_Assumptions!$N$8+1,1,D_Assumptions!$G$8-1,1))</f>
        <v>2020</v>
      </c>
      <c r="E3" s="48">
        <v>2021</v>
      </c>
      <c r="F3" s="48">
        <v>2022</v>
      </c>
      <c r="G3" s="48">
        <v>2023</v>
      </c>
      <c r="H3" s="48">
        <v>2024</v>
      </c>
      <c r="I3" s="48">
        <v>2025</v>
      </c>
      <c r="J3" s="48">
        <v>2026</v>
      </c>
      <c r="K3" s="48">
        <v>2027</v>
      </c>
      <c r="L3" s="48">
        <v>2028</v>
      </c>
      <c r="M3" s="48">
        <v>2029</v>
      </c>
      <c r="N3" s="48">
        <v>2030</v>
      </c>
      <c r="O3" s="48">
        <v>2031</v>
      </c>
      <c r="P3" s="48">
        <v>2032</v>
      </c>
      <c r="Q3" s="48">
        <v>2033</v>
      </c>
      <c r="R3" s="48">
        <v>2034</v>
      </c>
      <c r="S3" s="48">
        <v>2035</v>
      </c>
    </row>
    <row r="5" spans="3:29">
      <c r="C5" t="s">
        <v>93</v>
      </c>
      <c r="E5" s="23">
        <f>SUM(C_CdR!E8,C_CdR!E11:E13,C_CdR!E15)</f>
        <v>-73462.5</v>
      </c>
      <c r="F5" s="23">
        <f>SUM(C_CdR!F8,C_CdR!F11:F13,C_CdR!F15)</f>
        <v>-74715.75</v>
      </c>
      <c r="G5" s="23">
        <f>SUM(C_CdR!G8,C_CdR!G11:G13,C_CdR!G15)</f>
        <v>-76037.881499999989</v>
      </c>
      <c r="H5" s="23">
        <f>SUM(C_CdR!H8,C_CdR!H11:H13,C_CdR!H15)</f>
        <v>-77432.725854000004</v>
      </c>
      <c r="I5" s="23">
        <f>SUM(C_CdR!I8,C_CdR!I11:I13,C_CdR!I15)</f>
        <v>-78904.328451623995</v>
      </c>
      <c r="J5" s="23">
        <f>SUM(C_CdR!J8,C_CdR!J11:J13,C_CdR!J15)</f>
        <v>-80456.960693710935</v>
      </c>
      <c r="K5" s="23">
        <f>SUM(C_CdR!K8,C_CdR!K11:K13,C_CdR!K15)</f>
        <v>-82095.132638330688</v>
      </c>
      <c r="L5" s="23">
        <f>SUM(C_CdR!L8,C_CdR!L11:L13,C_CdR!L15)</f>
        <v>-83823.606354764546</v>
      </c>
      <c r="M5" s="23">
        <f>SUM(C_CdR!M8,C_CdR!M11:M13,C_CdR!M15)</f>
        <v>-85647.410025092453</v>
      </c>
      <c r="N5" s="23">
        <f>SUM(C_CdR!N8,C_CdR!N11:N13,C_CdR!N15)</f>
        <v>-87571.852835247977</v>
      </c>
      <c r="O5" s="23">
        <f>SUM(C_CdR!O8,C_CdR!O11:O13,C_CdR!O15)</f>
        <v>-89602.540699747202</v>
      </c>
      <c r="P5" s="23">
        <f>SUM(C_CdR!P8,C_CdR!P11:P13,C_CdR!P15)</f>
        <v>-91745.392866772876</v>
      </c>
      <c r="Q5" s="23">
        <f>SUM(C_CdR!Q8,C_CdR!Q11:Q13,C_CdR!Q15)</f>
        <v>-94006.659452908789</v>
      </c>
      <c r="R5" s="23">
        <f>SUM(C_CdR!R8,C_CdR!R11:R13,C_CdR!R15)</f>
        <v>-96392.939959580253</v>
      </c>
      <c r="S5" s="23">
        <f>SUM(C_CdR!S8,C_CdR!S11:S13,C_CdR!S15)</f>
        <v>-137480.44776168242</v>
      </c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3:29">
      <c r="C6" t="s">
        <v>94</v>
      </c>
      <c r="E6" s="23">
        <f>SUM(C_Property_Valuation!E5:E7)</f>
        <v>44.625</v>
      </c>
      <c r="F6" s="23">
        <f>SUM(C_Property_Valuation!F5:F7)</f>
        <v>45.517499999999991</v>
      </c>
      <c r="G6" s="23">
        <f>SUM(C_Property_Valuation!G5:G7)</f>
        <v>46.427849999999999</v>
      </c>
      <c r="H6" s="23">
        <f>SUM(C_Property_Valuation!H5:H7)</f>
        <v>47.356406999999997</v>
      </c>
      <c r="I6" s="23">
        <f>SUM(C_Property_Valuation!I5:I7)</f>
        <v>48.303535139999994</v>
      </c>
      <c r="J6" s="23">
        <f>SUM(C_Property_Valuation!J5:J7)</f>
        <v>49.269605842800004</v>
      </c>
      <c r="K6" s="23">
        <f>SUM(C_Property_Valuation!K5:K7)</f>
        <v>50.254997959655988</v>
      </c>
      <c r="L6" s="23">
        <f>SUM(C_Property_Valuation!L5:L7)</f>
        <v>51.260097918849112</v>
      </c>
      <c r="M6" s="23">
        <f>SUM(C_Property_Valuation!M5:M7)</f>
        <v>52.285299877226102</v>
      </c>
      <c r="N6" s="23">
        <f>SUM(C_Property_Valuation!N5:N7)</f>
        <v>53.331005874770625</v>
      </c>
      <c r="O6" s="23">
        <f>SUM(C_Property_Valuation!O5:O7)</f>
        <v>54.397625992266029</v>
      </c>
      <c r="P6" s="23">
        <f>SUM(C_Property_Valuation!P5:P7)</f>
        <v>55.485578512111353</v>
      </c>
      <c r="Q6" s="23">
        <f>SUM(C_Property_Valuation!Q5:Q7)</f>
        <v>56.595290082353578</v>
      </c>
      <c r="R6" s="23">
        <f>SUM(C_Property_Valuation!R5:R7)</f>
        <v>57.727195884000658</v>
      </c>
      <c r="S6" s="23">
        <f>SUM(C_Property_Valuation!S5:S7)</f>
        <v>58.881739801680659</v>
      </c>
      <c r="T6" s="23"/>
      <c r="U6" s="23"/>
      <c r="V6" s="23"/>
      <c r="W6" s="23"/>
      <c r="X6" s="23"/>
      <c r="Y6" s="23"/>
      <c r="Z6" s="23"/>
      <c r="AA6" s="23"/>
      <c r="AB6" s="23"/>
      <c r="AC6" s="23"/>
    </row>
    <row r="7" spans="3:29">
      <c r="C7" t="s">
        <v>95</v>
      </c>
      <c r="E7" s="38">
        <v>1646.2184873949579</v>
      </c>
      <c r="F7" s="38">
        <v>1641.4730598121605</v>
      </c>
      <c r="G7" s="38">
        <v>1637.7644344935204</v>
      </c>
      <c r="H7" s="38">
        <v>1635.1055909710381</v>
      </c>
      <c r="I7" s="38">
        <v>1633.5104298874305</v>
      </c>
      <c r="J7" s="38">
        <v>1632.9937964273056</v>
      </c>
      <c r="K7" s="38">
        <v>1633.5715047533286</v>
      </c>
      <c r="L7" s="38">
        <v>1635.2603634793554</v>
      </c>
      <c r="M7" s="38">
        <v>1638.078202213733</v>
      </c>
      <c r="N7" s="38">
        <v>1642.0438992071536</v>
      </c>
      <c r="O7" s="38">
        <v>1647.1774101407739</v>
      </c>
      <c r="P7" s="38">
        <v>1653.4997980916205</v>
      </c>
      <c r="Q7" s="38">
        <v>1661.033264713667</v>
      </c>
      <c r="R7" s="38">
        <v>1669.8011826743862</v>
      </c>
      <c r="S7" s="38">
        <v>2334.8570919393642</v>
      </c>
      <c r="T7" s="38"/>
      <c r="U7" s="38"/>
      <c r="V7" s="38"/>
      <c r="W7" s="38"/>
      <c r="X7" s="38"/>
      <c r="Y7" s="38"/>
      <c r="Z7" s="38"/>
      <c r="AA7" s="38"/>
      <c r="AB7" s="38"/>
      <c r="AC7" s="3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MàJ_V2C">
                <anchor moveWithCells="1" sizeWithCells="1">
                  <from>
                    <xdr:col>1</xdr:col>
                    <xdr:colOff>0</xdr:colOff>
                    <xdr:row>1</xdr:row>
                    <xdr:rowOff>12700</xdr:rowOff>
                  </from>
                  <to>
                    <xdr:col>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D8AB7-86A4-4C7D-896A-4D6C3451434A}">
  <sheetPr codeName="Feuil8">
    <tabColor theme="9"/>
  </sheetPr>
  <dimension ref="B2:AC9"/>
  <sheetViews>
    <sheetView topLeftCell="P1" workbookViewId="0">
      <selection activeCell="T5" sqref="T5:AC9"/>
    </sheetView>
  </sheetViews>
  <sheetFormatPr baseColWidth="10" defaultRowHeight="12.5"/>
  <sheetData>
    <row r="2" spans="2:29" ht="13">
      <c r="D2" s="48" t="s">
        <v>35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2:29" ht="13">
      <c r="D3" s="48" cm="1">
        <f t="array" ref="D3:S3">TRANSPOSE(_xlfn.SEQUENCE(D_Assumptions!$N$8+1,1,D_Assumptions!$G$8-1,1))</f>
        <v>2020</v>
      </c>
      <c r="E3" s="48">
        <v>2021</v>
      </c>
      <c r="F3" s="48">
        <v>2022</v>
      </c>
      <c r="G3" s="48">
        <v>2023</v>
      </c>
      <c r="H3" s="48">
        <v>2024</v>
      </c>
      <c r="I3" s="48">
        <v>2025</v>
      </c>
      <c r="J3" s="48">
        <v>2026</v>
      </c>
      <c r="K3" s="48">
        <v>2027</v>
      </c>
      <c r="L3" s="48">
        <v>2028</v>
      </c>
      <c r="M3" s="48">
        <v>2029</v>
      </c>
      <c r="N3" s="48">
        <v>2030</v>
      </c>
      <c r="O3" s="48">
        <v>2031</v>
      </c>
      <c r="P3" s="48">
        <v>2032</v>
      </c>
      <c r="Q3" s="48">
        <v>2033</v>
      </c>
      <c r="R3" s="48">
        <v>2034</v>
      </c>
      <c r="S3" s="48">
        <v>2035</v>
      </c>
    </row>
    <row r="5" spans="2:29">
      <c r="C5" t="s">
        <v>40</v>
      </c>
      <c r="D5" s="34"/>
      <c r="E5" s="25">
        <f>D9</f>
        <v>50000</v>
      </c>
      <c r="F5" s="25">
        <f>E9</f>
        <v>50853.781512605041</v>
      </c>
      <c r="G5" s="25">
        <f t="shared" ref="G5:S5" si="0">F9</f>
        <v>51754.997528423133</v>
      </c>
      <c r="H5" s="25">
        <f t="shared" si="0"/>
        <v>52704.982970350771</v>
      </c>
      <c r="I5" s="25">
        <f t="shared" si="0"/>
        <v>53705.126527897271</v>
      </c>
      <c r="J5" s="25">
        <f t="shared" si="0"/>
        <v>54756.872424404704</v>
      </c>
      <c r="K5" s="25">
        <f t="shared" si="0"/>
        <v>55861.722249197635</v>
      </c>
      <c r="L5" s="25">
        <f t="shared" si="0"/>
        <v>57021.236856904186</v>
      </c>
      <c r="M5" s="25">
        <f t="shared" si="0"/>
        <v>58237.038336270038</v>
      </c>
      <c r="N5" s="25">
        <f t="shared" si="0"/>
        <v>59510.812050869805</v>
      </c>
      <c r="O5" s="25">
        <f t="shared" si="0"/>
        <v>60844.308754206148</v>
      </c>
      <c r="P5" s="25">
        <f t="shared" si="0"/>
        <v>62239.346781775683</v>
      </c>
      <c r="Q5" s="25">
        <f t="shared" si="0"/>
        <v>63697.814322772843</v>
      </c>
      <c r="R5" s="25">
        <f t="shared" si="0"/>
        <v>65221.671774197821</v>
      </c>
      <c r="S5" s="25">
        <f t="shared" si="0"/>
        <v>66812.954180233326</v>
      </c>
      <c r="T5" s="25"/>
      <c r="U5" s="25"/>
      <c r="V5" s="25"/>
      <c r="W5" s="25"/>
      <c r="X5" s="25"/>
      <c r="Y5" s="25"/>
      <c r="Z5" s="25"/>
      <c r="AA5" s="25"/>
      <c r="AB5" s="25"/>
      <c r="AC5" s="25"/>
    </row>
    <row r="6" spans="2:29">
      <c r="C6" s="24" t="s">
        <v>41</v>
      </c>
      <c r="D6" s="35"/>
      <c r="E6" s="25">
        <f>E5*D_Assumptions!$G$15</f>
        <v>2500</v>
      </c>
      <c r="F6" s="25">
        <f>F5*D_Assumptions!$G$15</f>
        <v>2542.6890756302523</v>
      </c>
      <c r="G6" s="25">
        <f>G5*D_Assumptions!$G$15</f>
        <v>2587.7498764211568</v>
      </c>
      <c r="H6" s="25">
        <f>H5*D_Assumptions!$G$15</f>
        <v>2635.2491485175387</v>
      </c>
      <c r="I6" s="25">
        <f>I5*D_Assumptions!$G$15</f>
        <v>2685.2563263948637</v>
      </c>
      <c r="J6" s="25">
        <f>J5*D_Assumptions!$G$15</f>
        <v>2737.8436212202355</v>
      </c>
      <c r="K6" s="25">
        <f>K5*D_Assumptions!$G$15</f>
        <v>2793.0861124598819</v>
      </c>
      <c r="L6" s="25">
        <f>L5*D_Assumptions!$G$15</f>
        <v>2851.0618428452094</v>
      </c>
      <c r="M6" s="25">
        <f>M5*D_Assumptions!$G$15</f>
        <v>2911.8519168135022</v>
      </c>
      <c r="N6" s="25">
        <f>N5*D_Assumptions!$G$15</f>
        <v>2975.5406025434904</v>
      </c>
      <c r="O6" s="25">
        <f>O5*D_Assumptions!$G$15</f>
        <v>3042.2154377103075</v>
      </c>
      <c r="P6" s="25">
        <f>P5*D_Assumptions!$G$15</f>
        <v>3111.9673390887842</v>
      </c>
      <c r="Q6" s="25">
        <f>Q5*D_Assumptions!$G$15</f>
        <v>3184.8907161386423</v>
      </c>
      <c r="R6" s="25">
        <f>R5*D_Assumptions!$G$15</f>
        <v>3261.083588709891</v>
      </c>
      <c r="S6" s="25">
        <f>S5*D_Assumptions!$G$15</f>
        <v>3340.6477090116664</v>
      </c>
      <c r="T6" s="25"/>
      <c r="U6" s="25"/>
      <c r="V6" s="25"/>
      <c r="W6" s="25"/>
      <c r="X6" s="25"/>
      <c r="Y6" s="25"/>
      <c r="Z6" s="25"/>
      <c r="AA6" s="25"/>
      <c r="AB6" s="25"/>
      <c r="AC6" s="25"/>
    </row>
    <row r="7" spans="2:29">
      <c r="B7" t="s">
        <v>44</v>
      </c>
      <c r="C7" s="24" t="s">
        <v>42</v>
      </c>
      <c r="D7" s="35"/>
      <c r="E7" s="25">
        <f>-1*C_Woodcutting!E7</f>
        <v>-1646.2184873949579</v>
      </c>
      <c r="F7" s="25">
        <f>-1*C_Woodcutting!F7</f>
        <v>-1641.4730598121605</v>
      </c>
      <c r="G7" s="25">
        <f>-1*C_Woodcutting!G7</f>
        <v>-1637.7644344935204</v>
      </c>
      <c r="H7" s="25">
        <f>-1*C_Woodcutting!H7</f>
        <v>-1635.1055909710381</v>
      </c>
      <c r="I7" s="25">
        <f>-1*C_Woodcutting!I7</f>
        <v>-1633.5104298874305</v>
      </c>
      <c r="J7" s="25">
        <f>-1*C_Woodcutting!J7</f>
        <v>-1632.9937964273056</v>
      </c>
      <c r="K7" s="25">
        <f>-1*C_Woodcutting!K7</f>
        <v>-1633.5715047533286</v>
      </c>
      <c r="L7" s="25">
        <f>-1*C_Woodcutting!L7</f>
        <v>-1635.2603634793554</v>
      </c>
      <c r="M7" s="25">
        <f>-1*C_Woodcutting!M7</f>
        <v>-1638.078202213733</v>
      </c>
      <c r="N7" s="25">
        <f>-1*C_Woodcutting!N7</f>
        <v>-1642.0438992071536</v>
      </c>
      <c r="O7" s="25">
        <f>-1*C_Woodcutting!O7</f>
        <v>-1647.1774101407739</v>
      </c>
      <c r="P7" s="25">
        <f>-1*C_Woodcutting!P7</f>
        <v>-1653.4997980916205</v>
      </c>
      <c r="Q7" s="25">
        <f>-1*C_Woodcutting!Q7</f>
        <v>-1661.033264713667</v>
      </c>
      <c r="R7" s="25">
        <f>-1*C_Woodcutting!R7</f>
        <v>-1669.8011826743862</v>
      </c>
      <c r="S7" s="25">
        <f>-1*C_Woodcutting!S7</f>
        <v>-2334.8570919393642</v>
      </c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2:29">
      <c r="C8" s="24" t="s">
        <v>56</v>
      </c>
      <c r="D8" s="35"/>
      <c r="E8" s="25">
        <f>-1*E7</f>
        <v>1646.2184873949579</v>
      </c>
      <c r="F8" s="25">
        <f t="shared" ref="F8:S8" si="1">-1*F7</f>
        <v>1641.4730598121605</v>
      </c>
      <c r="G8" s="25">
        <f t="shared" si="1"/>
        <v>1637.7644344935204</v>
      </c>
      <c r="H8" s="25">
        <f t="shared" si="1"/>
        <v>1635.1055909710381</v>
      </c>
      <c r="I8" s="25">
        <f t="shared" si="1"/>
        <v>1633.5104298874305</v>
      </c>
      <c r="J8" s="25">
        <f t="shared" si="1"/>
        <v>1632.9937964273056</v>
      </c>
      <c r="K8" s="25">
        <f t="shared" si="1"/>
        <v>1633.5715047533286</v>
      </c>
      <c r="L8" s="25">
        <f t="shared" si="1"/>
        <v>1635.2603634793554</v>
      </c>
      <c r="M8" s="25">
        <f t="shared" si="1"/>
        <v>1638.078202213733</v>
      </c>
      <c r="N8" s="25">
        <f t="shared" si="1"/>
        <v>1642.0438992071536</v>
      </c>
      <c r="O8" s="25">
        <f t="shared" si="1"/>
        <v>1647.1774101407739</v>
      </c>
      <c r="P8" s="25">
        <f t="shared" si="1"/>
        <v>1653.4997980916205</v>
      </c>
      <c r="Q8" s="25">
        <f t="shared" si="1"/>
        <v>1661.033264713667</v>
      </c>
      <c r="R8" s="25">
        <f t="shared" si="1"/>
        <v>1669.8011826743862</v>
      </c>
      <c r="S8" s="25">
        <f t="shared" si="1"/>
        <v>2334.8570919393642</v>
      </c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2:29">
      <c r="C9" t="s">
        <v>43</v>
      </c>
      <c r="D9" s="25">
        <f>D_Assumptions!$G$13</f>
        <v>50000</v>
      </c>
      <c r="E9" s="25">
        <f>SUM(E5:E7)</f>
        <v>50853.781512605041</v>
      </c>
      <c r="F9" s="25">
        <f>SUM(F5:F7)</f>
        <v>51754.997528423133</v>
      </c>
      <c r="G9" s="25">
        <f t="shared" ref="G9:S9" si="2">SUM(G5:G7)</f>
        <v>52704.982970350771</v>
      </c>
      <c r="H9" s="25">
        <f t="shared" si="2"/>
        <v>53705.126527897271</v>
      </c>
      <c r="I9" s="25">
        <f t="shared" si="2"/>
        <v>54756.872424404704</v>
      </c>
      <c r="J9" s="25">
        <f t="shared" si="2"/>
        <v>55861.722249197635</v>
      </c>
      <c r="K9" s="25">
        <f t="shared" si="2"/>
        <v>57021.236856904186</v>
      </c>
      <c r="L9" s="25">
        <f t="shared" si="2"/>
        <v>58237.038336270038</v>
      </c>
      <c r="M9" s="25">
        <f t="shared" si="2"/>
        <v>59510.812050869805</v>
      </c>
      <c r="N9" s="25">
        <f t="shared" si="2"/>
        <v>60844.308754206148</v>
      </c>
      <c r="O9" s="25">
        <f t="shared" si="2"/>
        <v>62239.346781775683</v>
      </c>
      <c r="P9" s="25">
        <f t="shared" si="2"/>
        <v>63697.814322772843</v>
      </c>
      <c r="Q9" s="25">
        <f t="shared" si="2"/>
        <v>65221.671774197821</v>
      </c>
      <c r="R9" s="25">
        <f t="shared" si="2"/>
        <v>66812.954180233326</v>
      </c>
      <c r="S9" s="25">
        <f t="shared" si="2"/>
        <v>67818.744797305626</v>
      </c>
      <c r="T9" s="25"/>
      <c r="U9" s="25"/>
      <c r="V9" s="25"/>
      <c r="W9" s="25"/>
      <c r="X9" s="25"/>
      <c r="Y9" s="25"/>
      <c r="Z9" s="25"/>
      <c r="AA9" s="25"/>
      <c r="AB9" s="25"/>
      <c r="AC9" s="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95980-C997-4314-909C-4B4134B1ECB6}">
  <sheetPr codeName="Feuil9">
    <tabColor theme="9"/>
  </sheetPr>
  <dimension ref="C1:AC10"/>
  <sheetViews>
    <sheetView topLeftCell="S1" zoomScaleNormal="100" workbookViewId="0">
      <selection activeCell="T1" sqref="T1:AC1"/>
    </sheetView>
  </sheetViews>
  <sheetFormatPr baseColWidth="10" defaultRowHeight="12.5"/>
  <cols>
    <col min="4" max="19" width="11.453125" bestFit="1" customWidth="1"/>
  </cols>
  <sheetData>
    <row r="1" spans="3:29"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</row>
    <row r="2" spans="3:29" ht="13">
      <c r="D2" s="48" t="s">
        <v>35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3:29" ht="13">
      <c r="D3" s="48" cm="1">
        <f t="array" ref="D3:S3">TRANSPOSE(_xlfn.SEQUENCE(D_Assumptions!$N$8+1,1,D_Assumptions!$G$8-1,1))</f>
        <v>2020</v>
      </c>
      <c r="E3" s="48">
        <v>2021</v>
      </c>
      <c r="F3" s="48">
        <v>2022</v>
      </c>
      <c r="G3" s="48">
        <v>2023</v>
      </c>
      <c r="H3" s="48">
        <v>2024</v>
      </c>
      <c r="I3" s="48">
        <v>2025</v>
      </c>
      <c r="J3" s="48">
        <v>2026</v>
      </c>
      <c r="K3" s="48">
        <v>2027</v>
      </c>
      <c r="L3" s="48">
        <v>2028</v>
      </c>
      <c r="M3" s="48">
        <v>2029</v>
      </c>
      <c r="N3" s="48">
        <v>2030</v>
      </c>
      <c r="O3" s="48">
        <v>2031</v>
      </c>
      <c r="P3" s="48">
        <v>2032</v>
      </c>
      <c r="Q3" s="48">
        <v>2033</v>
      </c>
      <c r="R3" s="48">
        <v>2034</v>
      </c>
      <c r="S3" s="48">
        <v>2035</v>
      </c>
    </row>
    <row r="5" spans="3:29">
      <c r="C5" t="s">
        <v>81</v>
      </c>
      <c r="D5" s="23">
        <f>D_Assumptions!$G$14*(1+D_Assumptions!$G$9)^D$1</f>
        <v>50</v>
      </c>
      <c r="E5" s="23">
        <f>D_Assumptions!$G$14*(1+D_Assumptions!$G$9)^E$1</f>
        <v>51</v>
      </c>
      <c r="F5" s="23">
        <f>D_Assumptions!$G$14*(1+D_Assumptions!$G$9)^F$1</f>
        <v>52.019999999999996</v>
      </c>
      <c r="G5" s="23">
        <f>D_Assumptions!$G$14*(1+D_Assumptions!$G$9)^G$1</f>
        <v>53.060399999999994</v>
      </c>
      <c r="H5" s="23">
        <f>D_Assumptions!$G$14*(1+D_Assumptions!$G$9)^H$1</f>
        <v>54.121608000000002</v>
      </c>
      <c r="I5" s="23">
        <f>D_Assumptions!$G$14*(1+D_Assumptions!$G$9)^I$1</f>
        <v>55.204040159999998</v>
      </c>
      <c r="J5" s="23">
        <f>D_Assumptions!$G$14*(1+D_Assumptions!$G$9)^J$1</f>
        <v>56.308120963200004</v>
      </c>
      <c r="K5" s="23">
        <f>D_Assumptions!$G$14*(1+D_Assumptions!$G$9)^K$1</f>
        <v>57.434283382463988</v>
      </c>
      <c r="L5" s="23">
        <f>D_Assumptions!$G$14*(1+D_Assumptions!$G$9)^L$1</f>
        <v>58.582969050113277</v>
      </c>
      <c r="M5" s="23">
        <f>D_Assumptions!$G$14*(1+D_Assumptions!$G$9)^M$1</f>
        <v>59.754628431115542</v>
      </c>
      <c r="N5" s="23">
        <f>D_Assumptions!$G$14*(1+D_Assumptions!$G$9)^N$1</f>
        <v>60.949720999737856</v>
      </c>
      <c r="O5" s="23">
        <f>D_Assumptions!$G$14*(1+D_Assumptions!$G$9)^O$1</f>
        <v>62.1687154197326</v>
      </c>
      <c r="P5" s="23">
        <f>D_Assumptions!$G$14*(1+D_Assumptions!$G$9)^P$1</f>
        <v>63.412089728127263</v>
      </c>
      <c r="Q5" s="23">
        <f>D_Assumptions!$G$14*(1+D_Assumptions!$G$9)^Q$1</f>
        <v>64.680331522689798</v>
      </c>
      <c r="R5" s="23">
        <f>D_Assumptions!$G$14*(1+D_Assumptions!$G$9)^R$1</f>
        <v>65.973938153143607</v>
      </c>
      <c r="S5" s="23">
        <f>D_Assumptions!$G$14*(1+D_Assumptions!$G$9)^S$1</f>
        <v>67.293416916206468</v>
      </c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3:29">
      <c r="C6" s="24" t="s">
        <v>82</v>
      </c>
      <c r="D6" s="23">
        <f>-1*D_Assumptions!$G$18*(1+D_Assumptions!$G$9)^D$1</f>
        <v>-4.75</v>
      </c>
      <c r="E6" s="23">
        <f>-1*D_Assumptions!$G$18*(1+D_Assumptions!$G$9)^E$1</f>
        <v>-4.8449999999999998</v>
      </c>
      <c r="F6" s="23">
        <f>-1*D_Assumptions!$G$18*(1+D_Assumptions!$G$9)^F$1</f>
        <v>-4.9419000000000004</v>
      </c>
      <c r="G6" s="23">
        <f>-1*D_Assumptions!$G$18*(1+D_Assumptions!$G$9)^G$1</f>
        <v>-5.0407379999999993</v>
      </c>
      <c r="H6" s="23">
        <f>-1*D_Assumptions!$G$18*(1+D_Assumptions!$G$9)^H$1</f>
        <v>-5.1415527599999997</v>
      </c>
      <c r="I6" s="23">
        <f>-1*D_Assumptions!$G$18*(1+D_Assumptions!$G$9)^I$1</f>
        <v>-5.2443838152</v>
      </c>
      <c r="J6" s="23">
        <f>-1*D_Assumptions!$G$18*(1+D_Assumptions!$G$9)^J$1</f>
        <v>-5.3492714915040001</v>
      </c>
      <c r="K6" s="23">
        <f>-1*D_Assumptions!$G$18*(1+D_Assumptions!$G$9)^K$1</f>
        <v>-5.456256921334079</v>
      </c>
      <c r="L6" s="23">
        <f>-1*D_Assumptions!$G$18*(1+D_Assumptions!$G$9)^L$1</f>
        <v>-5.5653820597607613</v>
      </c>
      <c r="M6" s="23">
        <f>-1*D_Assumptions!$G$18*(1+D_Assumptions!$G$9)^M$1</f>
        <v>-5.6766897009559765</v>
      </c>
      <c r="N6" s="23">
        <f>-1*D_Assumptions!$G$18*(1+D_Assumptions!$G$9)^N$1</f>
        <v>-5.7902234949750966</v>
      </c>
      <c r="O6" s="23">
        <f>-1*D_Assumptions!$G$18*(1+D_Assumptions!$G$9)^O$1</f>
        <v>-5.906027964874597</v>
      </c>
      <c r="P6" s="23">
        <f>-1*D_Assumptions!$G$18*(1+D_Assumptions!$G$9)^P$1</f>
        <v>-6.02414852417209</v>
      </c>
      <c r="Q6" s="23">
        <f>-1*D_Assumptions!$G$18*(1+D_Assumptions!$G$9)^Q$1</f>
        <v>-6.1446314946555312</v>
      </c>
      <c r="R6" s="23">
        <f>-1*D_Assumptions!$G$18*(1+D_Assumptions!$G$9)^R$1</f>
        <v>-6.2675241245486424</v>
      </c>
      <c r="S6" s="23">
        <f>-1*D_Assumptions!$G$18*(1+D_Assumptions!$G$9)^S$1</f>
        <v>-6.3928746070396141</v>
      </c>
      <c r="T6" s="23"/>
      <c r="U6" s="23"/>
      <c r="V6" s="23"/>
      <c r="W6" s="23"/>
      <c r="X6" s="23"/>
      <c r="Y6" s="23"/>
      <c r="Z6" s="23"/>
      <c r="AA6" s="23"/>
      <c r="AB6" s="23"/>
      <c r="AC6" s="23"/>
    </row>
    <row r="7" spans="3:29">
      <c r="C7" s="24" t="s">
        <v>83</v>
      </c>
      <c r="D7" s="23">
        <f>-1*D_Assumptions!$G$19*(1+D_Assumptions!$G$9)^D$1</f>
        <v>-1.5</v>
      </c>
      <c r="E7" s="23">
        <f>-1*D_Assumptions!$G$19*(1+D_Assumptions!$G$9)^E$1</f>
        <v>-1.53</v>
      </c>
      <c r="F7" s="23">
        <f>-1*D_Assumptions!$G$19*(1+D_Assumptions!$G$9)^F$1</f>
        <v>-1.5606</v>
      </c>
      <c r="G7" s="23">
        <f>-1*D_Assumptions!$G$19*(1+D_Assumptions!$G$9)^G$1</f>
        <v>-1.591812</v>
      </c>
      <c r="H7" s="23">
        <f>-1*D_Assumptions!$G$19*(1+D_Assumptions!$G$9)^H$1</f>
        <v>-1.6236482400000001</v>
      </c>
      <c r="I7" s="23">
        <f>-1*D_Assumptions!$G$19*(1+D_Assumptions!$G$9)^I$1</f>
        <v>-1.6561212048</v>
      </c>
      <c r="J7" s="23">
        <f>-1*D_Assumptions!$G$19*(1+D_Assumptions!$G$9)^J$1</f>
        <v>-1.689243628896</v>
      </c>
      <c r="K7" s="23">
        <f>-1*D_Assumptions!$G$19*(1+D_Assumptions!$G$9)^K$1</f>
        <v>-1.7230285014739197</v>
      </c>
      <c r="L7" s="23">
        <f>-1*D_Assumptions!$G$19*(1+D_Assumptions!$G$9)^L$1</f>
        <v>-1.7574890715033984</v>
      </c>
      <c r="M7" s="23">
        <f>-1*D_Assumptions!$G$19*(1+D_Assumptions!$G$9)^M$1</f>
        <v>-1.7926388529334663</v>
      </c>
      <c r="N7" s="23">
        <f>-1*D_Assumptions!$G$19*(1+D_Assumptions!$G$9)^N$1</f>
        <v>-1.8284916299921357</v>
      </c>
      <c r="O7" s="23">
        <f>-1*D_Assumptions!$G$19*(1+D_Assumptions!$G$9)^O$1</f>
        <v>-1.8650614625919779</v>
      </c>
      <c r="P7" s="23">
        <f>-1*D_Assumptions!$G$19*(1+D_Assumptions!$G$9)^P$1</f>
        <v>-1.9023626918438179</v>
      </c>
      <c r="Q7" s="23">
        <f>-1*D_Assumptions!$G$19*(1+D_Assumptions!$G$9)^Q$1</f>
        <v>-1.940409945680694</v>
      </c>
      <c r="R7" s="23">
        <f>-1*D_Assumptions!$G$19*(1+D_Assumptions!$G$9)^R$1</f>
        <v>-1.9792181445943082</v>
      </c>
      <c r="S7" s="23">
        <f>-1*D_Assumptions!$G$19*(1+D_Assumptions!$G$9)^S$1</f>
        <v>-2.0188025074861939</v>
      </c>
      <c r="T7" s="23"/>
      <c r="U7" s="23"/>
      <c r="V7" s="23"/>
      <c r="W7" s="23"/>
      <c r="X7" s="23"/>
      <c r="Y7" s="23"/>
      <c r="Z7" s="23"/>
      <c r="AA7" s="23"/>
      <c r="AB7" s="23"/>
      <c r="AC7" s="23"/>
    </row>
    <row r="8" spans="3:29">
      <c r="C8" t="s">
        <v>84</v>
      </c>
      <c r="D8" s="23">
        <f>SUM(D5:D7)</f>
        <v>43.75</v>
      </c>
      <c r="E8" s="23">
        <f t="shared" ref="E8:S8" si="0">SUM(E5:E7)</f>
        <v>44.625</v>
      </c>
      <c r="F8" s="23">
        <f t="shared" si="0"/>
        <v>45.517499999999991</v>
      </c>
      <c r="G8" s="23">
        <f t="shared" si="0"/>
        <v>46.427849999999999</v>
      </c>
      <c r="H8" s="23">
        <f t="shared" si="0"/>
        <v>47.356406999999997</v>
      </c>
      <c r="I8" s="23">
        <f t="shared" si="0"/>
        <v>48.303535139999994</v>
      </c>
      <c r="J8" s="23">
        <f t="shared" si="0"/>
        <v>49.269605842800004</v>
      </c>
      <c r="K8" s="23">
        <f t="shared" si="0"/>
        <v>50.254997959655988</v>
      </c>
      <c r="L8" s="23">
        <f t="shared" si="0"/>
        <v>51.260097918849112</v>
      </c>
      <c r="M8" s="23">
        <f t="shared" si="0"/>
        <v>52.285299877226102</v>
      </c>
      <c r="N8" s="23">
        <f t="shared" si="0"/>
        <v>53.331005874770625</v>
      </c>
      <c r="O8" s="23">
        <f t="shared" si="0"/>
        <v>54.397625992266029</v>
      </c>
      <c r="P8" s="23">
        <f t="shared" si="0"/>
        <v>55.485578512111353</v>
      </c>
      <c r="Q8" s="23">
        <f t="shared" si="0"/>
        <v>56.595290082353578</v>
      </c>
      <c r="R8" s="23">
        <f t="shared" si="0"/>
        <v>57.727195884000658</v>
      </c>
      <c r="S8" s="23">
        <f t="shared" si="0"/>
        <v>58.881739801680659</v>
      </c>
      <c r="T8" s="23"/>
      <c r="U8" s="23"/>
      <c r="V8" s="23"/>
      <c r="W8" s="23"/>
      <c r="X8" s="23"/>
      <c r="Y8" s="23"/>
      <c r="Z8" s="23"/>
      <c r="AA8" s="23"/>
      <c r="AB8" s="23"/>
      <c r="AC8" s="23"/>
    </row>
    <row r="9" spans="3:29">
      <c r="C9" t="s">
        <v>85</v>
      </c>
      <c r="D9" s="25">
        <f>C_WoodInventory!D9</f>
        <v>50000</v>
      </c>
      <c r="E9" s="25">
        <f>C_WoodInventory!E9</f>
        <v>50853.781512605041</v>
      </c>
      <c r="F9" s="25">
        <f>C_WoodInventory!F9</f>
        <v>51754.997528423133</v>
      </c>
      <c r="G9" s="25">
        <f>C_WoodInventory!G9</f>
        <v>52704.982970350771</v>
      </c>
      <c r="H9" s="25">
        <f>C_WoodInventory!H9</f>
        <v>53705.126527897271</v>
      </c>
      <c r="I9" s="25">
        <f>C_WoodInventory!I9</f>
        <v>54756.872424404704</v>
      </c>
      <c r="J9" s="25">
        <f>C_WoodInventory!J9</f>
        <v>55861.722249197635</v>
      </c>
      <c r="K9" s="25">
        <f>C_WoodInventory!K9</f>
        <v>57021.236856904186</v>
      </c>
      <c r="L9" s="25">
        <f>C_WoodInventory!L9</f>
        <v>58237.038336270038</v>
      </c>
      <c r="M9" s="25">
        <f>C_WoodInventory!M9</f>
        <v>59510.812050869805</v>
      </c>
      <c r="N9" s="25">
        <f>C_WoodInventory!N9</f>
        <v>60844.308754206148</v>
      </c>
      <c r="O9" s="25">
        <f>C_WoodInventory!O9</f>
        <v>62239.346781775683</v>
      </c>
      <c r="P9" s="25">
        <f>C_WoodInventory!P9</f>
        <v>63697.814322772843</v>
      </c>
      <c r="Q9" s="25">
        <f>C_WoodInventory!Q9</f>
        <v>65221.671774197821</v>
      </c>
      <c r="R9" s="25">
        <f>C_WoodInventory!R9</f>
        <v>66812.954180233326</v>
      </c>
      <c r="S9" s="25">
        <f>C_WoodInventory!S9</f>
        <v>67818.744797305626</v>
      </c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3:29">
      <c r="C10" t="s">
        <v>86</v>
      </c>
      <c r="D10" s="23">
        <f>D8*D9</f>
        <v>2187500</v>
      </c>
      <c r="E10" s="23">
        <f t="shared" ref="E10:S10" si="1">E8*E9</f>
        <v>2269350</v>
      </c>
      <c r="F10" s="23">
        <f t="shared" si="1"/>
        <v>2355758.0999999996</v>
      </c>
      <c r="G10" s="23">
        <f t="shared" si="1"/>
        <v>2446979.0436</v>
      </c>
      <c r="H10" s="23">
        <f t="shared" si="1"/>
        <v>2543281.8298415998</v>
      </c>
      <c r="I10" s="23">
        <f t="shared" si="1"/>
        <v>2644950.5113087292</v>
      </c>
      <c r="J10" s="23">
        <f t="shared" si="1"/>
        <v>2752285.0369179389</v>
      </c>
      <c r="K10" s="23">
        <f t="shared" si="1"/>
        <v>2865602.1419007806</v>
      </c>
      <c r="L10" s="23">
        <f t="shared" si="1"/>
        <v>2985236.2876209719</v>
      </c>
      <c r="M10" s="23">
        <f t="shared" si="1"/>
        <v>3111540.6540169688</v>
      </c>
      <c r="N10" s="23">
        <f t="shared" si="1"/>
        <v>3244888.1876169257</v>
      </c>
      <c r="O10" s="23">
        <f t="shared" si="1"/>
        <v>3385672.70823798</v>
      </c>
      <c r="P10" s="23">
        <f t="shared" si="1"/>
        <v>3534310.0776561038</v>
      </c>
      <c r="Q10" s="23">
        <f t="shared" si="1"/>
        <v>3691239.4337167782</v>
      </c>
      <c r="R10" s="23">
        <f t="shared" si="1"/>
        <v>3856924.4935510899</v>
      </c>
      <c r="S10" s="23">
        <f t="shared" si="1"/>
        <v>3993285.6848315336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154D-0AD3-42F1-9CFE-E4032B154EC1}">
  <sheetPr codeName="Feuil3">
    <tabColor theme="0" tint="-0.34998626667073579"/>
  </sheetPr>
  <dimension ref="C4:D14"/>
  <sheetViews>
    <sheetView workbookViewId="0">
      <selection activeCell="D10" sqref="D10"/>
    </sheetView>
  </sheetViews>
  <sheetFormatPr baseColWidth="10" defaultRowHeight="12.5"/>
  <cols>
    <col min="4" max="4" width="11.453125" bestFit="1" customWidth="1"/>
  </cols>
  <sheetData>
    <row r="4" spans="3:4" ht="13">
      <c r="C4" s="28" t="s">
        <v>68</v>
      </c>
      <c r="D4" s="29"/>
    </row>
    <row r="5" spans="3:4">
      <c r="C5" s="30">
        <v>2020</v>
      </c>
      <c r="D5" s="31">
        <f>D_Assumptions!$N$7</f>
        <v>2000000</v>
      </c>
    </row>
    <row r="6" spans="3:4" ht="13" thickBot="1">
      <c r="C6" s="32">
        <v>2021</v>
      </c>
      <c r="D6" s="33">
        <v>0</v>
      </c>
    </row>
    <row r="8" spans="3:4" ht="13">
      <c r="C8" s="28" t="s">
        <v>71</v>
      </c>
      <c r="D8" s="29"/>
    </row>
    <row r="9" spans="3:4">
      <c r="C9" s="30">
        <v>2020</v>
      </c>
      <c r="D9" s="41">
        <f>D5-D13-C_TFT!D7</f>
        <v>701875</v>
      </c>
    </row>
    <row r="10" spans="3:4" ht="13" thickBot="1">
      <c r="C10" s="32">
        <v>2021</v>
      </c>
      <c r="D10" s="33">
        <v>0</v>
      </c>
    </row>
    <row r="12" spans="3:4" ht="13">
      <c r="C12" s="28" t="s">
        <v>72</v>
      </c>
      <c r="D12" s="29"/>
    </row>
    <row r="13" spans="3:4">
      <c r="C13" s="30">
        <v>2020</v>
      </c>
      <c r="D13" s="31">
        <f>C_Property_Valuation!$D$10*D_Assumptions!$N$13</f>
        <v>1312500</v>
      </c>
    </row>
    <row r="14" spans="3:4" ht="13" thickBot="1">
      <c r="C14" s="32">
        <v>2021</v>
      </c>
      <c r="D14" s="3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22127-BC7E-4E6A-BF2F-F6F49C6F388E}">
  <sheetPr codeName="Feuil2">
    <tabColor theme="4"/>
  </sheetPr>
  <dimension ref="B2:N24"/>
  <sheetViews>
    <sheetView showGridLines="0" zoomScale="85" zoomScaleNormal="85" workbookViewId="0">
      <selection activeCell="G16" sqref="G16"/>
    </sheetView>
  </sheetViews>
  <sheetFormatPr baseColWidth="10" defaultColWidth="8.7265625" defaultRowHeight="12.5"/>
  <cols>
    <col min="1" max="1" width="3.26953125" style="1" customWidth="1"/>
    <col min="2" max="6" width="8.7265625" style="1"/>
    <col min="7" max="7" width="21.26953125" style="1" bestFit="1" customWidth="1"/>
    <col min="8" max="11" width="8.81640625" style="1" bestFit="1" customWidth="1"/>
    <col min="12" max="12" width="8.81640625" style="1" customWidth="1"/>
    <col min="13" max="13" width="8.81640625" style="1" bestFit="1" customWidth="1"/>
    <col min="14" max="14" width="11" style="1" bestFit="1" customWidth="1"/>
    <col min="15" max="16384" width="8.7265625" style="1"/>
  </cols>
  <sheetData>
    <row r="2" spans="2:14" ht="23">
      <c r="B2" s="13" t="str">
        <f>G7</f>
        <v>Perpetual Growth Capital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</row>
    <row r="3" spans="2:14" ht="16" thickBot="1">
      <c r="B3" s="15" t="s">
        <v>3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</row>
    <row r="6" spans="2:14" ht="13">
      <c r="B6" s="8" t="s">
        <v>34</v>
      </c>
      <c r="C6" s="9"/>
      <c r="D6" s="9"/>
      <c r="E6" s="9"/>
      <c r="F6" s="9"/>
      <c r="G6" s="9"/>
      <c r="I6" s="8" t="s">
        <v>22</v>
      </c>
      <c r="J6" s="9"/>
      <c r="K6" s="9"/>
      <c r="L6" s="9"/>
      <c r="M6" s="9"/>
      <c r="N6" s="9"/>
    </row>
    <row r="7" spans="2:14">
      <c r="B7" s="10" t="s">
        <v>1</v>
      </c>
      <c r="G7" s="17" t="s">
        <v>10</v>
      </c>
      <c r="I7" s="10" t="s">
        <v>23</v>
      </c>
      <c r="M7" s="11" t="s">
        <v>24</v>
      </c>
      <c r="N7" s="17">
        <v>2000000</v>
      </c>
    </row>
    <row r="8" spans="2:14">
      <c r="B8" s="10" t="s">
        <v>12</v>
      </c>
      <c r="F8" s="11" t="s">
        <v>11</v>
      </c>
      <c r="G8" s="7">
        <v>2021</v>
      </c>
      <c r="I8" s="10" t="s">
        <v>13</v>
      </c>
      <c r="M8" s="11" t="s">
        <v>25</v>
      </c>
      <c r="N8" s="7">
        <v>15</v>
      </c>
    </row>
    <row r="9" spans="2:14">
      <c r="B9" s="10" t="s">
        <v>21</v>
      </c>
      <c r="F9" s="11" t="s">
        <v>2</v>
      </c>
      <c r="G9" s="20">
        <v>0.02</v>
      </c>
      <c r="I9" s="10" t="s">
        <v>14</v>
      </c>
      <c r="M9" s="11" t="s">
        <v>11</v>
      </c>
      <c r="N9" s="18">
        <f>G8+N8-1</f>
        <v>2035</v>
      </c>
    </row>
    <row r="10" spans="2:14">
      <c r="I10" s="10" t="s">
        <v>5</v>
      </c>
      <c r="M10" s="11" t="s">
        <v>2</v>
      </c>
      <c r="N10" s="12">
        <v>0.01</v>
      </c>
    </row>
    <row r="11" spans="2:14">
      <c r="I11" s="1" t="s">
        <v>53</v>
      </c>
      <c r="N11" s="17">
        <v>0</v>
      </c>
    </row>
    <row r="12" spans="2:14" ht="13">
      <c r="B12" s="8" t="s">
        <v>16</v>
      </c>
      <c r="C12" s="9"/>
      <c r="D12" s="9"/>
      <c r="E12" s="9"/>
      <c r="F12" s="9"/>
      <c r="G12" s="9"/>
      <c r="I12" s="8" t="s">
        <v>15</v>
      </c>
      <c r="J12" s="9"/>
      <c r="K12" s="9"/>
      <c r="L12" s="9"/>
      <c r="M12" s="9"/>
      <c r="N12" s="9"/>
    </row>
    <row r="13" spans="2:14">
      <c r="B13" s="10" t="s">
        <v>26</v>
      </c>
      <c r="F13" s="11" t="s">
        <v>27</v>
      </c>
      <c r="G13" s="22">
        <v>50000</v>
      </c>
      <c r="I13" s="10" t="s">
        <v>7</v>
      </c>
      <c r="M13" s="11" t="s">
        <v>2</v>
      </c>
      <c r="N13" s="19">
        <v>0.6</v>
      </c>
    </row>
    <row r="14" spans="2:14">
      <c r="B14" s="10" t="s">
        <v>28</v>
      </c>
      <c r="F14" s="11" t="s">
        <v>29</v>
      </c>
      <c r="G14" s="21">
        <v>50</v>
      </c>
      <c r="I14" s="10" t="s">
        <v>6</v>
      </c>
      <c r="M14" s="11" t="s">
        <v>30</v>
      </c>
      <c r="N14" s="12">
        <v>0.03</v>
      </c>
    </row>
    <row r="15" spans="2:14">
      <c r="B15" s="10" t="s">
        <v>19</v>
      </c>
      <c r="F15" s="11" t="s">
        <v>30</v>
      </c>
      <c r="G15" s="20">
        <v>0.05</v>
      </c>
      <c r="I15" s="10" t="s">
        <v>4</v>
      </c>
      <c r="M15" s="11" t="s">
        <v>2</v>
      </c>
      <c r="N15" s="12">
        <v>0.01</v>
      </c>
    </row>
    <row r="16" spans="2:14">
      <c r="B16" s="10" t="s">
        <v>17</v>
      </c>
      <c r="F16" s="11" t="s">
        <v>31</v>
      </c>
      <c r="G16" s="20">
        <v>1.4999999999999999E-2</v>
      </c>
    </row>
    <row r="17" spans="2:14">
      <c r="B17" s="10" t="s">
        <v>32</v>
      </c>
      <c r="F17" s="11" t="s">
        <v>33</v>
      </c>
      <c r="G17" s="17">
        <v>1250</v>
      </c>
    </row>
    <row r="18" spans="2:14">
      <c r="B18" s="10" t="s">
        <v>18</v>
      </c>
      <c r="F18" s="11" t="s">
        <v>29</v>
      </c>
      <c r="G18" s="21">
        <v>4.75</v>
      </c>
    </row>
    <row r="19" spans="2:14">
      <c r="B19" s="10" t="s">
        <v>20</v>
      </c>
      <c r="F19" s="11" t="s">
        <v>29</v>
      </c>
      <c r="G19" s="21">
        <v>1.5</v>
      </c>
      <c r="I19" s="10" t="s">
        <v>77</v>
      </c>
      <c r="N19" s="1">
        <v>0</v>
      </c>
    </row>
    <row r="20" spans="2:14">
      <c r="I20" s="10" t="s">
        <v>78</v>
      </c>
      <c r="N20" s="1">
        <v>0</v>
      </c>
    </row>
    <row r="21" spans="2:14">
      <c r="I21" s="10" t="s">
        <v>79</v>
      </c>
      <c r="N21" s="1">
        <v>0</v>
      </c>
    </row>
    <row r="22" spans="2:14">
      <c r="I22" s="10" t="s">
        <v>80</v>
      </c>
      <c r="N22" s="1">
        <v>0</v>
      </c>
    </row>
    <row r="24" spans="2:14">
      <c r="I24" s="10" t="s">
        <v>98</v>
      </c>
      <c r="N24" s="37">
        <v>0.09</v>
      </c>
    </row>
  </sheetData>
  <phoneticPr fontId="5" type="noConversion"/>
  <pageMargins left="0.7" right="0.7" top="0.75" bottom="0.75" header="0.3" footer="0.3"/>
  <pageSetup scale="88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Cover</vt:lpstr>
      <vt:lpstr>R_Synthesis</vt:lpstr>
      <vt:lpstr>C_Bilan</vt:lpstr>
      <vt:lpstr>C_CdR</vt:lpstr>
      <vt:lpstr>C_TFT</vt:lpstr>
      <vt:lpstr>C_Woodcutting</vt:lpstr>
      <vt:lpstr>C_WoodInventory</vt:lpstr>
      <vt:lpstr>C_Property_Valuation</vt:lpstr>
      <vt:lpstr>H_Time hypothesis</vt:lpstr>
      <vt:lpstr>D_Assumptions</vt:lpstr>
      <vt:lpstr>Cover!Zone_d_impression</vt:lpstr>
      <vt:lpstr>D_Assumptions!Zone_d_impression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Adrien Proux</cp:lastModifiedBy>
  <cp:lastPrinted>2020-09-02T12:50:01Z</cp:lastPrinted>
  <dcterms:created xsi:type="dcterms:W3CDTF">2012-02-20T17:20:16Z</dcterms:created>
  <dcterms:modified xsi:type="dcterms:W3CDTF">2022-05-17T09:28:50Z</dcterms:modified>
</cp:coreProperties>
</file>