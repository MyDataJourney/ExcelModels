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filterPrivacy="1" codeName="ThisWorkbook" defaultThemeVersion="124226"/>
  <xr:revisionPtr revIDLastSave="0" documentId="8_{D9DC3412-BFD9-4F8E-AC9D-4D22F278E603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Cover" sheetId="35" r:id="rId1"/>
    <sheet name="R_Synthèse" sheetId="51" r:id="rId2"/>
    <sheet name="C_Revenues_AUS" sheetId="41" r:id="rId3"/>
    <sheet name="C_Price_change_flags" sheetId="42" r:id="rId4"/>
    <sheet name="C_Revenues_US" sheetId="49" r:id="rId5"/>
    <sheet name="C_Price_change_flags_US" sheetId="50" r:id="rId6"/>
    <sheet name="D_Assumptions" sheetId="33" r:id="rId7"/>
    <sheet name="Constants" sheetId="43" r:id="rId8"/>
  </sheets>
  <definedNames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40869.3787037037</definedName>
    <definedName name="IQ_NTM" hidden="1">6000</definedName>
    <definedName name="IQ_OPENED55" hidden="1">1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IQRA8" hidden="1">"$A$9:$A$261"</definedName>
    <definedName name="IQRB8" hidden="1">"$B$9:$B$261"</definedName>
    <definedName name="IQRC8" hidden="1">"$C$9:$C$261"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5" i="50" l="1"/>
  <c r="E11" i="49"/>
  <c r="F11" i="49" s="1"/>
  <c r="G11" i="49" s="1"/>
  <c r="E10" i="49"/>
  <c r="F10" i="49" s="1"/>
  <c r="G10" i="49" s="1"/>
  <c r="E9" i="49"/>
  <c r="F9" i="49" s="1"/>
  <c r="G9" i="49" s="1"/>
  <c r="H9" i="49" s="1"/>
  <c r="I9" i="49" s="1"/>
  <c r="J9" i="49" s="1"/>
  <c r="K9" i="49" s="1"/>
  <c r="L9" i="49" s="1"/>
  <c r="M9" i="49" s="1"/>
  <c r="N9" i="49" s="1"/>
  <c r="O9" i="49" s="1"/>
  <c r="P9" i="49" s="1"/>
  <c r="Q9" i="49" s="1"/>
  <c r="R9" i="49" s="1"/>
  <c r="S9" i="49" s="1"/>
  <c r="T9" i="49" s="1"/>
  <c r="U9" i="49" s="1"/>
  <c r="V9" i="49" s="1"/>
  <c r="W9" i="49" s="1"/>
  <c r="X9" i="49" s="1"/>
  <c r="Y9" i="49" s="1"/>
  <c r="Z9" i="49" s="1"/>
  <c r="AA9" i="49" s="1"/>
  <c r="AB9" i="49" s="1"/>
  <c r="AC9" i="49" s="1"/>
  <c r="AD9" i="49" s="1"/>
  <c r="AE9" i="49" s="1"/>
  <c r="AF9" i="49" s="1"/>
  <c r="AG9" i="49" s="1"/>
  <c r="AH9" i="49" s="1"/>
  <c r="AI9" i="49" s="1"/>
  <c r="AJ9" i="49" s="1"/>
  <c r="AK9" i="49" s="1"/>
  <c r="AL9" i="49" s="1"/>
  <c r="AM9" i="49" s="1"/>
  <c r="AN9" i="49" s="1"/>
  <c r="AO9" i="49" s="1"/>
  <c r="AP9" i="49" s="1"/>
  <c r="AQ9" i="49" s="1"/>
  <c r="AR9" i="49" s="1"/>
  <c r="AS9" i="49" s="1"/>
  <c r="AT9" i="49" s="1"/>
  <c r="AU9" i="49" s="1"/>
  <c r="AV9" i="49" s="1"/>
  <c r="AW9" i="49" s="1"/>
  <c r="AX9" i="49" s="1"/>
  <c r="AY9" i="49" s="1"/>
  <c r="AZ9" i="49" s="1"/>
  <c r="BA9" i="49" s="1"/>
  <c r="BB9" i="49" s="1"/>
  <c r="BC9" i="49" s="1"/>
  <c r="BD9" i="49" s="1"/>
  <c r="BE9" i="49" s="1"/>
  <c r="BF9" i="49" s="1"/>
  <c r="BG9" i="49" s="1"/>
  <c r="BH9" i="49" s="1"/>
  <c r="BI9" i="49" s="1"/>
  <c r="BJ9" i="49" s="1"/>
  <c r="BK9" i="49" s="1"/>
  <c r="BL9" i="49" s="1"/>
  <c r="H1" i="42"/>
  <c r="H1" i="50"/>
  <c r="E1" i="50"/>
  <c r="E1" i="42"/>
  <c r="E7" i="50"/>
  <c r="F7" i="50" s="1"/>
  <c r="G7" i="50" s="1"/>
  <c r="H7" i="50" s="1"/>
  <c r="I7" i="50" s="1"/>
  <c r="J7" i="50" s="1"/>
  <c r="K7" i="50" s="1"/>
  <c r="L7" i="50" s="1"/>
  <c r="M7" i="50" s="1"/>
  <c r="N7" i="50" s="1"/>
  <c r="O7" i="50" s="1"/>
  <c r="P7" i="50" s="1"/>
  <c r="Q7" i="50" s="1"/>
  <c r="R7" i="50" s="1"/>
  <c r="S7" i="50" s="1"/>
  <c r="T7" i="50" s="1"/>
  <c r="U7" i="50" s="1"/>
  <c r="V7" i="50" s="1"/>
  <c r="W7" i="50" s="1"/>
  <c r="X7" i="50" s="1"/>
  <c r="Y7" i="50" s="1"/>
  <c r="Z7" i="50" s="1"/>
  <c r="AA7" i="50" s="1"/>
  <c r="AB7" i="50" s="1"/>
  <c r="AC7" i="50" s="1"/>
  <c r="AD7" i="50" s="1"/>
  <c r="AE7" i="50" s="1"/>
  <c r="AF7" i="50" s="1"/>
  <c r="AG7" i="50" s="1"/>
  <c r="AH7" i="50" s="1"/>
  <c r="AI7" i="50" s="1"/>
  <c r="AJ7" i="50" s="1"/>
  <c r="AK7" i="50" s="1"/>
  <c r="AL7" i="50" s="1"/>
  <c r="AM7" i="50" s="1"/>
  <c r="AN7" i="50" s="1"/>
  <c r="AO7" i="50" s="1"/>
  <c r="AP7" i="50" s="1"/>
  <c r="AQ7" i="50" s="1"/>
  <c r="AR7" i="50" s="1"/>
  <c r="AS7" i="50" s="1"/>
  <c r="AT7" i="50" s="1"/>
  <c r="AU7" i="50" s="1"/>
  <c r="AV7" i="50" s="1"/>
  <c r="AW7" i="50" s="1"/>
  <c r="AX7" i="50" s="1"/>
  <c r="AY7" i="50" s="1"/>
  <c r="AZ7" i="50" s="1"/>
  <c r="BA7" i="50" s="1"/>
  <c r="BB7" i="50" s="1"/>
  <c r="BC7" i="50" s="1"/>
  <c r="BD7" i="50" s="1"/>
  <c r="BE7" i="50" s="1"/>
  <c r="BF7" i="50" s="1"/>
  <c r="BG7" i="50" s="1"/>
  <c r="BH7" i="50" s="1"/>
  <c r="BI7" i="50" s="1"/>
  <c r="BJ7" i="50" s="1"/>
  <c r="BK7" i="50" s="1"/>
  <c r="BL7" i="50" s="1"/>
  <c r="D20" i="49"/>
  <c r="D19" i="49"/>
  <c r="D18" i="49"/>
  <c r="D17" i="49"/>
  <c r="D16" i="49"/>
  <c r="D13" i="49"/>
  <c r="E13" i="49" s="1"/>
  <c r="F13" i="49" s="1"/>
  <c r="G13" i="49" s="1"/>
  <c r="H13" i="49" s="1"/>
  <c r="I13" i="49" s="1"/>
  <c r="J13" i="49" s="1"/>
  <c r="K13" i="49" s="1"/>
  <c r="L13" i="49" s="1"/>
  <c r="M13" i="49" s="1"/>
  <c r="N13" i="49" s="1"/>
  <c r="O13" i="49" s="1"/>
  <c r="P13" i="49" s="1"/>
  <c r="Q13" i="49" s="1"/>
  <c r="R13" i="49" s="1"/>
  <c r="S13" i="49" s="1"/>
  <c r="T13" i="49" s="1"/>
  <c r="U13" i="49" s="1"/>
  <c r="V13" i="49" s="1"/>
  <c r="W13" i="49" s="1"/>
  <c r="X13" i="49" s="1"/>
  <c r="Y13" i="49" s="1"/>
  <c r="Z13" i="49" s="1"/>
  <c r="AA13" i="49" s="1"/>
  <c r="AB13" i="49" s="1"/>
  <c r="AC13" i="49" s="1"/>
  <c r="AD13" i="49" s="1"/>
  <c r="AE13" i="49" s="1"/>
  <c r="AF13" i="49" s="1"/>
  <c r="AG13" i="49" s="1"/>
  <c r="AH13" i="49" s="1"/>
  <c r="AI13" i="49" s="1"/>
  <c r="AJ13" i="49" s="1"/>
  <c r="AK13" i="49" s="1"/>
  <c r="AL13" i="49" s="1"/>
  <c r="AM13" i="49" s="1"/>
  <c r="AN13" i="49" s="1"/>
  <c r="AO13" i="49" s="1"/>
  <c r="AP13" i="49" s="1"/>
  <c r="AQ13" i="49" s="1"/>
  <c r="AR13" i="49" s="1"/>
  <c r="AS13" i="49" s="1"/>
  <c r="AT13" i="49" s="1"/>
  <c r="AU13" i="49" s="1"/>
  <c r="AV13" i="49" s="1"/>
  <c r="AW13" i="49" s="1"/>
  <c r="AX13" i="49" s="1"/>
  <c r="AY13" i="49" s="1"/>
  <c r="AZ13" i="49" s="1"/>
  <c r="BA13" i="49" s="1"/>
  <c r="BB13" i="49" s="1"/>
  <c r="BC13" i="49" s="1"/>
  <c r="BD13" i="49" s="1"/>
  <c r="BE13" i="49" s="1"/>
  <c r="BF13" i="49" s="1"/>
  <c r="BG13" i="49" s="1"/>
  <c r="BH13" i="49" s="1"/>
  <c r="BI13" i="49" s="1"/>
  <c r="BJ13" i="49" s="1"/>
  <c r="BK13" i="49" s="1"/>
  <c r="BL13" i="49" s="1"/>
  <c r="D12" i="49"/>
  <c r="D11" i="49"/>
  <c r="D10" i="49"/>
  <c r="D9" i="49"/>
  <c r="E7" i="42"/>
  <c r="F7" i="42" s="1"/>
  <c r="G7" i="42" s="1"/>
  <c r="H7" i="42" s="1"/>
  <c r="I7" i="42" s="1"/>
  <c r="J7" i="42" s="1"/>
  <c r="K7" i="42" s="1"/>
  <c r="L7" i="42" s="1"/>
  <c r="M7" i="42" s="1"/>
  <c r="N7" i="42" s="1"/>
  <c r="O7" i="42" s="1"/>
  <c r="P7" i="42" s="1"/>
  <c r="Q7" i="42" s="1"/>
  <c r="R7" i="42" s="1"/>
  <c r="S7" i="42" s="1"/>
  <c r="T7" i="42" s="1"/>
  <c r="U7" i="42" s="1"/>
  <c r="V7" i="42" s="1"/>
  <c r="W7" i="42" s="1"/>
  <c r="X7" i="42" s="1"/>
  <c r="Y7" i="42" s="1"/>
  <c r="Z7" i="42" s="1"/>
  <c r="AA7" i="42" s="1"/>
  <c r="AB7" i="42" s="1"/>
  <c r="AC7" i="42" s="1"/>
  <c r="AD7" i="42" s="1"/>
  <c r="AE7" i="42" s="1"/>
  <c r="AF7" i="42" s="1"/>
  <c r="AG7" i="42" s="1"/>
  <c r="AH7" i="42" s="1"/>
  <c r="AI7" i="42" s="1"/>
  <c r="AJ7" i="42" s="1"/>
  <c r="AK7" i="42" s="1"/>
  <c r="AL7" i="42" s="1"/>
  <c r="AM7" i="42" s="1"/>
  <c r="AN7" i="42" s="1"/>
  <c r="AO7" i="42" s="1"/>
  <c r="AP7" i="42" s="1"/>
  <c r="AQ7" i="42" s="1"/>
  <c r="AR7" i="42" s="1"/>
  <c r="AS7" i="42" s="1"/>
  <c r="AT7" i="42" s="1"/>
  <c r="AU7" i="42" s="1"/>
  <c r="AV7" i="42" s="1"/>
  <c r="AW7" i="42" s="1"/>
  <c r="AX7" i="42" s="1"/>
  <c r="AY7" i="42" s="1"/>
  <c r="AZ7" i="42" s="1"/>
  <c r="BA7" i="42" s="1"/>
  <c r="BB7" i="42" s="1"/>
  <c r="BC7" i="42" s="1"/>
  <c r="BD7" i="42" s="1"/>
  <c r="BE7" i="42" s="1"/>
  <c r="BF7" i="42" s="1"/>
  <c r="BG7" i="42" s="1"/>
  <c r="BH7" i="42" s="1"/>
  <c r="BI7" i="42" s="1"/>
  <c r="BJ7" i="42" s="1"/>
  <c r="BK7" i="42" s="1"/>
  <c r="BL7" i="42" s="1"/>
  <c r="D20" i="41"/>
  <c r="D19" i="41"/>
  <c r="D18" i="41"/>
  <c r="D17" i="41"/>
  <c r="D16" i="41"/>
  <c r="D13" i="41"/>
  <c r="D12" i="41"/>
  <c r="D11" i="41"/>
  <c r="D10" i="41"/>
  <c r="D9" i="41"/>
  <c r="BL6" i="49"/>
  <c r="BK6" i="49"/>
  <c r="BJ6" i="49"/>
  <c r="BI6" i="49"/>
  <c r="BH6" i="49"/>
  <c r="BG6" i="49"/>
  <c r="BF6" i="49"/>
  <c r="BE6" i="49"/>
  <c r="BD6" i="49"/>
  <c r="BC6" i="49"/>
  <c r="BB6" i="49"/>
  <c r="BA6" i="49"/>
  <c r="AZ6" i="49"/>
  <c r="AY6" i="49"/>
  <c r="AX6" i="49"/>
  <c r="AW6" i="49"/>
  <c r="AV6" i="49"/>
  <c r="AU6" i="49"/>
  <c r="AT6" i="49"/>
  <c r="AS6" i="49"/>
  <c r="AR6" i="49"/>
  <c r="AQ6" i="49"/>
  <c r="AP6" i="49"/>
  <c r="AO6" i="49"/>
  <c r="AN6" i="49"/>
  <c r="AM6" i="49"/>
  <c r="AL6" i="49"/>
  <c r="AK6" i="49"/>
  <c r="AJ6" i="49"/>
  <c r="AI6" i="49"/>
  <c r="AH6" i="49"/>
  <c r="AG6" i="49"/>
  <c r="AF6" i="49"/>
  <c r="AE6" i="49"/>
  <c r="AD6" i="49"/>
  <c r="AC6" i="49"/>
  <c r="AB6" i="49"/>
  <c r="AA6" i="49"/>
  <c r="Z6" i="49"/>
  <c r="Y6" i="49"/>
  <c r="X6" i="49"/>
  <c r="W6" i="49"/>
  <c r="V6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F6" i="49"/>
  <c r="E6" i="49"/>
  <c r="E12" i="49" s="1"/>
  <c r="F12" i="49" s="1"/>
  <c r="G12" i="49" s="1"/>
  <c r="H12" i="49" s="1"/>
  <c r="I12" i="49" s="1"/>
  <c r="J12" i="49" s="1"/>
  <c r="K12" i="49" s="1"/>
  <c r="L12" i="49" s="1"/>
  <c r="M12" i="49" s="1"/>
  <c r="N12" i="49" s="1"/>
  <c r="O12" i="49" s="1"/>
  <c r="P12" i="49" s="1"/>
  <c r="Q12" i="49" s="1"/>
  <c r="R12" i="49" s="1"/>
  <c r="S12" i="49" s="1"/>
  <c r="T12" i="49" s="1"/>
  <c r="U12" i="49" s="1"/>
  <c r="V12" i="49" s="1"/>
  <c r="W12" i="49" s="1"/>
  <c r="X12" i="49" s="1"/>
  <c r="Y12" i="49" s="1"/>
  <c r="Z12" i="49" s="1"/>
  <c r="AA12" i="49" s="1"/>
  <c r="AB12" i="49" s="1"/>
  <c r="AC12" i="49" s="1"/>
  <c r="AD12" i="49" s="1"/>
  <c r="AE12" i="49" s="1"/>
  <c r="AF12" i="49" s="1"/>
  <c r="AG12" i="49" s="1"/>
  <c r="AH12" i="49" s="1"/>
  <c r="AI12" i="49" s="1"/>
  <c r="AJ12" i="49" s="1"/>
  <c r="AK12" i="49" s="1"/>
  <c r="AL12" i="49" s="1"/>
  <c r="AM12" i="49" s="1"/>
  <c r="AN12" i="49" s="1"/>
  <c r="AO12" i="49" s="1"/>
  <c r="AP12" i="49" s="1"/>
  <c r="AQ12" i="49" s="1"/>
  <c r="AR12" i="49" s="1"/>
  <c r="AS12" i="49" s="1"/>
  <c r="AT12" i="49" s="1"/>
  <c r="AU12" i="49" s="1"/>
  <c r="AV12" i="49" s="1"/>
  <c r="AW12" i="49" s="1"/>
  <c r="AX12" i="49" s="1"/>
  <c r="AY12" i="49" s="1"/>
  <c r="AZ12" i="49" s="1"/>
  <c r="BA12" i="49" s="1"/>
  <c r="BB12" i="49" s="1"/>
  <c r="BC12" i="49" s="1"/>
  <c r="BD12" i="49" s="1"/>
  <c r="BE12" i="49" s="1"/>
  <c r="BF12" i="49" s="1"/>
  <c r="BG12" i="49" s="1"/>
  <c r="BH12" i="49" s="1"/>
  <c r="BI12" i="49" s="1"/>
  <c r="BJ12" i="49" s="1"/>
  <c r="BK12" i="49" s="1"/>
  <c r="BL12" i="49" s="1"/>
  <c r="H11" i="49" l="1"/>
  <c r="I11" i="49" s="1"/>
  <c r="J11" i="49" s="1"/>
  <c r="K11" i="49" s="1"/>
  <c r="L11" i="49" s="1"/>
  <c r="M11" i="49" s="1"/>
  <c r="N11" i="49" s="1"/>
  <c r="O11" i="49" s="1"/>
  <c r="P11" i="49" s="1"/>
  <c r="Q11" i="49" s="1"/>
  <c r="R11" i="49" s="1"/>
  <c r="S11" i="49" s="1"/>
  <c r="T11" i="49" s="1"/>
  <c r="U11" i="49" s="1"/>
  <c r="V11" i="49" s="1"/>
  <c r="W11" i="49" s="1"/>
  <c r="X11" i="49" s="1"/>
  <c r="Y11" i="49" s="1"/>
  <c r="Z11" i="49" s="1"/>
  <c r="AA11" i="49" s="1"/>
  <c r="AB11" i="49" s="1"/>
  <c r="AC11" i="49" s="1"/>
  <c r="AD11" i="49" s="1"/>
  <c r="AE11" i="49" s="1"/>
  <c r="AF11" i="49" s="1"/>
  <c r="AG11" i="49" s="1"/>
  <c r="AH11" i="49" s="1"/>
  <c r="AI11" i="49" s="1"/>
  <c r="AJ11" i="49" s="1"/>
  <c r="AK11" i="49" s="1"/>
  <c r="AL11" i="49" s="1"/>
  <c r="AM11" i="49" s="1"/>
  <c r="AN11" i="49" s="1"/>
  <c r="AO11" i="49" s="1"/>
  <c r="AP11" i="49" s="1"/>
  <c r="AQ11" i="49" s="1"/>
  <c r="AR11" i="49" s="1"/>
  <c r="AS11" i="49" s="1"/>
  <c r="AT11" i="49" s="1"/>
  <c r="AU11" i="49" s="1"/>
  <c r="AV11" i="49" s="1"/>
  <c r="AW11" i="49" s="1"/>
  <c r="AX11" i="49" s="1"/>
  <c r="AY11" i="49" s="1"/>
  <c r="AZ11" i="49" s="1"/>
  <c r="BA11" i="49" s="1"/>
  <c r="BB11" i="49" s="1"/>
  <c r="BC11" i="49" s="1"/>
  <c r="BD11" i="49" s="1"/>
  <c r="BE11" i="49" s="1"/>
  <c r="BF11" i="49" s="1"/>
  <c r="BG11" i="49" s="1"/>
  <c r="BH11" i="49" s="1"/>
  <c r="BI11" i="49" s="1"/>
  <c r="BJ11" i="49" s="1"/>
  <c r="BK11" i="49" s="1"/>
  <c r="BL11" i="49" s="1"/>
  <c r="H10" i="49"/>
  <c r="I10" i="49" s="1"/>
  <c r="J10" i="49" s="1"/>
  <c r="K10" i="49" s="1"/>
  <c r="L10" i="49" s="1"/>
  <c r="M10" i="49" s="1"/>
  <c r="N10" i="49" s="1"/>
  <c r="O10" i="49" s="1"/>
  <c r="P10" i="49" s="1"/>
  <c r="Q10" i="49" s="1"/>
  <c r="R10" i="49" s="1"/>
  <c r="S10" i="49" s="1"/>
  <c r="T10" i="49" s="1"/>
  <c r="U10" i="49" s="1"/>
  <c r="V10" i="49" s="1"/>
  <c r="W10" i="49" s="1"/>
  <c r="X10" i="49" s="1"/>
  <c r="Y10" i="49" s="1"/>
  <c r="Z10" i="49" s="1"/>
  <c r="AA10" i="49" s="1"/>
  <c r="AB10" i="49" s="1"/>
  <c r="AC10" i="49" s="1"/>
  <c r="AD10" i="49" s="1"/>
  <c r="AE10" i="49" s="1"/>
  <c r="AF10" i="49" s="1"/>
  <c r="AG10" i="49" s="1"/>
  <c r="AH10" i="49" s="1"/>
  <c r="AI10" i="49" s="1"/>
  <c r="AJ10" i="49" s="1"/>
  <c r="AK10" i="49" s="1"/>
  <c r="AL10" i="49" s="1"/>
  <c r="AM10" i="49" s="1"/>
  <c r="AN10" i="49" s="1"/>
  <c r="AO10" i="49" s="1"/>
  <c r="AP10" i="49" s="1"/>
  <c r="AQ10" i="49" s="1"/>
  <c r="AR10" i="49" s="1"/>
  <c r="AS10" i="49" s="1"/>
  <c r="AT10" i="49" s="1"/>
  <c r="AU10" i="49" s="1"/>
  <c r="AV10" i="49" s="1"/>
  <c r="AW10" i="49" s="1"/>
  <c r="AX10" i="49" s="1"/>
  <c r="AY10" i="49" s="1"/>
  <c r="AZ10" i="49" s="1"/>
  <c r="BA10" i="49" s="1"/>
  <c r="BB10" i="49" s="1"/>
  <c r="BC10" i="49" s="1"/>
  <c r="BD10" i="49" s="1"/>
  <c r="BE10" i="49" s="1"/>
  <c r="BF10" i="49" s="1"/>
  <c r="BG10" i="49" s="1"/>
  <c r="BH10" i="49" s="1"/>
  <c r="BI10" i="49" s="1"/>
  <c r="BJ10" i="49" s="1"/>
  <c r="BK10" i="49" s="1"/>
  <c r="BL10" i="49" s="1"/>
  <c r="E13" i="41"/>
  <c r="E10" i="41"/>
  <c r="E10" i="50"/>
  <c r="E10" i="42"/>
  <c r="E15" i="42" s="1"/>
  <c r="C45" i="33"/>
  <c r="C44" i="33"/>
  <c r="D27" i="41"/>
  <c r="D26" i="41"/>
  <c r="D25" i="41"/>
  <c r="D24" i="41"/>
  <c r="D23" i="41"/>
  <c r="F6" i="41"/>
  <c r="G6" i="41"/>
  <c r="H6" i="41"/>
  <c r="I6" i="41"/>
  <c r="J6" i="41"/>
  <c r="K6" i="41"/>
  <c r="L6" i="41"/>
  <c r="M6" i="41"/>
  <c r="N6" i="41"/>
  <c r="O6" i="41"/>
  <c r="P6" i="41"/>
  <c r="Q6" i="41"/>
  <c r="R6" i="41"/>
  <c r="S6" i="41"/>
  <c r="T6" i="41"/>
  <c r="U6" i="41"/>
  <c r="V6" i="41"/>
  <c r="W6" i="41"/>
  <c r="X6" i="41"/>
  <c r="Y6" i="41"/>
  <c r="Z6" i="41"/>
  <c r="AA6" i="41"/>
  <c r="AB6" i="41"/>
  <c r="AC6" i="41"/>
  <c r="AD6" i="41"/>
  <c r="AE6" i="41"/>
  <c r="AF6" i="41"/>
  <c r="AG6" i="41"/>
  <c r="AH6" i="41"/>
  <c r="AI6" i="41"/>
  <c r="AJ6" i="41"/>
  <c r="AK6" i="41"/>
  <c r="AL6" i="41"/>
  <c r="AM6" i="41"/>
  <c r="AN6" i="41"/>
  <c r="AO6" i="41"/>
  <c r="AP6" i="41"/>
  <c r="AQ6" i="41"/>
  <c r="AR6" i="41"/>
  <c r="AS6" i="41"/>
  <c r="AT6" i="41"/>
  <c r="AU6" i="41"/>
  <c r="AV6" i="41"/>
  <c r="AW6" i="41"/>
  <c r="AX6" i="41"/>
  <c r="AY6" i="41"/>
  <c r="AZ6" i="41"/>
  <c r="BA6" i="41"/>
  <c r="BB6" i="41"/>
  <c r="BC6" i="41"/>
  <c r="BD6" i="41"/>
  <c r="BE6" i="41"/>
  <c r="BF6" i="41"/>
  <c r="BG6" i="41"/>
  <c r="BH6" i="41"/>
  <c r="BI6" i="41"/>
  <c r="BJ6" i="41"/>
  <c r="BK6" i="41"/>
  <c r="BL6" i="41"/>
  <c r="E6" i="41"/>
  <c r="E9" i="41" s="1"/>
  <c r="E24" i="33"/>
  <c r="B2" i="33"/>
  <c r="E22" i="42" l="1"/>
  <c r="E29" i="42" s="1"/>
  <c r="E36" i="42" s="1"/>
  <c r="F10" i="41"/>
  <c r="G10" i="41" s="1"/>
  <c r="H10" i="41" s="1"/>
  <c r="I10" i="41" s="1"/>
  <c r="J10" i="41" s="1"/>
  <c r="K10" i="41" s="1"/>
  <c r="L10" i="41" s="1"/>
  <c r="M10" i="41" s="1"/>
  <c r="N10" i="41" s="1"/>
  <c r="O10" i="41" s="1"/>
  <c r="P10" i="41" s="1"/>
  <c r="Q10" i="41" s="1"/>
  <c r="R10" i="41" s="1"/>
  <c r="S10" i="41" s="1"/>
  <c r="T10" i="41" s="1"/>
  <c r="U10" i="41" s="1"/>
  <c r="V10" i="41" s="1"/>
  <c r="W10" i="41" s="1"/>
  <c r="X10" i="41" s="1"/>
  <c r="Y10" i="41" s="1"/>
  <c r="Z10" i="41" s="1"/>
  <c r="AA10" i="41" s="1"/>
  <c r="AB10" i="41" s="1"/>
  <c r="AC10" i="41" s="1"/>
  <c r="AD10" i="41" s="1"/>
  <c r="AE10" i="41" s="1"/>
  <c r="AF10" i="41" s="1"/>
  <c r="AG10" i="41" s="1"/>
  <c r="AH10" i="41" s="1"/>
  <c r="AI10" i="41" s="1"/>
  <c r="AJ10" i="41" s="1"/>
  <c r="AK10" i="41" s="1"/>
  <c r="AL10" i="41" s="1"/>
  <c r="AM10" i="41" s="1"/>
  <c r="AN10" i="41" s="1"/>
  <c r="AO10" i="41" s="1"/>
  <c r="AP10" i="41" s="1"/>
  <c r="AQ10" i="41" s="1"/>
  <c r="AR10" i="41" s="1"/>
  <c r="AS10" i="41" s="1"/>
  <c r="AT10" i="41" s="1"/>
  <c r="AU10" i="41" s="1"/>
  <c r="AV10" i="41" s="1"/>
  <c r="AW10" i="41" s="1"/>
  <c r="AX10" i="41" s="1"/>
  <c r="AY10" i="41" s="1"/>
  <c r="AZ10" i="41" s="1"/>
  <c r="BA10" i="41" s="1"/>
  <c r="BB10" i="41" s="1"/>
  <c r="BC10" i="41" s="1"/>
  <c r="BD10" i="41" s="1"/>
  <c r="BE10" i="41" s="1"/>
  <c r="BF10" i="41" s="1"/>
  <c r="BG10" i="41" s="1"/>
  <c r="BH10" i="41" s="1"/>
  <c r="BI10" i="41" s="1"/>
  <c r="BJ10" i="41" s="1"/>
  <c r="BK10" i="41" s="1"/>
  <c r="BL10" i="41" s="1"/>
  <c r="F13" i="41"/>
  <c r="G13" i="41" s="1"/>
  <c r="H13" i="41" s="1"/>
  <c r="I13" i="41" s="1"/>
  <c r="J13" i="41" s="1"/>
  <c r="K13" i="41" s="1"/>
  <c r="L13" i="41" s="1"/>
  <c r="M13" i="41" s="1"/>
  <c r="N13" i="41" s="1"/>
  <c r="O13" i="41" s="1"/>
  <c r="P13" i="41" s="1"/>
  <c r="Q13" i="41" s="1"/>
  <c r="R13" i="41" s="1"/>
  <c r="S13" i="41" s="1"/>
  <c r="T13" i="41" s="1"/>
  <c r="U13" i="41" s="1"/>
  <c r="V13" i="41" s="1"/>
  <c r="W13" i="41" s="1"/>
  <c r="X13" i="41" s="1"/>
  <c r="Y13" i="41" s="1"/>
  <c r="Z13" i="41" s="1"/>
  <c r="AA13" i="41" s="1"/>
  <c r="AB13" i="41" s="1"/>
  <c r="AC13" i="41" s="1"/>
  <c r="AD13" i="41" s="1"/>
  <c r="AE13" i="41" s="1"/>
  <c r="AF13" i="41" s="1"/>
  <c r="AG13" i="41" s="1"/>
  <c r="AH13" i="41" s="1"/>
  <c r="AI13" i="41" s="1"/>
  <c r="AJ13" i="41" s="1"/>
  <c r="AK13" i="41" s="1"/>
  <c r="AL13" i="41" s="1"/>
  <c r="AM13" i="41" s="1"/>
  <c r="AN13" i="41" s="1"/>
  <c r="AO13" i="41" s="1"/>
  <c r="AP13" i="41" s="1"/>
  <c r="AQ13" i="41" s="1"/>
  <c r="AR13" i="41" s="1"/>
  <c r="AS13" i="41" s="1"/>
  <c r="AT13" i="41" s="1"/>
  <c r="AU13" i="41" s="1"/>
  <c r="AV13" i="41" s="1"/>
  <c r="AW13" i="41" s="1"/>
  <c r="AX13" i="41" s="1"/>
  <c r="AY13" i="41" s="1"/>
  <c r="AZ13" i="41" s="1"/>
  <c r="BA13" i="41" s="1"/>
  <c r="BB13" i="41" s="1"/>
  <c r="BC13" i="41" s="1"/>
  <c r="BD13" i="41" s="1"/>
  <c r="BE13" i="41" s="1"/>
  <c r="BF13" i="41" s="1"/>
  <c r="BG13" i="41" s="1"/>
  <c r="BH13" i="41" s="1"/>
  <c r="BI13" i="41" s="1"/>
  <c r="BJ13" i="41" s="1"/>
  <c r="BK13" i="41" s="1"/>
  <c r="BL13" i="41" s="1"/>
  <c r="E9" i="51"/>
  <c r="F9" i="41"/>
  <c r="G9" i="41" s="1"/>
  <c r="H9" i="41" s="1"/>
  <c r="I9" i="41" s="1"/>
  <c r="J9" i="41" s="1"/>
  <c r="K9" i="41" s="1"/>
  <c r="L9" i="41" s="1"/>
  <c r="M9" i="41" s="1"/>
  <c r="N9" i="41" s="1"/>
  <c r="O9" i="41" s="1"/>
  <c r="P9" i="41" s="1"/>
  <c r="Q9" i="41" s="1"/>
  <c r="R9" i="41" s="1"/>
  <c r="S9" i="41" s="1"/>
  <c r="T9" i="41" s="1"/>
  <c r="U9" i="41" s="1"/>
  <c r="V9" i="41" s="1"/>
  <c r="W9" i="41" s="1"/>
  <c r="X9" i="41" s="1"/>
  <c r="Y9" i="41" s="1"/>
  <c r="Z9" i="41" s="1"/>
  <c r="AA9" i="41" s="1"/>
  <c r="AB9" i="41" s="1"/>
  <c r="AC9" i="41" s="1"/>
  <c r="AD9" i="41" s="1"/>
  <c r="AE9" i="41" s="1"/>
  <c r="AF9" i="41" s="1"/>
  <c r="AG9" i="41" s="1"/>
  <c r="AH9" i="41" s="1"/>
  <c r="AI9" i="41" s="1"/>
  <c r="AJ9" i="41" s="1"/>
  <c r="AK9" i="41" s="1"/>
  <c r="AL9" i="41" s="1"/>
  <c r="AM9" i="41" s="1"/>
  <c r="AN9" i="41" s="1"/>
  <c r="AO9" i="41" s="1"/>
  <c r="AP9" i="41" s="1"/>
  <c r="AQ9" i="41" s="1"/>
  <c r="AR9" i="41" s="1"/>
  <c r="AS9" i="41" s="1"/>
  <c r="AT9" i="41" s="1"/>
  <c r="AU9" i="41" s="1"/>
  <c r="AV9" i="41" s="1"/>
  <c r="AW9" i="41" s="1"/>
  <c r="AX9" i="41" s="1"/>
  <c r="AY9" i="41" s="1"/>
  <c r="AZ9" i="41" s="1"/>
  <c r="BA9" i="41" s="1"/>
  <c r="BB9" i="41" s="1"/>
  <c r="BC9" i="41" s="1"/>
  <c r="BD9" i="41" s="1"/>
  <c r="BE9" i="41" s="1"/>
  <c r="BF9" i="41" s="1"/>
  <c r="BG9" i="41" s="1"/>
  <c r="BH9" i="41" s="1"/>
  <c r="BI9" i="41" s="1"/>
  <c r="BJ9" i="41" s="1"/>
  <c r="BK9" i="41" s="1"/>
  <c r="BL9" i="41" s="1"/>
  <c r="E12" i="41"/>
  <c r="F12" i="41" s="1"/>
  <c r="G12" i="41" s="1"/>
  <c r="H12" i="41" s="1"/>
  <c r="I12" i="41" s="1"/>
  <c r="J12" i="41" s="1"/>
  <c r="K12" i="41" s="1"/>
  <c r="L12" i="41" s="1"/>
  <c r="M12" i="41" s="1"/>
  <c r="N12" i="41" s="1"/>
  <c r="O12" i="41" s="1"/>
  <c r="P12" i="41" s="1"/>
  <c r="Q12" i="41" s="1"/>
  <c r="R12" i="41" s="1"/>
  <c r="S12" i="41" s="1"/>
  <c r="T12" i="41" s="1"/>
  <c r="U12" i="41" s="1"/>
  <c r="V12" i="41" s="1"/>
  <c r="W12" i="41" s="1"/>
  <c r="X12" i="41" s="1"/>
  <c r="Y12" i="41" s="1"/>
  <c r="Z12" i="41" s="1"/>
  <c r="AA12" i="41" s="1"/>
  <c r="AB12" i="41" s="1"/>
  <c r="AC12" i="41" s="1"/>
  <c r="AD12" i="41" s="1"/>
  <c r="AE12" i="41" s="1"/>
  <c r="AF12" i="41" s="1"/>
  <c r="AG12" i="41" s="1"/>
  <c r="AH12" i="41" s="1"/>
  <c r="AI12" i="41" s="1"/>
  <c r="AJ12" i="41" s="1"/>
  <c r="AK12" i="41" s="1"/>
  <c r="AL12" i="41" s="1"/>
  <c r="AM12" i="41" s="1"/>
  <c r="AN12" i="41" s="1"/>
  <c r="AO12" i="41" s="1"/>
  <c r="AP12" i="41" s="1"/>
  <c r="AQ12" i="41" s="1"/>
  <c r="AR12" i="41" s="1"/>
  <c r="AS12" i="41" s="1"/>
  <c r="AT12" i="41" s="1"/>
  <c r="AU12" i="41" s="1"/>
  <c r="AV12" i="41" s="1"/>
  <c r="AW12" i="41" s="1"/>
  <c r="AX12" i="41" s="1"/>
  <c r="AY12" i="41" s="1"/>
  <c r="AZ12" i="41" s="1"/>
  <c r="BA12" i="41" s="1"/>
  <c r="BB12" i="41" s="1"/>
  <c r="BC12" i="41" s="1"/>
  <c r="BD12" i="41" s="1"/>
  <c r="BE12" i="41" s="1"/>
  <c r="BF12" i="41" s="1"/>
  <c r="BG12" i="41" s="1"/>
  <c r="BH12" i="41" s="1"/>
  <c r="BI12" i="41" s="1"/>
  <c r="BJ12" i="41" s="1"/>
  <c r="BK12" i="41" s="1"/>
  <c r="BL12" i="41" s="1"/>
  <c r="E11" i="41"/>
  <c r="F11" i="41" s="1"/>
  <c r="G11" i="41" s="1"/>
  <c r="H11" i="41" s="1"/>
  <c r="I11" i="41" s="1"/>
  <c r="J11" i="41" s="1"/>
  <c r="K11" i="41" s="1"/>
  <c r="L11" i="41" s="1"/>
  <c r="M11" i="41" s="1"/>
  <c r="N11" i="41" s="1"/>
  <c r="O11" i="41" s="1"/>
  <c r="P11" i="41" s="1"/>
  <c r="Q11" i="41" s="1"/>
  <c r="R11" i="41" s="1"/>
  <c r="S11" i="41" s="1"/>
  <c r="T11" i="41" s="1"/>
  <c r="U11" i="41" s="1"/>
  <c r="V11" i="41" s="1"/>
  <c r="W11" i="41" s="1"/>
  <c r="X11" i="41" s="1"/>
  <c r="Y11" i="41" s="1"/>
  <c r="Z11" i="41" s="1"/>
  <c r="AA11" i="41" s="1"/>
  <c r="AB11" i="41" s="1"/>
  <c r="AC11" i="41" s="1"/>
  <c r="AD11" i="41" s="1"/>
  <c r="AE11" i="41" s="1"/>
  <c r="AF11" i="41" s="1"/>
  <c r="AG11" i="41" s="1"/>
  <c r="AH11" i="41" s="1"/>
  <c r="AI11" i="41" s="1"/>
  <c r="AJ11" i="41" s="1"/>
  <c r="AK11" i="41" s="1"/>
  <c r="AL11" i="41" s="1"/>
  <c r="AM11" i="41" s="1"/>
  <c r="AN11" i="41" s="1"/>
  <c r="AO11" i="41" s="1"/>
  <c r="AP11" i="41" s="1"/>
  <c r="AQ11" i="41" s="1"/>
  <c r="AR11" i="41" s="1"/>
  <c r="AS11" i="41" s="1"/>
  <c r="AT11" i="41" s="1"/>
  <c r="AU11" i="41" s="1"/>
  <c r="AV11" i="41" s="1"/>
  <c r="AW11" i="41" s="1"/>
  <c r="AX11" i="41" s="1"/>
  <c r="AY11" i="41" s="1"/>
  <c r="AZ11" i="41" s="1"/>
  <c r="BA11" i="41" s="1"/>
  <c r="BB11" i="41" s="1"/>
  <c r="BC11" i="41" s="1"/>
  <c r="BD11" i="41" s="1"/>
  <c r="BE11" i="41" s="1"/>
  <c r="BF11" i="41" s="1"/>
  <c r="BG11" i="41" s="1"/>
  <c r="BH11" i="41" s="1"/>
  <c r="BI11" i="41" s="1"/>
  <c r="BJ11" i="41" s="1"/>
  <c r="BK11" i="41" s="1"/>
  <c r="BL11" i="41" s="1"/>
  <c r="E13" i="51"/>
  <c r="E10" i="51"/>
  <c r="E17" i="42"/>
  <c r="F10" i="42"/>
  <c r="E13" i="42"/>
  <c r="F16" i="42"/>
  <c r="G10" i="42"/>
  <c r="E14" i="42"/>
  <c r="E16" i="42"/>
  <c r="F10" i="50"/>
  <c r="F13" i="50" s="1"/>
  <c r="E15" i="50"/>
  <c r="F16" i="50"/>
  <c r="F13" i="51"/>
  <c r="E13" i="50"/>
  <c r="E17" i="50"/>
  <c r="F15" i="50"/>
  <c r="E14" i="50"/>
  <c r="E16" i="50"/>
  <c r="C29" i="33"/>
  <c r="C28" i="33"/>
  <c r="C27" i="33"/>
  <c r="C26" i="33"/>
  <c r="C25" i="33"/>
  <c r="E21" i="50" l="1"/>
  <c r="E28" i="50" s="1"/>
  <c r="E35" i="50" s="1"/>
  <c r="E24" i="50"/>
  <c r="E31" i="50" s="1"/>
  <c r="E38" i="50" s="1"/>
  <c r="E22" i="50"/>
  <c r="E29" i="50" s="1"/>
  <c r="E36" i="50" s="1"/>
  <c r="F22" i="50"/>
  <c r="F23" i="50"/>
  <c r="G23" i="50" s="1"/>
  <c r="E23" i="50"/>
  <c r="E30" i="50" s="1"/>
  <c r="E37" i="50" s="1"/>
  <c r="E24" i="42"/>
  <c r="E31" i="42" s="1"/>
  <c r="E38" i="42" s="1"/>
  <c r="E21" i="42"/>
  <c r="E28" i="42" s="1"/>
  <c r="E35" i="42" s="1"/>
  <c r="E23" i="42"/>
  <c r="E30" i="42" s="1"/>
  <c r="E37" i="42" s="1"/>
  <c r="F11" i="51"/>
  <c r="F9" i="51"/>
  <c r="E12" i="51"/>
  <c r="E11" i="51"/>
  <c r="E14" i="51" s="1"/>
  <c r="E20" i="50"/>
  <c r="F20" i="50" s="1"/>
  <c r="F27" i="50" s="1"/>
  <c r="F12" i="51"/>
  <c r="F10" i="51"/>
  <c r="E20" i="42"/>
  <c r="E27" i="42" s="1"/>
  <c r="E34" i="42" s="1"/>
  <c r="F14" i="50"/>
  <c r="F17" i="50"/>
  <c r="F24" i="50" s="1"/>
  <c r="F14" i="42"/>
  <c r="F15" i="42"/>
  <c r="F13" i="42"/>
  <c r="G16" i="42"/>
  <c r="G17" i="42"/>
  <c r="F17" i="42"/>
  <c r="G13" i="42"/>
  <c r="G15" i="42"/>
  <c r="G14" i="42"/>
  <c r="H10" i="42"/>
  <c r="H13" i="42" s="1"/>
  <c r="G9" i="51"/>
  <c r="G10" i="50"/>
  <c r="G16" i="50" s="1"/>
  <c r="G11" i="51"/>
  <c r="G13" i="51"/>
  <c r="F29" i="50"/>
  <c r="F40" i="33"/>
  <c r="G40" i="33" s="1"/>
  <c r="H40" i="33" s="1"/>
  <c r="I40" i="33" s="1"/>
  <c r="J40" i="33" s="1"/>
  <c r="F35" i="33"/>
  <c r="F24" i="33"/>
  <c r="F15" i="33"/>
  <c r="E15" i="33"/>
  <c r="F30" i="50" l="1"/>
  <c r="F31" i="50"/>
  <c r="F21" i="50"/>
  <c r="G21" i="50" s="1"/>
  <c r="F14" i="51"/>
  <c r="F21" i="42"/>
  <c r="G21" i="42" s="1"/>
  <c r="F23" i="42"/>
  <c r="F24" i="42"/>
  <c r="F31" i="42" s="1"/>
  <c r="F38" i="42" s="1"/>
  <c r="G22" i="42"/>
  <c r="H22" i="42" s="1"/>
  <c r="H29" i="42" s="1"/>
  <c r="G24" i="42"/>
  <c r="F29" i="42"/>
  <c r="F36" i="42" s="1"/>
  <c r="F22" i="42"/>
  <c r="E27" i="50"/>
  <c r="E34" i="50" s="1"/>
  <c r="F35" i="42"/>
  <c r="E41" i="42"/>
  <c r="G12" i="51"/>
  <c r="G10" i="51"/>
  <c r="G14" i="51" s="1"/>
  <c r="F20" i="42"/>
  <c r="G20" i="42" s="1"/>
  <c r="H15" i="42"/>
  <c r="H17" i="42"/>
  <c r="H14" i="42"/>
  <c r="G31" i="42"/>
  <c r="H16" i="42"/>
  <c r="F28" i="42"/>
  <c r="I10" i="42"/>
  <c r="H9" i="51"/>
  <c r="G30" i="50"/>
  <c r="H13" i="51"/>
  <c r="H11" i="51"/>
  <c r="G15" i="50"/>
  <c r="G14" i="50"/>
  <c r="G13" i="50"/>
  <c r="G17" i="50"/>
  <c r="H10" i="50"/>
  <c r="C42" i="33"/>
  <c r="C41" i="33"/>
  <c r="G35" i="33"/>
  <c r="H35" i="33" s="1"/>
  <c r="I35" i="33" s="1"/>
  <c r="J35" i="33" s="1"/>
  <c r="G22" i="50" l="1"/>
  <c r="G29" i="50" s="1"/>
  <c r="F28" i="50"/>
  <c r="G28" i="50"/>
  <c r="G24" i="50"/>
  <c r="G31" i="50" s="1"/>
  <c r="G29" i="42"/>
  <c r="G23" i="42"/>
  <c r="F30" i="42"/>
  <c r="F37" i="42" s="1"/>
  <c r="H24" i="42"/>
  <c r="I24" i="42" s="1"/>
  <c r="I22" i="42"/>
  <c r="H21" i="42"/>
  <c r="I21" i="42" s="1"/>
  <c r="E20" i="41"/>
  <c r="E16" i="41"/>
  <c r="E23" i="41" s="1"/>
  <c r="E30" i="41" s="1"/>
  <c r="E17" i="51" s="1"/>
  <c r="E19" i="41"/>
  <c r="E18" i="41"/>
  <c r="E17" i="41"/>
  <c r="G20" i="50"/>
  <c r="F35" i="50"/>
  <c r="F37" i="50"/>
  <c r="F36" i="50"/>
  <c r="F34" i="50"/>
  <c r="F38" i="50"/>
  <c r="E41" i="50"/>
  <c r="H20" i="42"/>
  <c r="H27" i="42" s="1"/>
  <c r="G27" i="42"/>
  <c r="F27" i="42"/>
  <c r="F34" i="42" s="1"/>
  <c r="H12" i="51"/>
  <c r="H10" i="51"/>
  <c r="I15" i="42"/>
  <c r="I16" i="42"/>
  <c r="I17" i="42"/>
  <c r="I14" i="42"/>
  <c r="I13" i="42"/>
  <c r="G28" i="42"/>
  <c r="J10" i="42"/>
  <c r="J14" i="42" s="1"/>
  <c r="I9" i="51"/>
  <c r="I13" i="51"/>
  <c r="H17" i="50"/>
  <c r="H16" i="50"/>
  <c r="H13" i="50"/>
  <c r="I10" i="50"/>
  <c r="I17" i="50" s="1"/>
  <c r="I13" i="50"/>
  <c r="H15" i="50"/>
  <c r="I11" i="51"/>
  <c r="H14" i="50"/>
  <c r="H21" i="50" s="1"/>
  <c r="H28" i="50" l="1"/>
  <c r="H24" i="50"/>
  <c r="I24" i="50" s="1"/>
  <c r="I31" i="50" s="1"/>
  <c r="H22" i="50"/>
  <c r="I22" i="50" s="1"/>
  <c r="H23" i="50"/>
  <c r="I23" i="50" s="1"/>
  <c r="J23" i="50" s="1"/>
  <c r="E20" i="49"/>
  <c r="E16" i="49"/>
  <c r="E23" i="49" s="1"/>
  <c r="E18" i="49"/>
  <c r="E19" i="49"/>
  <c r="E17" i="49"/>
  <c r="J21" i="42"/>
  <c r="I31" i="42"/>
  <c r="I29" i="42"/>
  <c r="H23" i="42"/>
  <c r="G30" i="42"/>
  <c r="G37" i="42" s="1"/>
  <c r="J22" i="42"/>
  <c r="K22" i="42" s="1"/>
  <c r="H31" i="42"/>
  <c r="E25" i="41"/>
  <c r="E32" i="41" s="1"/>
  <c r="E19" i="51" s="1"/>
  <c r="G38" i="50"/>
  <c r="G37" i="50"/>
  <c r="G36" i="50"/>
  <c r="G35" i="50"/>
  <c r="F41" i="50"/>
  <c r="H20" i="50"/>
  <c r="I20" i="50" s="1"/>
  <c r="I27" i="50"/>
  <c r="G27" i="50"/>
  <c r="G34" i="50" s="1"/>
  <c r="H14" i="51"/>
  <c r="I10" i="51"/>
  <c r="I12" i="51"/>
  <c r="E26" i="41"/>
  <c r="E33" i="41" s="1"/>
  <c r="E20" i="51" s="1"/>
  <c r="E27" i="41"/>
  <c r="E34" i="41" s="1"/>
  <c r="E21" i="51" s="1"/>
  <c r="G35" i="42"/>
  <c r="G38" i="42"/>
  <c r="G36" i="42"/>
  <c r="G34" i="42"/>
  <c r="F41" i="42"/>
  <c r="F19" i="41" s="1"/>
  <c r="E24" i="41"/>
  <c r="E31" i="41" s="1"/>
  <c r="E18" i="51" s="1"/>
  <c r="I20" i="42"/>
  <c r="J13" i="42"/>
  <c r="J17" i="42"/>
  <c r="J15" i="42"/>
  <c r="J16" i="42"/>
  <c r="K10" i="42"/>
  <c r="K15" i="42" s="1"/>
  <c r="H28" i="42"/>
  <c r="J9" i="51"/>
  <c r="J10" i="50"/>
  <c r="J16" i="50" s="1"/>
  <c r="I15" i="50"/>
  <c r="I16" i="50"/>
  <c r="J11" i="51"/>
  <c r="I14" i="50"/>
  <c r="J13" i="51"/>
  <c r="F19" i="49" l="1"/>
  <c r="I29" i="50"/>
  <c r="H31" i="50"/>
  <c r="H38" i="50" s="1"/>
  <c r="H30" i="50"/>
  <c r="H37" i="50" s="1"/>
  <c r="I30" i="50"/>
  <c r="H29" i="50"/>
  <c r="H36" i="50" s="1"/>
  <c r="I21" i="50"/>
  <c r="I28" i="50" s="1"/>
  <c r="F18" i="49"/>
  <c r="F20" i="49"/>
  <c r="F16" i="49"/>
  <c r="F17" i="49"/>
  <c r="J29" i="42"/>
  <c r="I23" i="42"/>
  <c r="H30" i="42"/>
  <c r="J24" i="42"/>
  <c r="K21" i="42"/>
  <c r="L21" i="42" s="1"/>
  <c r="F20" i="41"/>
  <c r="F16" i="41"/>
  <c r="F23" i="41" s="1"/>
  <c r="F30" i="41" s="1"/>
  <c r="F17" i="41"/>
  <c r="F18" i="41"/>
  <c r="F17" i="51"/>
  <c r="H35" i="50"/>
  <c r="G41" i="50"/>
  <c r="G19" i="49" s="1"/>
  <c r="E22" i="51"/>
  <c r="J20" i="50"/>
  <c r="H27" i="50"/>
  <c r="H34" i="50" s="1"/>
  <c r="E24" i="49"/>
  <c r="E26" i="49"/>
  <c r="E25" i="49"/>
  <c r="E27" i="49"/>
  <c r="I14" i="51"/>
  <c r="J20" i="42"/>
  <c r="J12" i="51"/>
  <c r="J27" i="42"/>
  <c r="H37" i="42"/>
  <c r="H35" i="42"/>
  <c r="H38" i="42"/>
  <c r="H36" i="42"/>
  <c r="H34" i="42"/>
  <c r="G41" i="42"/>
  <c r="G16" i="41" s="1"/>
  <c r="I27" i="42"/>
  <c r="F26" i="41"/>
  <c r="F33" i="41" s="1"/>
  <c r="J10" i="51"/>
  <c r="J17" i="50"/>
  <c r="J14" i="50"/>
  <c r="J21" i="50" s="1"/>
  <c r="K16" i="42"/>
  <c r="K14" i="42"/>
  <c r="L14" i="42"/>
  <c r="K17" i="42"/>
  <c r="L17" i="42"/>
  <c r="K13" i="42"/>
  <c r="I28" i="42"/>
  <c r="L10" i="42"/>
  <c r="L13" i="42" s="1"/>
  <c r="K29" i="42"/>
  <c r="K9" i="51"/>
  <c r="J28" i="50"/>
  <c r="K11" i="51"/>
  <c r="K10" i="50"/>
  <c r="K13" i="51"/>
  <c r="J30" i="50"/>
  <c r="K14" i="50"/>
  <c r="J13" i="50"/>
  <c r="K21" i="50" l="1"/>
  <c r="J22" i="50"/>
  <c r="J24" i="50"/>
  <c r="G17" i="49"/>
  <c r="G16" i="49"/>
  <c r="G23" i="49" s="1"/>
  <c r="G20" i="49"/>
  <c r="H20" i="49" s="1"/>
  <c r="F23" i="49"/>
  <c r="G18" i="49"/>
  <c r="K24" i="42"/>
  <c r="L24" i="42" s="1"/>
  <c r="L15" i="42"/>
  <c r="L22" i="42" s="1"/>
  <c r="J23" i="42"/>
  <c r="I30" i="42"/>
  <c r="J31" i="42"/>
  <c r="L16" i="42"/>
  <c r="K31" i="42"/>
  <c r="G18" i="41"/>
  <c r="F25" i="41"/>
  <c r="F32" i="41" s="1"/>
  <c r="F21" i="51"/>
  <c r="G17" i="41"/>
  <c r="F19" i="51"/>
  <c r="H41" i="42"/>
  <c r="H16" i="41" s="1"/>
  <c r="G20" i="41"/>
  <c r="H20" i="41" s="1"/>
  <c r="F27" i="41"/>
  <c r="F34" i="41" s="1"/>
  <c r="G19" i="41"/>
  <c r="J14" i="51"/>
  <c r="F27" i="49"/>
  <c r="F26" i="49"/>
  <c r="F24" i="49"/>
  <c r="J27" i="50"/>
  <c r="F20" i="51"/>
  <c r="I35" i="50"/>
  <c r="I36" i="50"/>
  <c r="I34" i="50"/>
  <c r="I37" i="50"/>
  <c r="I38" i="50"/>
  <c r="H41" i="50"/>
  <c r="H19" i="49" s="1"/>
  <c r="F25" i="49"/>
  <c r="K10" i="51"/>
  <c r="K12" i="51"/>
  <c r="I34" i="42"/>
  <c r="I35" i="42"/>
  <c r="I36" i="42"/>
  <c r="I37" i="42"/>
  <c r="I38" i="42"/>
  <c r="K20" i="42"/>
  <c r="L20" i="42" s="1"/>
  <c r="F24" i="41"/>
  <c r="F31" i="41" s="1"/>
  <c r="F18" i="51" s="1"/>
  <c r="G23" i="41"/>
  <c r="G30" i="41" s="1"/>
  <c r="G17" i="51" s="1"/>
  <c r="L31" i="42"/>
  <c r="K28" i="50"/>
  <c r="J28" i="42"/>
  <c r="M10" i="42"/>
  <c r="L29" i="42"/>
  <c r="L9" i="51"/>
  <c r="L10" i="50"/>
  <c r="L14" i="50" s="1"/>
  <c r="L13" i="51"/>
  <c r="K13" i="50"/>
  <c r="K20" i="50" s="1"/>
  <c r="K16" i="50"/>
  <c r="K15" i="50"/>
  <c r="K17" i="50"/>
  <c r="L11" i="51"/>
  <c r="K24" i="50" l="1"/>
  <c r="K23" i="50"/>
  <c r="K30" i="50" s="1"/>
  <c r="K22" i="50"/>
  <c r="K29" i="50" s="1"/>
  <c r="J29" i="50"/>
  <c r="J36" i="50" s="1"/>
  <c r="H18" i="49"/>
  <c r="J31" i="50"/>
  <c r="L21" i="50"/>
  <c r="L28" i="50" s="1"/>
  <c r="H16" i="49"/>
  <c r="H17" i="49"/>
  <c r="I41" i="42"/>
  <c r="K23" i="42"/>
  <c r="J30" i="42"/>
  <c r="I16" i="41"/>
  <c r="H23" i="41"/>
  <c r="H30" i="41" s="1"/>
  <c r="H17" i="51" s="1"/>
  <c r="H17" i="41"/>
  <c r="I17" i="41" s="1"/>
  <c r="H19" i="41"/>
  <c r="G26" i="41"/>
  <c r="G33" i="41" s="1"/>
  <c r="G20" i="51" s="1"/>
  <c r="I20" i="41"/>
  <c r="H27" i="41"/>
  <c r="H34" i="41" s="1"/>
  <c r="G27" i="41"/>
  <c r="G34" i="41" s="1"/>
  <c r="G21" i="51" s="1"/>
  <c r="H18" i="41"/>
  <c r="H25" i="41" s="1"/>
  <c r="H32" i="41" s="1"/>
  <c r="G25" i="41"/>
  <c r="G32" i="41" s="1"/>
  <c r="G19" i="51" s="1"/>
  <c r="G24" i="49"/>
  <c r="G26" i="49"/>
  <c r="G25" i="49"/>
  <c r="F22" i="51"/>
  <c r="G27" i="49"/>
  <c r="H21" i="51" s="1"/>
  <c r="J38" i="50"/>
  <c r="J34" i="50"/>
  <c r="J37" i="50"/>
  <c r="J35" i="50"/>
  <c r="I41" i="50"/>
  <c r="K27" i="50"/>
  <c r="K14" i="51"/>
  <c r="K27" i="42"/>
  <c r="L12" i="51"/>
  <c r="L27" i="42"/>
  <c r="L10" i="51"/>
  <c r="J36" i="42"/>
  <c r="J38" i="42"/>
  <c r="J34" i="42"/>
  <c r="J37" i="42"/>
  <c r="J35" i="42"/>
  <c r="G24" i="41"/>
  <c r="G31" i="41" s="1"/>
  <c r="G18" i="51" s="1"/>
  <c r="M13" i="42"/>
  <c r="M20" i="42" s="1"/>
  <c r="M16" i="42"/>
  <c r="M14" i="42"/>
  <c r="M21" i="42" s="1"/>
  <c r="M17" i="42"/>
  <c r="M15" i="42"/>
  <c r="I27" i="41"/>
  <c r="I34" i="41" s="1"/>
  <c r="K28" i="42"/>
  <c r="N10" i="42"/>
  <c r="M9" i="51"/>
  <c r="M13" i="51"/>
  <c r="M10" i="50"/>
  <c r="M13" i="50" s="1"/>
  <c r="L17" i="50"/>
  <c r="L15" i="50"/>
  <c r="L13" i="50"/>
  <c r="M11" i="51"/>
  <c r="L16" i="50"/>
  <c r="I18" i="49" l="1"/>
  <c r="L24" i="50"/>
  <c r="L22" i="50"/>
  <c r="L31" i="50"/>
  <c r="L23" i="50"/>
  <c r="M23" i="50" s="1"/>
  <c r="K31" i="50"/>
  <c r="I17" i="49"/>
  <c r="I16" i="49"/>
  <c r="I23" i="49" s="1"/>
  <c r="H23" i="49"/>
  <c r="I20" i="49"/>
  <c r="I19" i="49"/>
  <c r="M24" i="42"/>
  <c r="L23" i="42"/>
  <c r="K30" i="42"/>
  <c r="K37" i="42" s="1"/>
  <c r="M22" i="42"/>
  <c r="N22" i="42" s="1"/>
  <c r="J17" i="41"/>
  <c r="I18" i="41"/>
  <c r="I19" i="41"/>
  <c r="H26" i="41"/>
  <c r="H33" i="41" s="1"/>
  <c r="H19" i="51"/>
  <c r="G22" i="51"/>
  <c r="H20" i="51"/>
  <c r="J20" i="41"/>
  <c r="J16" i="41"/>
  <c r="L14" i="51"/>
  <c r="H26" i="49"/>
  <c r="H27" i="49"/>
  <c r="I21" i="51" s="1"/>
  <c r="H24" i="49"/>
  <c r="H25" i="49"/>
  <c r="K35" i="50"/>
  <c r="K36" i="50"/>
  <c r="K38" i="50"/>
  <c r="K34" i="50"/>
  <c r="K37" i="50"/>
  <c r="J41" i="50"/>
  <c r="J18" i="49" s="1"/>
  <c r="L20" i="50"/>
  <c r="M20" i="50" s="1"/>
  <c r="M27" i="42"/>
  <c r="M12" i="51"/>
  <c r="M10" i="51"/>
  <c r="M14" i="51" s="1"/>
  <c r="K38" i="42"/>
  <c r="K35" i="42"/>
  <c r="K34" i="42"/>
  <c r="K36" i="42"/>
  <c r="J41" i="42"/>
  <c r="H24" i="41"/>
  <c r="H31" i="41" s="1"/>
  <c r="H18" i="51" s="1"/>
  <c r="I23" i="41"/>
  <c r="I30" i="41" s="1"/>
  <c r="N16" i="42"/>
  <c r="N13" i="42"/>
  <c r="N14" i="42"/>
  <c r="N21" i="42" s="1"/>
  <c r="N15" i="42"/>
  <c r="N17" i="42"/>
  <c r="L28" i="42"/>
  <c r="O10" i="42"/>
  <c r="O13" i="42" s="1"/>
  <c r="N9" i="51"/>
  <c r="N11" i="51"/>
  <c r="N10" i="50"/>
  <c r="N13" i="51"/>
  <c r="M14" i="50"/>
  <c r="M17" i="50"/>
  <c r="M15" i="50"/>
  <c r="M16" i="50"/>
  <c r="M21" i="50" l="1"/>
  <c r="M22" i="50"/>
  <c r="L30" i="50"/>
  <c r="L37" i="50" s="1"/>
  <c r="M24" i="50"/>
  <c r="N24" i="50" s="1"/>
  <c r="M30" i="50"/>
  <c r="L29" i="50"/>
  <c r="L36" i="50" s="1"/>
  <c r="J17" i="49"/>
  <c r="J19" i="49"/>
  <c r="J20" i="49"/>
  <c r="J16" i="49"/>
  <c r="I17" i="51"/>
  <c r="H22" i="51"/>
  <c r="N24" i="42"/>
  <c r="M23" i="42"/>
  <c r="L30" i="42"/>
  <c r="L37" i="42" s="1"/>
  <c r="M31" i="42"/>
  <c r="N29" i="42"/>
  <c r="M29" i="42"/>
  <c r="K41" i="42"/>
  <c r="K16" i="41" s="1"/>
  <c r="J19" i="41"/>
  <c r="K19" i="41" s="1"/>
  <c r="I26" i="41"/>
  <c r="I33" i="41" s="1"/>
  <c r="I20" i="51" s="1"/>
  <c r="K20" i="41"/>
  <c r="J18" i="41"/>
  <c r="J25" i="41" s="1"/>
  <c r="J32" i="41" s="1"/>
  <c r="I25" i="41"/>
  <c r="I32" i="41" s="1"/>
  <c r="I19" i="51" s="1"/>
  <c r="I24" i="49"/>
  <c r="N20" i="50"/>
  <c r="I26" i="49"/>
  <c r="L38" i="50"/>
  <c r="L35" i="50"/>
  <c r="K41" i="50"/>
  <c r="K18" i="49" s="1"/>
  <c r="L27" i="50"/>
  <c r="L34" i="50" s="1"/>
  <c r="I27" i="49"/>
  <c r="M27" i="50"/>
  <c r="I25" i="49"/>
  <c r="N12" i="51"/>
  <c r="N10" i="51"/>
  <c r="N14" i="51" s="1"/>
  <c r="L35" i="42"/>
  <c r="L38" i="42"/>
  <c r="L36" i="42"/>
  <c r="L34" i="42"/>
  <c r="I24" i="41"/>
  <c r="I31" i="41" s="1"/>
  <c r="I18" i="51" s="1"/>
  <c r="N20" i="42"/>
  <c r="O20" i="42" s="1"/>
  <c r="O27" i="42" s="1"/>
  <c r="O17" i="42"/>
  <c r="O14" i="42"/>
  <c r="O21" i="42" s="1"/>
  <c r="O16" i="42"/>
  <c r="O15" i="42"/>
  <c r="P10" i="42"/>
  <c r="M28" i="42"/>
  <c r="O9" i="51"/>
  <c r="O13" i="51"/>
  <c r="O11" i="51"/>
  <c r="O10" i="50"/>
  <c r="N13" i="50"/>
  <c r="N17" i="50"/>
  <c r="N14" i="50"/>
  <c r="N15" i="50"/>
  <c r="N16" i="50"/>
  <c r="K16" i="49" l="1"/>
  <c r="N22" i="50"/>
  <c r="N21" i="50"/>
  <c r="N31" i="50"/>
  <c r="M28" i="50"/>
  <c r="M35" i="50" s="1"/>
  <c r="N23" i="50"/>
  <c r="O23" i="50" s="1"/>
  <c r="O24" i="50"/>
  <c r="M31" i="50"/>
  <c r="M29" i="50"/>
  <c r="J23" i="49"/>
  <c r="K19" i="49"/>
  <c r="K17" i="49"/>
  <c r="K20" i="49"/>
  <c r="J19" i="51"/>
  <c r="O24" i="42"/>
  <c r="N27" i="42"/>
  <c r="N23" i="42"/>
  <c r="M30" i="42"/>
  <c r="M37" i="42" s="1"/>
  <c r="O29" i="42"/>
  <c r="O22" i="42"/>
  <c r="N31" i="42"/>
  <c r="K18" i="41"/>
  <c r="K17" i="41"/>
  <c r="I22" i="51"/>
  <c r="M37" i="50"/>
  <c r="M38" i="50"/>
  <c r="M36" i="50"/>
  <c r="M34" i="50"/>
  <c r="L41" i="50"/>
  <c r="L18" i="49" s="1"/>
  <c r="K23" i="49"/>
  <c r="J24" i="49"/>
  <c r="N27" i="50"/>
  <c r="J25" i="49"/>
  <c r="J27" i="49"/>
  <c r="J26" i="49"/>
  <c r="J27" i="41"/>
  <c r="J34" i="41" s="1"/>
  <c r="J21" i="51" s="1"/>
  <c r="O10" i="51"/>
  <c r="M36" i="42"/>
  <c r="M38" i="42"/>
  <c r="M34" i="42"/>
  <c r="M35" i="42"/>
  <c r="J26" i="41"/>
  <c r="J33" i="41" s="1"/>
  <c r="J20" i="51" s="1"/>
  <c r="J24" i="41"/>
  <c r="J31" i="41" s="1"/>
  <c r="J18" i="51" s="1"/>
  <c r="L41" i="42"/>
  <c r="L16" i="41" s="1"/>
  <c r="J23" i="41"/>
  <c r="J30" i="41" s="1"/>
  <c r="J17" i="51" s="1"/>
  <c r="K25" i="41"/>
  <c r="K32" i="41" s="1"/>
  <c r="O12" i="51"/>
  <c r="P17" i="42"/>
  <c r="P16" i="42"/>
  <c r="P15" i="42"/>
  <c r="P14" i="42"/>
  <c r="P21" i="42" s="1"/>
  <c r="P13" i="42"/>
  <c r="P20" i="42" s="1"/>
  <c r="N28" i="42"/>
  <c r="Q10" i="42"/>
  <c r="P9" i="51"/>
  <c r="O13" i="50"/>
  <c r="O20" i="50" s="1"/>
  <c r="O17" i="50"/>
  <c r="O15" i="50"/>
  <c r="O16" i="50"/>
  <c r="O14" i="50"/>
  <c r="P11" i="51"/>
  <c r="P10" i="50"/>
  <c r="P13" i="51"/>
  <c r="O30" i="50" l="1"/>
  <c r="O21" i="50"/>
  <c r="P21" i="50" s="1"/>
  <c r="O22" i="50"/>
  <c r="O28" i="50"/>
  <c r="O29" i="50"/>
  <c r="O31" i="50"/>
  <c r="N28" i="50"/>
  <c r="N29" i="50"/>
  <c r="N30" i="50"/>
  <c r="L20" i="49"/>
  <c r="L17" i="49"/>
  <c r="M17" i="49" s="1"/>
  <c r="L19" i="49"/>
  <c r="L16" i="49"/>
  <c r="M16" i="49" s="1"/>
  <c r="M41" i="42"/>
  <c r="P24" i="42"/>
  <c r="O31" i="42"/>
  <c r="M16" i="41"/>
  <c r="O23" i="42"/>
  <c r="N30" i="42"/>
  <c r="N37" i="42" s="1"/>
  <c r="P22" i="42"/>
  <c r="L19" i="41"/>
  <c r="M19" i="41" s="1"/>
  <c r="L18" i="41"/>
  <c r="M18" i="41" s="1"/>
  <c r="M25" i="41" s="1"/>
  <c r="M32" i="41" s="1"/>
  <c r="L20" i="41"/>
  <c r="M20" i="41" s="1"/>
  <c r="L17" i="41"/>
  <c r="M17" i="41" s="1"/>
  <c r="K25" i="49"/>
  <c r="K19" i="51"/>
  <c r="K27" i="49"/>
  <c r="N37" i="50"/>
  <c r="N35" i="50"/>
  <c r="N38" i="50"/>
  <c r="N36" i="50"/>
  <c r="N34" i="50"/>
  <c r="M41" i="50"/>
  <c r="O27" i="50"/>
  <c r="K26" i="49"/>
  <c r="K24" i="49"/>
  <c r="O14" i="51"/>
  <c r="P27" i="42"/>
  <c r="P10" i="51"/>
  <c r="P14" i="51" s="1"/>
  <c r="K24" i="41"/>
  <c r="K31" i="41" s="1"/>
  <c r="K18" i="51" s="1"/>
  <c r="K26" i="41"/>
  <c r="K33" i="41" s="1"/>
  <c r="K20" i="51" s="1"/>
  <c r="P12" i="51"/>
  <c r="J22" i="51"/>
  <c r="K23" i="41"/>
  <c r="K30" i="41" s="1"/>
  <c r="K17" i="51" s="1"/>
  <c r="L25" i="41"/>
  <c r="L32" i="41" s="1"/>
  <c r="L19" i="51" s="1"/>
  <c r="N34" i="42"/>
  <c r="N38" i="42"/>
  <c r="N35" i="42"/>
  <c r="N36" i="42"/>
  <c r="K27" i="41"/>
  <c r="K34" i="41" s="1"/>
  <c r="K21" i="51" s="1"/>
  <c r="Q15" i="42"/>
  <c r="Q16" i="42"/>
  <c r="Q14" i="42"/>
  <c r="Q21" i="42" s="1"/>
  <c r="Q17" i="42"/>
  <c r="Q13" i="42"/>
  <c r="Q20" i="42" s="1"/>
  <c r="R10" i="42"/>
  <c r="O28" i="42"/>
  <c r="Q9" i="51"/>
  <c r="Q10" i="50"/>
  <c r="P16" i="50"/>
  <c r="P15" i="50"/>
  <c r="P13" i="50"/>
  <c r="P14" i="50"/>
  <c r="P17" i="50"/>
  <c r="Q11" i="51"/>
  <c r="Q13" i="51"/>
  <c r="P22" i="50" l="1"/>
  <c r="P23" i="50"/>
  <c r="Q23" i="50" s="1"/>
  <c r="Q21" i="50"/>
  <c r="P28" i="50"/>
  <c r="P24" i="50"/>
  <c r="Q24" i="50" s="1"/>
  <c r="L23" i="49"/>
  <c r="M19" i="49"/>
  <c r="M20" i="49"/>
  <c r="M18" i="49"/>
  <c r="Q24" i="42"/>
  <c r="P31" i="42"/>
  <c r="Q31" i="42"/>
  <c r="Q22" i="42"/>
  <c r="P23" i="42"/>
  <c r="O30" i="42"/>
  <c r="O37" i="42" s="1"/>
  <c r="P29" i="42"/>
  <c r="N41" i="42"/>
  <c r="N16" i="41" s="1"/>
  <c r="M23" i="49"/>
  <c r="L26" i="49"/>
  <c r="O35" i="50"/>
  <c r="O37" i="50"/>
  <c r="O38" i="50"/>
  <c r="O36" i="50"/>
  <c r="O34" i="50"/>
  <c r="N41" i="50"/>
  <c r="N16" i="49" s="1"/>
  <c r="L24" i="49"/>
  <c r="L25" i="49"/>
  <c r="M19" i="51" s="1"/>
  <c r="L27" i="49"/>
  <c r="P20" i="50"/>
  <c r="P27" i="50" s="1"/>
  <c r="Q27" i="42"/>
  <c r="L27" i="41"/>
  <c r="L34" i="41" s="1"/>
  <c r="L21" i="51" s="1"/>
  <c r="K22" i="51"/>
  <c r="L24" i="41"/>
  <c r="L31" i="41" s="1"/>
  <c r="L18" i="51" s="1"/>
  <c r="R20" i="42"/>
  <c r="R27" i="42" s="1"/>
  <c r="L26" i="41"/>
  <c r="L33" i="41" s="1"/>
  <c r="L20" i="51" s="1"/>
  <c r="Q12" i="51"/>
  <c r="Q10" i="51"/>
  <c r="L23" i="41"/>
  <c r="L30" i="41" s="1"/>
  <c r="L17" i="51" s="1"/>
  <c r="O38" i="42"/>
  <c r="O36" i="42"/>
  <c r="O34" i="42"/>
  <c r="O35" i="42"/>
  <c r="R14" i="42"/>
  <c r="R21" i="42" s="1"/>
  <c r="R17" i="42"/>
  <c r="R15" i="42"/>
  <c r="R13" i="42"/>
  <c r="R16" i="42"/>
  <c r="P28" i="42"/>
  <c r="S10" i="42"/>
  <c r="R9" i="51"/>
  <c r="R11" i="51"/>
  <c r="R10" i="50"/>
  <c r="Q13" i="50"/>
  <c r="Q17" i="50"/>
  <c r="Q16" i="50"/>
  <c r="Q15" i="50"/>
  <c r="Q14" i="50"/>
  <c r="R13" i="51"/>
  <c r="Q22" i="50" l="1"/>
  <c r="Q30" i="50"/>
  <c r="N19" i="49"/>
  <c r="P29" i="50"/>
  <c r="P36" i="50" s="1"/>
  <c r="R23" i="50"/>
  <c r="Q28" i="50"/>
  <c r="P31" i="50"/>
  <c r="N20" i="49"/>
  <c r="Q31" i="50"/>
  <c r="P30" i="50"/>
  <c r="N18" i="49"/>
  <c r="N17" i="49"/>
  <c r="O41" i="42"/>
  <c r="R22" i="42"/>
  <c r="Q29" i="42"/>
  <c r="N19" i="41"/>
  <c r="N20" i="41"/>
  <c r="O20" i="41" s="1"/>
  <c r="R24" i="42"/>
  <c r="Q23" i="42"/>
  <c r="P30" i="42"/>
  <c r="N18" i="41"/>
  <c r="Q14" i="51"/>
  <c r="N17" i="41"/>
  <c r="O17" i="41" s="1"/>
  <c r="O19" i="41"/>
  <c r="O16" i="41"/>
  <c r="N23" i="49"/>
  <c r="M25" i="49"/>
  <c r="M24" i="49"/>
  <c r="Q20" i="50"/>
  <c r="M26" i="49"/>
  <c r="P38" i="50"/>
  <c r="P37" i="50"/>
  <c r="P35" i="50"/>
  <c r="P34" i="50"/>
  <c r="O41" i="50"/>
  <c r="O16" i="49" s="1"/>
  <c r="M27" i="49"/>
  <c r="L22" i="51"/>
  <c r="S20" i="42"/>
  <c r="M23" i="41"/>
  <c r="M30" i="41" s="1"/>
  <c r="M17" i="51" s="1"/>
  <c r="R10" i="51"/>
  <c r="R14" i="51" s="1"/>
  <c r="M24" i="41"/>
  <c r="M31" i="41" s="1"/>
  <c r="M18" i="51" s="1"/>
  <c r="P38" i="42"/>
  <c r="P36" i="42"/>
  <c r="P34" i="42"/>
  <c r="P37" i="42"/>
  <c r="P35" i="42"/>
  <c r="R12" i="51"/>
  <c r="M27" i="41"/>
  <c r="M34" i="41" s="1"/>
  <c r="M21" i="51" s="1"/>
  <c r="M26" i="41"/>
  <c r="M33" i="41" s="1"/>
  <c r="M20" i="51" s="1"/>
  <c r="S15" i="42"/>
  <c r="S13" i="42"/>
  <c r="S16" i="42"/>
  <c r="S17" i="42"/>
  <c r="S14" i="42"/>
  <c r="S21" i="42" s="1"/>
  <c r="T10" i="42"/>
  <c r="Q28" i="42"/>
  <c r="S9" i="51"/>
  <c r="S11" i="51"/>
  <c r="S13" i="51"/>
  <c r="R16" i="50"/>
  <c r="R13" i="50"/>
  <c r="R17" i="50"/>
  <c r="R14" i="50"/>
  <c r="R21" i="50" s="1"/>
  <c r="R15" i="50"/>
  <c r="S10" i="50"/>
  <c r="O19" i="49" l="1"/>
  <c r="O20" i="49"/>
  <c r="R31" i="50"/>
  <c r="R22" i="50"/>
  <c r="S22" i="50" s="1"/>
  <c r="Q29" i="50"/>
  <c r="Q36" i="50" s="1"/>
  <c r="R29" i="50"/>
  <c r="R28" i="50"/>
  <c r="R30" i="50"/>
  <c r="R24" i="50"/>
  <c r="R20" i="50"/>
  <c r="R27" i="50" s="1"/>
  <c r="O17" i="49"/>
  <c r="O18" i="49"/>
  <c r="S22" i="42"/>
  <c r="R29" i="42"/>
  <c r="S29" i="42"/>
  <c r="S24" i="42"/>
  <c r="R31" i="42"/>
  <c r="R23" i="42"/>
  <c r="Q30" i="42"/>
  <c r="O18" i="41"/>
  <c r="N25" i="41"/>
  <c r="N32" i="41" s="1"/>
  <c r="N19" i="51" s="1"/>
  <c r="O23" i="49"/>
  <c r="N24" i="49"/>
  <c r="N25" i="49"/>
  <c r="Q35" i="50"/>
  <c r="Q38" i="50"/>
  <c r="Q37" i="50"/>
  <c r="P41" i="50"/>
  <c r="P19" i="49" s="1"/>
  <c r="N27" i="49"/>
  <c r="Q27" i="50"/>
  <c r="Q34" i="50" s="1"/>
  <c r="N26" i="49"/>
  <c r="Q35" i="42"/>
  <c r="Q36" i="42"/>
  <c r="Q34" i="42"/>
  <c r="Q37" i="42"/>
  <c r="Q38" i="42"/>
  <c r="N23" i="41"/>
  <c r="N30" i="41" s="1"/>
  <c r="N17" i="51" s="1"/>
  <c r="S27" i="42"/>
  <c r="N27" i="41"/>
  <c r="N34" i="41" s="1"/>
  <c r="N21" i="51" s="1"/>
  <c r="N24" i="41"/>
  <c r="N31" i="41" s="1"/>
  <c r="N18" i="51" s="1"/>
  <c r="P41" i="42"/>
  <c r="P17" i="41" s="1"/>
  <c r="S12" i="51"/>
  <c r="S10" i="51"/>
  <c r="N26" i="41"/>
  <c r="N33" i="41" s="1"/>
  <c r="N20" i="51" s="1"/>
  <c r="M22" i="51"/>
  <c r="T17" i="42"/>
  <c r="T15" i="42"/>
  <c r="T14" i="42"/>
  <c r="T21" i="42" s="1"/>
  <c r="T16" i="42"/>
  <c r="T13" i="42"/>
  <c r="T20" i="42" s="1"/>
  <c r="R28" i="42"/>
  <c r="U10" i="42"/>
  <c r="T9" i="51"/>
  <c r="S17" i="50"/>
  <c r="S16" i="50"/>
  <c r="S23" i="50" s="1"/>
  <c r="S13" i="50"/>
  <c r="S20" i="50" s="1"/>
  <c r="S15" i="50"/>
  <c r="S14" i="50"/>
  <c r="T10" i="50"/>
  <c r="T13" i="51"/>
  <c r="T11" i="51"/>
  <c r="S29" i="50" l="1"/>
  <c r="S30" i="50"/>
  <c r="S24" i="50"/>
  <c r="T24" i="50" s="1"/>
  <c r="S21" i="50"/>
  <c r="T21" i="50" s="1"/>
  <c r="P18" i="49"/>
  <c r="P17" i="49"/>
  <c r="P16" i="49"/>
  <c r="Q16" i="49" s="1"/>
  <c r="P20" i="49"/>
  <c r="Q20" i="49" s="1"/>
  <c r="U21" i="42"/>
  <c r="S23" i="42"/>
  <c r="R30" i="42"/>
  <c r="T24" i="42"/>
  <c r="Q41" i="42"/>
  <c r="S31" i="42"/>
  <c r="T22" i="42"/>
  <c r="Q17" i="41"/>
  <c r="P18" i="41"/>
  <c r="Q18" i="41" s="1"/>
  <c r="O25" i="41"/>
  <c r="O32" i="41" s="1"/>
  <c r="P20" i="41"/>
  <c r="P19" i="41"/>
  <c r="Q19" i="41" s="1"/>
  <c r="P16" i="41"/>
  <c r="Q16" i="41" s="1"/>
  <c r="S14" i="51"/>
  <c r="O19" i="51"/>
  <c r="P23" i="49"/>
  <c r="R35" i="50"/>
  <c r="R34" i="50"/>
  <c r="R37" i="50"/>
  <c r="R36" i="50"/>
  <c r="R38" i="50"/>
  <c r="Q41" i="50"/>
  <c r="Q19" i="49" s="1"/>
  <c r="O27" i="49"/>
  <c r="O26" i="49"/>
  <c r="O24" i="49"/>
  <c r="T20" i="50"/>
  <c r="S27" i="50"/>
  <c r="O25" i="49"/>
  <c r="T12" i="51"/>
  <c r="N22" i="51"/>
  <c r="O24" i="41"/>
  <c r="O31" i="41" s="1"/>
  <c r="O18" i="51" s="1"/>
  <c r="O26" i="41"/>
  <c r="O33" i="41" s="1"/>
  <c r="O20" i="51" s="1"/>
  <c r="O23" i="41"/>
  <c r="O30" i="41" s="1"/>
  <c r="O17" i="51" s="1"/>
  <c r="R36" i="42"/>
  <c r="R35" i="42"/>
  <c r="R34" i="42"/>
  <c r="R37" i="42"/>
  <c r="R38" i="42"/>
  <c r="R41" i="42" s="1"/>
  <c r="U20" i="42"/>
  <c r="T27" i="42"/>
  <c r="T10" i="51"/>
  <c r="O27" i="41"/>
  <c r="O34" i="41" s="1"/>
  <c r="O21" i="51" s="1"/>
  <c r="U13" i="42"/>
  <c r="U14" i="42"/>
  <c r="U15" i="42"/>
  <c r="U16" i="42"/>
  <c r="U17" i="42"/>
  <c r="Q25" i="41"/>
  <c r="Q32" i="41" s="1"/>
  <c r="S28" i="42"/>
  <c r="V10" i="42"/>
  <c r="U9" i="51"/>
  <c r="U11" i="51"/>
  <c r="T14" i="50"/>
  <c r="T16" i="50"/>
  <c r="T13" i="50"/>
  <c r="T17" i="50"/>
  <c r="T15" i="50"/>
  <c r="U10" i="50"/>
  <c r="U13" i="51"/>
  <c r="S28" i="50" l="1"/>
  <c r="T22" i="50"/>
  <c r="T30" i="50"/>
  <c r="T31" i="50"/>
  <c r="S31" i="50"/>
  <c r="T28" i="50"/>
  <c r="T23" i="50"/>
  <c r="Q17" i="49"/>
  <c r="Q18" i="49"/>
  <c r="R20" i="49"/>
  <c r="U31" i="42"/>
  <c r="V21" i="42"/>
  <c r="U22" i="42"/>
  <c r="T29" i="42"/>
  <c r="Q20" i="41"/>
  <c r="U24" i="42"/>
  <c r="T31" i="42"/>
  <c r="T23" i="42"/>
  <c r="S30" i="42"/>
  <c r="P25" i="41"/>
  <c r="P32" i="41" s="1"/>
  <c r="P19" i="51" s="1"/>
  <c r="T14" i="51"/>
  <c r="R16" i="41"/>
  <c r="R19" i="41"/>
  <c r="R20" i="41"/>
  <c r="R18" i="41"/>
  <c r="R17" i="41"/>
  <c r="Q23" i="49"/>
  <c r="S35" i="50"/>
  <c r="S38" i="50"/>
  <c r="S37" i="50"/>
  <c r="S36" i="50"/>
  <c r="S34" i="50"/>
  <c r="R41" i="50"/>
  <c r="R19" i="49" s="1"/>
  <c r="P24" i="49"/>
  <c r="P26" i="49"/>
  <c r="T27" i="50"/>
  <c r="P25" i="49"/>
  <c r="Q19" i="51" s="1"/>
  <c r="P27" i="49"/>
  <c r="P26" i="41"/>
  <c r="P33" i="41" s="1"/>
  <c r="P20" i="51" s="1"/>
  <c r="S38" i="42"/>
  <c r="S36" i="42"/>
  <c r="S37" i="42"/>
  <c r="S35" i="42"/>
  <c r="S34" i="42"/>
  <c r="U10" i="51"/>
  <c r="P24" i="41"/>
  <c r="P31" i="41" s="1"/>
  <c r="P18" i="51" s="1"/>
  <c r="P27" i="41"/>
  <c r="P34" i="41" s="1"/>
  <c r="P21" i="51" s="1"/>
  <c r="O22" i="51"/>
  <c r="U27" i="42"/>
  <c r="P23" i="41"/>
  <c r="P30" i="41" s="1"/>
  <c r="P17" i="51" s="1"/>
  <c r="U12" i="51"/>
  <c r="V14" i="42"/>
  <c r="V13" i="42"/>
  <c r="V20" i="42" s="1"/>
  <c r="V27" i="42" s="1"/>
  <c r="V15" i="42"/>
  <c r="V16" i="42"/>
  <c r="V17" i="42"/>
  <c r="T28" i="42"/>
  <c r="W10" i="42"/>
  <c r="V9" i="51"/>
  <c r="V10" i="50"/>
  <c r="V13" i="51"/>
  <c r="V11" i="51"/>
  <c r="U16" i="50"/>
  <c r="U14" i="50"/>
  <c r="U21" i="50" s="1"/>
  <c r="U17" i="50"/>
  <c r="U13" i="50"/>
  <c r="U15" i="50"/>
  <c r="U22" i="50" l="1"/>
  <c r="U31" i="50"/>
  <c r="T29" i="50"/>
  <c r="U23" i="50"/>
  <c r="U29" i="50"/>
  <c r="U28" i="50"/>
  <c r="U24" i="50"/>
  <c r="R16" i="49"/>
  <c r="R23" i="49" s="1"/>
  <c r="R18" i="49"/>
  <c r="R17" i="49"/>
  <c r="U23" i="42"/>
  <c r="T30" i="42"/>
  <c r="V24" i="42"/>
  <c r="V22" i="42"/>
  <c r="U29" i="42"/>
  <c r="R25" i="41"/>
  <c r="R32" i="41" s="1"/>
  <c r="Q27" i="49"/>
  <c r="U14" i="51"/>
  <c r="Q24" i="49"/>
  <c r="T36" i="50"/>
  <c r="T34" i="50"/>
  <c r="T37" i="50"/>
  <c r="T38" i="50"/>
  <c r="T35" i="50"/>
  <c r="S41" i="50"/>
  <c r="S19" i="49" s="1"/>
  <c r="Q26" i="49"/>
  <c r="Q25" i="49"/>
  <c r="U20" i="50"/>
  <c r="U27" i="50" s="1"/>
  <c r="T35" i="42"/>
  <c r="T38" i="42"/>
  <c r="T36" i="42"/>
  <c r="T34" i="42"/>
  <c r="T37" i="42"/>
  <c r="S41" i="42"/>
  <c r="S19" i="41" s="1"/>
  <c r="Q27" i="41"/>
  <c r="Q34" i="41" s="1"/>
  <c r="Q21" i="51" s="1"/>
  <c r="V12" i="51"/>
  <c r="P22" i="51"/>
  <c r="Q24" i="41"/>
  <c r="Q31" i="41" s="1"/>
  <c r="Q18" i="51" s="1"/>
  <c r="V10" i="51"/>
  <c r="Q26" i="41"/>
  <c r="Q33" i="41" s="1"/>
  <c r="Q20" i="51" s="1"/>
  <c r="Q23" i="41"/>
  <c r="Q30" i="41" s="1"/>
  <c r="Q17" i="51" s="1"/>
  <c r="W14" i="42"/>
  <c r="W21" i="42" s="1"/>
  <c r="W17" i="42"/>
  <c r="W13" i="42"/>
  <c r="W16" i="42"/>
  <c r="W15" i="42"/>
  <c r="X10" i="42"/>
  <c r="U28" i="42"/>
  <c r="W9" i="51"/>
  <c r="V16" i="50"/>
  <c r="V17" i="50"/>
  <c r="V15" i="50"/>
  <c r="V14" i="50"/>
  <c r="V13" i="50"/>
  <c r="W13" i="51"/>
  <c r="W10" i="50"/>
  <c r="W11" i="51"/>
  <c r="V23" i="50" l="1"/>
  <c r="W23" i="50" s="1"/>
  <c r="V22" i="50"/>
  <c r="W22" i="50" s="1"/>
  <c r="U30" i="50"/>
  <c r="S20" i="49"/>
  <c r="V28" i="50"/>
  <c r="V24" i="50"/>
  <c r="V31" i="50" s="1"/>
  <c r="V21" i="50"/>
  <c r="S17" i="49"/>
  <c r="S18" i="49"/>
  <c r="S16" i="49"/>
  <c r="V20" i="50"/>
  <c r="W22" i="42"/>
  <c r="V29" i="42"/>
  <c r="W24" i="42"/>
  <c r="W29" i="42"/>
  <c r="S18" i="41"/>
  <c r="V23" i="42"/>
  <c r="U30" i="42"/>
  <c r="U37" i="42" s="1"/>
  <c r="S20" i="41"/>
  <c r="V31" i="42"/>
  <c r="S16" i="41"/>
  <c r="R19" i="51"/>
  <c r="S17" i="41"/>
  <c r="T41" i="42"/>
  <c r="T19" i="41" s="1"/>
  <c r="U35" i="50"/>
  <c r="U37" i="50"/>
  <c r="U38" i="50"/>
  <c r="U34" i="50"/>
  <c r="U36" i="50"/>
  <c r="T41" i="50"/>
  <c r="T19" i="49" s="1"/>
  <c r="R27" i="49"/>
  <c r="R24" i="49"/>
  <c r="R25" i="49"/>
  <c r="R26" i="49"/>
  <c r="V27" i="50"/>
  <c r="V14" i="51"/>
  <c r="W10" i="51"/>
  <c r="S25" i="41"/>
  <c r="S32" i="41" s="1"/>
  <c r="Q22" i="51"/>
  <c r="U36" i="42"/>
  <c r="U34" i="42"/>
  <c r="U38" i="42"/>
  <c r="U35" i="42"/>
  <c r="R23" i="41"/>
  <c r="R30" i="41" s="1"/>
  <c r="R17" i="51" s="1"/>
  <c r="R24" i="41"/>
  <c r="R31" i="41" s="1"/>
  <c r="R18" i="51" s="1"/>
  <c r="W12" i="51"/>
  <c r="R27" i="41"/>
  <c r="R34" i="41" s="1"/>
  <c r="R21" i="51" s="1"/>
  <c r="R26" i="41"/>
  <c r="R33" i="41" s="1"/>
  <c r="R20" i="51" s="1"/>
  <c r="W20" i="42"/>
  <c r="X17" i="42"/>
  <c r="X14" i="42"/>
  <c r="X21" i="42" s="1"/>
  <c r="X16" i="42"/>
  <c r="X13" i="42"/>
  <c r="X15" i="42"/>
  <c r="Y10" i="42"/>
  <c r="V28" i="42"/>
  <c r="X9" i="51"/>
  <c r="X11" i="51"/>
  <c r="W17" i="50"/>
  <c r="W13" i="50"/>
  <c r="W16" i="50"/>
  <c r="W15" i="50"/>
  <c r="W14" i="50"/>
  <c r="X10" i="50"/>
  <c r="X13" i="51"/>
  <c r="T20" i="49" l="1"/>
  <c r="T16" i="49"/>
  <c r="T18" i="49"/>
  <c r="W28" i="50"/>
  <c r="V30" i="50"/>
  <c r="V37" i="50" s="1"/>
  <c r="W29" i="50"/>
  <c r="W21" i="50"/>
  <c r="W20" i="50"/>
  <c r="X22" i="50"/>
  <c r="X23" i="50"/>
  <c r="W30" i="50"/>
  <c r="W24" i="50"/>
  <c r="X24" i="50" s="1"/>
  <c r="V29" i="50"/>
  <c r="V36" i="50" s="1"/>
  <c r="S23" i="49"/>
  <c r="U18" i="49"/>
  <c r="T17" i="49"/>
  <c r="U17" i="49" s="1"/>
  <c r="W23" i="42"/>
  <c r="V30" i="42"/>
  <c r="X24" i="42"/>
  <c r="Y24" i="42" s="1"/>
  <c r="X22" i="42"/>
  <c r="W31" i="42"/>
  <c r="X29" i="42"/>
  <c r="X20" i="42"/>
  <c r="T18" i="41"/>
  <c r="T17" i="41"/>
  <c r="T20" i="41"/>
  <c r="U41" i="42"/>
  <c r="U19" i="41" s="1"/>
  <c r="T16" i="41"/>
  <c r="U16" i="41" s="1"/>
  <c r="T23" i="49"/>
  <c r="S19" i="51"/>
  <c r="S24" i="49"/>
  <c r="S26" i="49"/>
  <c r="V34" i="50"/>
  <c r="V38" i="50"/>
  <c r="V35" i="50"/>
  <c r="U41" i="50"/>
  <c r="U19" i="49" s="1"/>
  <c r="S25" i="49"/>
  <c r="W27" i="50"/>
  <c r="W14" i="51"/>
  <c r="S27" i="49"/>
  <c r="V37" i="42"/>
  <c r="V35" i="42"/>
  <c r="V36" i="42"/>
  <c r="V34" i="42"/>
  <c r="V41" i="42" s="1"/>
  <c r="V38" i="42"/>
  <c r="R22" i="51"/>
  <c r="S26" i="41"/>
  <c r="S33" i="41" s="1"/>
  <c r="S20" i="51" s="1"/>
  <c r="S23" i="41"/>
  <c r="S30" i="41" s="1"/>
  <c r="S17" i="51" s="1"/>
  <c r="W27" i="42"/>
  <c r="X27" i="42"/>
  <c r="S27" i="41"/>
  <c r="S34" i="41" s="1"/>
  <c r="S21" i="51" s="1"/>
  <c r="S24" i="41"/>
  <c r="S31" i="41" s="1"/>
  <c r="S18" i="51" s="1"/>
  <c r="X12" i="51"/>
  <c r="X10" i="51"/>
  <c r="Y14" i="42"/>
  <c r="Y21" i="42" s="1"/>
  <c r="Y17" i="42"/>
  <c r="Y16" i="42"/>
  <c r="Y13" i="42"/>
  <c r="Y20" i="42" s="1"/>
  <c r="Y15" i="42"/>
  <c r="Z10" i="42"/>
  <c r="W28" i="42"/>
  <c r="Y31" i="42"/>
  <c r="Y9" i="51"/>
  <c r="Y11" i="51"/>
  <c r="Y10" i="50"/>
  <c r="Y13" i="51"/>
  <c r="X15" i="50"/>
  <c r="X13" i="50"/>
  <c r="X16" i="50"/>
  <c r="X17" i="50"/>
  <c r="X14" i="50"/>
  <c r="X31" i="50" l="1"/>
  <c r="X30" i="50"/>
  <c r="W31" i="50"/>
  <c r="X21" i="50"/>
  <c r="Y21" i="50" s="1"/>
  <c r="X29" i="50"/>
  <c r="U16" i="49"/>
  <c r="U23" i="49" s="1"/>
  <c r="U20" i="49"/>
  <c r="Y29" i="42"/>
  <c r="Y22" i="42"/>
  <c r="X31" i="42"/>
  <c r="X23" i="42"/>
  <c r="W30" i="42"/>
  <c r="W37" i="42" s="1"/>
  <c r="V19" i="41"/>
  <c r="V16" i="41"/>
  <c r="U20" i="41"/>
  <c r="V20" i="41" s="1"/>
  <c r="U17" i="41"/>
  <c r="V17" i="41" s="1"/>
  <c r="U18" i="41"/>
  <c r="V18" i="41" s="1"/>
  <c r="T25" i="41"/>
  <c r="T32" i="41" s="1"/>
  <c r="T19" i="51"/>
  <c r="T26" i="49"/>
  <c r="T27" i="49"/>
  <c r="X20" i="50"/>
  <c r="T25" i="49"/>
  <c r="T24" i="49"/>
  <c r="X14" i="51"/>
  <c r="W34" i="50"/>
  <c r="W37" i="50"/>
  <c r="W38" i="50"/>
  <c r="W35" i="50"/>
  <c r="W36" i="50"/>
  <c r="V41" i="50"/>
  <c r="V19" i="49" s="1"/>
  <c r="T26" i="41"/>
  <c r="T33" i="41" s="1"/>
  <c r="T20" i="51" s="1"/>
  <c r="Y10" i="51"/>
  <c r="T27" i="41"/>
  <c r="T34" i="41" s="1"/>
  <c r="T21" i="51" s="1"/>
  <c r="Y12" i="51"/>
  <c r="W34" i="42"/>
  <c r="W38" i="42"/>
  <c r="W36" i="42"/>
  <c r="W35" i="42"/>
  <c r="S22" i="51"/>
  <c r="T24" i="41"/>
  <c r="T31" i="41" s="1"/>
  <c r="T18" i="51" s="1"/>
  <c r="Y27" i="42"/>
  <c r="T23" i="41"/>
  <c r="T30" i="41" s="1"/>
  <c r="T17" i="51" s="1"/>
  <c r="Z16" i="42"/>
  <c r="Z14" i="42"/>
  <c r="Z21" i="42" s="1"/>
  <c r="Z13" i="42"/>
  <c r="Z20" i="42" s="1"/>
  <c r="Z15" i="42"/>
  <c r="Z17" i="42"/>
  <c r="X28" i="42"/>
  <c r="AA10" i="42"/>
  <c r="Z9" i="51"/>
  <c r="Z11" i="51"/>
  <c r="Z10" i="50"/>
  <c r="Z13" i="51"/>
  <c r="Y14" i="50"/>
  <c r="Y15" i="50"/>
  <c r="Y22" i="50" s="1"/>
  <c r="Y17" i="50"/>
  <c r="Y16" i="50"/>
  <c r="Y13" i="50"/>
  <c r="Z21" i="50" l="1"/>
  <c r="Y20" i="50"/>
  <c r="X28" i="50"/>
  <c r="Y30" i="50"/>
  <c r="Y31" i="50"/>
  <c r="Y29" i="50"/>
  <c r="Y28" i="50"/>
  <c r="Y24" i="50"/>
  <c r="Y23" i="50"/>
  <c r="V18" i="49"/>
  <c r="V17" i="49"/>
  <c r="V20" i="49"/>
  <c r="V16" i="49"/>
  <c r="V23" i="49" s="1"/>
  <c r="Y23" i="42"/>
  <c r="X30" i="42"/>
  <c r="W41" i="42"/>
  <c r="W17" i="41" s="1"/>
  <c r="Z24" i="42"/>
  <c r="AA24" i="42" s="1"/>
  <c r="Z22" i="42"/>
  <c r="W18" i="41"/>
  <c r="W25" i="41" s="1"/>
  <c r="W32" i="41" s="1"/>
  <c r="U25" i="41"/>
  <c r="U32" i="41" s="1"/>
  <c r="W19" i="41"/>
  <c r="U19" i="51"/>
  <c r="U27" i="49"/>
  <c r="U24" i="49"/>
  <c r="X27" i="50"/>
  <c r="X34" i="50" s="1"/>
  <c r="X37" i="50"/>
  <c r="X38" i="50"/>
  <c r="X35" i="50"/>
  <c r="X36" i="50"/>
  <c r="W41" i="50"/>
  <c r="W19" i="49" s="1"/>
  <c r="U26" i="49"/>
  <c r="Y27" i="50"/>
  <c r="Y14" i="51"/>
  <c r="U25" i="49"/>
  <c r="T22" i="51"/>
  <c r="Z27" i="42"/>
  <c r="U23" i="41"/>
  <c r="U30" i="41" s="1"/>
  <c r="U17" i="51" s="1"/>
  <c r="Z10" i="51"/>
  <c r="U27" i="41"/>
  <c r="U34" i="41" s="1"/>
  <c r="U21" i="51" s="1"/>
  <c r="U24" i="41"/>
  <c r="U31" i="41" s="1"/>
  <c r="U18" i="51" s="1"/>
  <c r="U26" i="41"/>
  <c r="U33" i="41" s="1"/>
  <c r="U20" i="51" s="1"/>
  <c r="X38" i="42"/>
  <c r="X35" i="42"/>
  <c r="X37" i="42"/>
  <c r="X36" i="42"/>
  <c r="X34" i="42"/>
  <c r="V25" i="41"/>
  <c r="V32" i="41" s="1"/>
  <c r="Z12" i="51"/>
  <c r="AA15" i="42"/>
  <c r="AA16" i="42"/>
  <c r="AA17" i="42"/>
  <c r="AA14" i="42"/>
  <c r="AA21" i="42" s="1"/>
  <c r="AA13" i="42"/>
  <c r="AA20" i="42" s="1"/>
  <c r="AB10" i="42"/>
  <c r="Y28" i="42"/>
  <c r="AA9" i="51"/>
  <c r="AA13" i="51"/>
  <c r="AA10" i="50"/>
  <c r="AA11" i="51"/>
  <c r="Z16" i="50"/>
  <c r="Z15" i="50"/>
  <c r="Z14" i="50"/>
  <c r="Z17" i="50"/>
  <c r="Z13" i="50"/>
  <c r="Z20" i="50" s="1"/>
  <c r="W18" i="49" l="1"/>
  <c r="Z23" i="50"/>
  <c r="Z28" i="50"/>
  <c r="Z24" i="50"/>
  <c r="AA24" i="50" s="1"/>
  <c r="Z22" i="50"/>
  <c r="AA22" i="50" s="1"/>
  <c r="W16" i="49"/>
  <c r="W23" i="49" s="1"/>
  <c r="W20" i="49"/>
  <c r="W17" i="49"/>
  <c r="AB24" i="42"/>
  <c r="AA31" i="42"/>
  <c r="Z31" i="42"/>
  <c r="W20" i="41"/>
  <c r="W16" i="41"/>
  <c r="Z23" i="42"/>
  <c r="Y30" i="42"/>
  <c r="Y37" i="42" s="1"/>
  <c r="AA22" i="42"/>
  <c r="Z29" i="42"/>
  <c r="X41" i="42"/>
  <c r="X19" i="41" s="1"/>
  <c r="X18" i="41"/>
  <c r="V19" i="51"/>
  <c r="Y37" i="50"/>
  <c r="Y38" i="50"/>
  <c r="Y35" i="50"/>
  <c r="Y34" i="50"/>
  <c r="Y36" i="50"/>
  <c r="X41" i="50"/>
  <c r="X19" i="49" s="1"/>
  <c r="AA20" i="50"/>
  <c r="V27" i="49"/>
  <c r="V26" i="49"/>
  <c r="V25" i="49"/>
  <c r="W19" i="51" s="1"/>
  <c r="Z27" i="50"/>
  <c r="V24" i="49"/>
  <c r="Z14" i="51"/>
  <c r="AA27" i="42"/>
  <c r="AA10" i="51"/>
  <c r="AA12" i="51"/>
  <c r="V26" i="41"/>
  <c r="V33" i="41" s="1"/>
  <c r="V20" i="51" s="1"/>
  <c r="U22" i="51"/>
  <c r="V27" i="41"/>
  <c r="V34" i="41" s="1"/>
  <c r="V21" i="51" s="1"/>
  <c r="Y34" i="42"/>
  <c r="Y35" i="42"/>
  <c r="Y36" i="42"/>
  <c r="Y38" i="42"/>
  <c r="V23" i="41"/>
  <c r="V30" i="41" s="1"/>
  <c r="V17" i="51" s="1"/>
  <c r="V24" i="41"/>
  <c r="V31" i="41" s="1"/>
  <c r="V18" i="51" s="1"/>
  <c r="AB14" i="42"/>
  <c r="AB21" i="42" s="1"/>
  <c r="AB17" i="42"/>
  <c r="AB13" i="42"/>
  <c r="AB20" i="42" s="1"/>
  <c r="AB16" i="42"/>
  <c r="AB15" i="42"/>
  <c r="AC10" i="42"/>
  <c r="Z28" i="42"/>
  <c r="AB9" i="51"/>
  <c r="AA17" i="50"/>
  <c r="AA16" i="50"/>
  <c r="AA13" i="50"/>
  <c r="AA15" i="50"/>
  <c r="AA14" i="50"/>
  <c r="AB13" i="51"/>
  <c r="AB10" i="50"/>
  <c r="AB11" i="51"/>
  <c r="AA28" i="50" l="1"/>
  <c r="AA30" i="50"/>
  <c r="AA31" i="50"/>
  <c r="Z31" i="50"/>
  <c r="Z38" i="50" s="1"/>
  <c r="Z29" i="50"/>
  <c r="Z36" i="50" s="1"/>
  <c r="AB22" i="50"/>
  <c r="AA29" i="50"/>
  <c r="AA21" i="50"/>
  <c r="AA23" i="50"/>
  <c r="X18" i="49"/>
  <c r="Z30" i="50"/>
  <c r="AA14" i="51"/>
  <c r="Y18" i="49"/>
  <c r="X17" i="49"/>
  <c r="X20" i="49"/>
  <c r="Y20" i="49" s="1"/>
  <c r="X16" i="49"/>
  <c r="AC21" i="42"/>
  <c r="AC24" i="42"/>
  <c r="AB31" i="42"/>
  <c r="AB22" i="42"/>
  <c r="AA29" i="42"/>
  <c r="AA23" i="42"/>
  <c r="Z30" i="42"/>
  <c r="X20" i="41"/>
  <c r="AB29" i="42"/>
  <c r="Y41" i="42"/>
  <c r="Y19" i="41" s="1"/>
  <c r="X16" i="41"/>
  <c r="X17" i="41"/>
  <c r="W26" i="49"/>
  <c r="Z37" i="50"/>
  <c r="Z34" i="50"/>
  <c r="Z35" i="50"/>
  <c r="Y41" i="50"/>
  <c r="Y19" i="49" s="1"/>
  <c r="W25" i="49"/>
  <c r="AA27" i="50"/>
  <c r="W24" i="49"/>
  <c r="W27" i="49"/>
  <c r="AB27" i="42"/>
  <c r="W26" i="41"/>
  <c r="W33" i="41" s="1"/>
  <c r="W20" i="51" s="1"/>
  <c r="Z36" i="42"/>
  <c r="Z35" i="42"/>
  <c r="Z34" i="42"/>
  <c r="Z37" i="42"/>
  <c r="Z38" i="42"/>
  <c r="W24" i="41"/>
  <c r="W31" i="41" s="1"/>
  <c r="W18" i="51" s="1"/>
  <c r="AB12" i="51"/>
  <c r="V22" i="51"/>
  <c r="W23" i="41"/>
  <c r="W30" i="41" s="1"/>
  <c r="W17" i="51" s="1"/>
  <c r="W27" i="41"/>
  <c r="W34" i="41" s="1"/>
  <c r="W21" i="51" s="1"/>
  <c r="AB10" i="51"/>
  <c r="AB14" i="51" s="1"/>
  <c r="X25" i="41"/>
  <c r="X32" i="41" s="1"/>
  <c r="X19" i="51" s="1"/>
  <c r="AC13" i="42"/>
  <c r="AC20" i="42" s="1"/>
  <c r="AC15" i="42"/>
  <c r="AC14" i="42"/>
  <c r="AC16" i="42"/>
  <c r="AC17" i="42"/>
  <c r="AD10" i="42"/>
  <c r="AA28" i="42"/>
  <c r="AC9" i="51"/>
  <c r="AC10" i="50"/>
  <c r="AB13" i="50"/>
  <c r="AB16" i="50"/>
  <c r="AB15" i="50"/>
  <c r="AB14" i="50"/>
  <c r="AB17" i="50"/>
  <c r="AC13" i="51"/>
  <c r="AC11" i="51"/>
  <c r="AB29" i="50" l="1"/>
  <c r="AB23" i="50"/>
  <c r="AB30" i="50"/>
  <c r="Y16" i="49"/>
  <c r="AB21" i="50"/>
  <c r="AC21" i="50" s="1"/>
  <c r="AB24" i="50"/>
  <c r="Y17" i="49"/>
  <c r="X23" i="49"/>
  <c r="Y20" i="41"/>
  <c r="AB23" i="42"/>
  <c r="AA30" i="42"/>
  <c r="Y17" i="41"/>
  <c r="AC22" i="42"/>
  <c r="AD22" i="42" s="1"/>
  <c r="AC31" i="42"/>
  <c r="Y18" i="41"/>
  <c r="Y25" i="41" s="1"/>
  <c r="Y32" i="41" s="1"/>
  <c r="Y16" i="41"/>
  <c r="Z41" i="42"/>
  <c r="Z19" i="41" s="1"/>
  <c r="Z18" i="41"/>
  <c r="W22" i="51"/>
  <c r="Y23" i="49"/>
  <c r="X24" i="49"/>
  <c r="AA34" i="50"/>
  <c r="AA38" i="50"/>
  <c r="AA35" i="50"/>
  <c r="AA37" i="50"/>
  <c r="AA36" i="50"/>
  <c r="Z41" i="50"/>
  <c r="Z19" i="49" s="1"/>
  <c r="X27" i="49"/>
  <c r="X25" i="49"/>
  <c r="AB20" i="50"/>
  <c r="X26" i="49"/>
  <c r="AC27" i="42"/>
  <c r="AA36" i="42"/>
  <c r="AA34" i="42"/>
  <c r="AA37" i="42"/>
  <c r="AA35" i="42"/>
  <c r="AA41" i="42" s="1"/>
  <c r="AA38" i="42"/>
  <c r="AC12" i="51"/>
  <c r="AC10" i="51"/>
  <c r="AC14" i="51" s="1"/>
  <c r="X26" i="41"/>
  <c r="X33" i="41" s="1"/>
  <c r="X20" i="51" s="1"/>
  <c r="X23" i="41"/>
  <c r="X30" i="41" s="1"/>
  <c r="X17" i="51" s="1"/>
  <c r="X24" i="41"/>
  <c r="X31" i="41" s="1"/>
  <c r="X18" i="51" s="1"/>
  <c r="X27" i="41"/>
  <c r="X34" i="41" s="1"/>
  <c r="X21" i="51" s="1"/>
  <c r="AD16" i="42"/>
  <c r="AD13" i="42"/>
  <c r="AD17" i="42"/>
  <c r="AD15" i="42"/>
  <c r="AD14" i="42"/>
  <c r="AD21" i="42" s="1"/>
  <c r="AB28" i="42"/>
  <c r="AE10" i="42"/>
  <c r="Z25" i="41"/>
  <c r="Z32" i="41" s="1"/>
  <c r="AD29" i="42"/>
  <c r="AD9" i="51"/>
  <c r="AD13" i="51"/>
  <c r="AC13" i="50"/>
  <c r="AC16" i="50"/>
  <c r="AC14" i="50"/>
  <c r="AC15" i="50"/>
  <c r="AC17" i="50"/>
  <c r="AD11" i="51"/>
  <c r="AD10" i="50"/>
  <c r="AC28" i="50" l="1"/>
  <c r="AC30" i="50"/>
  <c r="AB28" i="50"/>
  <c r="AB35" i="50" s="1"/>
  <c r="AC22" i="50"/>
  <c r="AD22" i="50" s="1"/>
  <c r="Z18" i="49"/>
  <c r="AC23" i="50"/>
  <c r="AC24" i="50"/>
  <c r="AB31" i="50"/>
  <c r="AC20" i="50"/>
  <c r="Z17" i="49"/>
  <c r="Z20" i="49"/>
  <c r="Z16" i="49"/>
  <c r="AE22" i="42"/>
  <c r="AA19" i="41"/>
  <c r="AC23" i="42"/>
  <c r="AB30" i="42"/>
  <c r="AD31" i="42"/>
  <c r="AC29" i="42"/>
  <c r="Y19" i="51"/>
  <c r="AD24" i="42"/>
  <c r="AA18" i="41"/>
  <c r="Z17" i="41"/>
  <c r="AA17" i="41" s="1"/>
  <c r="Z20" i="41"/>
  <c r="AA20" i="41" s="1"/>
  <c r="Z16" i="41"/>
  <c r="AA16" i="41" s="1"/>
  <c r="X22" i="51"/>
  <c r="Y27" i="49"/>
  <c r="Y24" i="49"/>
  <c r="Y25" i="49"/>
  <c r="Z19" i="51" s="1"/>
  <c r="AB27" i="50"/>
  <c r="AB34" i="50" s="1"/>
  <c r="Y26" i="49"/>
  <c r="AB38" i="50"/>
  <c r="AB36" i="50"/>
  <c r="AB37" i="50"/>
  <c r="AA41" i="50"/>
  <c r="AA19" i="49" s="1"/>
  <c r="AC27" i="50"/>
  <c r="Y27" i="41"/>
  <c r="Y34" i="41" s="1"/>
  <c r="Y21" i="51" s="1"/>
  <c r="AB38" i="42"/>
  <c r="AB35" i="42"/>
  <c r="AB36" i="42"/>
  <c r="AB34" i="42"/>
  <c r="AB37" i="42"/>
  <c r="AB41" i="42" s="1"/>
  <c r="AB19" i="41" s="1"/>
  <c r="Y26" i="41"/>
  <c r="Y33" i="41" s="1"/>
  <c r="Y20" i="51" s="1"/>
  <c r="Y23" i="41"/>
  <c r="Y30" i="41" s="1"/>
  <c r="Y17" i="51" s="1"/>
  <c r="AD10" i="51"/>
  <c r="Y24" i="41"/>
  <c r="Y31" i="41" s="1"/>
  <c r="Y18" i="51" s="1"/>
  <c r="AD12" i="51"/>
  <c r="AD20" i="42"/>
  <c r="AE16" i="42"/>
  <c r="AE13" i="42"/>
  <c r="AE14" i="42"/>
  <c r="AE21" i="42" s="1"/>
  <c r="AE17" i="42"/>
  <c r="AE15" i="42"/>
  <c r="AC28" i="42"/>
  <c r="AF10" i="42"/>
  <c r="AA25" i="41"/>
  <c r="AA32" i="41" s="1"/>
  <c r="AE9" i="51"/>
  <c r="AE10" i="50"/>
  <c r="AE13" i="51"/>
  <c r="AE11" i="51"/>
  <c r="AD13" i="50"/>
  <c r="AD15" i="50"/>
  <c r="AD14" i="50"/>
  <c r="AD16" i="50"/>
  <c r="AD17" i="50"/>
  <c r="AD24" i="50" l="1"/>
  <c r="AE24" i="50" s="1"/>
  <c r="AD21" i="50"/>
  <c r="AE22" i="50"/>
  <c r="AC29" i="50"/>
  <c r="AC36" i="50" s="1"/>
  <c r="AD29" i="50"/>
  <c r="AD23" i="50"/>
  <c r="AD30" i="50" s="1"/>
  <c r="AC31" i="50"/>
  <c r="AA16" i="49"/>
  <c r="AA23" i="49" s="1"/>
  <c r="AA20" i="49"/>
  <c r="Z23" i="49"/>
  <c r="AA18" i="49"/>
  <c r="AA17" i="49"/>
  <c r="AB17" i="49" s="1"/>
  <c r="AD20" i="50"/>
  <c r="AD27" i="50" s="1"/>
  <c r="AE29" i="42"/>
  <c r="AD23" i="42"/>
  <c r="AC30" i="42"/>
  <c r="AF22" i="42"/>
  <c r="AE24" i="42"/>
  <c r="AF24" i="42" s="1"/>
  <c r="AB17" i="41"/>
  <c r="AE20" i="42"/>
  <c r="AE27" i="42" s="1"/>
  <c r="AD27" i="42"/>
  <c r="AB16" i="41"/>
  <c r="AB20" i="41"/>
  <c r="AB18" i="41"/>
  <c r="AD14" i="51"/>
  <c r="Z26" i="49"/>
  <c r="Z27" i="49"/>
  <c r="Z25" i="49"/>
  <c r="AA19" i="51" s="1"/>
  <c r="Z24" i="49"/>
  <c r="AC35" i="50"/>
  <c r="AC34" i="50"/>
  <c r="AC38" i="50"/>
  <c r="AC37" i="50"/>
  <c r="AB41" i="50"/>
  <c r="AB19" i="49" s="1"/>
  <c r="AC36" i="42"/>
  <c r="AC34" i="42"/>
  <c r="AC38" i="42"/>
  <c r="AC37" i="42"/>
  <c r="AC35" i="42"/>
  <c r="AE10" i="51"/>
  <c r="Y22" i="51"/>
  <c r="Z26" i="41"/>
  <c r="Z33" i="41" s="1"/>
  <c r="Z20" i="51" s="1"/>
  <c r="AE12" i="51"/>
  <c r="Z23" i="41"/>
  <c r="Z30" i="41" s="1"/>
  <c r="Z17" i="51" s="1"/>
  <c r="Z24" i="41"/>
  <c r="Z31" i="41" s="1"/>
  <c r="Z18" i="51" s="1"/>
  <c r="Z27" i="41"/>
  <c r="Z34" i="41" s="1"/>
  <c r="Z21" i="51" s="1"/>
  <c r="AF14" i="42"/>
  <c r="AF21" i="42" s="1"/>
  <c r="AF16" i="42"/>
  <c r="AF13" i="42"/>
  <c r="AF15" i="42"/>
  <c r="AF17" i="42"/>
  <c r="AG10" i="42"/>
  <c r="AD28" i="42"/>
  <c r="AF9" i="51"/>
  <c r="AF13" i="51"/>
  <c r="AF10" i="50"/>
  <c r="AF11" i="51"/>
  <c r="AE14" i="50"/>
  <c r="AE16" i="50"/>
  <c r="AE13" i="50"/>
  <c r="AE17" i="50"/>
  <c r="AE15" i="50"/>
  <c r="AB18" i="49" l="1"/>
  <c r="AE21" i="50"/>
  <c r="AE29" i="50"/>
  <c r="AD28" i="50"/>
  <c r="AD35" i="50" s="1"/>
  <c r="AE30" i="50"/>
  <c r="AE28" i="50"/>
  <c r="AF22" i="50"/>
  <c r="AE31" i="50"/>
  <c r="AE20" i="50"/>
  <c r="AE23" i="50"/>
  <c r="AF23" i="50" s="1"/>
  <c r="AD31" i="50"/>
  <c r="AB20" i="49"/>
  <c r="AB16" i="49"/>
  <c r="AB23" i="49" s="1"/>
  <c r="AC18" i="49"/>
  <c r="AE31" i="42"/>
  <c r="AF29" i="42"/>
  <c r="AC41" i="42"/>
  <c r="AC19" i="41" s="1"/>
  <c r="AG22" i="42"/>
  <c r="AF31" i="42"/>
  <c r="AF20" i="42"/>
  <c r="AF27" i="42" s="1"/>
  <c r="AE23" i="42"/>
  <c r="AD30" i="42"/>
  <c r="AC16" i="41"/>
  <c r="AB25" i="41"/>
  <c r="AB32" i="41" s="1"/>
  <c r="AC17" i="41"/>
  <c r="AE14" i="51"/>
  <c r="AA27" i="49"/>
  <c r="AE27" i="50"/>
  <c r="AA24" i="49"/>
  <c r="AA26" i="49"/>
  <c r="AD36" i="50"/>
  <c r="AD37" i="50"/>
  <c r="AD34" i="50"/>
  <c r="AD38" i="50"/>
  <c r="AC41" i="50"/>
  <c r="AC19" i="49" s="1"/>
  <c r="AA25" i="49"/>
  <c r="Z22" i="51"/>
  <c r="AF10" i="51"/>
  <c r="AA23" i="41"/>
  <c r="AA30" i="41" s="1"/>
  <c r="AA17" i="51" s="1"/>
  <c r="AG20" i="42"/>
  <c r="AA27" i="41"/>
  <c r="AA34" i="41" s="1"/>
  <c r="AA21" i="51" s="1"/>
  <c r="AF12" i="51"/>
  <c r="AA26" i="41"/>
  <c r="AA33" i="41" s="1"/>
  <c r="AA20" i="51" s="1"/>
  <c r="AD35" i="42"/>
  <c r="AD37" i="42"/>
  <c r="AD36" i="42"/>
  <c r="AD38" i="42"/>
  <c r="AD34" i="42"/>
  <c r="AA24" i="41"/>
  <c r="AA31" i="41" s="1"/>
  <c r="AA18" i="51" s="1"/>
  <c r="AG14" i="42"/>
  <c r="AG21" i="42" s="1"/>
  <c r="AG17" i="42"/>
  <c r="AG24" i="42" s="1"/>
  <c r="AG15" i="42"/>
  <c r="AG16" i="42"/>
  <c r="AG13" i="42"/>
  <c r="AH10" i="42"/>
  <c r="AE28" i="42"/>
  <c r="AG9" i="51"/>
  <c r="AG10" i="50"/>
  <c r="AG13" i="51"/>
  <c r="AF17" i="50"/>
  <c r="AF13" i="50"/>
  <c r="AF20" i="50" s="1"/>
  <c r="AF14" i="50"/>
  <c r="AF15" i="50"/>
  <c r="AF16" i="50"/>
  <c r="AG11" i="51"/>
  <c r="AF31" i="50" l="1"/>
  <c r="AF24" i="50"/>
  <c r="AF30" i="50"/>
  <c r="AF21" i="50"/>
  <c r="AG23" i="50"/>
  <c r="AF29" i="50"/>
  <c r="AC17" i="49"/>
  <c r="AC16" i="49"/>
  <c r="AC23" i="49" s="1"/>
  <c r="AC20" i="49"/>
  <c r="AG31" i="42"/>
  <c r="AB19" i="51"/>
  <c r="AC20" i="41"/>
  <c r="AD20" i="41" s="1"/>
  <c r="AC18" i="41"/>
  <c r="AC25" i="41" s="1"/>
  <c r="AC32" i="41" s="1"/>
  <c r="AG29" i="42"/>
  <c r="AF23" i="42"/>
  <c r="AE30" i="42"/>
  <c r="AD41" i="42"/>
  <c r="AD19" i="41" s="1"/>
  <c r="AD16" i="41"/>
  <c r="AE35" i="50"/>
  <c r="AE37" i="50"/>
  <c r="AE38" i="50"/>
  <c r="AE34" i="50"/>
  <c r="AE36" i="50"/>
  <c r="AD41" i="50"/>
  <c r="AD19" i="49" s="1"/>
  <c r="AB27" i="49"/>
  <c r="AB24" i="49"/>
  <c r="AF14" i="51"/>
  <c r="AF27" i="50"/>
  <c r="AB25" i="49"/>
  <c r="AB26" i="49"/>
  <c r="AB27" i="41"/>
  <c r="AB34" i="41" s="1"/>
  <c r="AB21" i="51" s="1"/>
  <c r="AB23" i="41"/>
  <c r="AB30" i="41" s="1"/>
  <c r="AB17" i="51" s="1"/>
  <c r="AG27" i="42"/>
  <c r="AA22" i="51"/>
  <c r="AB26" i="41"/>
  <c r="AB33" i="41" s="1"/>
  <c r="AB20" i="51" s="1"/>
  <c r="AB24" i="41"/>
  <c r="AB31" i="41" s="1"/>
  <c r="AB18" i="51" s="1"/>
  <c r="AG10" i="51"/>
  <c r="AE38" i="42"/>
  <c r="AE35" i="42"/>
  <c r="AE37" i="42"/>
  <c r="AE36" i="42"/>
  <c r="AE34" i="42"/>
  <c r="AG12" i="51"/>
  <c r="AH14" i="42"/>
  <c r="AH21" i="42" s="1"/>
  <c r="AH17" i="42"/>
  <c r="AH13" i="42"/>
  <c r="AH20" i="42" s="1"/>
  <c r="AH15" i="42"/>
  <c r="AH16" i="42"/>
  <c r="AF28" i="42"/>
  <c r="AI10" i="42"/>
  <c r="AH9" i="51"/>
  <c r="AH11" i="51"/>
  <c r="AG14" i="50"/>
  <c r="AG15" i="50"/>
  <c r="AG17" i="50"/>
  <c r="AG13" i="50"/>
  <c r="AG16" i="50"/>
  <c r="AH10" i="50"/>
  <c r="AH13" i="51"/>
  <c r="AG21" i="50" l="1"/>
  <c r="AG30" i="50"/>
  <c r="AG24" i="50"/>
  <c r="AG28" i="50"/>
  <c r="AG31" i="50"/>
  <c r="AF28" i="50"/>
  <c r="AG22" i="50"/>
  <c r="AG29" i="50" s="1"/>
  <c r="AD20" i="49"/>
  <c r="AD16" i="49"/>
  <c r="AD17" i="49"/>
  <c r="AD18" i="49"/>
  <c r="AE18" i="49" s="1"/>
  <c r="AE41" i="42"/>
  <c r="AH22" i="42"/>
  <c r="AH31" i="42"/>
  <c r="AC19" i="51"/>
  <c r="AG23" i="42"/>
  <c r="AF30" i="42"/>
  <c r="AH24" i="42"/>
  <c r="AE20" i="41"/>
  <c r="AD18" i="41"/>
  <c r="AE16" i="41"/>
  <c r="AE19" i="41"/>
  <c r="AG14" i="51"/>
  <c r="AD17" i="41"/>
  <c r="AE17" i="41" s="1"/>
  <c r="AD23" i="49"/>
  <c r="AC24" i="49"/>
  <c r="AC26" i="49"/>
  <c r="AG20" i="50"/>
  <c r="AF36" i="50"/>
  <c r="AF35" i="50"/>
  <c r="AF34" i="50"/>
  <c r="AF37" i="50"/>
  <c r="AF38" i="50"/>
  <c r="AE41" i="50"/>
  <c r="AE19" i="49" s="1"/>
  <c r="AC27" i="49"/>
  <c r="AC25" i="49"/>
  <c r="AB22" i="51"/>
  <c r="AH10" i="51"/>
  <c r="AC23" i="41"/>
  <c r="AC30" i="41" s="1"/>
  <c r="AC17" i="51" s="1"/>
  <c r="AC26" i="41"/>
  <c r="AC33" i="41" s="1"/>
  <c r="AC20" i="51" s="1"/>
  <c r="AF34" i="42"/>
  <c r="AF38" i="42"/>
  <c r="AF36" i="42"/>
  <c r="AF37" i="42"/>
  <c r="AF35" i="42"/>
  <c r="AC24" i="41"/>
  <c r="AC31" i="41" s="1"/>
  <c r="AC18" i="51" s="1"/>
  <c r="AC27" i="41"/>
  <c r="AC34" i="41" s="1"/>
  <c r="AC21" i="51" s="1"/>
  <c r="AH27" i="42"/>
  <c r="AH12" i="51"/>
  <c r="AI17" i="42"/>
  <c r="AI14" i="42"/>
  <c r="AI21" i="42" s="1"/>
  <c r="AI13" i="42"/>
  <c r="AI16" i="42"/>
  <c r="AI15" i="42"/>
  <c r="AJ10" i="42"/>
  <c r="AG28" i="42"/>
  <c r="AI9" i="51"/>
  <c r="AH16" i="50"/>
  <c r="AH17" i="50"/>
  <c r="AH14" i="50"/>
  <c r="AH13" i="50"/>
  <c r="AH15" i="50"/>
  <c r="AI13" i="51"/>
  <c r="AI10" i="50"/>
  <c r="AI11" i="51"/>
  <c r="AH31" i="50" l="1"/>
  <c r="AH24" i="50"/>
  <c r="AH21" i="50"/>
  <c r="AH22" i="50"/>
  <c r="AI22" i="50" s="1"/>
  <c r="AH23" i="50"/>
  <c r="AI23" i="50" s="1"/>
  <c r="AH20" i="50"/>
  <c r="AE17" i="49"/>
  <c r="AE16" i="49"/>
  <c r="AE20" i="49"/>
  <c r="AI22" i="42"/>
  <c r="AH23" i="42"/>
  <c r="AG30" i="42"/>
  <c r="AI29" i="42"/>
  <c r="AH29" i="42"/>
  <c r="AI24" i="42"/>
  <c r="AJ24" i="42" s="1"/>
  <c r="AF41" i="42"/>
  <c r="AF19" i="41" s="1"/>
  <c r="AF17" i="41"/>
  <c r="AH14" i="51"/>
  <c r="AF16" i="41"/>
  <c r="AE18" i="41"/>
  <c r="AD25" i="41"/>
  <c r="AD32" i="41" s="1"/>
  <c r="AD19" i="51" s="1"/>
  <c r="AF20" i="41"/>
  <c r="AG20" i="41" s="1"/>
  <c r="AG27" i="50"/>
  <c r="AG38" i="50"/>
  <c r="AG37" i="50"/>
  <c r="AG34" i="50"/>
  <c r="AG35" i="50"/>
  <c r="AG36" i="50"/>
  <c r="AF41" i="50"/>
  <c r="AF19" i="49" s="1"/>
  <c r="AH27" i="50"/>
  <c r="AD24" i="49"/>
  <c r="AD27" i="49"/>
  <c r="AD26" i="49"/>
  <c r="AD25" i="49"/>
  <c r="AC22" i="51"/>
  <c r="AD23" i="41"/>
  <c r="AD30" i="41" s="1"/>
  <c r="AD17" i="51" s="1"/>
  <c r="AI12" i="51"/>
  <c r="AI10" i="51"/>
  <c r="AG37" i="42"/>
  <c r="AG41" i="42" s="1"/>
  <c r="AG36" i="42"/>
  <c r="AG34" i="42"/>
  <c r="AG35" i="42"/>
  <c r="AG38" i="42"/>
  <c r="AD27" i="41"/>
  <c r="AD34" i="41" s="1"/>
  <c r="AD21" i="51" s="1"/>
  <c r="AD24" i="41"/>
  <c r="AD31" i="41" s="1"/>
  <c r="AD18" i="51" s="1"/>
  <c r="AD26" i="41"/>
  <c r="AD33" i="41" s="1"/>
  <c r="AD20" i="51" s="1"/>
  <c r="AI20" i="42"/>
  <c r="AJ14" i="42"/>
  <c r="AJ21" i="42" s="1"/>
  <c r="AJ15" i="42"/>
  <c r="AJ17" i="42"/>
  <c r="AJ13" i="42"/>
  <c r="AJ16" i="42"/>
  <c r="AK10" i="42"/>
  <c r="AH28" i="42"/>
  <c r="AJ9" i="51"/>
  <c r="AJ10" i="50"/>
  <c r="AJ11" i="51"/>
  <c r="AJ13" i="51"/>
  <c r="AI14" i="50"/>
  <c r="AI16" i="50"/>
  <c r="AI13" i="50"/>
  <c r="AI20" i="50" s="1"/>
  <c r="AI17" i="50"/>
  <c r="AI15" i="50"/>
  <c r="AI30" i="50" l="1"/>
  <c r="AI28" i="50"/>
  <c r="AI21" i="50"/>
  <c r="AI24" i="50"/>
  <c r="AF20" i="49"/>
  <c r="AH30" i="50"/>
  <c r="AH37" i="50" s="1"/>
  <c r="AF16" i="49"/>
  <c r="AF23" i="49" s="1"/>
  <c r="AI29" i="50"/>
  <c r="AF17" i="49"/>
  <c r="AH28" i="50"/>
  <c r="AI31" i="50"/>
  <c r="AH29" i="50"/>
  <c r="AE23" i="49"/>
  <c r="AG17" i="49"/>
  <c r="AF18" i="49"/>
  <c r="AJ31" i="42"/>
  <c r="AI31" i="42"/>
  <c r="AI23" i="42"/>
  <c r="AH30" i="42"/>
  <c r="AH37" i="42" s="1"/>
  <c r="AJ22" i="42"/>
  <c r="AF18" i="41"/>
  <c r="AE25" i="41"/>
  <c r="AE32" i="41" s="1"/>
  <c r="AE19" i="51" s="1"/>
  <c r="AG16" i="41"/>
  <c r="AG19" i="41"/>
  <c r="AG17" i="41"/>
  <c r="AE27" i="49"/>
  <c r="AE24" i="49"/>
  <c r="AE26" i="49"/>
  <c r="AH34" i="50"/>
  <c r="AH38" i="50"/>
  <c r="AH36" i="50"/>
  <c r="AH35" i="50"/>
  <c r="AG41" i="50"/>
  <c r="AG19" i="49" s="1"/>
  <c r="AE25" i="49"/>
  <c r="AI27" i="50"/>
  <c r="AI14" i="51"/>
  <c r="AE27" i="41"/>
  <c r="AE34" i="41" s="1"/>
  <c r="AE21" i="51" s="1"/>
  <c r="AJ10" i="51"/>
  <c r="AJ20" i="42"/>
  <c r="AI27" i="42"/>
  <c r="AJ12" i="51"/>
  <c r="AD22" i="51"/>
  <c r="AE24" i="41"/>
  <c r="AE31" i="41" s="1"/>
  <c r="AE18" i="51" s="1"/>
  <c r="AH36" i="42"/>
  <c r="AH34" i="42"/>
  <c r="AH35" i="42"/>
  <c r="AH38" i="42"/>
  <c r="AE23" i="41"/>
  <c r="AE30" i="41" s="1"/>
  <c r="AE17" i="51" s="1"/>
  <c r="AE26" i="41"/>
  <c r="AE33" i="41" s="1"/>
  <c r="AE20" i="51" s="1"/>
  <c r="AK13" i="42"/>
  <c r="AK15" i="42"/>
  <c r="AK16" i="42"/>
  <c r="AK17" i="42"/>
  <c r="AK14" i="42"/>
  <c r="AK21" i="42" s="1"/>
  <c r="AL10" i="42"/>
  <c r="AI28" i="42"/>
  <c r="AK9" i="51"/>
  <c r="AK10" i="50"/>
  <c r="AJ16" i="50"/>
  <c r="AJ23" i="50" s="1"/>
  <c r="AJ14" i="50"/>
  <c r="AJ17" i="50"/>
  <c r="AJ13" i="50"/>
  <c r="AJ20" i="50" s="1"/>
  <c r="AJ15" i="50"/>
  <c r="AK11" i="51"/>
  <c r="AK13" i="51"/>
  <c r="AJ24" i="50" l="1"/>
  <c r="AJ21" i="50"/>
  <c r="AG18" i="49"/>
  <c r="AJ22" i="50"/>
  <c r="AJ30" i="50"/>
  <c r="AJ31" i="50"/>
  <c r="AG16" i="49"/>
  <c r="AG23" i="49" s="1"/>
  <c r="AH18" i="49"/>
  <c r="AG20" i="49"/>
  <c r="AK22" i="42"/>
  <c r="AJ29" i="42"/>
  <c r="AJ23" i="42"/>
  <c r="AI30" i="42"/>
  <c r="AI37" i="42" s="1"/>
  <c r="AI41" i="42" s="1"/>
  <c r="AK31" i="42"/>
  <c r="AK29" i="42"/>
  <c r="AK24" i="42"/>
  <c r="AG18" i="41"/>
  <c r="AF25" i="41"/>
  <c r="AF32" i="41" s="1"/>
  <c r="AF19" i="51" s="1"/>
  <c r="AF26" i="49"/>
  <c r="AF24" i="49"/>
  <c r="AJ27" i="50"/>
  <c r="AF27" i="49"/>
  <c r="AI38" i="50"/>
  <c r="AI35" i="50"/>
  <c r="AI34" i="50"/>
  <c r="AI37" i="50"/>
  <c r="AI36" i="50"/>
  <c r="AH41" i="50"/>
  <c r="AH19" i="49" s="1"/>
  <c r="AF25" i="49"/>
  <c r="AJ14" i="51"/>
  <c r="AK12" i="51"/>
  <c r="AI36" i="42"/>
  <c r="AI38" i="42"/>
  <c r="AI35" i="42"/>
  <c r="AI34" i="42"/>
  <c r="AF26" i="41"/>
  <c r="AF33" i="41" s="1"/>
  <c r="AF20" i="51" s="1"/>
  <c r="AK20" i="42"/>
  <c r="AK27" i="42" s="1"/>
  <c r="AJ27" i="42"/>
  <c r="AE22" i="51"/>
  <c r="AF24" i="41"/>
  <c r="AF31" i="41" s="1"/>
  <c r="AF18" i="51" s="1"/>
  <c r="AK10" i="51"/>
  <c r="AF23" i="41"/>
  <c r="AF30" i="41" s="1"/>
  <c r="AF17" i="51" s="1"/>
  <c r="AH41" i="42"/>
  <c r="AH20" i="41" s="1"/>
  <c r="AF27" i="41"/>
  <c r="AF34" i="41" s="1"/>
  <c r="AF21" i="51" s="1"/>
  <c r="AL15" i="42"/>
  <c r="AL13" i="42"/>
  <c r="AL17" i="42"/>
  <c r="AL16" i="42"/>
  <c r="AL14" i="42"/>
  <c r="AL21" i="42" s="1"/>
  <c r="AJ28" i="42"/>
  <c r="AM10" i="42"/>
  <c r="AL9" i="51"/>
  <c r="AK14" i="50"/>
  <c r="AK17" i="50"/>
  <c r="AK13" i="50"/>
  <c r="AK20" i="50" s="1"/>
  <c r="AK16" i="50"/>
  <c r="AK15" i="50"/>
  <c r="AL11" i="51"/>
  <c r="AL10" i="50"/>
  <c r="AL13" i="51"/>
  <c r="AH20" i="49" l="1"/>
  <c r="AK22" i="50"/>
  <c r="AH16" i="49"/>
  <c r="AK21" i="50"/>
  <c r="AK28" i="50"/>
  <c r="AK24" i="50"/>
  <c r="AL24" i="50" s="1"/>
  <c r="AK29" i="50"/>
  <c r="AJ29" i="50"/>
  <c r="AJ36" i="50" s="1"/>
  <c r="AJ28" i="50"/>
  <c r="AK23" i="50"/>
  <c r="AH17" i="49"/>
  <c r="AK23" i="42"/>
  <c r="AJ30" i="42"/>
  <c r="AL22" i="42"/>
  <c r="AL24" i="42"/>
  <c r="AH18" i="41"/>
  <c r="AG25" i="41"/>
  <c r="AG32" i="41" s="1"/>
  <c r="AG19" i="51" s="1"/>
  <c r="AH16" i="41"/>
  <c r="AI16" i="41" s="1"/>
  <c r="AH19" i="41"/>
  <c r="AI19" i="41" s="1"/>
  <c r="AI20" i="41"/>
  <c r="AH17" i="41"/>
  <c r="AI17" i="41" s="1"/>
  <c r="AH23" i="49"/>
  <c r="AG27" i="49"/>
  <c r="AJ34" i="50"/>
  <c r="AJ37" i="50"/>
  <c r="AJ35" i="50"/>
  <c r="AJ38" i="50"/>
  <c r="AI41" i="50"/>
  <c r="AI19" i="49" s="1"/>
  <c r="AG24" i="49"/>
  <c r="AG26" i="49"/>
  <c r="AK14" i="51"/>
  <c r="AG25" i="49"/>
  <c r="AK27" i="50"/>
  <c r="AG26" i="41"/>
  <c r="AG33" i="41" s="1"/>
  <c r="AG20" i="51" s="1"/>
  <c r="AG24" i="41"/>
  <c r="AG31" i="41" s="1"/>
  <c r="AG18" i="51" s="1"/>
  <c r="AG27" i="41"/>
  <c r="AG34" i="41" s="1"/>
  <c r="AG21" i="51" s="1"/>
  <c r="AL10" i="51"/>
  <c r="AF22" i="51"/>
  <c r="AL20" i="42"/>
  <c r="AJ34" i="42"/>
  <c r="AJ36" i="42"/>
  <c r="AJ37" i="42"/>
  <c r="AJ35" i="42"/>
  <c r="AJ41" i="42" s="1"/>
  <c r="AJ38" i="42"/>
  <c r="AG23" i="41"/>
  <c r="AG30" i="41" s="1"/>
  <c r="AG17" i="51" s="1"/>
  <c r="AL12" i="51"/>
  <c r="AM16" i="42"/>
  <c r="AM14" i="42"/>
  <c r="AM21" i="42" s="1"/>
  <c r="AM15" i="42"/>
  <c r="AM17" i="42"/>
  <c r="AM13" i="42"/>
  <c r="AN10" i="42"/>
  <c r="AK28" i="42"/>
  <c r="AM9" i="51"/>
  <c r="AM11" i="51"/>
  <c r="AM13" i="51"/>
  <c r="AM10" i="50"/>
  <c r="AL17" i="50"/>
  <c r="AL13" i="50"/>
  <c r="AL16" i="50"/>
  <c r="AL14" i="50"/>
  <c r="AL15" i="50"/>
  <c r="AK31" i="50" l="1"/>
  <c r="AL31" i="50"/>
  <c r="AL21" i="50"/>
  <c r="AL23" i="50"/>
  <c r="AM23" i="50" s="1"/>
  <c r="AK30" i="50"/>
  <c r="AK37" i="50" s="1"/>
  <c r="AL22" i="50"/>
  <c r="AI17" i="49"/>
  <c r="AI16" i="49"/>
  <c r="AI23" i="49" s="1"/>
  <c r="AI18" i="49"/>
  <c r="AI20" i="49"/>
  <c r="AM24" i="42"/>
  <c r="AL31" i="42"/>
  <c r="AM22" i="42"/>
  <c r="AL29" i="42"/>
  <c r="AL23" i="42"/>
  <c r="AK30" i="42"/>
  <c r="AK37" i="42" s="1"/>
  <c r="AJ20" i="41"/>
  <c r="AJ19" i="41"/>
  <c r="AJ16" i="41"/>
  <c r="AJ17" i="41"/>
  <c r="AI18" i="41"/>
  <c r="AJ18" i="41" s="1"/>
  <c r="AH25" i="41"/>
  <c r="AH32" i="41" s="1"/>
  <c r="AH19" i="51" s="1"/>
  <c r="AK36" i="50"/>
  <c r="AK34" i="50"/>
  <c r="AK35" i="50"/>
  <c r="AK38" i="50"/>
  <c r="AJ41" i="50"/>
  <c r="AJ19" i="49" s="1"/>
  <c r="AH24" i="49"/>
  <c r="AH27" i="49"/>
  <c r="AH26" i="49"/>
  <c r="AL20" i="50"/>
  <c r="AH25" i="49"/>
  <c r="AL14" i="51"/>
  <c r="AK35" i="42"/>
  <c r="AK38" i="42"/>
  <c r="AK36" i="42"/>
  <c r="AK34" i="42"/>
  <c r="AM12" i="51"/>
  <c r="AM20" i="42"/>
  <c r="AL27" i="42"/>
  <c r="AG22" i="51"/>
  <c r="AH24" i="41"/>
  <c r="AH31" i="41" s="1"/>
  <c r="AH18" i="51" s="1"/>
  <c r="AH23" i="41"/>
  <c r="AH30" i="41" s="1"/>
  <c r="AH17" i="51" s="1"/>
  <c r="AH27" i="41"/>
  <c r="AH34" i="41" s="1"/>
  <c r="AH21" i="51" s="1"/>
  <c r="AM10" i="51"/>
  <c r="AM14" i="51" s="1"/>
  <c r="AH26" i="41"/>
  <c r="AH33" i="41" s="1"/>
  <c r="AH20" i="51" s="1"/>
  <c r="AN16" i="42"/>
  <c r="AN13" i="42"/>
  <c r="AN15" i="42"/>
  <c r="AN14" i="42"/>
  <c r="AN21" i="42" s="1"/>
  <c r="AN17" i="42"/>
  <c r="AJ25" i="41"/>
  <c r="AJ32" i="41" s="1"/>
  <c r="AO10" i="42"/>
  <c r="AL28" i="42"/>
  <c r="AN9" i="51"/>
  <c r="AM13" i="50"/>
  <c r="AM15" i="50"/>
  <c r="AM17" i="50"/>
  <c r="AM16" i="50"/>
  <c r="AM14" i="50"/>
  <c r="AN10" i="50"/>
  <c r="AN13" i="51"/>
  <c r="AN11" i="51"/>
  <c r="AN23" i="50" l="1"/>
  <c r="AL30" i="50"/>
  <c r="AM21" i="50"/>
  <c r="AM28" i="50"/>
  <c r="AM22" i="50"/>
  <c r="AM24" i="50"/>
  <c r="AN24" i="50" s="1"/>
  <c r="AM30" i="50"/>
  <c r="AL28" i="50"/>
  <c r="AL29" i="50"/>
  <c r="AM20" i="50"/>
  <c r="AJ16" i="49"/>
  <c r="AJ23" i="49" s="1"/>
  <c r="AJ20" i="49"/>
  <c r="AJ18" i="49"/>
  <c r="AJ17" i="49"/>
  <c r="AM23" i="42"/>
  <c r="AL30" i="42"/>
  <c r="AN22" i="42"/>
  <c r="AM29" i="42"/>
  <c r="AN24" i="42"/>
  <c r="AO24" i="42" s="1"/>
  <c r="AM31" i="42"/>
  <c r="AI25" i="41"/>
  <c r="AI32" i="41" s="1"/>
  <c r="AI19" i="51" s="1"/>
  <c r="AK41" i="42"/>
  <c r="AK17" i="41" s="1"/>
  <c r="AI27" i="49"/>
  <c r="AL35" i="50"/>
  <c r="AL37" i="50"/>
  <c r="AL38" i="50"/>
  <c r="AL36" i="50"/>
  <c r="AK41" i="50"/>
  <c r="AK19" i="49" s="1"/>
  <c r="AM27" i="50"/>
  <c r="AL27" i="50"/>
  <c r="AL34" i="50" s="1"/>
  <c r="AI26" i="49"/>
  <c r="AI25" i="49"/>
  <c r="AJ19" i="51" s="1"/>
  <c r="AI24" i="49"/>
  <c r="AI26" i="41"/>
  <c r="AI33" i="41" s="1"/>
  <c r="AI20" i="51" s="1"/>
  <c r="AN20" i="42"/>
  <c r="AI27" i="41"/>
  <c r="AI34" i="41" s="1"/>
  <c r="AI21" i="51" s="1"/>
  <c r="AI24" i="41"/>
  <c r="AI31" i="41" s="1"/>
  <c r="AI18" i="51" s="1"/>
  <c r="AH22" i="51"/>
  <c r="AN12" i="51"/>
  <c r="AL37" i="42"/>
  <c r="AL38" i="42"/>
  <c r="AL35" i="42"/>
  <c r="AL36" i="42"/>
  <c r="AL34" i="42"/>
  <c r="AN10" i="51"/>
  <c r="AI23" i="41"/>
  <c r="AI30" i="41" s="1"/>
  <c r="AI17" i="51" s="1"/>
  <c r="AM27" i="42"/>
  <c r="AO14" i="42"/>
  <c r="AO21" i="42" s="1"/>
  <c r="AO16" i="42"/>
  <c r="AO17" i="42"/>
  <c r="AO15" i="42"/>
  <c r="AO13" i="42"/>
  <c r="AP10" i="42"/>
  <c r="AM28" i="42"/>
  <c r="AO9" i="51"/>
  <c r="AO10" i="50"/>
  <c r="AN16" i="50"/>
  <c r="AN17" i="50"/>
  <c r="AN14" i="50"/>
  <c r="AN15" i="50"/>
  <c r="AN13" i="50"/>
  <c r="AO11" i="51"/>
  <c r="AO13" i="51"/>
  <c r="AN22" i="50" l="1"/>
  <c r="AN31" i="50"/>
  <c r="AN21" i="50"/>
  <c r="AO21" i="50" s="1"/>
  <c r="AN30" i="50"/>
  <c r="AN29" i="50"/>
  <c r="AN28" i="50"/>
  <c r="AO23" i="50"/>
  <c r="AM29" i="50"/>
  <c r="AM36" i="50" s="1"/>
  <c r="AM31" i="50"/>
  <c r="AK17" i="49"/>
  <c r="AK18" i="49"/>
  <c r="AK20" i="49"/>
  <c r="AK16" i="49"/>
  <c r="AO22" i="42"/>
  <c r="AN29" i="42"/>
  <c r="AK20" i="41"/>
  <c r="AN23" i="42"/>
  <c r="AM30" i="42"/>
  <c r="AP24" i="42"/>
  <c r="AO31" i="42"/>
  <c r="AN31" i="42"/>
  <c r="AO29" i="42"/>
  <c r="AK18" i="41"/>
  <c r="AK25" i="41" s="1"/>
  <c r="AK32" i="41" s="1"/>
  <c r="AK19" i="41"/>
  <c r="AL19" i="41" s="1"/>
  <c r="AK16" i="41"/>
  <c r="AL18" i="41"/>
  <c r="AM38" i="50"/>
  <c r="AM34" i="50"/>
  <c r="AM37" i="50"/>
  <c r="AM35" i="50"/>
  <c r="AL41" i="50"/>
  <c r="AL19" i="49" s="1"/>
  <c r="AN14" i="51"/>
  <c r="AJ27" i="49"/>
  <c r="AI22" i="51"/>
  <c r="AJ24" i="49"/>
  <c r="AN20" i="50"/>
  <c r="AN27" i="50" s="1"/>
  <c r="AJ26" i="49"/>
  <c r="AJ25" i="49"/>
  <c r="AK19" i="51" s="1"/>
  <c r="AM37" i="42"/>
  <c r="AM35" i="42"/>
  <c r="AM38" i="42"/>
  <c r="AM36" i="42"/>
  <c r="AM34" i="42"/>
  <c r="AJ24" i="41"/>
  <c r="AJ31" i="41" s="1"/>
  <c r="AJ18" i="51" s="1"/>
  <c r="AL41" i="42"/>
  <c r="AL17" i="41" s="1"/>
  <c r="AJ23" i="41"/>
  <c r="AJ30" i="41" s="1"/>
  <c r="AJ17" i="51" s="1"/>
  <c r="AJ27" i="41"/>
  <c r="AJ34" i="41" s="1"/>
  <c r="AJ21" i="51" s="1"/>
  <c r="AO20" i="42"/>
  <c r="AN27" i="42"/>
  <c r="AO10" i="51"/>
  <c r="AO12" i="51"/>
  <c r="AJ26" i="41"/>
  <c r="AJ33" i="41" s="1"/>
  <c r="AJ20" i="51" s="1"/>
  <c r="AP16" i="42"/>
  <c r="AP13" i="42"/>
  <c r="AP17" i="42"/>
  <c r="AP14" i="42"/>
  <c r="AP21" i="42" s="1"/>
  <c r="AP15" i="42"/>
  <c r="AN28" i="42"/>
  <c r="AQ10" i="42"/>
  <c r="AP9" i="51"/>
  <c r="AP10" i="50"/>
  <c r="AO13" i="50"/>
  <c r="AO14" i="50"/>
  <c r="AO15" i="50"/>
  <c r="AO16" i="50"/>
  <c r="AO17" i="50"/>
  <c r="AP13" i="51"/>
  <c r="AP11" i="51"/>
  <c r="AL20" i="49" l="1"/>
  <c r="AL16" i="49"/>
  <c r="AL17" i="49"/>
  <c r="AL18" i="49"/>
  <c r="AO30" i="50"/>
  <c r="AO29" i="50"/>
  <c r="AO28" i="50"/>
  <c r="AO24" i="50"/>
  <c r="AP24" i="50" s="1"/>
  <c r="AO22" i="50"/>
  <c r="AK23" i="49"/>
  <c r="AO23" i="42"/>
  <c r="AN30" i="42"/>
  <c r="AM41" i="42"/>
  <c r="AM18" i="41" s="1"/>
  <c r="AM25" i="41" s="1"/>
  <c r="AM32" i="41" s="1"/>
  <c r="AP22" i="42"/>
  <c r="AQ22" i="42" s="1"/>
  <c r="AQ29" i="42" s="1"/>
  <c r="AP31" i="42"/>
  <c r="AP20" i="42"/>
  <c r="AL16" i="41"/>
  <c r="AL20" i="41"/>
  <c r="AL23" i="49"/>
  <c r="AK24" i="49"/>
  <c r="AK25" i="49"/>
  <c r="AN34" i="50"/>
  <c r="AN38" i="50"/>
  <c r="AN37" i="50"/>
  <c r="AN35" i="50"/>
  <c r="AN36" i="50"/>
  <c r="AM41" i="50"/>
  <c r="AM19" i="49" s="1"/>
  <c r="AK27" i="49"/>
  <c r="AK26" i="49"/>
  <c r="AO20" i="50"/>
  <c r="AO27" i="50" s="1"/>
  <c r="AO14" i="51"/>
  <c r="AL25" i="41"/>
  <c r="AL32" i="41" s="1"/>
  <c r="AK26" i="41"/>
  <c r="AK33" i="41" s="1"/>
  <c r="AK20" i="51" s="1"/>
  <c r="AK24" i="41"/>
  <c r="AK31" i="41" s="1"/>
  <c r="AK18" i="51" s="1"/>
  <c r="AO27" i="42"/>
  <c r="AN38" i="42"/>
  <c r="AN37" i="42"/>
  <c r="AN35" i="42"/>
  <c r="AN36" i="42"/>
  <c r="AN34" i="42"/>
  <c r="AN41" i="42" s="1"/>
  <c r="AP12" i="51"/>
  <c r="AP27" i="42"/>
  <c r="AK27" i="41"/>
  <c r="AK34" i="41" s="1"/>
  <c r="AK21" i="51" s="1"/>
  <c r="AJ22" i="51"/>
  <c r="AP10" i="51"/>
  <c r="AK23" i="41"/>
  <c r="AK30" i="41" s="1"/>
  <c r="AK17" i="51" s="1"/>
  <c r="AQ13" i="42"/>
  <c r="AQ14" i="42"/>
  <c r="AQ21" i="42" s="1"/>
  <c r="AQ15" i="42"/>
  <c r="AQ16" i="42"/>
  <c r="AQ17" i="42"/>
  <c r="AO28" i="42"/>
  <c r="AR10" i="42"/>
  <c r="AQ9" i="51"/>
  <c r="AQ13" i="51"/>
  <c r="AQ11" i="51"/>
  <c r="AQ10" i="50"/>
  <c r="AP15" i="50"/>
  <c r="AP16" i="50"/>
  <c r="AP13" i="50"/>
  <c r="AP17" i="50"/>
  <c r="AP14" i="50"/>
  <c r="AP28" i="50" l="1"/>
  <c r="AP31" i="50"/>
  <c r="AP21" i="50"/>
  <c r="AP30" i="50"/>
  <c r="AO31" i="50"/>
  <c r="AO38" i="50" s="1"/>
  <c r="AP22" i="50"/>
  <c r="AQ22" i="50" s="1"/>
  <c r="AP23" i="50"/>
  <c r="AM17" i="49"/>
  <c r="AM20" i="49"/>
  <c r="AM18" i="49"/>
  <c r="AM16" i="49"/>
  <c r="AM20" i="41"/>
  <c r="AQ24" i="42"/>
  <c r="AM19" i="41"/>
  <c r="AN19" i="41" s="1"/>
  <c r="AM17" i="41"/>
  <c r="AN17" i="41" s="1"/>
  <c r="AM16" i="41"/>
  <c r="AN16" i="41" s="1"/>
  <c r="AP23" i="42"/>
  <c r="AO30" i="42"/>
  <c r="AP29" i="42"/>
  <c r="AN18" i="41"/>
  <c r="AN25" i="41" s="1"/>
  <c r="AN32" i="41" s="1"/>
  <c r="AN20" i="41"/>
  <c r="AM23" i="49"/>
  <c r="AO37" i="50"/>
  <c r="AO35" i="50"/>
  <c r="AO34" i="50"/>
  <c r="AO36" i="50"/>
  <c r="AN41" i="50"/>
  <c r="AN19" i="49" s="1"/>
  <c r="AL25" i="49"/>
  <c r="AM19" i="51" s="1"/>
  <c r="AP27" i="50"/>
  <c r="AL24" i="49"/>
  <c r="AL27" i="49"/>
  <c r="AL19" i="51"/>
  <c r="AP20" i="50"/>
  <c r="AL26" i="49"/>
  <c r="AK22" i="51"/>
  <c r="AP14" i="51"/>
  <c r="AL27" i="41"/>
  <c r="AL34" i="41" s="1"/>
  <c r="AL21" i="51" s="1"/>
  <c r="AL23" i="41"/>
  <c r="AL30" i="41" s="1"/>
  <c r="AL17" i="51" s="1"/>
  <c r="AQ10" i="51"/>
  <c r="AQ12" i="51"/>
  <c r="AL24" i="41"/>
  <c r="AL31" i="41" s="1"/>
  <c r="AL18" i="51" s="1"/>
  <c r="AO36" i="42"/>
  <c r="AO34" i="42"/>
  <c r="AO38" i="42"/>
  <c r="AO37" i="42"/>
  <c r="AO35" i="42"/>
  <c r="AQ20" i="42"/>
  <c r="AL26" i="41"/>
  <c r="AL33" i="41" s="1"/>
  <c r="AL20" i="51" s="1"/>
  <c r="AR17" i="42"/>
  <c r="AR13" i="42"/>
  <c r="AR14" i="42"/>
  <c r="AR21" i="42" s="1"/>
  <c r="AR15" i="42"/>
  <c r="AR16" i="42"/>
  <c r="AP28" i="42"/>
  <c r="AS10" i="42"/>
  <c r="AR9" i="51"/>
  <c r="AQ13" i="50"/>
  <c r="AQ16" i="50"/>
  <c r="AQ15" i="50"/>
  <c r="AQ17" i="50"/>
  <c r="AQ14" i="50"/>
  <c r="AR10" i="50"/>
  <c r="AR11" i="51"/>
  <c r="AR13" i="51"/>
  <c r="AP29" i="50" l="1"/>
  <c r="AQ21" i="50"/>
  <c r="AQ28" i="50"/>
  <c r="AQ29" i="50"/>
  <c r="AQ31" i="50"/>
  <c r="AQ23" i="50"/>
  <c r="AR23" i="50" s="1"/>
  <c r="AQ24" i="50"/>
  <c r="AN16" i="49"/>
  <c r="AN18" i="49"/>
  <c r="AN20" i="49"/>
  <c r="AN17" i="49"/>
  <c r="AR24" i="42"/>
  <c r="AR20" i="42"/>
  <c r="AQ31" i="42"/>
  <c r="AR29" i="42"/>
  <c r="AR31" i="42"/>
  <c r="AQ23" i="42"/>
  <c r="AP30" i="42"/>
  <c r="AP37" i="42" s="1"/>
  <c r="AR22" i="42"/>
  <c r="AM27" i="49"/>
  <c r="AM24" i="49"/>
  <c r="AQ14" i="51"/>
  <c r="AP35" i="50"/>
  <c r="AP38" i="50"/>
  <c r="AP34" i="50"/>
  <c r="AP37" i="50"/>
  <c r="AP36" i="50"/>
  <c r="AO41" i="50"/>
  <c r="AO19" i="49" s="1"/>
  <c r="AM26" i="49"/>
  <c r="AQ20" i="50"/>
  <c r="AQ27" i="50" s="1"/>
  <c r="AM25" i="49"/>
  <c r="AN19" i="51" s="1"/>
  <c r="AP38" i="42"/>
  <c r="AP35" i="42"/>
  <c r="AP34" i="42"/>
  <c r="AP36" i="42"/>
  <c r="AR10" i="51"/>
  <c r="AO41" i="42"/>
  <c r="AO17" i="41" s="1"/>
  <c r="AL22" i="51"/>
  <c r="AR12" i="51"/>
  <c r="AM26" i="41"/>
  <c r="AM33" i="41" s="1"/>
  <c r="AM20" i="51" s="1"/>
  <c r="AM23" i="41"/>
  <c r="AM30" i="41" s="1"/>
  <c r="AM17" i="51" s="1"/>
  <c r="AR27" i="42"/>
  <c r="AQ27" i="42"/>
  <c r="AM24" i="41"/>
  <c r="AM31" i="41" s="1"/>
  <c r="AM18" i="51" s="1"/>
  <c r="AM27" i="41"/>
  <c r="AM34" i="41" s="1"/>
  <c r="AM21" i="51" s="1"/>
  <c r="AS17" i="42"/>
  <c r="AS13" i="42"/>
  <c r="AS20" i="42" s="1"/>
  <c r="AS14" i="42"/>
  <c r="AS21" i="42" s="1"/>
  <c r="AS15" i="42"/>
  <c r="AS16" i="42"/>
  <c r="AT10" i="42"/>
  <c r="AQ28" i="42"/>
  <c r="AS9" i="51"/>
  <c r="AR16" i="50"/>
  <c r="AR13" i="50"/>
  <c r="AR17" i="50"/>
  <c r="AR14" i="50"/>
  <c r="AR15" i="50"/>
  <c r="AS11" i="51"/>
  <c r="AS10" i="50"/>
  <c r="AS13" i="51"/>
  <c r="AR28" i="50" l="1"/>
  <c r="AO18" i="49"/>
  <c r="AR21" i="50"/>
  <c r="AQ30" i="50"/>
  <c r="AR31" i="50"/>
  <c r="AO16" i="49"/>
  <c r="AO23" i="49" s="1"/>
  <c r="AR30" i="50"/>
  <c r="AR24" i="50"/>
  <c r="AR22" i="50"/>
  <c r="AS22" i="50" s="1"/>
  <c r="AN23" i="49"/>
  <c r="AO17" i="49"/>
  <c r="AO20" i="49"/>
  <c r="AP20" i="49" s="1"/>
  <c r="AR23" i="42"/>
  <c r="AQ30" i="42"/>
  <c r="AP41" i="42"/>
  <c r="AP17" i="41" s="1"/>
  <c r="AS24" i="42"/>
  <c r="AT24" i="42" s="1"/>
  <c r="AS31" i="42"/>
  <c r="AS22" i="42"/>
  <c r="AO19" i="41"/>
  <c r="AO16" i="41"/>
  <c r="AO18" i="41"/>
  <c r="AO20" i="41"/>
  <c r="AP20" i="41" s="1"/>
  <c r="AN24" i="49"/>
  <c r="AN26" i="49"/>
  <c r="AN25" i="49"/>
  <c r="AN27" i="49"/>
  <c r="AR14" i="51"/>
  <c r="AQ35" i="50"/>
  <c r="AQ36" i="50"/>
  <c r="AQ37" i="50"/>
  <c r="AQ34" i="50"/>
  <c r="AQ38" i="50"/>
  <c r="AP41" i="50"/>
  <c r="AP18" i="49" s="1"/>
  <c r="AR20" i="50"/>
  <c r="AO25" i="41"/>
  <c r="AO32" i="41" s="1"/>
  <c r="AN23" i="41"/>
  <c r="AN30" i="41" s="1"/>
  <c r="AN17" i="51" s="1"/>
  <c r="AN27" i="41"/>
  <c r="AN34" i="41" s="1"/>
  <c r="AN21" i="51" s="1"/>
  <c r="AN26" i="41"/>
  <c r="AN33" i="41" s="1"/>
  <c r="AN20" i="51" s="1"/>
  <c r="AN24" i="41"/>
  <c r="AN31" i="41" s="1"/>
  <c r="AN18" i="51" s="1"/>
  <c r="AQ36" i="42"/>
  <c r="AQ38" i="42"/>
  <c r="AQ34" i="42"/>
  <c r="AQ37" i="42"/>
  <c r="AQ35" i="42"/>
  <c r="AS27" i="42"/>
  <c r="AS12" i="51"/>
  <c r="AS10" i="51"/>
  <c r="AS14" i="51" s="1"/>
  <c r="AM22" i="51"/>
  <c r="AT14" i="42"/>
  <c r="AT21" i="42" s="1"/>
  <c r="AT15" i="42"/>
  <c r="AT17" i="42"/>
  <c r="AT13" i="42"/>
  <c r="AT20" i="42" s="1"/>
  <c r="AT16" i="42"/>
  <c r="AU10" i="42"/>
  <c r="AR28" i="42"/>
  <c r="AT9" i="51"/>
  <c r="AT10" i="50"/>
  <c r="AT11" i="51"/>
  <c r="AT13" i="51"/>
  <c r="AS15" i="50"/>
  <c r="AS17" i="50"/>
  <c r="AS14" i="50"/>
  <c r="AS16" i="50"/>
  <c r="AS13" i="50"/>
  <c r="AP17" i="49" l="1"/>
  <c r="AP19" i="49"/>
  <c r="AS21" i="50"/>
  <c r="AP16" i="49"/>
  <c r="AP23" i="49" s="1"/>
  <c r="AS28" i="50"/>
  <c r="AS24" i="50"/>
  <c r="AT24" i="50" s="1"/>
  <c r="AR29" i="50"/>
  <c r="AR36" i="50" s="1"/>
  <c r="AT22" i="50"/>
  <c r="AS29" i="50"/>
  <c r="AS23" i="50"/>
  <c r="AP18" i="41"/>
  <c r="AP25" i="41" s="1"/>
  <c r="AP32" i="41" s="1"/>
  <c r="AP16" i="41"/>
  <c r="AS23" i="42"/>
  <c r="AR30" i="42"/>
  <c r="AR37" i="42" s="1"/>
  <c r="AP19" i="41"/>
  <c r="AT31" i="42"/>
  <c r="AT22" i="42"/>
  <c r="AS29" i="42"/>
  <c r="AR35" i="50"/>
  <c r="AR38" i="50"/>
  <c r="AR37" i="50"/>
  <c r="AQ41" i="50"/>
  <c r="AQ18" i="49" s="1"/>
  <c r="AO19" i="51"/>
  <c r="AO26" i="49"/>
  <c r="AS20" i="50"/>
  <c r="AR27" i="50"/>
  <c r="AR34" i="50" s="1"/>
  <c r="AO24" i="49"/>
  <c r="AO25" i="49"/>
  <c r="AP19" i="51" s="1"/>
  <c r="AO27" i="49"/>
  <c r="AR36" i="42"/>
  <c r="AR34" i="42"/>
  <c r="AR38" i="42"/>
  <c r="AR35" i="42"/>
  <c r="AO27" i="41"/>
  <c r="AO34" i="41" s="1"/>
  <c r="AO21" i="51" s="1"/>
  <c r="AQ41" i="42"/>
  <c r="AQ17" i="41" s="1"/>
  <c r="AT10" i="51"/>
  <c r="AN22" i="51"/>
  <c r="AO26" i="41"/>
  <c r="AO33" i="41" s="1"/>
  <c r="AO20" i="51" s="1"/>
  <c r="AO23" i="41"/>
  <c r="AO30" i="41" s="1"/>
  <c r="AO17" i="51" s="1"/>
  <c r="AT27" i="42"/>
  <c r="AT12" i="51"/>
  <c r="AO24" i="41"/>
  <c r="AO31" i="41" s="1"/>
  <c r="AO18" i="51" s="1"/>
  <c r="AU14" i="42"/>
  <c r="AU21" i="42" s="1"/>
  <c r="AU13" i="42"/>
  <c r="AU20" i="42" s="1"/>
  <c r="AU15" i="42"/>
  <c r="AU17" i="42"/>
  <c r="AU24" i="42" s="1"/>
  <c r="AU16" i="42"/>
  <c r="AS28" i="42"/>
  <c r="AV10" i="42"/>
  <c r="AU9" i="51"/>
  <c r="AU11" i="51"/>
  <c r="AU10" i="50"/>
  <c r="AU13" i="51"/>
  <c r="AT15" i="50"/>
  <c r="AT16" i="50"/>
  <c r="AT14" i="50"/>
  <c r="AT17" i="50"/>
  <c r="AT13" i="50"/>
  <c r="AT31" i="50" l="1"/>
  <c r="AQ16" i="49"/>
  <c r="AT23" i="50"/>
  <c r="AS30" i="50"/>
  <c r="AS37" i="50" s="1"/>
  <c r="AT21" i="50"/>
  <c r="AU21" i="50" s="1"/>
  <c r="AT29" i="50"/>
  <c r="AS31" i="50"/>
  <c r="AS38" i="50" s="1"/>
  <c r="AT20" i="50"/>
  <c r="AQ19" i="49"/>
  <c r="AQ20" i="49"/>
  <c r="AQ17" i="49"/>
  <c r="AU31" i="42"/>
  <c r="AT23" i="42"/>
  <c r="AS30" i="42"/>
  <c r="AS37" i="42" s="1"/>
  <c r="AR41" i="42"/>
  <c r="AR17" i="41" s="1"/>
  <c r="AU22" i="42"/>
  <c r="AT29" i="42"/>
  <c r="AQ19" i="41"/>
  <c r="AQ16" i="41"/>
  <c r="AT14" i="51"/>
  <c r="AQ18" i="41"/>
  <c r="AQ20" i="41"/>
  <c r="AQ23" i="49"/>
  <c r="AP24" i="49"/>
  <c r="AT27" i="50"/>
  <c r="AP27" i="49"/>
  <c r="AS27" i="50"/>
  <c r="AS34" i="50" s="1"/>
  <c r="AP25" i="49"/>
  <c r="AP26" i="49"/>
  <c r="AS36" i="50"/>
  <c r="AS35" i="50"/>
  <c r="AR41" i="50"/>
  <c r="AR18" i="49" s="1"/>
  <c r="AP23" i="41"/>
  <c r="AP30" i="41" s="1"/>
  <c r="AP17" i="51" s="1"/>
  <c r="AP27" i="41"/>
  <c r="AP34" i="41" s="1"/>
  <c r="AP21" i="51" s="1"/>
  <c r="AP24" i="41"/>
  <c r="AP31" i="41" s="1"/>
  <c r="AP18" i="51" s="1"/>
  <c r="AP26" i="41"/>
  <c r="AP33" i="41" s="1"/>
  <c r="AP20" i="51" s="1"/>
  <c r="AU27" i="42"/>
  <c r="AU12" i="51"/>
  <c r="AU10" i="51"/>
  <c r="AS35" i="42"/>
  <c r="AS38" i="42"/>
  <c r="AS36" i="42"/>
  <c r="AS34" i="42"/>
  <c r="AO22" i="51"/>
  <c r="AV14" i="42"/>
  <c r="AV21" i="42" s="1"/>
  <c r="AV17" i="42"/>
  <c r="AV24" i="42" s="1"/>
  <c r="AV13" i="42"/>
  <c r="AV15" i="42"/>
  <c r="AV16" i="42"/>
  <c r="AT28" i="42"/>
  <c r="AW10" i="42"/>
  <c r="AV9" i="51"/>
  <c r="AV10" i="50"/>
  <c r="AV13" i="51"/>
  <c r="AU13" i="50"/>
  <c r="AU20" i="50" s="1"/>
  <c r="AU17" i="50"/>
  <c r="AU14" i="50"/>
  <c r="AU16" i="50"/>
  <c r="AU15" i="50"/>
  <c r="AV11" i="51"/>
  <c r="AU28" i="50" l="1"/>
  <c r="AU23" i="50"/>
  <c r="AU30" i="50" s="1"/>
  <c r="AT28" i="50"/>
  <c r="AT35" i="50" s="1"/>
  <c r="AU24" i="50"/>
  <c r="AT30" i="50"/>
  <c r="AU22" i="50"/>
  <c r="AU29" i="50" s="1"/>
  <c r="AR17" i="49"/>
  <c r="AR16" i="49"/>
  <c r="AR20" i="49"/>
  <c r="AR19" i="49"/>
  <c r="AV31" i="42"/>
  <c r="AR20" i="41"/>
  <c r="AR18" i="41"/>
  <c r="AR25" i="41" s="1"/>
  <c r="AR32" i="41" s="1"/>
  <c r="AU23" i="42"/>
  <c r="AT30" i="42"/>
  <c r="AT37" i="42" s="1"/>
  <c r="AT41" i="42" s="1"/>
  <c r="AS41" i="42"/>
  <c r="AS17" i="41" s="1"/>
  <c r="AQ25" i="41"/>
  <c r="AQ32" i="41" s="1"/>
  <c r="AR16" i="41"/>
  <c r="AR19" i="41"/>
  <c r="AV22" i="42"/>
  <c r="AU29" i="42"/>
  <c r="AU14" i="51"/>
  <c r="AQ19" i="51"/>
  <c r="AR23" i="49"/>
  <c r="AQ26" i="49"/>
  <c r="AT38" i="50"/>
  <c r="AT36" i="50"/>
  <c r="AT34" i="50"/>
  <c r="AT37" i="50"/>
  <c r="AS41" i="50"/>
  <c r="AS18" i="49" s="1"/>
  <c r="AQ24" i="49"/>
  <c r="AU27" i="50"/>
  <c r="AQ25" i="49"/>
  <c r="AR19" i="51" s="1"/>
  <c r="AQ27" i="49"/>
  <c r="AV10" i="51"/>
  <c r="AQ24" i="41"/>
  <c r="AQ31" i="41" s="1"/>
  <c r="AQ18" i="51" s="1"/>
  <c r="AQ27" i="41"/>
  <c r="AQ34" i="41" s="1"/>
  <c r="AQ21" i="51" s="1"/>
  <c r="AT35" i="42"/>
  <c r="AT36" i="42"/>
  <c r="AT38" i="42"/>
  <c r="AT34" i="42"/>
  <c r="AV12" i="51"/>
  <c r="AQ23" i="41"/>
  <c r="AQ30" i="41" s="1"/>
  <c r="AQ17" i="51" s="1"/>
  <c r="AP22" i="51"/>
  <c r="AQ26" i="41"/>
  <c r="AQ33" i="41" s="1"/>
  <c r="AQ20" i="51" s="1"/>
  <c r="AV20" i="42"/>
  <c r="AW20" i="42" s="1"/>
  <c r="AW27" i="42" s="1"/>
  <c r="AW14" i="42"/>
  <c r="AW21" i="42" s="1"/>
  <c r="AW16" i="42"/>
  <c r="AW17" i="42"/>
  <c r="AW24" i="42" s="1"/>
  <c r="AW13" i="42"/>
  <c r="AW15" i="42"/>
  <c r="AX10" i="42"/>
  <c r="AU28" i="42"/>
  <c r="AW9" i="51"/>
  <c r="AW13" i="51"/>
  <c r="AW11" i="51"/>
  <c r="AW10" i="50"/>
  <c r="AV15" i="50"/>
  <c r="AV16" i="50"/>
  <c r="AV17" i="50"/>
  <c r="AV14" i="50"/>
  <c r="AV21" i="50" s="1"/>
  <c r="AV13" i="50"/>
  <c r="AS19" i="49" l="1"/>
  <c r="AV24" i="50"/>
  <c r="AS20" i="49"/>
  <c r="AU31" i="50"/>
  <c r="AV28" i="50"/>
  <c r="AV22" i="50"/>
  <c r="AV29" i="50" s="1"/>
  <c r="AV23" i="50"/>
  <c r="AV31" i="50"/>
  <c r="AV14" i="51"/>
  <c r="AS16" i="49"/>
  <c r="AT16" i="49" s="1"/>
  <c r="AS17" i="49"/>
  <c r="AT17" i="49" s="1"/>
  <c r="AS19" i="41"/>
  <c r="AS16" i="41"/>
  <c r="AV23" i="42"/>
  <c r="AU30" i="42"/>
  <c r="AU37" i="42" s="1"/>
  <c r="AW29" i="42"/>
  <c r="AS18" i="41"/>
  <c r="AS25" i="41" s="1"/>
  <c r="AS32" i="41" s="1"/>
  <c r="AS20" i="41"/>
  <c r="AW22" i="42"/>
  <c r="AV29" i="42"/>
  <c r="AW31" i="42"/>
  <c r="AV27" i="42"/>
  <c r="AT16" i="41"/>
  <c r="AT19" i="41"/>
  <c r="AT17" i="41"/>
  <c r="AT20" i="41"/>
  <c r="AS23" i="49"/>
  <c r="AU38" i="50"/>
  <c r="AU36" i="50"/>
  <c r="AU34" i="50"/>
  <c r="AU37" i="50"/>
  <c r="AU35" i="50"/>
  <c r="AT41" i="50"/>
  <c r="AT18" i="49" s="1"/>
  <c r="AR24" i="49"/>
  <c r="AR26" i="49"/>
  <c r="AR25" i="49"/>
  <c r="AR27" i="49"/>
  <c r="AV20" i="50"/>
  <c r="AW12" i="51"/>
  <c r="AR27" i="41"/>
  <c r="AR34" i="41" s="1"/>
  <c r="AR21" i="51" s="1"/>
  <c r="AR26" i="41"/>
  <c r="AR33" i="41" s="1"/>
  <c r="AR20" i="51" s="1"/>
  <c r="AU35" i="42"/>
  <c r="AU38" i="42"/>
  <c r="AU36" i="42"/>
  <c r="AU34" i="42"/>
  <c r="AQ22" i="51"/>
  <c r="AR23" i="41"/>
  <c r="AR30" i="41" s="1"/>
  <c r="AR17" i="51" s="1"/>
  <c r="AR24" i="41"/>
  <c r="AR31" i="41" s="1"/>
  <c r="AR18" i="51" s="1"/>
  <c r="AW10" i="51"/>
  <c r="AX15" i="42"/>
  <c r="AX16" i="42"/>
  <c r="AX14" i="42"/>
  <c r="AX21" i="42" s="1"/>
  <c r="AX17" i="42"/>
  <c r="AX13" i="42"/>
  <c r="AV28" i="42"/>
  <c r="AY10" i="42"/>
  <c r="AX9" i="51"/>
  <c r="AX11" i="51"/>
  <c r="AX13" i="51"/>
  <c r="AW17" i="50"/>
  <c r="AW13" i="50"/>
  <c r="AW14" i="50"/>
  <c r="AW15" i="50"/>
  <c r="AW16" i="50"/>
  <c r="AX10" i="50"/>
  <c r="AW24" i="50" l="1"/>
  <c r="AW30" i="50"/>
  <c r="AW23" i="50"/>
  <c r="AV30" i="50"/>
  <c r="AW28" i="50"/>
  <c r="AW22" i="50"/>
  <c r="AX22" i="50" s="1"/>
  <c r="AW21" i="50"/>
  <c r="AT20" i="49"/>
  <c r="AS19" i="51"/>
  <c r="AT19" i="49"/>
  <c r="AW20" i="50"/>
  <c r="AW23" i="42"/>
  <c r="AV30" i="42"/>
  <c r="AX22" i="42"/>
  <c r="AT18" i="41"/>
  <c r="AT25" i="41" s="1"/>
  <c r="AT32" i="41" s="1"/>
  <c r="AX24" i="42"/>
  <c r="AY24" i="42" s="1"/>
  <c r="AT23" i="49"/>
  <c r="AS25" i="49"/>
  <c r="AV38" i="50"/>
  <c r="AV36" i="50"/>
  <c r="AV37" i="50"/>
  <c r="AV35" i="50"/>
  <c r="AU41" i="50"/>
  <c r="AU18" i="49" s="1"/>
  <c r="AW14" i="51"/>
  <c r="AS27" i="49"/>
  <c r="AS26" i="49"/>
  <c r="AW27" i="50"/>
  <c r="AV27" i="50"/>
  <c r="AV34" i="50" s="1"/>
  <c r="AS24" i="49"/>
  <c r="AR22" i="51"/>
  <c r="AS26" i="41"/>
  <c r="AS33" i="41" s="1"/>
  <c r="AS20" i="51" s="1"/>
  <c r="AV35" i="42"/>
  <c r="AV37" i="42"/>
  <c r="AV38" i="42"/>
  <c r="AV36" i="42"/>
  <c r="AV34" i="42"/>
  <c r="AS27" i="41"/>
  <c r="AS34" i="41" s="1"/>
  <c r="AS21" i="51" s="1"/>
  <c r="AU41" i="42"/>
  <c r="AU20" i="41" s="1"/>
  <c r="AX10" i="51"/>
  <c r="AS23" i="41"/>
  <c r="AS30" i="41" s="1"/>
  <c r="AS17" i="51" s="1"/>
  <c r="AS24" i="41"/>
  <c r="AS31" i="41" s="1"/>
  <c r="AS18" i="51" s="1"/>
  <c r="AX20" i="42"/>
  <c r="AY20" i="42" s="1"/>
  <c r="AY27" i="42" s="1"/>
  <c r="AX12" i="51"/>
  <c r="AY15" i="42"/>
  <c r="AY14" i="42"/>
  <c r="AY21" i="42" s="1"/>
  <c r="AY16" i="42"/>
  <c r="AY13" i="42"/>
  <c r="AY17" i="42"/>
  <c r="AW28" i="42"/>
  <c r="AZ10" i="42"/>
  <c r="AY9" i="51"/>
  <c r="AY11" i="51"/>
  <c r="AY10" i="50"/>
  <c r="AY13" i="51"/>
  <c r="AX17" i="50"/>
  <c r="AX16" i="50"/>
  <c r="AX13" i="50"/>
  <c r="AX14" i="50"/>
  <c r="AX15" i="50"/>
  <c r="AX29" i="50" l="1"/>
  <c r="AX23" i="50"/>
  <c r="AU19" i="49"/>
  <c r="AW29" i="50"/>
  <c r="AX30" i="50"/>
  <c r="AX24" i="50"/>
  <c r="AY24" i="50" s="1"/>
  <c r="AX21" i="50"/>
  <c r="AX28" i="50" s="1"/>
  <c r="AW31" i="50"/>
  <c r="AW38" i="50" s="1"/>
  <c r="AU20" i="49"/>
  <c r="AU17" i="49"/>
  <c r="AU16" i="49"/>
  <c r="AU23" i="49" s="1"/>
  <c r="AT19" i="51"/>
  <c r="AY22" i="42"/>
  <c r="AX29" i="42"/>
  <c r="AX31" i="42"/>
  <c r="AX23" i="42"/>
  <c r="AW30" i="42"/>
  <c r="AW37" i="42" s="1"/>
  <c r="AY31" i="42"/>
  <c r="AU16" i="41"/>
  <c r="AU19" i="41"/>
  <c r="AV19" i="41" s="1"/>
  <c r="AV41" i="42"/>
  <c r="AV20" i="41" s="1"/>
  <c r="AU17" i="41"/>
  <c r="AV17" i="41" s="1"/>
  <c r="AU18" i="41"/>
  <c r="AV18" i="41" s="1"/>
  <c r="AW37" i="50"/>
  <c r="AW35" i="50"/>
  <c r="AW34" i="50"/>
  <c r="AW36" i="50"/>
  <c r="AV41" i="50"/>
  <c r="AV18" i="49" s="1"/>
  <c r="AT24" i="49"/>
  <c r="AT27" i="49"/>
  <c r="AT26" i="49"/>
  <c r="AT25" i="49"/>
  <c r="AX14" i="51"/>
  <c r="AX20" i="50"/>
  <c r="AS22" i="51"/>
  <c r="AT23" i="41"/>
  <c r="AT30" i="41" s="1"/>
  <c r="AT17" i="51" s="1"/>
  <c r="AY10" i="51"/>
  <c r="AY12" i="51"/>
  <c r="AX27" i="42"/>
  <c r="AW34" i="42"/>
  <c r="AW36" i="42"/>
  <c r="AW35" i="42"/>
  <c r="AW38" i="42"/>
  <c r="AT26" i="41"/>
  <c r="AT33" i="41" s="1"/>
  <c r="AT20" i="51" s="1"/>
  <c r="AT24" i="41"/>
  <c r="AT31" i="41" s="1"/>
  <c r="AT18" i="51" s="1"/>
  <c r="AT27" i="41"/>
  <c r="AT34" i="41" s="1"/>
  <c r="AT21" i="51" s="1"/>
  <c r="AZ16" i="42"/>
  <c r="AZ15" i="42"/>
  <c r="AZ17" i="42"/>
  <c r="AZ14" i="42"/>
  <c r="AZ21" i="42" s="1"/>
  <c r="AZ13" i="42"/>
  <c r="AZ20" i="42" s="1"/>
  <c r="AV25" i="41"/>
  <c r="AV32" i="41" s="1"/>
  <c r="AX28" i="42"/>
  <c r="BA10" i="42"/>
  <c r="AZ9" i="51"/>
  <c r="AY17" i="50"/>
  <c r="AY13" i="50"/>
  <c r="AY14" i="50"/>
  <c r="AY16" i="50"/>
  <c r="AY15" i="50"/>
  <c r="AZ10" i="50"/>
  <c r="AZ11" i="51"/>
  <c r="AZ13" i="51"/>
  <c r="AY31" i="50" l="1"/>
  <c r="AY23" i="50"/>
  <c r="AY21" i="50"/>
  <c r="AZ21" i="50" s="1"/>
  <c r="AX31" i="50"/>
  <c r="AX38" i="50" s="1"/>
  <c r="AY22" i="50"/>
  <c r="AV20" i="49"/>
  <c r="AY20" i="50"/>
  <c r="AY27" i="50" s="1"/>
  <c r="AV16" i="49"/>
  <c r="AV23" i="49" s="1"/>
  <c r="AV19" i="49"/>
  <c r="AV17" i="49"/>
  <c r="AY23" i="42"/>
  <c r="AX30" i="42"/>
  <c r="AX37" i="42" s="1"/>
  <c r="AZ22" i="42"/>
  <c r="AY29" i="42"/>
  <c r="AZ24" i="42"/>
  <c r="BA24" i="42" s="1"/>
  <c r="AW41" i="42"/>
  <c r="AW20" i="41" s="1"/>
  <c r="AU25" i="41"/>
  <c r="AU32" i="41" s="1"/>
  <c r="AV16" i="41"/>
  <c r="AW18" i="41"/>
  <c r="AU25" i="49"/>
  <c r="AV19" i="51" s="1"/>
  <c r="AX36" i="50"/>
  <c r="AX37" i="50"/>
  <c r="AX35" i="50"/>
  <c r="AW41" i="50"/>
  <c r="AW18" i="49" s="1"/>
  <c r="AU27" i="49"/>
  <c r="AY14" i="51"/>
  <c r="AU19" i="51"/>
  <c r="AU26" i="49"/>
  <c r="AX27" i="50"/>
  <c r="AX34" i="50" s="1"/>
  <c r="AU24" i="49"/>
  <c r="AZ12" i="51"/>
  <c r="AT22" i="51"/>
  <c r="AU23" i="41"/>
  <c r="AU30" i="41" s="1"/>
  <c r="AU17" i="51" s="1"/>
  <c r="AX34" i="42"/>
  <c r="AX35" i="42"/>
  <c r="AX38" i="42"/>
  <c r="AX36" i="42"/>
  <c r="AU26" i="41"/>
  <c r="AU33" i="41" s="1"/>
  <c r="AU20" i="51" s="1"/>
  <c r="AZ27" i="42"/>
  <c r="AU27" i="41"/>
  <c r="AU34" i="41" s="1"/>
  <c r="AU21" i="51" s="1"/>
  <c r="AZ10" i="51"/>
  <c r="AU24" i="41"/>
  <c r="AU31" i="41" s="1"/>
  <c r="AU18" i="51" s="1"/>
  <c r="BA15" i="42"/>
  <c r="BA17" i="42"/>
  <c r="BA16" i="42"/>
  <c r="BA13" i="42"/>
  <c r="BA20" i="42" s="1"/>
  <c r="BA14" i="42"/>
  <c r="BA21" i="42" s="1"/>
  <c r="AY28" i="42"/>
  <c r="BB10" i="42"/>
  <c r="BA9" i="51"/>
  <c r="BA10" i="50"/>
  <c r="BA13" i="51"/>
  <c r="BA11" i="51"/>
  <c r="AZ15" i="50"/>
  <c r="AZ14" i="50"/>
  <c r="AZ17" i="50"/>
  <c r="AZ13" i="50"/>
  <c r="AZ16" i="50"/>
  <c r="AZ31" i="50" l="1"/>
  <c r="AZ23" i="50"/>
  <c r="BA23" i="50" s="1"/>
  <c r="AZ28" i="50"/>
  <c r="AY30" i="50"/>
  <c r="AY28" i="50"/>
  <c r="AY35" i="50" s="1"/>
  <c r="AZ24" i="50"/>
  <c r="AZ22" i="50"/>
  <c r="AZ29" i="50" s="1"/>
  <c r="AY29" i="50"/>
  <c r="AW17" i="49"/>
  <c r="AW16" i="49"/>
  <c r="AW23" i="49" s="1"/>
  <c r="AW20" i="49"/>
  <c r="AW19" i="49"/>
  <c r="AZ31" i="42"/>
  <c r="BA22" i="42"/>
  <c r="AZ29" i="42"/>
  <c r="BA31" i="42"/>
  <c r="AZ23" i="42"/>
  <c r="AY30" i="42"/>
  <c r="AY37" i="42" s="1"/>
  <c r="BB24" i="42"/>
  <c r="AW16" i="41"/>
  <c r="AW19" i="41"/>
  <c r="AW17" i="41"/>
  <c r="AZ14" i="51"/>
  <c r="AV24" i="49"/>
  <c r="AV27" i="49"/>
  <c r="AZ20" i="50"/>
  <c r="AZ27" i="50" s="1"/>
  <c r="AV25" i="49"/>
  <c r="AY36" i="50"/>
  <c r="AY38" i="50"/>
  <c r="AY37" i="50"/>
  <c r="AY34" i="50"/>
  <c r="AX41" i="50"/>
  <c r="AX18" i="49" s="1"/>
  <c r="AV26" i="49"/>
  <c r="BA27" i="42"/>
  <c r="AY35" i="42"/>
  <c r="AY34" i="42"/>
  <c r="AY38" i="42"/>
  <c r="AY36" i="42"/>
  <c r="AU22" i="51"/>
  <c r="AV26" i="41"/>
  <c r="AV33" i="41" s="1"/>
  <c r="AV20" i="51" s="1"/>
  <c r="AV24" i="41"/>
  <c r="AV31" i="41" s="1"/>
  <c r="AV18" i="51" s="1"/>
  <c r="BA12" i="51"/>
  <c r="AV27" i="41"/>
  <c r="AV34" i="41" s="1"/>
  <c r="AV21" i="51" s="1"/>
  <c r="AX41" i="42"/>
  <c r="AX20" i="41" s="1"/>
  <c r="AV23" i="41"/>
  <c r="AV30" i="41" s="1"/>
  <c r="AV17" i="51" s="1"/>
  <c r="AW25" i="41"/>
  <c r="AW32" i="41" s="1"/>
  <c r="BA10" i="51"/>
  <c r="BB13" i="42"/>
  <c r="BB20" i="42" s="1"/>
  <c r="BB16" i="42"/>
  <c r="BB15" i="42"/>
  <c r="BB14" i="42"/>
  <c r="BB21" i="42" s="1"/>
  <c r="BB17" i="42"/>
  <c r="BC10" i="42"/>
  <c r="AZ28" i="42"/>
  <c r="BB9" i="51"/>
  <c r="BA16" i="50"/>
  <c r="BA17" i="50"/>
  <c r="BA15" i="50"/>
  <c r="BA14" i="50"/>
  <c r="BA21" i="50" s="1"/>
  <c r="BA13" i="50"/>
  <c r="BB10" i="50"/>
  <c r="BB13" i="51"/>
  <c r="BB11" i="51"/>
  <c r="AX19" i="49" l="1"/>
  <c r="AX20" i="49"/>
  <c r="BA30" i="50"/>
  <c r="BA28" i="50"/>
  <c r="BA22" i="50"/>
  <c r="BB23" i="50"/>
  <c r="BA24" i="50"/>
  <c r="BB24" i="50" s="1"/>
  <c r="AZ30" i="50"/>
  <c r="BA14" i="51"/>
  <c r="AX17" i="49"/>
  <c r="AX16" i="49"/>
  <c r="AY41" i="42"/>
  <c r="BB31" i="42"/>
  <c r="BB22" i="42"/>
  <c r="BA29" i="42"/>
  <c r="BA23" i="42"/>
  <c r="AZ30" i="42"/>
  <c r="AZ37" i="42" s="1"/>
  <c r="AY20" i="41"/>
  <c r="AX17" i="41"/>
  <c r="AY17" i="41" s="1"/>
  <c r="AX19" i="41"/>
  <c r="AY19" i="41" s="1"/>
  <c r="AX16" i="41"/>
  <c r="AY16" i="41" s="1"/>
  <c r="AX18" i="41"/>
  <c r="AW19" i="51"/>
  <c r="AW24" i="49"/>
  <c r="AW27" i="49"/>
  <c r="AZ35" i="50"/>
  <c r="AZ38" i="50"/>
  <c r="AZ36" i="50"/>
  <c r="AZ34" i="50"/>
  <c r="AZ37" i="50"/>
  <c r="AY41" i="50"/>
  <c r="AY18" i="49" s="1"/>
  <c r="AW26" i="49"/>
  <c r="AW25" i="49"/>
  <c r="BA20" i="50"/>
  <c r="BA27" i="50" s="1"/>
  <c r="AV22" i="51"/>
  <c r="BB27" i="42"/>
  <c r="AW27" i="41"/>
  <c r="AW34" i="41" s="1"/>
  <c r="AW21" i="51" s="1"/>
  <c r="BB10" i="51"/>
  <c r="BB14" i="51" s="1"/>
  <c r="AZ34" i="42"/>
  <c r="AZ35" i="42"/>
  <c r="AZ38" i="42"/>
  <c r="AZ36" i="42"/>
  <c r="AW23" i="41"/>
  <c r="AW30" i="41" s="1"/>
  <c r="AW17" i="51" s="1"/>
  <c r="BB12" i="51"/>
  <c r="AW24" i="41"/>
  <c r="AW31" i="41" s="1"/>
  <c r="AW18" i="51" s="1"/>
  <c r="AW26" i="41"/>
  <c r="AW33" i="41" s="1"/>
  <c r="AW20" i="51" s="1"/>
  <c r="BC15" i="42"/>
  <c r="BC16" i="42"/>
  <c r="BC14" i="42"/>
  <c r="BC21" i="42" s="1"/>
  <c r="BC17" i="42"/>
  <c r="BC24" i="42" s="1"/>
  <c r="BC13" i="42"/>
  <c r="BC20" i="42" s="1"/>
  <c r="BA28" i="42"/>
  <c r="BD10" i="42"/>
  <c r="BC9" i="51"/>
  <c r="BC13" i="51"/>
  <c r="BB15" i="50"/>
  <c r="BB16" i="50"/>
  <c r="BB17" i="50"/>
  <c r="BB13" i="50"/>
  <c r="BB14" i="50"/>
  <c r="BC10" i="50"/>
  <c r="BC11" i="51"/>
  <c r="AY16" i="49" l="1"/>
  <c r="BB28" i="50"/>
  <c r="BB22" i="50"/>
  <c r="BC22" i="50" s="1"/>
  <c r="BB31" i="50"/>
  <c r="AY20" i="49"/>
  <c r="BB30" i="50"/>
  <c r="AY19" i="49"/>
  <c r="BB29" i="50"/>
  <c r="BA29" i="50"/>
  <c r="BA31" i="50"/>
  <c r="BA38" i="50" s="1"/>
  <c r="BB21" i="50"/>
  <c r="AY17" i="49"/>
  <c r="AX23" i="49"/>
  <c r="BC31" i="42"/>
  <c r="BC22" i="42"/>
  <c r="BB29" i="42"/>
  <c r="BB23" i="42"/>
  <c r="BA30" i="42"/>
  <c r="AY18" i="41"/>
  <c r="AX25" i="41"/>
  <c r="AX32" i="41" s="1"/>
  <c r="AX19" i="51" s="1"/>
  <c r="AY23" i="49"/>
  <c r="AX26" i="49"/>
  <c r="AX27" i="49"/>
  <c r="BB20" i="50"/>
  <c r="BA36" i="50"/>
  <c r="BA34" i="50"/>
  <c r="BA37" i="50"/>
  <c r="BA35" i="50"/>
  <c r="AZ41" i="50"/>
  <c r="AZ18" i="49" s="1"/>
  <c r="AX24" i="49"/>
  <c r="BB27" i="50"/>
  <c r="AX25" i="49"/>
  <c r="BC27" i="42"/>
  <c r="AW22" i="51"/>
  <c r="BC10" i="51"/>
  <c r="AX26" i="41"/>
  <c r="AX33" i="41" s="1"/>
  <c r="AX20" i="51" s="1"/>
  <c r="AX23" i="41"/>
  <c r="AX30" i="41" s="1"/>
  <c r="AX17" i="51" s="1"/>
  <c r="BA36" i="42"/>
  <c r="BA37" i="42"/>
  <c r="BA35" i="42"/>
  <c r="BA38" i="42"/>
  <c r="BA34" i="42"/>
  <c r="AX27" i="41"/>
  <c r="AX34" i="41" s="1"/>
  <c r="AX21" i="51" s="1"/>
  <c r="AX24" i="41"/>
  <c r="AX31" i="41" s="1"/>
  <c r="AX18" i="51" s="1"/>
  <c r="BC12" i="51"/>
  <c r="BC14" i="51" s="1"/>
  <c r="AZ41" i="42"/>
  <c r="AZ16" i="41" s="1"/>
  <c r="BD16" i="42"/>
  <c r="BD17" i="42"/>
  <c r="BD24" i="42" s="1"/>
  <c r="BD13" i="42"/>
  <c r="BD20" i="42" s="1"/>
  <c r="BD15" i="42"/>
  <c r="BD14" i="42"/>
  <c r="BD21" i="42" s="1"/>
  <c r="BE10" i="42"/>
  <c r="BB28" i="42"/>
  <c r="BD9" i="51"/>
  <c r="BC16" i="50"/>
  <c r="BC23" i="50" s="1"/>
  <c r="BC14" i="50"/>
  <c r="BC17" i="50"/>
  <c r="BC15" i="50"/>
  <c r="BC13" i="50"/>
  <c r="BD10" i="50"/>
  <c r="BD11" i="51"/>
  <c r="BD13" i="51"/>
  <c r="BC29" i="50" l="1"/>
  <c r="BC21" i="50"/>
  <c r="BD21" i="50" s="1"/>
  <c r="BC30" i="50"/>
  <c r="BC24" i="50"/>
  <c r="AZ17" i="49"/>
  <c r="AZ16" i="49"/>
  <c r="AZ23" i="49" s="1"/>
  <c r="AZ19" i="49"/>
  <c r="AZ20" i="49"/>
  <c r="BD31" i="42"/>
  <c r="BD22" i="42"/>
  <c r="BC29" i="42"/>
  <c r="AZ20" i="41"/>
  <c r="BD29" i="42"/>
  <c r="AZ17" i="41"/>
  <c r="BC23" i="42"/>
  <c r="BB30" i="42"/>
  <c r="AZ18" i="41"/>
  <c r="AY25" i="41"/>
  <c r="AY32" i="41" s="1"/>
  <c r="AY19" i="51" s="1"/>
  <c r="AZ19" i="41"/>
  <c r="BA19" i="41" s="1"/>
  <c r="BA20" i="41"/>
  <c r="BC20" i="50"/>
  <c r="AY27" i="49"/>
  <c r="AY24" i="49"/>
  <c r="AY26" i="49"/>
  <c r="AY25" i="49"/>
  <c r="BB36" i="50"/>
  <c r="BB34" i="50"/>
  <c r="BB35" i="50"/>
  <c r="BB38" i="50"/>
  <c r="BB37" i="50"/>
  <c r="BA41" i="50"/>
  <c r="BA18" i="49" s="1"/>
  <c r="BD27" i="42"/>
  <c r="AY27" i="41"/>
  <c r="AY34" i="41" s="1"/>
  <c r="AY21" i="51" s="1"/>
  <c r="BB38" i="42"/>
  <c r="BB36" i="42"/>
  <c r="BB34" i="42"/>
  <c r="BB37" i="42"/>
  <c r="BB35" i="42"/>
  <c r="AY26" i="41"/>
  <c r="AY33" i="41" s="1"/>
  <c r="AY20" i="51" s="1"/>
  <c r="BA41" i="42"/>
  <c r="BA17" i="41" s="1"/>
  <c r="BD12" i="51"/>
  <c r="BD10" i="51"/>
  <c r="BD14" i="51" s="1"/>
  <c r="AY23" i="41"/>
  <c r="AY30" i="41" s="1"/>
  <c r="AY17" i="51" s="1"/>
  <c r="AY24" i="41"/>
  <c r="AY31" i="41" s="1"/>
  <c r="AY18" i="51" s="1"/>
  <c r="AX22" i="51"/>
  <c r="BE17" i="42"/>
  <c r="BE14" i="42"/>
  <c r="BE21" i="42" s="1"/>
  <c r="BE13" i="42"/>
  <c r="BE15" i="42"/>
  <c r="BE16" i="42"/>
  <c r="BC28" i="42"/>
  <c r="BF10" i="42"/>
  <c r="BE9" i="51"/>
  <c r="BE13" i="51"/>
  <c r="BE11" i="51"/>
  <c r="BE10" i="50"/>
  <c r="BD16" i="50"/>
  <c r="BD14" i="50"/>
  <c r="BD15" i="50"/>
  <c r="BD17" i="50"/>
  <c r="BD13" i="50"/>
  <c r="BD24" i="50" l="1"/>
  <c r="BD28" i="50"/>
  <c r="BC28" i="50"/>
  <c r="BD30" i="50"/>
  <c r="BC31" i="50"/>
  <c r="BC38" i="50" s="1"/>
  <c r="BD22" i="50"/>
  <c r="BE22" i="50" s="1"/>
  <c r="BD23" i="50"/>
  <c r="BA19" i="49"/>
  <c r="BA17" i="49"/>
  <c r="BA20" i="49"/>
  <c r="BA16" i="49"/>
  <c r="BE22" i="42"/>
  <c r="BE31" i="42"/>
  <c r="BA16" i="41"/>
  <c r="BE29" i="42"/>
  <c r="BB41" i="42"/>
  <c r="BB17" i="41" s="1"/>
  <c r="BD23" i="42"/>
  <c r="BC30" i="42"/>
  <c r="BE24" i="42"/>
  <c r="BA18" i="41"/>
  <c r="AZ25" i="41"/>
  <c r="AZ32" i="41" s="1"/>
  <c r="AZ19" i="51" s="1"/>
  <c r="BB16" i="41"/>
  <c r="BC36" i="50"/>
  <c r="BC35" i="50"/>
  <c r="BC37" i="50"/>
  <c r="BB41" i="50"/>
  <c r="BB18" i="49" s="1"/>
  <c r="AZ25" i="49"/>
  <c r="AZ27" i="49"/>
  <c r="AZ26" i="49"/>
  <c r="BD20" i="50"/>
  <c r="AZ24" i="49"/>
  <c r="BC27" i="50"/>
  <c r="BC34" i="50" s="1"/>
  <c r="AY22" i="51"/>
  <c r="BC37" i="42"/>
  <c r="BC35" i="42"/>
  <c r="BC36" i="42"/>
  <c r="BC38" i="42"/>
  <c r="BC34" i="42"/>
  <c r="BE12" i="51"/>
  <c r="AZ24" i="41"/>
  <c r="AZ31" i="41" s="1"/>
  <c r="AZ18" i="51" s="1"/>
  <c r="AZ26" i="41"/>
  <c r="AZ33" i="41" s="1"/>
  <c r="AZ20" i="51" s="1"/>
  <c r="BE10" i="51"/>
  <c r="AZ27" i="41"/>
  <c r="AZ34" i="41" s="1"/>
  <c r="AZ21" i="51" s="1"/>
  <c r="BA25" i="41"/>
  <c r="BA32" i="41" s="1"/>
  <c r="AZ23" i="41"/>
  <c r="AZ30" i="41" s="1"/>
  <c r="AZ17" i="51" s="1"/>
  <c r="BE20" i="42"/>
  <c r="BF17" i="42"/>
  <c r="BF15" i="42"/>
  <c r="BF13" i="42"/>
  <c r="BF14" i="42"/>
  <c r="BF21" i="42" s="1"/>
  <c r="BF16" i="42"/>
  <c r="BG10" i="42"/>
  <c r="BD28" i="42"/>
  <c r="BF9" i="51"/>
  <c r="BF10" i="50"/>
  <c r="BE16" i="50"/>
  <c r="BE15" i="50"/>
  <c r="BE14" i="50"/>
  <c r="BE17" i="50"/>
  <c r="BE13" i="50"/>
  <c r="BF11" i="51"/>
  <c r="BF13" i="51"/>
  <c r="BE29" i="50" l="1"/>
  <c r="BE30" i="50"/>
  <c r="BE23" i="50"/>
  <c r="BE24" i="50"/>
  <c r="BE28" i="50"/>
  <c r="BD29" i="50"/>
  <c r="BD36" i="50" s="1"/>
  <c r="BE21" i="50"/>
  <c r="BD31" i="50"/>
  <c r="BB16" i="49"/>
  <c r="BB23" i="49" s="1"/>
  <c r="BB20" i="49"/>
  <c r="BB19" i="49"/>
  <c r="BB17" i="49"/>
  <c r="BE20" i="50"/>
  <c r="BA23" i="49"/>
  <c r="BE23" i="42"/>
  <c r="BD30" i="42"/>
  <c r="BB19" i="41"/>
  <c r="BF29" i="42"/>
  <c r="BB20" i="41"/>
  <c r="BB18" i="41"/>
  <c r="BB25" i="41" s="1"/>
  <c r="BB32" i="41" s="1"/>
  <c r="BF20" i="42"/>
  <c r="BF24" i="42"/>
  <c r="BF22" i="42"/>
  <c r="BC41" i="42"/>
  <c r="BC17" i="41" s="1"/>
  <c r="BC19" i="41"/>
  <c r="BC16" i="41"/>
  <c r="BC20" i="41"/>
  <c r="BA19" i="51"/>
  <c r="BD37" i="50"/>
  <c r="BD35" i="50"/>
  <c r="BD38" i="50"/>
  <c r="BC41" i="50"/>
  <c r="BC18" i="49" s="1"/>
  <c r="BA27" i="49"/>
  <c r="BA26" i="49"/>
  <c r="BA25" i="49"/>
  <c r="BE27" i="50"/>
  <c r="BA24" i="49"/>
  <c r="BD27" i="50"/>
  <c r="BD34" i="50" s="1"/>
  <c r="BE14" i="51"/>
  <c r="AZ22" i="51"/>
  <c r="BA27" i="41"/>
  <c r="BA34" i="41" s="1"/>
  <c r="BA21" i="51" s="1"/>
  <c r="BF12" i="51"/>
  <c r="BF10" i="51"/>
  <c r="BF14" i="51" s="1"/>
  <c r="BD38" i="42"/>
  <c r="BD34" i="42"/>
  <c r="BD36" i="42"/>
  <c r="BD37" i="42"/>
  <c r="BD35" i="42"/>
  <c r="BA23" i="41"/>
  <c r="BA30" i="41" s="1"/>
  <c r="BA17" i="51" s="1"/>
  <c r="BA26" i="41"/>
  <c r="BA33" i="41" s="1"/>
  <c r="BA20" i="51" s="1"/>
  <c r="BA24" i="41"/>
  <c r="BA31" i="41" s="1"/>
  <c r="BA18" i="51" s="1"/>
  <c r="BF27" i="42"/>
  <c r="BE27" i="42"/>
  <c r="BG17" i="42"/>
  <c r="BG13" i="42"/>
  <c r="BG20" i="42" s="1"/>
  <c r="BG16" i="42"/>
  <c r="BG15" i="42"/>
  <c r="BG14" i="42"/>
  <c r="BG21" i="42" s="1"/>
  <c r="BE28" i="42"/>
  <c r="BH10" i="42"/>
  <c r="BG9" i="51"/>
  <c r="BG11" i="51"/>
  <c r="BG10" i="50"/>
  <c r="BG13" i="51"/>
  <c r="BF14" i="50"/>
  <c r="BF13" i="50"/>
  <c r="BF17" i="50"/>
  <c r="BF16" i="50"/>
  <c r="BF15" i="50"/>
  <c r="BF22" i="50" s="1"/>
  <c r="BC17" i="49" l="1"/>
  <c r="BF24" i="50"/>
  <c r="BC19" i="49"/>
  <c r="BF23" i="50"/>
  <c r="BG23" i="50" s="1"/>
  <c r="BC20" i="49"/>
  <c r="BF29" i="50"/>
  <c r="BF21" i="50"/>
  <c r="BF28" i="50" s="1"/>
  <c r="BE31" i="50"/>
  <c r="BC16" i="49"/>
  <c r="BC18" i="41"/>
  <c r="BD41" i="42"/>
  <c r="BD17" i="41" s="1"/>
  <c r="BB19" i="51"/>
  <c r="BG22" i="42"/>
  <c r="BG24" i="42"/>
  <c r="BF31" i="42"/>
  <c r="BF23" i="42"/>
  <c r="BE30" i="42"/>
  <c r="BE37" i="42" s="1"/>
  <c r="BD20" i="41"/>
  <c r="BD16" i="41"/>
  <c r="BD19" i="41"/>
  <c r="BD18" i="41"/>
  <c r="BD25" i="41" s="1"/>
  <c r="BD32" i="41" s="1"/>
  <c r="BE36" i="50"/>
  <c r="BE37" i="50"/>
  <c r="BE35" i="50"/>
  <c r="BE38" i="50"/>
  <c r="BE34" i="50"/>
  <c r="BD41" i="50"/>
  <c r="BD18" i="49" s="1"/>
  <c r="BC23" i="49"/>
  <c r="BB26" i="49"/>
  <c r="BB24" i="49"/>
  <c r="BB27" i="49"/>
  <c r="BB25" i="49"/>
  <c r="BF20" i="50"/>
  <c r="BF27" i="50" s="1"/>
  <c r="BG27" i="42"/>
  <c r="BA22" i="51"/>
  <c r="BB23" i="41"/>
  <c r="BB30" i="41" s="1"/>
  <c r="BB17" i="51" s="1"/>
  <c r="BG10" i="51"/>
  <c r="BB26" i="41"/>
  <c r="BB33" i="41" s="1"/>
  <c r="BB20" i="51" s="1"/>
  <c r="BG12" i="51"/>
  <c r="BC25" i="41"/>
  <c r="BC32" i="41" s="1"/>
  <c r="BC19" i="51" s="1"/>
  <c r="BB24" i="41"/>
  <c r="BB31" i="41" s="1"/>
  <c r="BB18" i="51" s="1"/>
  <c r="BE34" i="42"/>
  <c r="BE35" i="42"/>
  <c r="BE38" i="42"/>
  <c r="BE36" i="42"/>
  <c r="BB27" i="41"/>
  <c r="BB34" i="41" s="1"/>
  <c r="BB21" i="51" s="1"/>
  <c r="BH14" i="42"/>
  <c r="BH21" i="42" s="1"/>
  <c r="BH17" i="42"/>
  <c r="BH15" i="42"/>
  <c r="BH13" i="42"/>
  <c r="BH20" i="42" s="1"/>
  <c r="BH16" i="42"/>
  <c r="BF28" i="42"/>
  <c r="BI10" i="42"/>
  <c r="BH9" i="51"/>
  <c r="BH11" i="51"/>
  <c r="BG16" i="50"/>
  <c r="BG13" i="50"/>
  <c r="BG17" i="50"/>
  <c r="BG15" i="50"/>
  <c r="BG14" i="50"/>
  <c r="BH10" i="50"/>
  <c r="BH13" i="51"/>
  <c r="BG30" i="50" l="1"/>
  <c r="BG24" i="50"/>
  <c r="BG31" i="50" s="1"/>
  <c r="BG21" i="50"/>
  <c r="BF30" i="50"/>
  <c r="BH23" i="50"/>
  <c r="BF31" i="50"/>
  <c r="BG22" i="50"/>
  <c r="BD20" i="49"/>
  <c r="BD19" i="49"/>
  <c r="BD17" i="49"/>
  <c r="BD16" i="49"/>
  <c r="BE41" i="42"/>
  <c r="BE18" i="41" s="1"/>
  <c r="BE25" i="41" s="1"/>
  <c r="BE32" i="41" s="1"/>
  <c r="BH22" i="42"/>
  <c r="BG29" i="42"/>
  <c r="BH24" i="42"/>
  <c r="BG31" i="42"/>
  <c r="BG23" i="42"/>
  <c r="BF30" i="42"/>
  <c r="BF37" i="42" s="1"/>
  <c r="BE19" i="41"/>
  <c r="BE16" i="41"/>
  <c r="BE20" i="41"/>
  <c r="BE17" i="41"/>
  <c r="BC27" i="49"/>
  <c r="BF38" i="50"/>
  <c r="BF36" i="50"/>
  <c r="BF34" i="50"/>
  <c r="BF35" i="50"/>
  <c r="BF37" i="50"/>
  <c r="BE41" i="50"/>
  <c r="BE18" i="49" s="1"/>
  <c r="BC24" i="49"/>
  <c r="BC25" i="49"/>
  <c r="BD19" i="51" s="1"/>
  <c r="BG20" i="50"/>
  <c r="BG27" i="50" s="1"/>
  <c r="BC26" i="49"/>
  <c r="BG14" i="51"/>
  <c r="BH27" i="42"/>
  <c r="BH10" i="51"/>
  <c r="BB22" i="51"/>
  <c r="BC23" i="41"/>
  <c r="BC30" i="41" s="1"/>
  <c r="BC17" i="51" s="1"/>
  <c r="BC24" i="41"/>
  <c r="BC31" i="41" s="1"/>
  <c r="BC18" i="51" s="1"/>
  <c r="BC27" i="41"/>
  <c r="BC34" i="41" s="1"/>
  <c r="BC21" i="51" s="1"/>
  <c r="BC26" i="41"/>
  <c r="BC33" i="41" s="1"/>
  <c r="BC20" i="51" s="1"/>
  <c r="BH12" i="51"/>
  <c r="BF34" i="42"/>
  <c r="BF36" i="42"/>
  <c r="BF35" i="42"/>
  <c r="BF38" i="42"/>
  <c r="BI17" i="42"/>
  <c r="BI15" i="42"/>
  <c r="BI13" i="42"/>
  <c r="BI16" i="42"/>
  <c r="BI14" i="42"/>
  <c r="BI21" i="42" s="1"/>
  <c r="BJ10" i="42"/>
  <c r="BG28" i="42"/>
  <c r="BI9" i="51"/>
  <c r="BI13" i="51"/>
  <c r="BI11" i="51"/>
  <c r="BI10" i="50"/>
  <c r="BH15" i="50"/>
  <c r="BH17" i="50"/>
  <c r="BH13" i="50"/>
  <c r="BH14" i="50"/>
  <c r="BH16" i="50"/>
  <c r="BH21" i="50" l="1"/>
  <c r="BG28" i="50"/>
  <c r="BH24" i="50"/>
  <c r="BI24" i="50" s="1"/>
  <c r="BH22" i="50"/>
  <c r="BI22" i="50" s="1"/>
  <c r="BH30" i="50"/>
  <c r="BG29" i="50"/>
  <c r="BH14" i="51"/>
  <c r="BE20" i="49"/>
  <c r="BE16" i="49"/>
  <c r="BE23" i="49" s="1"/>
  <c r="BE17" i="49"/>
  <c r="BE19" i="49"/>
  <c r="BD23" i="49"/>
  <c r="BH23" i="42"/>
  <c r="BG30" i="42"/>
  <c r="BI24" i="42"/>
  <c r="BH31" i="42"/>
  <c r="BF41" i="42"/>
  <c r="BF17" i="41" s="1"/>
  <c r="BI22" i="42"/>
  <c r="BH29" i="42"/>
  <c r="BD25" i="49"/>
  <c r="BE19" i="51" s="1"/>
  <c r="BD24" i="49"/>
  <c r="BG36" i="50"/>
  <c r="BG38" i="50"/>
  <c r="BG34" i="50"/>
  <c r="BG37" i="50"/>
  <c r="BG35" i="50"/>
  <c r="BF41" i="50"/>
  <c r="BF18" i="49" s="1"/>
  <c r="BD26" i="49"/>
  <c r="BD27" i="49"/>
  <c r="BC22" i="51"/>
  <c r="BH20" i="50"/>
  <c r="BI12" i="51"/>
  <c r="BD23" i="41"/>
  <c r="BD30" i="41" s="1"/>
  <c r="BD17" i="51" s="1"/>
  <c r="BD26" i="41"/>
  <c r="BD33" i="41" s="1"/>
  <c r="BD20" i="51" s="1"/>
  <c r="BI10" i="51"/>
  <c r="BD27" i="41"/>
  <c r="BD34" i="41" s="1"/>
  <c r="BD21" i="51" s="1"/>
  <c r="BG34" i="42"/>
  <c r="BG38" i="42"/>
  <c r="BG37" i="42"/>
  <c r="BG35" i="42"/>
  <c r="BG36" i="42"/>
  <c r="BD24" i="41"/>
  <c r="BD31" i="41" s="1"/>
  <c r="BD18" i="51" s="1"/>
  <c r="BI20" i="42"/>
  <c r="BJ20" i="42" s="1"/>
  <c r="BJ17" i="42"/>
  <c r="BJ16" i="42"/>
  <c r="BJ14" i="42"/>
  <c r="BJ21" i="42" s="1"/>
  <c r="BJ15" i="42"/>
  <c r="BJ13" i="42"/>
  <c r="BL10" i="42"/>
  <c r="BK10" i="42"/>
  <c r="BH28" i="42"/>
  <c r="BJ9" i="51"/>
  <c r="BJ10" i="50"/>
  <c r="BJ13" i="51"/>
  <c r="BI17" i="50"/>
  <c r="BI14" i="50"/>
  <c r="BI15" i="50"/>
  <c r="BI16" i="50"/>
  <c r="BI13" i="50"/>
  <c r="BJ11" i="51"/>
  <c r="BI29" i="50" l="1"/>
  <c r="BI28" i="50"/>
  <c r="BI31" i="50"/>
  <c r="BH29" i="50"/>
  <c r="BH36" i="50" s="1"/>
  <c r="BI23" i="50"/>
  <c r="BH31" i="50"/>
  <c r="BH38" i="50" s="1"/>
  <c r="BJ22" i="50"/>
  <c r="BI21" i="50"/>
  <c r="BH28" i="50"/>
  <c r="BF17" i="49"/>
  <c r="BF19" i="49"/>
  <c r="BF16" i="49"/>
  <c r="BF23" i="49" s="1"/>
  <c r="BF20" i="49"/>
  <c r="BF18" i="41"/>
  <c r="BF25" i="41" s="1"/>
  <c r="BF32" i="41" s="1"/>
  <c r="BF19" i="41"/>
  <c r="BJ24" i="42"/>
  <c r="BI31" i="42"/>
  <c r="BF16" i="41"/>
  <c r="BF20" i="41"/>
  <c r="BI23" i="42"/>
  <c r="BH30" i="42"/>
  <c r="BJ31" i="42"/>
  <c r="BJ22" i="42"/>
  <c r="BI29" i="42"/>
  <c r="BG41" i="42"/>
  <c r="BG18" i="41" s="1"/>
  <c r="BG17" i="41"/>
  <c r="BE27" i="49"/>
  <c r="BI20" i="50"/>
  <c r="BJ20" i="50" s="1"/>
  <c r="BE24" i="49"/>
  <c r="BI14" i="51"/>
  <c r="BH27" i="50"/>
  <c r="BH34" i="50" s="1"/>
  <c r="BH37" i="50"/>
  <c r="BH35" i="50"/>
  <c r="BG41" i="50"/>
  <c r="BG18" i="49" s="1"/>
  <c r="BE26" i="49"/>
  <c r="BE25" i="49"/>
  <c r="BJ10" i="51"/>
  <c r="BE26" i="41"/>
  <c r="BE33" i="41" s="1"/>
  <c r="BE20" i="51" s="1"/>
  <c r="BJ27" i="42"/>
  <c r="BE23" i="41"/>
  <c r="BE30" i="41" s="1"/>
  <c r="BE17" i="51" s="1"/>
  <c r="BE24" i="41"/>
  <c r="BE31" i="41" s="1"/>
  <c r="BE18" i="51" s="1"/>
  <c r="BE27" i="41"/>
  <c r="BE34" i="41" s="1"/>
  <c r="BE21" i="51" s="1"/>
  <c r="BH36" i="42"/>
  <c r="BH37" i="42"/>
  <c r="BH35" i="42"/>
  <c r="BH38" i="42"/>
  <c r="BH34" i="42"/>
  <c r="BI27" i="42"/>
  <c r="BJ12" i="51"/>
  <c r="BD22" i="51"/>
  <c r="BL15" i="42"/>
  <c r="BL16" i="42"/>
  <c r="BL17" i="42"/>
  <c r="BL13" i="42"/>
  <c r="BL14" i="42"/>
  <c r="BK16" i="42"/>
  <c r="BK17" i="42"/>
  <c r="BK14" i="42"/>
  <c r="BK21" i="42" s="1"/>
  <c r="BL21" i="42" s="1"/>
  <c r="BK13" i="42"/>
  <c r="BK15" i="42"/>
  <c r="BI28" i="42"/>
  <c r="BK9" i="51"/>
  <c r="BJ17" i="50"/>
  <c r="BJ13" i="50"/>
  <c r="BJ14" i="50"/>
  <c r="BJ16" i="50"/>
  <c r="BJ15" i="50"/>
  <c r="BK11" i="51"/>
  <c r="BL10" i="50"/>
  <c r="BK10" i="50"/>
  <c r="BK13" i="51"/>
  <c r="BJ29" i="50" l="1"/>
  <c r="BJ23" i="50"/>
  <c r="BJ30" i="50"/>
  <c r="BJ21" i="50"/>
  <c r="BJ24" i="50"/>
  <c r="BK24" i="50" s="1"/>
  <c r="BI30" i="50"/>
  <c r="BG17" i="49"/>
  <c r="BG20" i="49"/>
  <c r="BG16" i="49"/>
  <c r="BG19" i="49"/>
  <c r="BF19" i="51"/>
  <c r="BK24" i="42"/>
  <c r="BL24" i="42" s="1"/>
  <c r="BK22" i="42"/>
  <c r="BJ29" i="42"/>
  <c r="BJ23" i="42"/>
  <c r="BI30" i="42"/>
  <c r="BI37" i="42" s="1"/>
  <c r="BL31" i="42"/>
  <c r="BG25" i="41"/>
  <c r="BG32" i="41" s="1"/>
  <c r="BG20" i="41"/>
  <c r="BH41" i="42"/>
  <c r="BH18" i="41" s="1"/>
  <c r="BG16" i="41"/>
  <c r="BG19" i="41"/>
  <c r="BH19" i="41" s="1"/>
  <c r="BJ14" i="51"/>
  <c r="BI35" i="50"/>
  <c r="BI37" i="50"/>
  <c r="BI38" i="50"/>
  <c r="BI36" i="50"/>
  <c r="BH41" i="50"/>
  <c r="BH18" i="49" s="1"/>
  <c r="BF25" i="49"/>
  <c r="BG19" i="51" s="1"/>
  <c r="BF27" i="49"/>
  <c r="BF24" i="49"/>
  <c r="BJ27" i="50"/>
  <c r="BF26" i="49"/>
  <c r="BI27" i="50"/>
  <c r="BI34" i="50" s="1"/>
  <c r="BF23" i="41"/>
  <c r="BF30" i="41" s="1"/>
  <c r="BF17" i="51" s="1"/>
  <c r="BF27" i="41"/>
  <c r="BF34" i="41" s="1"/>
  <c r="BF21" i="51" s="1"/>
  <c r="BF26" i="41"/>
  <c r="BF33" i="41" s="1"/>
  <c r="BF20" i="51" s="1"/>
  <c r="BI35" i="42"/>
  <c r="BI36" i="42"/>
  <c r="BI38" i="42"/>
  <c r="BI34" i="42"/>
  <c r="BF24" i="41"/>
  <c r="BF31" i="41" s="1"/>
  <c r="BF18" i="51" s="1"/>
  <c r="BL10" i="51"/>
  <c r="BK10" i="51"/>
  <c r="BK20" i="42"/>
  <c r="BL20" i="42" s="1"/>
  <c r="BL27" i="42" s="1"/>
  <c r="BK12" i="51"/>
  <c r="BE22" i="51"/>
  <c r="BK31" i="42"/>
  <c r="BJ28" i="42"/>
  <c r="BL9" i="51"/>
  <c r="BL11" i="51"/>
  <c r="BL17" i="50"/>
  <c r="BL16" i="50"/>
  <c r="BL14" i="50"/>
  <c r="BL13" i="50"/>
  <c r="BL15" i="50"/>
  <c r="BL13" i="51"/>
  <c r="BL12" i="51"/>
  <c r="BK13" i="50"/>
  <c r="BK20" i="50" s="1"/>
  <c r="BK14" i="50"/>
  <c r="BK16" i="50"/>
  <c r="BK17" i="50"/>
  <c r="BK15" i="50"/>
  <c r="BK22" i="50" s="1"/>
  <c r="BL22" i="50" s="1"/>
  <c r="BL24" i="50" l="1"/>
  <c r="BL20" i="50"/>
  <c r="BK21" i="50"/>
  <c r="BL21" i="50" s="1"/>
  <c r="BJ31" i="50"/>
  <c r="BH19" i="49"/>
  <c r="BH16" i="49"/>
  <c r="BH23" i="49" s="1"/>
  <c r="BK31" i="50"/>
  <c r="BK23" i="50"/>
  <c r="BL23" i="50" s="1"/>
  <c r="BL30" i="50" s="1"/>
  <c r="BK29" i="50"/>
  <c r="BJ28" i="50"/>
  <c r="BJ35" i="50" s="1"/>
  <c r="BG23" i="49"/>
  <c r="BH20" i="49"/>
  <c r="BH17" i="49"/>
  <c r="BI17" i="49" s="1"/>
  <c r="BI41" i="42"/>
  <c r="BH16" i="41"/>
  <c r="BL22" i="42"/>
  <c r="BL29" i="42" s="1"/>
  <c r="BK29" i="42"/>
  <c r="BI18" i="41"/>
  <c r="BI25" i="41" s="1"/>
  <c r="BI32" i="41" s="1"/>
  <c r="BK23" i="42"/>
  <c r="BJ30" i="42"/>
  <c r="BJ37" i="42" s="1"/>
  <c r="BK27" i="42"/>
  <c r="BI19" i="41"/>
  <c r="BI16" i="41"/>
  <c r="BH20" i="41"/>
  <c r="BI20" i="41" s="1"/>
  <c r="BH17" i="41"/>
  <c r="BI17" i="41" s="1"/>
  <c r="BK14" i="51"/>
  <c r="BG24" i="49"/>
  <c r="BG26" i="49"/>
  <c r="BJ34" i="50"/>
  <c r="BJ37" i="50"/>
  <c r="BJ38" i="50"/>
  <c r="BJ36" i="50"/>
  <c r="BI41" i="50"/>
  <c r="BI18" i="49" s="1"/>
  <c r="BG27" i="49"/>
  <c r="BK27" i="50"/>
  <c r="BG25" i="49"/>
  <c r="BL14" i="51"/>
  <c r="BJ34" i="42"/>
  <c r="BJ38" i="42"/>
  <c r="BJ36" i="42"/>
  <c r="BJ35" i="42"/>
  <c r="BG26" i="41"/>
  <c r="BG33" i="41" s="1"/>
  <c r="BG20" i="51" s="1"/>
  <c r="BG27" i="41"/>
  <c r="BG34" i="41" s="1"/>
  <c r="BG21" i="51" s="1"/>
  <c r="BG24" i="41"/>
  <c r="BG31" i="41" s="1"/>
  <c r="BG18" i="51" s="1"/>
  <c r="BF22" i="51"/>
  <c r="BH25" i="41"/>
  <c r="BH32" i="41" s="1"/>
  <c r="BG23" i="41"/>
  <c r="BG30" i="41" s="1"/>
  <c r="BG17" i="51" s="1"/>
  <c r="BL28" i="42"/>
  <c r="BK28" i="42"/>
  <c r="BL29" i="50"/>
  <c r="BL27" i="50"/>
  <c r="BL28" i="50"/>
  <c r="BL31" i="50"/>
  <c r="BK30" i="50" l="1"/>
  <c r="BK28" i="50"/>
  <c r="BI16" i="49"/>
  <c r="BI19" i="49"/>
  <c r="BI20" i="49"/>
  <c r="BH19" i="51"/>
  <c r="BJ41" i="42"/>
  <c r="BJ18" i="41" s="1"/>
  <c r="BL23" i="42"/>
  <c r="BL30" i="42" s="1"/>
  <c r="BK30" i="42"/>
  <c r="BJ17" i="41"/>
  <c r="BJ20" i="41"/>
  <c r="BJ16" i="41"/>
  <c r="BJ19" i="41"/>
  <c r="BI23" i="49"/>
  <c r="BH27" i="49"/>
  <c r="BH26" i="49"/>
  <c r="BH25" i="49"/>
  <c r="BI19" i="51" s="1"/>
  <c r="BH24" i="49"/>
  <c r="BK35" i="50"/>
  <c r="BK34" i="50"/>
  <c r="BK38" i="50"/>
  <c r="BK36" i="50"/>
  <c r="BK37" i="50"/>
  <c r="BJ41" i="50"/>
  <c r="BJ18" i="49" s="1"/>
  <c r="BG22" i="51"/>
  <c r="BH23" i="41"/>
  <c r="BH30" i="41" s="1"/>
  <c r="BH17" i="51" s="1"/>
  <c r="BH26" i="41"/>
  <c r="BH33" i="41" s="1"/>
  <c r="BH20" i="51" s="1"/>
  <c r="BH24" i="41"/>
  <c r="BH31" i="41" s="1"/>
  <c r="BH18" i="51" s="1"/>
  <c r="BJ25" i="41"/>
  <c r="BJ32" i="41" s="1"/>
  <c r="BK37" i="42"/>
  <c r="BK34" i="42"/>
  <c r="BK38" i="42"/>
  <c r="BK36" i="42"/>
  <c r="BK35" i="42"/>
  <c r="BH27" i="41"/>
  <c r="BH34" i="41" s="1"/>
  <c r="BH21" i="51" s="1"/>
  <c r="BJ19" i="49" l="1"/>
  <c r="BJ16" i="49"/>
  <c r="BJ17" i="49"/>
  <c r="BJ20" i="49"/>
  <c r="BK41" i="42"/>
  <c r="BK18" i="41" s="1"/>
  <c r="BJ23" i="49"/>
  <c r="BI25" i="49"/>
  <c r="BJ19" i="51" s="1"/>
  <c r="BI26" i="49"/>
  <c r="BL38" i="50"/>
  <c r="BL36" i="50"/>
  <c r="BL34" i="50"/>
  <c r="BL37" i="50"/>
  <c r="BL35" i="50"/>
  <c r="BK41" i="50"/>
  <c r="BK18" i="49" s="1"/>
  <c r="BI27" i="49"/>
  <c r="BI24" i="49"/>
  <c r="BI24" i="41"/>
  <c r="BI31" i="41" s="1"/>
  <c r="BI18" i="51" s="1"/>
  <c r="BI26" i="41"/>
  <c r="BI33" i="41" s="1"/>
  <c r="BI20" i="51" s="1"/>
  <c r="BH22" i="51"/>
  <c r="BI27" i="41"/>
  <c r="BI34" i="41" s="1"/>
  <c r="BI21" i="51" s="1"/>
  <c r="BL37" i="42"/>
  <c r="BL36" i="42"/>
  <c r="BL35" i="42"/>
  <c r="BL38" i="42"/>
  <c r="BL34" i="42"/>
  <c r="BL41" i="42" s="1"/>
  <c r="BI23" i="41"/>
  <c r="BI30" i="41" s="1"/>
  <c r="BI17" i="51" s="1"/>
  <c r="BK20" i="49" l="1"/>
  <c r="BK16" i="49"/>
  <c r="BK19" i="49"/>
  <c r="BK17" i="49"/>
  <c r="BL18" i="41"/>
  <c r="BK17" i="41"/>
  <c r="BL17" i="41" s="1"/>
  <c r="BK20" i="41"/>
  <c r="BL20" i="41" s="1"/>
  <c r="BK16" i="41"/>
  <c r="BL16" i="41" s="1"/>
  <c r="BK19" i="41"/>
  <c r="BL19" i="41" s="1"/>
  <c r="BI22" i="51"/>
  <c r="BK23" i="49"/>
  <c r="BJ27" i="49"/>
  <c r="BJ26" i="49"/>
  <c r="BJ25" i="49"/>
  <c r="BJ24" i="49"/>
  <c r="BL41" i="50"/>
  <c r="BJ27" i="41"/>
  <c r="BJ34" i="41" s="1"/>
  <c r="BJ21" i="51" s="1"/>
  <c r="BJ26" i="41"/>
  <c r="BJ33" i="41" s="1"/>
  <c r="BJ20" i="51" s="1"/>
  <c r="BJ23" i="41"/>
  <c r="BJ30" i="41" s="1"/>
  <c r="BJ17" i="51" s="1"/>
  <c r="BK25" i="41"/>
  <c r="BK32" i="41" s="1"/>
  <c r="BJ24" i="41"/>
  <c r="BJ31" i="41" s="1"/>
  <c r="BJ18" i="51" s="1"/>
  <c r="BL25" i="41"/>
  <c r="BL32" i="41" s="1"/>
  <c r="BL17" i="49" l="1"/>
  <c r="BL19" i="49"/>
  <c r="BL16" i="49"/>
  <c r="BL23" i="49" s="1"/>
  <c r="BL20" i="49"/>
  <c r="BL27" i="49" s="1"/>
  <c r="BL18" i="49"/>
  <c r="BL25" i="49" s="1"/>
  <c r="BL26" i="49"/>
  <c r="BK26" i="49"/>
  <c r="BK25" i="49"/>
  <c r="BL19" i="51" s="1"/>
  <c r="BK19" i="51"/>
  <c r="BJ22" i="51"/>
  <c r="BK27" i="49"/>
  <c r="BL24" i="49"/>
  <c r="BK24" i="49"/>
  <c r="BL26" i="41"/>
  <c r="BL33" i="41" s="1"/>
  <c r="BK26" i="41"/>
  <c r="BK33" i="41" s="1"/>
  <c r="BK20" i="51" s="1"/>
  <c r="BL23" i="41"/>
  <c r="BL30" i="41" s="1"/>
  <c r="BL17" i="51" s="1"/>
  <c r="BK23" i="41"/>
  <c r="BK30" i="41" s="1"/>
  <c r="BK17" i="51" s="1"/>
  <c r="BL24" i="41"/>
  <c r="BL31" i="41" s="1"/>
  <c r="BK24" i="41"/>
  <c r="BK31" i="41" s="1"/>
  <c r="BK18" i="51" s="1"/>
  <c r="BL27" i="41"/>
  <c r="BL34" i="41" s="1"/>
  <c r="BK27" i="41"/>
  <c r="BK34" i="41" s="1"/>
  <c r="BK21" i="51" s="1"/>
  <c r="BL18" i="51" l="1"/>
  <c r="BL21" i="51"/>
  <c r="BL20" i="51"/>
  <c r="BL22" i="51" s="1"/>
  <c r="BK22" i="51"/>
</calcChain>
</file>

<file path=xl/sharedStrings.xml><?xml version="1.0" encoding="utf-8"?>
<sst xmlns="http://schemas.openxmlformats.org/spreadsheetml/2006/main" count="517" uniqueCount="72">
  <si>
    <t>[$]</t>
  </si>
  <si>
    <t>[#]</t>
  </si>
  <si>
    <t>Company Name:</t>
  </si>
  <si>
    <t>Model Start Date:</t>
  </si>
  <si>
    <t>User Data</t>
  </si>
  <si>
    <t>Australia</t>
  </si>
  <si>
    <t>Plan</t>
  </si>
  <si>
    <t>Starting Users</t>
  </si>
  <si>
    <t>[$/mo.]</t>
  </si>
  <si>
    <t>Inflation Step</t>
  </si>
  <si>
    <t>[USD/AUD]</t>
  </si>
  <si>
    <t>[%]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</si>
  <si>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</si>
  <si>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</si>
  <si>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</si>
  <si>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</si>
  <si>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</si>
  <si>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</si>
  <si>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</si>
  <si>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</si>
  <si>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</si>
  <si>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</si>
  <si>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</si>
  <si>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</si>
  <si>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Case Author: Andrew Grigolyunovich, CFA, CFM, FMVA</t>
  </si>
  <si>
    <t>US</t>
  </si>
  <si>
    <t>Pricing Plans</t>
  </si>
  <si>
    <t>Star</t>
  </si>
  <si>
    <t>Triangle</t>
  </si>
  <si>
    <t>Line</t>
  </si>
  <si>
    <t>Dot</t>
  </si>
  <si>
    <t>FX Rates to $ (USD/AUD)</t>
  </si>
  <si>
    <t>Required Occurencies</t>
  </si>
  <si>
    <t>Inputs and Assumptions</t>
  </si>
  <si>
    <t>Oxbridge Inc.</t>
  </si>
  <si>
    <t>1. General Assumptions</t>
  </si>
  <si>
    <t>General</t>
  </si>
  <si>
    <t>Countries of Operations</t>
  </si>
  <si>
    <t>Country 1:</t>
  </si>
  <si>
    <t>Country 2:</t>
  </si>
  <si>
    <t>Annual Inflation Rates</t>
  </si>
  <si>
    <t>User Growth Rates vs. Previous Month</t>
  </si>
  <si>
    <t>Square</t>
  </si>
  <si>
    <t>Financial Model</t>
  </si>
  <si>
    <t>FMWC Battle: Knowledge Is Power</t>
  </si>
  <si>
    <t>Timeline</t>
  </si>
  <si>
    <t>Year</t>
  </si>
  <si>
    <t>Month</t>
  </si>
  <si>
    <t>AU$</t>
  </si>
  <si>
    <t>US$</t>
  </si>
  <si>
    <t>User Volume calculation</t>
  </si>
  <si>
    <t>Unitary prices calculation</t>
  </si>
  <si>
    <t>Revenues</t>
  </si>
  <si>
    <t>EoY</t>
  </si>
  <si>
    <t>Growth</t>
  </si>
  <si>
    <t>Inflation implied prices</t>
  </si>
  <si>
    <t>Months/y</t>
  </si>
  <si>
    <t>[AUD]</t>
  </si>
  <si>
    <t>[USD]</t>
  </si>
  <si>
    <t>Monthly price growth %</t>
  </si>
  <si>
    <t>Monthly inflation - Unitary</t>
  </si>
  <si>
    <t>Country</t>
  </si>
  <si>
    <t>Step implied prices</t>
  </si>
  <si>
    <t>Price changes</t>
  </si>
  <si>
    <t>Occurrencies</t>
  </si>
  <si>
    <t>Cumulative price changes if occurencies &lt;= Assumption</t>
  </si>
  <si>
    <t>Step</t>
  </si>
  <si>
    <t>Occurencies</t>
  </si>
  <si>
    <t>Revenues in AU$</t>
  </si>
  <si>
    <t>Revenues in US$</t>
  </si>
  <si>
    <t>Total User Volume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</si>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</sst>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$&quot;#,##0.00_);[Red]\(&quot;$&quot;#,##0.00\)"/>
    <numFmt numFmtId="165" formatCode="_(* #,##0.00_);_(* \(#,##0.00\);_(* &quot;-&quot;??_);_(@_)"/>
    <numFmt numFmtId="166" formatCode="_-* #,##0_-;\-* #,##0_-;_-* &quot;-&quot;??_-;_-@_-"/>
    <numFmt numFmtId="167" formatCode="#,##0_);\(#,##0\);\-"/>
    <numFmt numFmtId="168" formatCode="#,##0_);\(#,##0\);\-_)"/>
    <numFmt numFmtId="169" formatCode="#,##0.00_);\(#,##0.00\);\-_)"/>
    <numFmt numFmtId="170" formatCode="0.00%_);\(0.00%\);\-_)"/>
    <numFmt numFmtId="171" formatCode="d/mmm/yy;d/mmm/yy;\-"/>
    <numFmt numFmtId="172" formatCode="[Red]&quot;Error&quot;;[Red]&quot;Error&quot;;&quot;OK&quot;;[Red]General"/>
    <numFmt numFmtId="173" formatCode="&quot;On&quot;;[Black]\(#,##0\);[Red]&quot;Off&quot;;[Black]General"/>
    <numFmt numFmtId="174" formatCode="&quot;Yes&quot;;[Black]\(#,##0\);[Red]&quot;No&quot;;[Black]General"/>
    <numFmt numFmtId="175" formatCode="d\-mmm\-yy;d\-mmm\-yy;\-"/>
    <numFmt numFmtId="176" formatCode="###0_);\(###0\);\-_)"/>
    <numFmt numFmtId="177" formatCode="0.0%"/>
    <numFmt numFmtId="178" formatCode="#,##0.0000"/>
    <numFmt numFmtId="179" formatCode="&quot;AU$&quot;\ #,##0.00_);[Red]\(&quot;AU$&quot;\ #,##0.00\)"/>
    <numFmt numFmtId="180" formatCode="#,##0.000000"/>
  </numFmts>
  <fonts count="45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name val="Aldine401 BT"/>
    </font>
    <font>
      <sz val="10"/>
      <name val="Book Antiqua"/>
      <family val="1"/>
    </font>
    <font>
      <sz val="11"/>
      <color indexed="12"/>
      <name val="Book Antiqua"/>
      <family val="1"/>
    </font>
    <font>
      <sz val="8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b/>
      <sz val="12"/>
      <color rgb="FF366092"/>
      <name val="Arial"/>
      <family val="2"/>
    </font>
    <font>
      <sz val="10"/>
      <color rgb="FF0000FF"/>
      <name val="Arial"/>
      <family val="2"/>
    </font>
    <font>
      <sz val="10"/>
      <color rgb="FF7030A0"/>
      <name val="Arial"/>
      <family val="2"/>
    </font>
    <font>
      <sz val="10"/>
      <color theme="0" tint="-0.499984740745262"/>
      <name val="Arial"/>
      <family val="2"/>
    </font>
    <font>
      <b/>
      <sz val="10"/>
      <color rgb="FF008000"/>
      <name val="Arial"/>
      <family val="2"/>
    </font>
    <font>
      <sz val="9"/>
      <color rgb="FFFF0000"/>
      <name val="Arial"/>
      <family val="2"/>
    </font>
    <font>
      <sz val="10"/>
      <color theme="0" tint="-0.34998626667073579"/>
      <name val="Arial"/>
      <family val="2"/>
    </font>
    <font>
      <sz val="10"/>
      <color theme="9" tint="-0.499984740745262"/>
      <name val="Arial"/>
      <family val="2"/>
    </font>
    <font>
      <sz val="10"/>
      <color rgb="FF4F6228"/>
      <name val="Arial"/>
      <family val="2"/>
    </font>
    <font>
      <sz val="10"/>
      <color rgb="FF006600"/>
      <name val="Arial"/>
      <family val="2"/>
    </font>
    <font>
      <b/>
      <sz val="15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Roboto"/>
    </font>
    <font>
      <sz val="10"/>
      <name val="Roboto"/>
    </font>
    <font>
      <b/>
      <u/>
      <sz val="10"/>
      <color rgb="FF6C7079"/>
      <name val="roboto"/>
    </font>
    <font>
      <b/>
      <sz val="10"/>
      <color rgb="FF6C7079"/>
      <name val="Roboto"/>
    </font>
    <font>
      <b/>
      <sz val="28"/>
      <color theme="0"/>
      <name val="Roboto"/>
    </font>
    <font>
      <b/>
      <sz val="20"/>
      <color theme="0"/>
      <name val="Roboto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85B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003264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08BB7"/>
        <bgColor indexed="64"/>
      </patternFill>
    </fill>
    <fill>
      <patternFill patternType="solid">
        <fgColor rgb="FF6C70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rgb="FF0000FF"/>
      </left>
      <right style="hair">
        <color rgb="FF0000FF"/>
      </right>
      <top style="hair">
        <color rgb="FF0000FF"/>
      </top>
      <bottom style="hair">
        <color rgb="FF0000FF"/>
      </bottom>
      <diagonal/>
    </border>
    <border>
      <left style="dashed">
        <color rgb="FF7030A0"/>
      </left>
      <right style="dashed">
        <color rgb="FF7030A0"/>
      </right>
      <top style="dashed">
        <color rgb="FF7030A0"/>
      </top>
      <bottom style="dashed">
        <color rgb="FF7030A0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51">
    <xf numFmtId="0" fontId="0" fillId="0" borderId="0"/>
    <xf numFmtId="0" fontId="2" fillId="0" borderId="0"/>
    <xf numFmtId="165" fontId="3" fillId="0" borderId="0" applyFont="0" applyFill="0" applyBorder="0" applyAlignment="0" applyProtection="0"/>
    <xf numFmtId="0" fontId="4" fillId="0" borderId="0" applyNumberFormat="0" applyFont="0" applyFill="0" applyBorder="0" applyProtection="0">
      <alignment horizontal="centerContinuous"/>
    </xf>
    <xf numFmtId="0" fontId="4" fillId="0" borderId="1" applyNumberFormat="0" applyFont="0" applyFill="0" applyAlignment="0" applyProtection="0"/>
    <xf numFmtId="0" fontId="4" fillId="0" borderId="0" applyNumberFormat="0" applyFont="0" applyFill="0" applyBorder="0" applyProtection="0">
      <alignment horizontal="center"/>
    </xf>
    <xf numFmtId="164" fontId="5" fillId="0" borderId="4">
      <protection locked="0"/>
    </xf>
    <xf numFmtId="0" fontId="4" fillId="0" borderId="5" applyNumberFormat="0" applyFont="0" applyFill="0" applyAlignment="0" applyProtection="0"/>
    <xf numFmtId="0" fontId="6" fillId="0" borderId="0" applyNumberFormat="0" applyFill="0" applyBorder="0" applyAlignment="0" applyProtection="0"/>
    <xf numFmtId="166" fontId="3" fillId="0" borderId="0" applyNumberFormat="0" applyFill="0" applyBorder="0" applyAlignment="0" applyProtection="0"/>
    <xf numFmtId="0" fontId="4" fillId="0" borderId="3" applyNumberFormat="0" applyFont="0" applyFill="0" applyAlignment="0" applyProtection="0"/>
    <xf numFmtId="9" fontId="2" fillId="0" borderId="0" applyFont="0" applyFill="0" applyBorder="0" applyAlignment="0" applyProtection="0"/>
    <xf numFmtId="0" fontId="10" fillId="3" borderId="0" applyNumberFormat="0" applyAlignment="0"/>
    <xf numFmtId="168" fontId="1" fillId="0" borderId="0" applyBorder="0"/>
    <xf numFmtId="4" fontId="7" fillId="4" borderId="2">
      <alignment horizontal="left"/>
    </xf>
    <xf numFmtId="167" fontId="11" fillId="0" borderId="0" applyFill="0" applyBorder="0"/>
    <xf numFmtId="168" fontId="9" fillId="0" borderId="0" applyBorder="0"/>
    <xf numFmtId="0" fontId="12" fillId="0" borderId="0" applyNumberFormat="0" applyFill="0" applyBorder="0">
      <alignment horizontal="right"/>
    </xf>
    <xf numFmtId="168" fontId="12" fillId="5" borderId="8">
      <protection locked="0"/>
    </xf>
    <xf numFmtId="169" fontId="12" fillId="5" borderId="8">
      <protection locked="0"/>
    </xf>
    <xf numFmtId="170" fontId="12" fillId="5" borderId="8">
      <protection locked="0"/>
    </xf>
    <xf numFmtId="171" fontId="1" fillId="0" borderId="0" applyBorder="0"/>
    <xf numFmtId="171" fontId="12" fillId="5" borderId="8">
      <protection locked="0"/>
    </xf>
    <xf numFmtId="168" fontId="12" fillId="0" borderId="8"/>
    <xf numFmtId="15" fontId="8" fillId="0" borderId="0" applyFill="0" applyBorder="0" applyAlignment="0"/>
    <xf numFmtId="172" fontId="13" fillId="0" borderId="9">
      <alignment horizontal="center"/>
    </xf>
    <xf numFmtId="168" fontId="14" fillId="7" borderId="0" applyBorder="0" applyAlignment="0"/>
    <xf numFmtId="172" fontId="15" fillId="8" borderId="10">
      <alignment horizontal="center"/>
    </xf>
    <xf numFmtId="0" fontId="16" fillId="0" borderId="0" applyNumberFormat="0" applyFill="0" applyBorder="0" applyAlignment="0"/>
    <xf numFmtId="0" fontId="17" fillId="0" borderId="0" applyNumberFormat="0" applyFill="0" applyBorder="0" applyAlignment="0"/>
    <xf numFmtId="167" fontId="18" fillId="6" borderId="8" applyNumberFormat="0" applyAlignment="0">
      <protection locked="0"/>
    </xf>
    <xf numFmtId="173" fontId="19" fillId="5" borderId="8">
      <alignment horizontal="center"/>
      <protection locked="0"/>
    </xf>
    <xf numFmtId="174" fontId="19" fillId="5" borderId="8">
      <alignment horizontal="center"/>
      <protection locked="0"/>
    </xf>
    <xf numFmtId="169" fontId="1" fillId="0" borderId="0" applyBorder="0"/>
    <xf numFmtId="174" fontId="20" fillId="0" borderId="11" applyFill="0">
      <alignment horizontal="center"/>
    </xf>
    <xf numFmtId="173" fontId="19" fillId="0" borderId="11">
      <alignment horizontal="center"/>
    </xf>
    <xf numFmtId="170" fontId="2" fillId="0" borderId="0" applyFill="0" applyBorder="0" applyAlignment="0"/>
    <xf numFmtId="168" fontId="1" fillId="9" borderId="11"/>
    <xf numFmtId="0" fontId="21" fillId="0" borderId="6" applyNumberFormat="0" applyFill="0" applyAlignment="0" applyProtection="0"/>
    <xf numFmtId="0" fontId="22" fillId="0" borderId="0"/>
    <xf numFmtId="0" fontId="23" fillId="2" borderId="7" applyNumberFormat="0" applyAlignment="0" applyProtection="0"/>
    <xf numFmtId="0" fontId="23" fillId="2" borderId="7" applyFill="0" applyAlignment="0" applyProtection="0"/>
    <xf numFmtId="0" fontId="1" fillId="0" borderId="0"/>
    <xf numFmtId="0" fontId="24" fillId="0" borderId="0"/>
    <xf numFmtId="175" fontId="1" fillId="0" borderId="0" applyBorder="0"/>
    <xf numFmtId="176" fontId="1" fillId="0" borderId="0" applyBorder="0"/>
    <xf numFmtId="175" fontId="12" fillId="5" borderId="8">
      <protection locked="0"/>
    </xf>
    <xf numFmtId="0" fontId="25" fillId="2" borderId="7" applyNumberFormat="0" applyAlignment="0" applyProtection="0"/>
    <xf numFmtId="165" fontId="22" fillId="0" borderId="0" applyFont="0" applyFill="0" applyBorder="0" applyAlignment="0" applyProtection="0"/>
    <xf numFmtId="0" fontId="26" fillId="2" borderId="7" applyNumberFormat="0" applyAlignment="0" applyProtection="0"/>
    <xf numFmtId="0" fontId="29" fillId="0" borderId="0" applyNumberFormat="0" applyFill="0" applyBorder="0" applyAlignment="0" applyProtection="0"/>
  </cellStyleXfs>
  <cellXfs count="66">
    <xf numFmtId="0" fontId="0" fillId="0" borderId="0" xfId="0"/>
    <xf numFmtId="0" fontId="27" fillId="0" borderId="0" xfId="0" applyFont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center"/>
    </xf>
    <xf numFmtId="0" fontId="30" fillId="0" borderId="0" xfId="0" applyFont="1"/>
    <xf numFmtId="0" fontId="31" fillId="0" borderId="0" xfId="0" applyFont="1"/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50" applyFont="1"/>
    <xf numFmtId="15" fontId="33" fillId="0" borderId="0" xfId="0" applyNumberFormat="1" applyFont="1" applyAlignment="1">
      <alignment horizontal="right"/>
    </xf>
    <xf numFmtId="0" fontId="36" fillId="0" borderId="0" xfId="0" applyFont="1"/>
    <xf numFmtId="0" fontId="37" fillId="0" borderId="0" xfId="0" applyFont="1"/>
    <xf numFmtId="15" fontId="37" fillId="0" borderId="0" xfId="0" applyNumberFormat="1" applyFont="1" applyAlignment="1">
      <alignment horizontal="centerContinuous"/>
    </xf>
    <xf numFmtId="0" fontId="36" fillId="0" borderId="0" xfId="0" applyFont="1" applyAlignment="1">
      <alignment horizontal="centerContinuous"/>
    </xf>
    <xf numFmtId="3" fontId="37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3" fontId="36" fillId="0" borderId="0" xfId="0" applyNumberFormat="1" applyFont="1" applyBorder="1"/>
    <xf numFmtId="3" fontId="36" fillId="0" borderId="1" xfId="0" applyNumberFormat="1" applyFont="1" applyBorder="1"/>
    <xf numFmtId="0" fontId="36" fillId="0" borderId="1" xfId="0" applyFont="1" applyBorder="1"/>
    <xf numFmtId="0" fontId="37" fillId="0" borderId="0" xfId="0" applyFont="1" applyBorder="1" applyAlignment="1">
      <alignment horizontal="center"/>
    </xf>
    <xf numFmtId="3" fontId="38" fillId="0" borderId="0" xfId="0" applyNumberFormat="1" applyFont="1" applyAlignment="1">
      <alignment horizontal="centerContinuous"/>
    </xf>
    <xf numFmtId="0" fontId="39" fillId="0" borderId="0" xfId="0" applyFont="1" applyAlignment="1">
      <alignment horizontal="centerContinuous"/>
    </xf>
    <xf numFmtId="0" fontId="40" fillId="0" borderId="13" xfId="0" applyFont="1" applyBorder="1" applyAlignment="1">
      <alignment horizontal="centerContinuous"/>
    </xf>
    <xf numFmtId="0" fontId="39" fillId="0" borderId="13" xfId="0" applyFont="1" applyBorder="1" applyAlignment="1">
      <alignment horizontal="centerContinuous"/>
    </xf>
    <xf numFmtId="0" fontId="39" fillId="0" borderId="0" xfId="0" applyFont="1"/>
    <xf numFmtId="0" fontId="41" fillId="12" borderId="12" xfId="0" applyFont="1" applyFill="1" applyBorder="1"/>
    <xf numFmtId="3" fontId="42" fillId="2" borderId="7" xfId="47" applyNumberFormat="1" applyFont="1" applyAlignment="1" applyProtection="1">
      <alignment horizontal="center"/>
      <protection locked="0"/>
    </xf>
    <xf numFmtId="3" fontId="42" fillId="2" borderId="7" xfId="47" applyNumberFormat="1" applyFont="1" applyAlignment="1" applyProtection="1">
      <alignment horizontal="right"/>
      <protection locked="0"/>
    </xf>
    <xf numFmtId="0" fontId="37" fillId="0" borderId="1" xfId="0" applyFont="1" applyBorder="1"/>
    <xf numFmtId="3" fontId="42" fillId="2" borderId="7" xfId="47" applyNumberFormat="1" applyFont="1" applyAlignment="1" applyProtection="1">
      <alignment horizontal="left"/>
      <protection locked="0"/>
    </xf>
    <xf numFmtId="15" fontId="42" fillId="2" borderId="7" xfId="47" applyNumberFormat="1" applyFont="1" applyAlignment="1" applyProtection="1">
      <alignment horizontal="center"/>
      <protection locked="0"/>
    </xf>
    <xf numFmtId="164" fontId="42" fillId="2" borderId="7" xfId="47" applyNumberFormat="1" applyFont="1" applyAlignment="1" applyProtection="1">
      <alignment horizontal="center"/>
      <protection locked="0"/>
    </xf>
    <xf numFmtId="164" fontId="42" fillId="2" borderId="14" xfId="47" applyNumberFormat="1" applyFont="1" applyBorder="1" applyAlignment="1" applyProtection="1">
      <alignment horizontal="center"/>
      <protection locked="0"/>
    </xf>
    <xf numFmtId="164" fontId="42" fillId="2" borderId="15" xfId="47" applyNumberFormat="1" applyFont="1" applyBorder="1" applyAlignment="1" applyProtection="1">
      <alignment horizontal="center"/>
      <protection locked="0"/>
    </xf>
    <xf numFmtId="177" fontId="42" fillId="2" borderId="7" xfId="47" applyNumberFormat="1" applyFont="1" applyAlignment="1" applyProtection="1">
      <alignment horizontal="center"/>
      <protection locked="0"/>
    </xf>
    <xf numFmtId="10" fontId="42" fillId="2" borderId="7" xfId="47" applyNumberFormat="1" applyFont="1" applyAlignment="1" applyProtection="1">
      <alignment horizontal="center"/>
      <protection locked="0"/>
    </xf>
    <xf numFmtId="177" fontId="42" fillId="2" borderId="15" xfId="47" applyNumberFormat="1" applyFont="1" applyBorder="1" applyAlignment="1" applyProtection="1">
      <alignment horizontal="center"/>
      <protection locked="0"/>
    </xf>
    <xf numFmtId="0" fontId="37" fillId="0" borderId="1" xfId="0" applyFont="1" applyBorder="1" applyAlignment="1">
      <alignment horizontal="left"/>
    </xf>
    <xf numFmtId="178" fontId="42" fillId="2" borderId="7" xfId="47" applyNumberFormat="1" applyFont="1" applyAlignment="1" applyProtection="1">
      <alignment horizontal="center"/>
      <protection locked="0"/>
    </xf>
    <xf numFmtId="3" fontId="39" fillId="0" borderId="7" xfId="47" applyNumberFormat="1" applyFont="1" applyFill="1" applyAlignment="1" applyProtection="1">
      <alignment horizontal="center"/>
      <protection locked="0"/>
    </xf>
    <xf numFmtId="15" fontId="39" fillId="0" borderId="7" xfId="47" applyNumberFormat="1" applyFont="1" applyFill="1" applyAlignment="1" applyProtection="1">
      <alignment horizontal="center"/>
      <protection locked="0"/>
    </xf>
    <xf numFmtId="179" fontId="42" fillId="2" borderId="7" xfId="47" applyNumberFormat="1" applyFont="1" applyAlignment="1" applyProtection="1">
      <alignment horizontal="center"/>
      <protection locked="0"/>
    </xf>
    <xf numFmtId="179" fontId="42" fillId="2" borderId="14" xfId="47" applyNumberFormat="1" applyFont="1" applyBorder="1" applyAlignment="1" applyProtection="1">
      <alignment horizontal="center"/>
      <protection locked="0"/>
    </xf>
    <xf numFmtId="179" fontId="42" fillId="2" borderId="15" xfId="47" applyNumberFormat="1" applyFont="1" applyBorder="1" applyAlignment="1" applyProtection="1">
      <alignment horizontal="center"/>
      <protection locked="0"/>
    </xf>
    <xf numFmtId="4" fontId="0" fillId="0" borderId="0" xfId="0" applyNumberFormat="1"/>
    <xf numFmtId="3" fontId="0" fillId="0" borderId="0" xfId="0" applyNumberFormat="1"/>
    <xf numFmtId="0" fontId="43" fillId="0" borderId="1" xfId="0" applyFont="1" applyBorder="1"/>
    <xf numFmtId="0" fontId="0" fillId="0" borderId="1" xfId="0" applyBorder="1"/>
    <xf numFmtId="0" fontId="0" fillId="9" borderId="0" xfId="0" applyFill="1"/>
    <xf numFmtId="9" fontId="43" fillId="0" borderId="1" xfId="0" applyNumberFormat="1" applyFont="1" applyBorder="1"/>
    <xf numFmtId="0" fontId="0" fillId="13" borderId="0" xfId="0" applyFill="1"/>
    <xf numFmtId="0" fontId="0" fillId="13" borderId="1" xfId="0" applyFill="1" applyBorder="1"/>
    <xf numFmtId="10" fontId="0" fillId="0" borderId="0" xfId="0" applyNumberFormat="1"/>
    <xf numFmtId="178" fontId="0" fillId="0" borderId="0" xfId="0" applyNumberFormat="1"/>
    <xf numFmtId="0" fontId="0" fillId="14" borderId="0" xfId="0" applyFill="1"/>
    <xf numFmtId="180" fontId="0" fillId="0" borderId="0" xfId="0" applyNumberFormat="1"/>
    <xf numFmtId="4" fontId="0" fillId="9" borderId="0" xfId="0" applyNumberFormat="1" applyFill="1"/>
    <xf numFmtId="0" fontId="43" fillId="0" borderId="0" xfId="0" applyFont="1"/>
    <xf numFmtId="3" fontId="0" fillId="9" borderId="0" xfId="0" applyNumberFormat="1" applyFill="1"/>
    <xf numFmtId="4" fontId="43" fillId="0" borderId="0" xfId="0" applyNumberFormat="1" applyFont="1"/>
    <xf numFmtId="3" fontId="43" fillId="0" borderId="0" xfId="0" applyNumberFormat="1" applyFont="1" applyFill="1"/>
    <xf numFmtId="3" fontId="43" fillId="0" borderId="0" xfId="0" applyNumberFormat="1" applyFont="1"/>
    <xf numFmtId="0" fontId="44" fillId="15" borderId="0" xfId="0" applyFont="1" applyFill="1"/>
    <xf numFmtId="0" fontId="44" fillId="15" borderId="0" xfId="0" applyNumberFormat="1" applyFont="1" applyFill="1"/>
    <xf numFmtId="0" fontId="34" fillId="10" borderId="0" xfId="0" applyFont="1" applyFill="1" applyAlignment="1">
      <alignment horizontal="center" vertical="center"/>
    </xf>
    <xf numFmtId="0" fontId="35" fillId="11" borderId="0" xfId="0" applyFont="1" applyFill="1" applyAlignment="1">
      <alignment horizontal="center" vertical="center"/>
    </xf>
  </cellXfs>
  <cellStyles count="51">
    <cellStyle name="Across" xfId="3" xr:uid="{00000000-0005-0000-0000-000000000000}"/>
    <cellStyle name="Bottom" xfId="4" xr:uid="{00000000-0005-0000-0000-000001000000}"/>
    <cellStyle name="Center" xfId="5" xr:uid="{00000000-0005-0000-0000-000002000000}"/>
    <cellStyle name="Comma 2" xfId="2" xr:uid="{00000000-0005-0000-0000-000003000000}"/>
    <cellStyle name="Comma 3" xfId="48" xr:uid="{3570D88B-62A3-40C8-909A-C17A3140EBF0}"/>
    <cellStyle name="Currency [2]" xfId="6" xr:uid="{00000000-0005-0000-0000-000004000000}"/>
    <cellStyle name="Double" xfId="7" xr:uid="{00000000-0005-0000-0000-000005000000}"/>
    <cellStyle name="Entrée" xfId="47" builtinId="20"/>
    <cellStyle name="F Check NonZero" xfId="25" xr:uid="{00000000-0005-0000-0000-000006000000}"/>
    <cellStyle name="F Date(U)" xfId="24" xr:uid="{00000000-0005-0000-0000-000007000000}"/>
    <cellStyle name="F Grey-Grey" xfId="26" xr:uid="{00000000-0005-0000-0000-000008000000}"/>
    <cellStyle name="F Header" xfId="15" xr:uid="{00000000-0005-0000-0000-000009000000}"/>
    <cellStyle name="F Integrity" xfId="27" xr:uid="{00000000-0005-0000-0000-00000A000000}"/>
    <cellStyle name="F range" xfId="28" xr:uid="{00000000-0005-0000-0000-00000B000000}"/>
    <cellStyle name="F Section Header" xfId="14" xr:uid="{00000000-0005-0000-0000-00000C000000}"/>
    <cellStyle name="F TopHeader" xfId="12" xr:uid="{00000000-0005-0000-0000-00000D000000}"/>
    <cellStyle name="F Units" xfId="17" xr:uid="{00000000-0005-0000-0000-00000E000000}"/>
    <cellStyle name="F Wkg text" xfId="29" xr:uid="{00000000-0005-0000-0000-00000F000000}"/>
    <cellStyle name="F-A 0dp" xfId="18" xr:uid="{00000000-0005-0000-0000-000010000000}"/>
    <cellStyle name="F-A 2dp" xfId="19" xr:uid="{00000000-0005-0000-0000-000011000000}"/>
    <cellStyle name="F-A Date" xfId="22" xr:uid="{00000000-0005-0000-0000-000012000000}"/>
    <cellStyle name="F-A Date 2" xfId="46" xr:uid="{00000000-0005-0000-0000-000013000000}"/>
    <cellStyle name="F-A Fixed 0dp" xfId="23" xr:uid="{00000000-0005-0000-0000-000014000000}"/>
    <cellStyle name="F-A LinkInput" xfId="30" xr:uid="{00000000-0005-0000-0000-000015000000}"/>
    <cellStyle name="F-A OnOff" xfId="31" xr:uid="{00000000-0005-0000-0000-000016000000}"/>
    <cellStyle name="F-A Pct2dp" xfId="20" xr:uid="{00000000-0005-0000-0000-000017000000}"/>
    <cellStyle name="F-A YesNo" xfId="32" xr:uid="{00000000-0005-0000-0000-000018000000}"/>
    <cellStyle name="F-C 0dp Num" xfId="13" xr:uid="{00000000-0005-0000-0000-000019000000}"/>
    <cellStyle name="F-C 2dp Num" xfId="33" xr:uid="{00000000-0005-0000-0000-00001A000000}"/>
    <cellStyle name="F-C Bld 0dp" xfId="16" xr:uid="{00000000-0005-0000-0000-00001B000000}"/>
    <cellStyle name="F-C Date" xfId="21" xr:uid="{00000000-0005-0000-0000-00001C000000}"/>
    <cellStyle name="F-C Date 2" xfId="44" xr:uid="{00000000-0005-0000-0000-00001D000000}"/>
    <cellStyle name="F-C NoYes" xfId="34" xr:uid="{00000000-0005-0000-0000-00001E000000}"/>
    <cellStyle name="F-C OnOff" xfId="35" xr:uid="{00000000-0005-0000-0000-00001F000000}"/>
    <cellStyle name="F-C Pct 2DP" xfId="36" xr:uid="{00000000-0005-0000-0000-000020000000}"/>
    <cellStyle name="F-C Year" xfId="45" xr:uid="{00000000-0005-0000-0000-000021000000}"/>
    <cellStyle name="Fixed input" xfId="41" xr:uid="{00000000-0005-0000-0000-000022000000}"/>
    <cellStyle name="F-RowSum 0dp" xfId="37" xr:uid="{00000000-0005-0000-0000-000023000000}"/>
    <cellStyle name="Heading 1 2" xfId="38" xr:uid="{00000000-0005-0000-0000-000024000000}"/>
    <cellStyle name="Input 2" xfId="40" xr:uid="{00000000-0005-0000-0000-000025000000}"/>
    <cellStyle name="Input 3" xfId="49" xr:uid="{FBF2AAA1-25AA-4193-BE47-25FEB66D3873}"/>
    <cellStyle name="Lien hypertexte" xfId="50" builtinId="8"/>
    <cellStyle name="Normal" xfId="0" builtinId="0"/>
    <cellStyle name="Normal 2" xfId="1" xr:uid="{00000000-0005-0000-0000-000027000000}"/>
    <cellStyle name="Normal 2 2" xfId="43" xr:uid="{00000000-0005-0000-0000-000028000000}"/>
    <cellStyle name="Normal 3" xfId="39" xr:uid="{00000000-0005-0000-0000-000029000000}"/>
    <cellStyle name="Normal 4" xfId="42" xr:uid="{00000000-0005-0000-0000-00002A000000}"/>
    <cellStyle name="Numbers" xfId="8" xr:uid="{00000000-0005-0000-0000-00002B000000}"/>
    <cellStyle name="Numbers - Bold - Italic" xfId="9" xr:uid="{00000000-0005-0000-0000-00002C000000}"/>
    <cellStyle name="Outline" xfId="10" xr:uid="{00000000-0005-0000-0000-00002D000000}"/>
    <cellStyle name="Percent 2" xfId="11" xr:uid="{00000000-0005-0000-0000-00002E000000}"/>
  </cellStyles>
  <dxfs count="0"/>
  <tableStyles count="0" defaultTableStyle="TableStyleMedium2" defaultPivotStyle="PivotStyleLight16"/>
  <colors>
    <mruColors>
      <color rgb="FF208BB7"/>
      <color rgb="FFFFFFCC"/>
      <color rgb="FFFFD966"/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127002</xdr:colOff>
      <xdr:row>2</xdr:row>
      <xdr:rowOff>161635</xdr:rowOff>
    </xdr:from>
    <xdr:to>
      <xdr:col>13</xdr:col>
      <xdr:colOff>568470</xdr:colOff>
      <xdr:row>28</xdr:row>
      <xdr:rowOff>88899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ACEEE6-2E87-4D35-80E0-AE93B3362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052" y="479135"/>
          <a:ext cx="7147068" cy="41246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13073</xdr:colOff>
      <xdr:row>0</xdr:row>
      <xdr:rowOff>1</xdr:rowOff>
    </xdr:from>
    <xdr:to>
      <xdr:col>2</xdr:col>
      <xdr:colOff>889000</xdr:colOff>
      <xdr:row>2</xdr:row>
      <xdr:rowOff>158750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90BAE57-2E9B-4B62-923D-652DA9630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923" y="1"/>
          <a:ext cx="1072777" cy="6222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linkedin.com/in/andrewgrig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2D99D-D63E-4518-B94C-11705D30E85C}">
  <sheetPr codeName="Feuil1"/>
  <dimension ref="B20:O39"/>
  <sheetViews>
    <sheetView showGridLines="0" zoomScale="70" zoomScaleNormal="70" workbookViewId="0">
      <selection activeCell="E70" sqref="E70"/>
    </sheetView>
  </sheetViews>
  <sheetFormatPr baseColWidth="10" defaultColWidth="8.7265625" defaultRowHeight="12.5"/>
  <cols>
    <col min="1" max="1" width="4.26953125" style="5" customWidth="1"/>
    <col min="2" max="14" width="8.7265625" style="5"/>
    <col min="15" max="15" width="10.1796875" style="5" bestFit="1" customWidth="1"/>
    <col min="16" max="16" width="3.26953125" style="5" customWidth="1"/>
    <col min="17" max="16384" width="8.7265625" style="5"/>
  </cols>
  <sheetData>
    <row r="20" spans="2:15" ht="13">
      <c r="B20" s="4"/>
      <c r="C20" s="4"/>
      <c r="D20" s="4"/>
      <c r="E20" s="4"/>
      <c r="F20" s="4"/>
      <c r="G20" s="4"/>
      <c r="H20" s="4"/>
      <c r="I20" s="4"/>
    </row>
    <row r="21" spans="2:15" ht="13">
      <c r="B21" s="6"/>
      <c r="C21" s="6"/>
      <c r="D21" s="6"/>
      <c r="E21" s="6"/>
      <c r="F21" s="6"/>
      <c r="G21" s="6"/>
      <c r="H21" s="6"/>
      <c r="I21" s="6"/>
      <c r="J21" s="7"/>
    </row>
    <row r="22" spans="2:15" ht="13">
      <c r="B22" s="6"/>
    </row>
    <row r="24" spans="2:15" ht="13" customHeight="1"/>
    <row r="25" spans="2:15" ht="13" customHeight="1"/>
    <row r="26" spans="2:15" ht="13" customHeight="1"/>
    <row r="27" spans="2:15" ht="13" customHeight="1"/>
    <row r="28" spans="2:15" ht="13" customHeight="1"/>
    <row r="31" spans="2:15" ht="13">
      <c r="B31" s="8" t="s">
        <v>24</v>
      </c>
      <c r="O31" s="9">
        <v>44294</v>
      </c>
    </row>
    <row r="32" spans="2:15">
      <c r="B32" s="64" t="s">
        <v>44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</row>
    <row r="33" spans="2:15">
      <c r="B33" s="64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</row>
    <row r="34" spans="2:15">
      <c r="B34" s="64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64"/>
    </row>
    <row r="35" spans="2:15">
      <c r="B35" s="64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64"/>
    </row>
    <row r="36" spans="2:15">
      <c r="B36" s="64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64"/>
    </row>
    <row r="37" spans="2:15">
      <c r="B37" s="65" t="s">
        <v>43</v>
      </c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2:15"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</row>
    <row r="39" spans="2:15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</row>
  </sheetData>
  <mergeCells count="2">
    <mergeCell ref="B32:O36"/>
    <mergeCell ref="B37:O39"/>
  </mergeCells>
  <hyperlinks>
    <hyperlink ref="B31" r:id="rId1" xr:uid="{6D3F7B77-3749-46D8-A440-41105119A0A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AB5D7-1B04-4AAD-B7FA-16CFD354B917}">
  <sheetPr>
    <tabColor rgb="FF7030A0"/>
  </sheetPr>
  <dimension ref="C2:BL22"/>
  <sheetViews>
    <sheetView tabSelected="1" topLeftCell="A4" workbookViewId="0">
      <selection activeCell="E10" sqref="E10"/>
    </sheetView>
  </sheetViews>
  <sheetFormatPr baseColWidth="10" defaultRowHeight="14.5"/>
  <cols>
    <col min="5" max="48" width="12.1796875" bestFit="1" customWidth="1"/>
    <col min="49" max="64" width="13.1796875" bestFit="1" customWidth="1"/>
  </cols>
  <sheetData>
    <row r="2" spans="3:64">
      <c r="C2" s="62" t="s">
        <v>45</v>
      </c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</row>
    <row r="3" spans="3:64">
      <c r="C3" s="62" t="s">
        <v>46</v>
      </c>
      <c r="D3" s="62">
        <v>2021</v>
      </c>
      <c r="E3" s="63">
        <v>2022</v>
      </c>
      <c r="F3" s="63">
        <v>2022</v>
      </c>
      <c r="G3" s="63">
        <v>2022</v>
      </c>
      <c r="H3" s="63">
        <v>2022</v>
      </c>
      <c r="I3" s="63">
        <v>2022</v>
      </c>
      <c r="J3" s="63">
        <v>2022</v>
      </c>
      <c r="K3" s="63">
        <v>2022</v>
      </c>
      <c r="L3" s="63">
        <v>2022</v>
      </c>
      <c r="M3" s="63">
        <v>2022</v>
      </c>
      <c r="N3" s="63">
        <v>2022</v>
      </c>
      <c r="O3" s="63">
        <v>2022</v>
      </c>
      <c r="P3" s="63">
        <v>2022</v>
      </c>
      <c r="Q3" s="63">
        <v>2023</v>
      </c>
      <c r="R3" s="63">
        <v>2023</v>
      </c>
      <c r="S3" s="63">
        <v>2023</v>
      </c>
      <c r="T3" s="63">
        <v>2023</v>
      </c>
      <c r="U3" s="63">
        <v>2023</v>
      </c>
      <c r="V3" s="63">
        <v>2023</v>
      </c>
      <c r="W3" s="63">
        <v>2023</v>
      </c>
      <c r="X3" s="63">
        <v>2023</v>
      </c>
      <c r="Y3" s="63">
        <v>2023</v>
      </c>
      <c r="Z3" s="63">
        <v>2023</v>
      </c>
      <c r="AA3" s="63">
        <v>2023</v>
      </c>
      <c r="AB3" s="63">
        <v>2023</v>
      </c>
      <c r="AC3" s="63">
        <v>2024</v>
      </c>
      <c r="AD3" s="63">
        <v>2024</v>
      </c>
      <c r="AE3" s="63">
        <v>2024</v>
      </c>
      <c r="AF3" s="63">
        <v>2024</v>
      </c>
      <c r="AG3" s="63">
        <v>2024</v>
      </c>
      <c r="AH3" s="63">
        <v>2024</v>
      </c>
      <c r="AI3" s="63">
        <v>2024</v>
      </c>
      <c r="AJ3" s="63">
        <v>2024</v>
      </c>
      <c r="AK3" s="63">
        <v>2024</v>
      </c>
      <c r="AL3" s="63">
        <v>2024</v>
      </c>
      <c r="AM3" s="63">
        <v>2024</v>
      </c>
      <c r="AN3" s="63">
        <v>2024</v>
      </c>
      <c r="AO3" s="63">
        <v>2025</v>
      </c>
      <c r="AP3" s="63">
        <v>2025</v>
      </c>
      <c r="AQ3" s="63">
        <v>2025</v>
      </c>
      <c r="AR3" s="63">
        <v>2025</v>
      </c>
      <c r="AS3" s="63">
        <v>2025</v>
      </c>
      <c r="AT3" s="63">
        <v>2025</v>
      </c>
      <c r="AU3" s="63">
        <v>2025</v>
      </c>
      <c r="AV3" s="63">
        <v>2025</v>
      </c>
      <c r="AW3" s="63">
        <v>2025</v>
      </c>
      <c r="AX3" s="63">
        <v>2025</v>
      </c>
      <c r="AY3" s="63">
        <v>2025</v>
      </c>
      <c r="AZ3" s="63">
        <v>2025</v>
      </c>
      <c r="BA3" s="63">
        <v>2026</v>
      </c>
      <c r="BB3" s="63">
        <v>2026</v>
      </c>
      <c r="BC3" s="63">
        <v>2026</v>
      </c>
      <c r="BD3" s="63">
        <v>2026</v>
      </c>
      <c r="BE3" s="63">
        <v>2026</v>
      </c>
      <c r="BF3" s="63">
        <v>2026</v>
      </c>
      <c r="BG3" s="63">
        <v>2026</v>
      </c>
      <c r="BH3" s="63">
        <v>2026</v>
      </c>
      <c r="BI3" s="63">
        <v>2026</v>
      </c>
      <c r="BJ3" s="63">
        <v>2026</v>
      </c>
      <c r="BK3" s="63">
        <v>2026</v>
      </c>
      <c r="BL3" s="63">
        <v>2026</v>
      </c>
    </row>
    <row r="4" spans="3:64">
      <c r="C4" s="62" t="s">
        <v>47</v>
      </c>
      <c r="D4" s="62" t="s">
        <v>53</v>
      </c>
      <c r="E4" s="62" t="s">
        <v>12</v>
      </c>
      <c r="F4" s="62" t="s">
        <v>13</v>
      </c>
      <c r="G4" s="62" t="s">
        <v>14</v>
      </c>
      <c r="H4" s="62" t="s">
        <v>15</v>
      </c>
      <c r="I4" s="62" t="s">
        <v>16</v>
      </c>
      <c r="J4" s="62" t="s">
        <v>17</v>
      </c>
      <c r="K4" s="62" t="s">
        <v>18</v>
      </c>
      <c r="L4" s="62" t="s">
        <v>19</v>
      </c>
      <c r="M4" s="62" t="s">
        <v>20</v>
      </c>
      <c r="N4" s="62" t="s">
        <v>21</v>
      </c>
      <c r="O4" s="62" t="s">
        <v>22</v>
      </c>
      <c r="P4" s="62" t="s">
        <v>23</v>
      </c>
      <c r="Q4" s="62" t="s">
        <v>12</v>
      </c>
      <c r="R4" s="62" t="s">
        <v>13</v>
      </c>
      <c r="S4" s="62" t="s">
        <v>14</v>
      </c>
      <c r="T4" s="62" t="s">
        <v>15</v>
      </c>
      <c r="U4" s="62" t="s">
        <v>16</v>
      </c>
      <c r="V4" s="62" t="s">
        <v>17</v>
      </c>
      <c r="W4" s="62" t="s">
        <v>18</v>
      </c>
      <c r="X4" s="62" t="s">
        <v>19</v>
      </c>
      <c r="Y4" s="62" t="s">
        <v>20</v>
      </c>
      <c r="Z4" s="62" t="s">
        <v>21</v>
      </c>
      <c r="AA4" s="62" t="s">
        <v>22</v>
      </c>
      <c r="AB4" s="62" t="s">
        <v>23</v>
      </c>
      <c r="AC4" s="62" t="s">
        <v>12</v>
      </c>
      <c r="AD4" s="62" t="s">
        <v>13</v>
      </c>
      <c r="AE4" s="62" t="s">
        <v>14</v>
      </c>
      <c r="AF4" s="62" t="s">
        <v>15</v>
      </c>
      <c r="AG4" s="62" t="s">
        <v>16</v>
      </c>
      <c r="AH4" s="62" t="s">
        <v>17</v>
      </c>
      <c r="AI4" s="62" t="s">
        <v>18</v>
      </c>
      <c r="AJ4" s="62" t="s">
        <v>19</v>
      </c>
      <c r="AK4" s="62" t="s">
        <v>20</v>
      </c>
      <c r="AL4" s="62" t="s">
        <v>21</v>
      </c>
      <c r="AM4" s="62" t="s">
        <v>22</v>
      </c>
      <c r="AN4" s="62" t="s">
        <v>23</v>
      </c>
      <c r="AO4" s="62" t="s">
        <v>12</v>
      </c>
      <c r="AP4" s="62" t="s">
        <v>13</v>
      </c>
      <c r="AQ4" s="62" t="s">
        <v>14</v>
      </c>
      <c r="AR4" s="62" t="s">
        <v>15</v>
      </c>
      <c r="AS4" s="62" t="s">
        <v>16</v>
      </c>
      <c r="AT4" s="62" t="s">
        <v>17</v>
      </c>
      <c r="AU4" s="62" t="s">
        <v>18</v>
      </c>
      <c r="AV4" s="62" t="s">
        <v>19</v>
      </c>
      <c r="AW4" s="62" t="s">
        <v>20</v>
      </c>
      <c r="AX4" s="62" t="s">
        <v>21</v>
      </c>
      <c r="AY4" s="62" t="s">
        <v>22</v>
      </c>
      <c r="AZ4" s="62" t="s">
        <v>23</v>
      </c>
      <c r="BA4" s="62" t="s">
        <v>12</v>
      </c>
      <c r="BB4" s="62" t="s">
        <v>13</v>
      </c>
      <c r="BC4" s="62" t="s">
        <v>14</v>
      </c>
      <c r="BD4" s="62" t="s">
        <v>15</v>
      </c>
      <c r="BE4" s="62" t="s">
        <v>16</v>
      </c>
      <c r="BF4" s="62" t="s">
        <v>17</v>
      </c>
      <c r="BG4" s="62" t="s">
        <v>18</v>
      </c>
      <c r="BH4" s="62" t="s">
        <v>19</v>
      </c>
      <c r="BI4" s="62" t="s">
        <v>20</v>
      </c>
      <c r="BJ4" s="62" t="s">
        <v>21</v>
      </c>
      <c r="BK4" s="62" t="s">
        <v>22</v>
      </c>
      <c r="BL4" s="62" t="s">
        <v>23</v>
      </c>
    </row>
    <row r="8" spans="3:64">
      <c r="C8" s="46" t="s">
        <v>70</v>
      </c>
      <c r="D8" s="46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</row>
    <row r="9" spans="3:64">
      <c r="C9" t="s">
        <v>30</v>
      </c>
      <c r="D9" s="58"/>
      <c r="E9" s="45">
        <f>C_Revenues_AUS!E9+C_Revenues_US!E9</f>
        <v>109167.45</v>
      </c>
      <c r="F9" s="45">
        <f>C_Revenues_AUS!F9+C_Revenues_US!F9</f>
        <v>105892.4265</v>
      </c>
      <c r="G9" s="45">
        <f>C_Revenues_AUS!G9+C_Revenues_US!G9</f>
        <v>102715.65370499999</v>
      </c>
      <c r="H9" s="45">
        <f>C_Revenues_AUS!H9+C_Revenues_US!H9</f>
        <v>99634.184093849995</v>
      </c>
      <c r="I9" s="45">
        <f>C_Revenues_AUS!I9+C_Revenues_US!I9</f>
        <v>96645.158571034495</v>
      </c>
      <c r="J9" s="45">
        <f>C_Revenues_AUS!J9+C_Revenues_US!J9</f>
        <v>77316.126856827599</v>
      </c>
      <c r="K9" s="45">
        <f>C_Revenues_AUS!K9+C_Revenues_US!K9</f>
        <v>77316.126856827599</v>
      </c>
      <c r="L9" s="45">
        <f>C_Revenues_AUS!L9+C_Revenues_US!L9</f>
        <v>193290.31714206902</v>
      </c>
      <c r="M9" s="45">
        <f>C_Revenues_AUS!M9+C_Revenues_US!M9</f>
        <v>154632.25371365523</v>
      </c>
      <c r="N9" s="45">
        <f>C_Revenues_AUS!N9+C_Revenues_US!N9</f>
        <v>149993.28610224556</v>
      </c>
      <c r="O9" s="45">
        <f>C_Revenues_AUS!O9+C_Revenues_US!O9</f>
        <v>145493.48751917819</v>
      </c>
      <c r="P9" s="45">
        <f>C_Revenues_AUS!P9+C_Revenues_US!P9</f>
        <v>141128.68289360285</v>
      </c>
      <c r="Q9" s="45">
        <f>C_Revenues_AUS!Q9+C_Revenues_US!Q9</f>
        <v>148185.117038283</v>
      </c>
      <c r="R9" s="45">
        <f>C_Revenues_AUS!R9+C_Revenues_US!R9</f>
        <v>143739.56352713448</v>
      </c>
      <c r="S9" s="45">
        <f>C_Revenues_AUS!S9+C_Revenues_US!S9</f>
        <v>139427.37662132047</v>
      </c>
      <c r="T9" s="45">
        <f>C_Revenues_AUS!T9+C_Revenues_US!T9</f>
        <v>135244.55532268086</v>
      </c>
      <c r="U9" s="45">
        <f>C_Revenues_AUS!U9+C_Revenues_US!U9</f>
        <v>131187.21866300041</v>
      </c>
      <c r="V9" s="45">
        <f>C_Revenues_AUS!V9+C_Revenues_US!V9</f>
        <v>104949.77493040035</v>
      </c>
      <c r="W9" s="45">
        <f>C_Revenues_AUS!W9+C_Revenues_US!W9</f>
        <v>104949.77493040035</v>
      </c>
      <c r="X9" s="45">
        <f>C_Revenues_AUS!X9+C_Revenues_US!X9</f>
        <v>262374.43732600089</v>
      </c>
      <c r="Y9" s="45">
        <f>C_Revenues_AUS!Y9+C_Revenues_US!Y9</f>
        <v>209899.5498608007</v>
      </c>
      <c r="Z9" s="45">
        <f>C_Revenues_AUS!Z9+C_Revenues_US!Z9</f>
        <v>203602.56336497667</v>
      </c>
      <c r="AA9" s="45">
        <f>C_Revenues_AUS!AA9+C_Revenues_US!AA9</f>
        <v>197494.48646402737</v>
      </c>
      <c r="AB9" s="45">
        <f>C_Revenues_AUS!AB9+C_Revenues_US!AB9</f>
        <v>191569.65187010652</v>
      </c>
      <c r="AC9" s="45">
        <f>C_Revenues_AUS!AC9+C_Revenues_US!AC9</f>
        <v>201148.13446361187</v>
      </c>
      <c r="AD9" s="45">
        <f>C_Revenues_AUS!AD9+C_Revenues_US!AD9</f>
        <v>195113.69042970351</v>
      </c>
      <c r="AE9" s="45">
        <f>C_Revenues_AUS!AE9+C_Revenues_US!AE9</f>
        <v>189260.27971681237</v>
      </c>
      <c r="AF9" s="45">
        <f>C_Revenues_AUS!AF9+C_Revenues_US!AF9</f>
        <v>183582.471325308</v>
      </c>
      <c r="AG9" s="45">
        <f>C_Revenues_AUS!AG9+C_Revenues_US!AG9</f>
        <v>178074.99718554874</v>
      </c>
      <c r="AH9" s="45">
        <f>C_Revenues_AUS!AH9+C_Revenues_US!AH9</f>
        <v>142459.997748439</v>
      </c>
      <c r="AI9" s="45">
        <f>C_Revenues_AUS!AI9+C_Revenues_US!AI9</f>
        <v>142459.997748439</v>
      </c>
      <c r="AJ9" s="45">
        <f>C_Revenues_AUS!AJ9+C_Revenues_US!AJ9</f>
        <v>356149.99437109748</v>
      </c>
      <c r="AK9" s="45">
        <f>C_Revenues_AUS!AK9+C_Revenues_US!AK9</f>
        <v>284919.99549687799</v>
      </c>
      <c r="AL9" s="45">
        <f>C_Revenues_AUS!AL9+C_Revenues_US!AL9</f>
        <v>276372.39563197165</v>
      </c>
      <c r="AM9" s="45">
        <f>C_Revenues_AUS!AM9+C_Revenues_US!AM9</f>
        <v>268081.2237630125</v>
      </c>
      <c r="AN9" s="45">
        <f>C_Revenues_AUS!AN9+C_Revenues_US!AN9</f>
        <v>260038.7870501221</v>
      </c>
      <c r="AO9" s="45">
        <f>C_Revenues_AUS!AO9+C_Revenues_US!AO9</f>
        <v>273040.72640262824</v>
      </c>
      <c r="AP9" s="45">
        <f>C_Revenues_AUS!AP9+C_Revenues_US!AP9</f>
        <v>264849.50461054937</v>
      </c>
      <c r="AQ9" s="45">
        <f>C_Revenues_AUS!AQ9+C_Revenues_US!AQ9</f>
        <v>256904.01947223287</v>
      </c>
      <c r="AR9" s="45">
        <f>C_Revenues_AUS!AR9+C_Revenues_US!AR9</f>
        <v>249196.89888806589</v>
      </c>
      <c r="AS9" s="45">
        <f>C_Revenues_AUS!AS9+C_Revenues_US!AS9</f>
        <v>241720.99192142388</v>
      </c>
      <c r="AT9" s="45">
        <f>C_Revenues_AUS!AT9+C_Revenues_US!AT9</f>
        <v>193376.79353713914</v>
      </c>
      <c r="AU9" s="45">
        <f>C_Revenues_AUS!AU9+C_Revenues_US!AU9</f>
        <v>193376.79353713914</v>
      </c>
      <c r="AV9" s="45">
        <f>C_Revenues_AUS!AV9+C_Revenues_US!AV9</f>
        <v>483441.98384284775</v>
      </c>
      <c r="AW9" s="45">
        <f>C_Revenues_AUS!AW9+C_Revenues_US!AW9</f>
        <v>386753.58707427827</v>
      </c>
      <c r="AX9" s="45">
        <f>C_Revenues_AUS!AX9+C_Revenues_US!AX9</f>
        <v>375150.9794620499</v>
      </c>
      <c r="AY9" s="45">
        <f>C_Revenues_AUS!AY9+C_Revenues_US!AY9</f>
        <v>363896.45007818838</v>
      </c>
      <c r="AZ9" s="45">
        <f>C_Revenues_AUS!AZ9+C_Revenues_US!AZ9</f>
        <v>352979.55657584273</v>
      </c>
      <c r="BA9" s="45">
        <f>C_Revenues_AUS!BA9+C_Revenues_US!BA9</f>
        <v>370628.53440463491</v>
      </c>
      <c r="BB9" s="45">
        <f>C_Revenues_AUS!BB9+C_Revenues_US!BB9</f>
        <v>359509.67837249581</v>
      </c>
      <c r="BC9" s="45">
        <f>C_Revenues_AUS!BC9+C_Revenues_US!BC9</f>
        <v>348724.38802132098</v>
      </c>
      <c r="BD9" s="45">
        <f>C_Revenues_AUS!BD9+C_Revenues_US!BD9</f>
        <v>338262.65638068132</v>
      </c>
      <c r="BE9" s="45">
        <f>C_Revenues_AUS!BE9+C_Revenues_US!BE9</f>
        <v>328114.77668926085</v>
      </c>
      <c r="BF9" s="45">
        <f>C_Revenues_AUS!BF9+C_Revenues_US!BF9</f>
        <v>262491.82135140873</v>
      </c>
      <c r="BG9" s="45">
        <f>C_Revenues_AUS!BG9+C_Revenues_US!BG9</f>
        <v>262491.82135140873</v>
      </c>
      <c r="BH9" s="45">
        <f>C_Revenues_AUS!BH9+C_Revenues_US!BH9</f>
        <v>656229.5533785217</v>
      </c>
      <c r="BI9" s="45">
        <f>C_Revenues_AUS!BI9+C_Revenues_US!BI9</f>
        <v>524983.64270281745</v>
      </c>
      <c r="BJ9" s="45">
        <f>C_Revenues_AUS!BJ9+C_Revenues_US!BJ9</f>
        <v>509234.13342173293</v>
      </c>
      <c r="BK9" s="45">
        <f>C_Revenues_AUS!BK9+C_Revenues_US!BK9</f>
        <v>493957.10941908089</v>
      </c>
      <c r="BL9" s="45">
        <f>C_Revenues_AUS!BL9+C_Revenues_US!BL9</f>
        <v>479138.3961365085</v>
      </c>
    </row>
    <row r="10" spans="3:64">
      <c r="C10" t="s">
        <v>29</v>
      </c>
      <c r="D10" s="58"/>
      <c r="E10" s="45">
        <f>C_Revenues_AUS!E10+C_Revenues_US!E10</f>
        <v>154519.04999999999</v>
      </c>
      <c r="F10" s="45">
        <f>C_Revenues_AUS!F10+C_Revenues_US!F10</f>
        <v>149883.4785</v>
      </c>
      <c r="G10" s="45">
        <f>C_Revenues_AUS!G10+C_Revenues_US!G10</f>
        <v>145386.97414499999</v>
      </c>
      <c r="H10" s="45">
        <f>C_Revenues_AUS!H10+C_Revenues_US!H10</f>
        <v>141025.36492064997</v>
      </c>
      <c r="I10" s="45">
        <f>C_Revenues_AUS!I10+C_Revenues_US!I10</f>
        <v>136794.60397303046</v>
      </c>
      <c r="J10" s="45">
        <f>C_Revenues_AUS!J10+C_Revenues_US!J10</f>
        <v>109435.68317842438</v>
      </c>
      <c r="K10" s="45">
        <f>C_Revenues_AUS!K10+C_Revenues_US!K10</f>
        <v>109435.68317842438</v>
      </c>
      <c r="L10" s="45">
        <f>C_Revenues_AUS!L10+C_Revenues_US!L10</f>
        <v>273589.20794606098</v>
      </c>
      <c r="M10" s="45">
        <f>C_Revenues_AUS!M10+C_Revenues_US!M10</f>
        <v>218871.3663568488</v>
      </c>
      <c r="N10" s="45">
        <f>C_Revenues_AUS!N10+C_Revenues_US!N10</f>
        <v>212305.22536614334</v>
      </c>
      <c r="O10" s="45">
        <f>C_Revenues_AUS!O10+C_Revenues_US!O10</f>
        <v>205936.068605159</v>
      </c>
      <c r="P10" s="45">
        <f>C_Revenues_AUS!P10+C_Revenues_US!P10</f>
        <v>199757.98654700423</v>
      </c>
      <c r="Q10" s="45">
        <f>C_Revenues_AUS!Q10+C_Revenues_US!Q10</f>
        <v>209745.88587435446</v>
      </c>
      <c r="R10" s="45">
        <f>C_Revenues_AUS!R10+C_Revenues_US!R10</f>
        <v>203453.5092981238</v>
      </c>
      <c r="S10" s="45">
        <f>C_Revenues_AUS!S10+C_Revenues_US!S10</f>
        <v>197349.9040191801</v>
      </c>
      <c r="T10" s="45">
        <f>C_Revenues_AUS!T10+C_Revenues_US!T10</f>
        <v>191429.40689860468</v>
      </c>
      <c r="U10" s="45">
        <f>C_Revenues_AUS!U10+C_Revenues_US!U10</f>
        <v>185686.52469164651</v>
      </c>
      <c r="V10" s="45">
        <f>C_Revenues_AUS!V10+C_Revenues_US!V10</f>
        <v>148549.21975331721</v>
      </c>
      <c r="W10" s="45">
        <f>C_Revenues_AUS!W10+C_Revenues_US!W10</f>
        <v>148549.21975331721</v>
      </c>
      <c r="X10" s="45">
        <f>C_Revenues_AUS!X10+C_Revenues_US!X10</f>
        <v>371373.04938329302</v>
      </c>
      <c r="Y10" s="45">
        <f>C_Revenues_AUS!Y10+C_Revenues_US!Y10</f>
        <v>297098.43950663443</v>
      </c>
      <c r="Z10" s="45">
        <f>C_Revenues_AUS!Z10+C_Revenues_US!Z10</f>
        <v>288185.48632143537</v>
      </c>
      <c r="AA10" s="45">
        <f>C_Revenues_AUS!AA10+C_Revenues_US!AA10</f>
        <v>279539.92173179233</v>
      </c>
      <c r="AB10" s="45">
        <f>C_Revenues_AUS!AB10+C_Revenues_US!AB10</f>
        <v>271153.72407983855</v>
      </c>
      <c r="AC10" s="45">
        <f>C_Revenues_AUS!AC10+C_Revenues_US!AC10</f>
        <v>284711.41028383048</v>
      </c>
      <c r="AD10" s="45">
        <f>C_Revenues_AUS!AD10+C_Revenues_US!AD10</f>
        <v>276170.06797531556</v>
      </c>
      <c r="AE10" s="45">
        <f>C_Revenues_AUS!AE10+C_Revenues_US!AE10</f>
        <v>267884.96593605611</v>
      </c>
      <c r="AF10" s="45">
        <f>C_Revenues_AUS!AF10+C_Revenues_US!AF10</f>
        <v>259848.4169579744</v>
      </c>
      <c r="AG10" s="45">
        <f>C_Revenues_AUS!AG10+C_Revenues_US!AG10</f>
        <v>252052.96444923518</v>
      </c>
      <c r="AH10" s="45">
        <f>C_Revenues_AUS!AH10+C_Revenues_US!AH10</f>
        <v>201642.37155938815</v>
      </c>
      <c r="AI10" s="45">
        <f>C_Revenues_AUS!AI10+C_Revenues_US!AI10</f>
        <v>201642.37155938815</v>
      </c>
      <c r="AJ10" s="45">
        <f>C_Revenues_AUS!AJ10+C_Revenues_US!AJ10</f>
        <v>504105.92889847042</v>
      </c>
      <c r="AK10" s="45">
        <f>C_Revenues_AUS!AK10+C_Revenues_US!AK10</f>
        <v>403284.74311877636</v>
      </c>
      <c r="AL10" s="45">
        <f>C_Revenues_AUS!AL10+C_Revenues_US!AL10</f>
        <v>391186.20082521311</v>
      </c>
      <c r="AM10" s="45">
        <f>C_Revenues_AUS!AM10+C_Revenues_US!AM10</f>
        <v>379450.61480045668</v>
      </c>
      <c r="AN10" s="45">
        <f>C_Revenues_AUS!AN10+C_Revenues_US!AN10</f>
        <v>368067.09635644295</v>
      </c>
      <c r="AO10" s="45">
        <f>C_Revenues_AUS!AO10+C_Revenues_US!AO10</f>
        <v>386470.45117426518</v>
      </c>
      <c r="AP10" s="45">
        <f>C_Revenues_AUS!AP10+C_Revenues_US!AP10</f>
        <v>374876.33763903723</v>
      </c>
      <c r="AQ10" s="45">
        <f>C_Revenues_AUS!AQ10+C_Revenues_US!AQ10</f>
        <v>363630.04750986607</v>
      </c>
      <c r="AR10" s="45">
        <f>C_Revenues_AUS!AR10+C_Revenues_US!AR10</f>
        <v>352721.14608457009</v>
      </c>
      <c r="AS10" s="45">
        <f>C_Revenues_AUS!AS10+C_Revenues_US!AS10</f>
        <v>342139.51170203299</v>
      </c>
      <c r="AT10" s="45">
        <f>C_Revenues_AUS!AT10+C_Revenues_US!AT10</f>
        <v>273711.60936162644</v>
      </c>
      <c r="AU10" s="45">
        <f>C_Revenues_AUS!AU10+C_Revenues_US!AU10</f>
        <v>273711.60936162644</v>
      </c>
      <c r="AV10" s="45">
        <f>C_Revenues_AUS!AV10+C_Revenues_US!AV10</f>
        <v>684279.02340406599</v>
      </c>
      <c r="AW10" s="45">
        <f>C_Revenues_AUS!AW10+C_Revenues_US!AW10</f>
        <v>547423.21872325288</v>
      </c>
      <c r="AX10" s="45">
        <f>C_Revenues_AUS!AX10+C_Revenues_US!AX10</f>
        <v>531000.52216155524</v>
      </c>
      <c r="AY10" s="45">
        <f>C_Revenues_AUS!AY10+C_Revenues_US!AY10</f>
        <v>515070.50649670861</v>
      </c>
      <c r="AZ10" s="45">
        <f>C_Revenues_AUS!AZ10+C_Revenues_US!AZ10</f>
        <v>499618.39130180737</v>
      </c>
      <c r="BA10" s="45">
        <f>C_Revenues_AUS!BA10+C_Revenues_US!BA10</f>
        <v>524599.31086689769</v>
      </c>
      <c r="BB10" s="45">
        <f>C_Revenues_AUS!BB10+C_Revenues_US!BB10</f>
        <v>508861.33154089079</v>
      </c>
      <c r="BC10" s="45">
        <f>C_Revenues_AUS!BC10+C_Revenues_US!BC10</f>
        <v>493595.49159466405</v>
      </c>
      <c r="BD10" s="45">
        <f>C_Revenues_AUS!BD10+C_Revenues_US!BD10</f>
        <v>478787.62684682413</v>
      </c>
      <c r="BE10" s="45">
        <f>C_Revenues_AUS!BE10+C_Revenues_US!BE10</f>
        <v>464423.99804141943</v>
      </c>
      <c r="BF10" s="45">
        <f>C_Revenues_AUS!BF10+C_Revenues_US!BF10</f>
        <v>371539.19843313552</v>
      </c>
      <c r="BG10" s="45">
        <f>C_Revenues_AUS!BG10+C_Revenues_US!BG10</f>
        <v>371539.19843313552</v>
      </c>
      <c r="BH10" s="45">
        <f>C_Revenues_AUS!BH10+C_Revenues_US!BH10</f>
        <v>928847.99608283886</v>
      </c>
      <c r="BI10" s="45">
        <f>C_Revenues_AUS!BI10+C_Revenues_US!BI10</f>
        <v>743078.39686627104</v>
      </c>
      <c r="BJ10" s="45">
        <f>C_Revenues_AUS!BJ10+C_Revenues_US!BJ10</f>
        <v>720786.04496028286</v>
      </c>
      <c r="BK10" s="45">
        <f>C_Revenues_AUS!BK10+C_Revenues_US!BK10</f>
        <v>699162.46361147438</v>
      </c>
      <c r="BL10" s="45">
        <f>C_Revenues_AUS!BL10+C_Revenues_US!BL10</f>
        <v>678187.58970313007</v>
      </c>
    </row>
    <row r="11" spans="3:64">
      <c r="C11" t="s">
        <v>28</v>
      </c>
      <c r="D11" s="58"/>
      <c r="E11" s="45">
        <f>C_Revenues_AUS!E11+C_Revenues_US!E11</f>
        <v>85560.3</v>
      </c>
      <c r="F11" s="45">
        <f>C_Revenues_AUS!F11+C_Revenues_US!F11</f>
        <v>82993.490999999995</v>
      </c>
      <c r="G11" s="45">
        <f>C_Revenues_AUS!G11+C_Revenues_US!G11</f>
        <v>80503.686269999991</v>
      </c>
      <c r="H11" s="45">
        <f>C_Revenues_AUS!H11+C_Revenues_US!H11</f>
        <v>78088.575681899994</v>
      </c>
      <c r="I11" s="45">
        <f>C_Revenues_AUS!I11+C_Revenues_US!I11</f>
        <v>75745.918411442981</v>
      </c>
      <c r="J11" s="45">
        <f>C_Revenues_AUS!J11+C_Revenues_US!J11</f>
        <v>60596.734729154392</v>
      </c>
      <c r="K11" s="45">
        <f>C_Revenues_AUS!K11+C_Revenues_US!K11</f>
        <v>60596.734729154392</v>
      </c>
      <c r="L11" s="45">
        <f>C_Revenues_AUS!L11+C_Revenues_US!L11</f>
        <v>151491.83682288596</v>
      </c>
      <c r="M11" s="45">
        <f>C_Revenues_AUS!M11+C_Revenues_US!M11</f>
        <v>121193.46945830878</v>
      </c>
      <c r="N11" s="45">
        <f>C_Revenues_AUS!N11+C_Revenues_US!N11</f>
        <v>117557.66537455952</v>
      </c>
      <c r="O11" s="45">
        <f>C_Revenues_AUS!O11+C_Revenues_US!O11</f>
        <v>114030.93541332273</v>
      </c>
      <c r="P11" s="45">
        <f>C_Revenues_AUS!P11+C_Revenues_US!P11</f>
        <v>110610.00735092306</v>
      </c>
      <c r="Q11" s="45">
        <f>C_Revenues_AUS!Q11+C_Revenues_US!Q11</f>
        <v>116140.50771846921</v>
      </c>
      <c r="R11" s="45">
        <f>C_Revenues_AUS!R11+C_Revenues_US!R11</f>
        <v>112656.29248691512</v>
      </c>
      <c r="S11" s="45">
        <f>C_Revenues_AUS!S11+C_Revenues_US!S11</f>
        <v>109276.60371230767</v>
      </c>
      <c r="T11" s="45">
        <f>C_Revenues_AUS!T11+C_Revenues_US!T11</f>
        <v>105998.30560093843</v>
      </c>
      <c r="U11" s="45">
        <f>C_Revenues_AUS!U11+C_Revenues_US!U11</f>
        <v>102818.35643291028</v>
      </c>
      <c r="V11" s="45">
        <f>C_Revenues_AUS!V11+C_Revenues_US!V11</f>
        <v>82254.685146328222</v>
      </c>
      <c r="W11" s="45">
        <f>C_Revenues_AUS!W11+C_Revenues_US!W11</f>
        <v>82254.685146328222</v>
      </c>
      <c r="X11" s="45">
        <f>C_Revenues_AUS!X11+C_Revenues_US!X11</f>
        <v>205636.71286582056</v>
      </c>
      <c r="Y11" s="45">
        <f>C_Revenues_AUS!Y11+C_Revenues_US!Y11</f>
        <v>164509.37029265644</v>
      </c>
      <c r="Z11" s="45">
        <f>C_Revenues_AUS!Z11+C_Revenues_US!Z11</f>
        <v>159574.08918387676</v>
      </c>
      <c r="AA11" s="45">
        <f>C_Revenues_AUS!AA11+C_Revenues_US!AA11</f>
        <v>154786.86650836043</v>
      </c>
      <c r="AB11" s="45">
        <f>C_Revenues_AUS!AB11+C_Revenues_US!AB11</f>
        <v>150143.26051310962</v>
      </c>
      <c r="AC11" s="45">
        <f>C_Revenues_AUS!AC11+C_Revenues_US!AC11</f>
        <v>157650.42353876511</v>
      </c>
      <c r="AD11" s="45">
        <f>C_Revenues_AUS!AD11+C_Revenues_US!AD11</f>
        <v>152920.91083260215</v>
      </c>
      <c r="AE11" s="45">
        <f>C_Revenues_AUS!AE11+C_Revenues_US!AE11</f>
        <v>148333.28350762409</v>
      </c>
      <c r="AF11" s="45">
        <f>C_Revenues_AUS!AF11+C_Revenues_US!AF11</f>
        <v>143883.28500239534</v>
      </c>
      <c r="AG11" s="45">
        <f>C_Revenues_AUS!AG11+C_Revenues_US!AG11</f>
        <v>139566.78645232349</v>
      </c>
      <c r="AH11" s="45">
        <f>C_Revenues_AUS!AH11+C_Revenues_US!AH11</f>
        <v>111653.4291618588</v>
      </c>
      <c r="AI11" s="45">
        <f>C_Revenues_AUS!AI11+C_Revenues_US!AI11</f>
        <v>111653.4291618588</v>
      </c>
      <c r="AJ11" s="45">
        <f>C_Revenues_AUS!AJ11+C_Revenues_US!AJ11</f>
        <v>279133.57290464698</v>
      </c>
      <c r="AK11" s="45">
        <f>C_Revenues_AUS!AK11+C_Revenues_US!AK11</f>
        <v>223306.85832371764</v>
      </c>
      <c r="AL11" s="45">
        <f>C_Revenues_AUS!AL11+C_Revenues_US!AL11</f>
        <v>216607.65257400609</v>
      </c>
      <c r="AM11" s="45">
        <f>C_Revenues_AUS!AM11+C_Revenues_US!AM11</f>
        <v>210109.4229967859</v>
      </c>
      <c r="AN11" s="45">
        <f>C_Revenues_AUS!AN11+C_Revenues_US!AN11</f>
        <v>203806.14030688233</v>
      </c>
      <c r="AO11" s="45">
        <f>C_Revenues_AUS!AO11+C_Revenues_US!AO11</f>
        <v>213996.44732222642</v>
      </c>
      <c r="AP11" s="45">
        <f>C_Revenues_AUS!AP11+C_Revenues_US!AP11</f>
        <v>207576.55390255965</v>
      </c>
      <c r="AQ11" s="45">
        <f>C_Revenues_AUS!AQ11+C_Revenues_US!AQ11</f>
        <v>201349.25728548286</v>
      </c>
      <c r="AR11" s="45">
        <f>C_Revenues_AUS!AR11+C_Revenues_US!AR11</f>
        <v>195308.77956691838</v>
      </c>
      <c r="AS11" s="45">
        <f>C_Revenues_AUS!AS11+C_Revenues_US!AS11</f>
        <v>189449.5161799108</v>
      </c>
      <c r="AT11" s="45">
        <f>C_Revenues_AUS!AT11+C_Revenues_US!AT11</f>
        <v>151559.61294392866</v>
      </c>
      <c r="AU11" s="45">
        <f>C_Revenues_AUS!AU11+C_Revenues_US!AU11</f>
        <v>151559.61294392866</v>
      </c>
      <c r="AV11" s="45">
        <f>C_Revenues_AUS!AV11+C_Revenues_US!AV11</f>
        <v>378899.03235982161</v>
      </c>
      <c r="AW11" s="45">
        <f>C_Revenues_AUS!AW11+C_Revenues_US!AW11</f>
        <v>303119.22588785732</v>
      </c>
      <c r="AX11" s="45">
        <f>C_Revenues_AUS!AX11+C_Revenues_US!AX11</f>
        <v>294025.64911122154</v>
      </c>
      <c r="AY11" s="45">
        <f>C_Revenues_AUS!AY11+C_Revenues_US!AY11</f>
        <v>285204.87963788491</v>
      </c>
      <c r="AZ11" s="45">
        <f>C_Revenues_AUS!AZ11+C_Revenues_US!AZ11</f>
        <v>276648.73324874835</v>
      </c>
      <c r="BA11" s="45">
        <f>C_Revenues_AUS!BA11+C_Revenues_US!BA11</f>
        <v>290481.1699111858</v>
      </c>
      <c r="BB11" s="45">
        <f>C_Revenues_AUS!BB11+C_Revenues_US!BB11</f>
        <v>281766.7348138502</v>
      </c>
      <c r="BC11" s="45">
        <f>C_Revenues_AUS!BC11+C_Revenues_US!BC11</f>
        <v>273313.73276943469</v>
      </c>
      <c r="BD11" s="45">
        <f>C_Revenues_AUS!BD11+C_Revenues_US!BD11</f>
        <v>265114.32078635163</v>
      </c>
      <c r="BE11" s="45">
        <f>C_Revenues_AUS!BE11+C_Revenues_US!BE11</f>
        <v>257160.89116276108</v>
      </c>
      <c r="BF11" s="45">
        <f>C_Revenues_AUS!BF11+C_Revenues_US!BF11</f>
        <v>205728.71293020886</v>
      </c>
      <c r="BG11" s="45">
        <f>C_Revenues_AUS!BG11+C_Revenues_US!BG11</f>
        <v>205728.71293020886</v>
      </c>
      <c r="BH11" s="45">
        <f>C_Revenues_AUS!BH11+C_Revenues_US!BH11</f>
        <v>514321.78232552216</v>
      </c>
      <c r="BI11" s="45">
        <f>C_Revenues_AUS!BI11+C_Revenues_US!BI11</f>
        <v>411457.42586041772</v>
      </c>
      <c r="BJ11" s="45">
        <f>C_Revenues_AUS!BJ11+C_Revenues_US!BJ11</f>
        <v>399113.70308460516</v>
      </c>
      <c r="BK11" s="45">
        <f>C_Revenues_AUS!BK11+C_Revenues_US!BK11</f>
        <v>387140.29199206701</v>
      </c>
      <c r="BL11" s="45">
        <f>C_Revenues_AUS!BL11+C_Revenues_US!BL11</f>
        <v>375526.08323230501</v>
      </c>
    </row>
    <row r="12" spans="3:64">
      <c r="C12" t="s">
        <v>42</v>
      </c>
      <c r="D12" s="58"/>
      <c r="E12" s="45">
        <f>C_Revenues_AUS!E12+C_Revenues_US!E12</f>
        <v>40780.949999999997</v>
      </c>
      <c r="F12" s="45">
        <f>C_Revenues_AUS!F12+C_Revenues_US!F12</f>
        <v>39557.521500000003</v>
      </c>
      <c r="G12" s="45">
        <f>C_Revenues_AUS!G12+C_Revenues_US!G12</f>
        <v>38370.795855000004</v>
      </c>
      <c r="H12" s="45">
        <f>C_Revenues_AUS!H12+C_Revenues_US!H12</f>
        <v>37219.671979350001</v>
      </c>
      <c r="I12" s="45">
        <f>C_Revenues_AUS!I12+C_Revenues_US!I12</f>
        <v>36103.081819969506</v>
      </c>
      <c r="J12" s="45">
        <f>C_Revenues_AUS!J12+C_Revenues_US!J12</f>
        <v>28882.465455975602</v>
      </c>
      <c r="K12" s="45">
        <f>C_Revenues_AUS!K12+C_Revenues_US!K12</f>
        <v>28882.465455975602</v>
      </c>
      <c r="L12" s="45">
        <f>C_Revenues_AUS!L12+C_Revenues_US!L12</f>
        <v>72206.163639939012</v>
      </c>
      <c r="M12" s="45">
        <f>C_Revenues_AUS!M12+C_Revenues_US!M12</f>
        <v>57764.930911951204</v>
      </c>
      <c r="N12" s="45">
        <f>C_Revenues_AUS!N12+C_Revenues_US!N12</f>
        <v>56031.982984592672</v>
      </c>
      <c r="O12" s="45">
        <f>C_Revenues_AUS!O12+C_Revenues_US!O12</f>
        <v>54351.023495054891</v>
      </c>
      <c r="P12" s="45">
        <f>C_Revenues_AUS!P12+C_Revenues_US!P12</f>
        <v>52720.492790203243</v>
      </c>
      <c r="Q12" s="45">
        <f>C_Revenues_AUS!Q12+C_Revenues_US!Q12</f>
        <v>55356.517429713407</v>
      </c>
      <c r="R12" s="45">
        <f>C_Revenues_AUS!R12+C_Revenues_US!R12</f>
        <v>53695.821906822006</v>
      </c>
      <c r="S12" s="45">
        <f>C_Revenues_AUS!S12+C_Revenues_US!S12</f>
        <v>52084.947249617348</v>
      </c>
      <c r="T12" s="45">
        <f>C_Revenues_AUS!T12+C_Revenues_US!T12</f>
        <v>50522.39883212882</v>
      </c>
      <c r="U12" s="45">
        <f>C_Revenues_AUS!U12+C_Revenues_US!U12</f>
        <v>49006.726867164958</v>
      </c>
      <c r="V12" s="45">
        <f>C_Revenues_AUS!V12+C_Revenues_US!V12</f>
        <v>39205.381493731969</v>
      </c>
      <c r="W12" s="45">
        <f>C_Revenues_AUS!W12+C_Revenues_US!W12</f>
        <v>39205.381493731969</v>
      </c>
      <c r="X12" s="45">
        <f>C_Revenues_AUS!X12+C_Revenues_US!X12</f>
        <v>98013.453734329916</v>
      </c>
      <c r="Y12" s="45">
        <f>C_Revenues_AUS!Y12+C_Revenues_US!Y12</f>
        <v>78410.762987463939</v>
      </c>
      <c r="Z12" s="45">
        <f>C_Revenues_AUS!Z12+C_Revenues_US!Z12</f>
        <v>76058.440097840008</v>
      </c>
      <c r="AA12" s="45">
        <f>C_Revenues_AUS!AA12+C_Revenues_US!AA12</f>
        <v>73776.686894904808</v>
      </c>
      <c r="AB12" s="45">
        <f>C_Revenues_AUS!AB12+C_Revenues_US!AB12</f>
        <v>71563.386288057663</v>
      </c>
      <c r="AC12" s="45">
        <f>C_Revenues_AUS!AC12+C_Revenues_US!AC12</f>
        <v>75141.555602460547</v>
      </c>
      <c r="AD12" s="45">
        <f>C_Revenues_AUS!AD12+C_Revenues_US!AD12</f>
        <v>72887.308934386718</v>
      </c>
      <c r="AE12" s="45">
        <f>C_Revenues_AUS!AE12+C_Revenues_US!AE12</f>
        <v>70700.689666355116</v>
      </c>
      <c r="AF12" s="45">
        <f>C_Revenues_AUS!AF12+C_Revenues_US!AF12</f>
        <v>68579.668976364454</v>
      </c>
      <c r="AG12" s="45">
        <f>C_Revenues_AUS!AG12+C_Revenues_US!AG12</f>
        <v>66522.278907073516</v>
      </c>
      <c r="AH12" s="45">
        <f>C_Revenues_AUS!AH12+C_Revenues_US!AH12</f>
        <v>53217.823125658811</v>
      </c>
      <c r="AI12" s="45">
        <f>C_Revenues_AUS!AI12+C_Revenues_US!AI12</f>
        <v>53217.823125658811</v>
      </c>
      <c r="AJ12" s="45">
        <f>C_Revenues_AUS!AJ12+C_Revenues_US!AJ12</f>
        <v>133044.55781414703</v>
      </c>
      <c r="AK12" s="45">
        <f>C_Revenues_AUS!AK12+C_Revenues_US!AK12</f>
        <v>106435.64625131762</v>
      </c>
      <c r="AL12" s="45">
        <f>C_Revenues_AUS!AL12+C_Revenues_US!AL12</f>
        <v>103242.5768637781</v>
      </c>
      <c r="AM12" s="45">
        <f>C_Revenues_AUS!AM12+C_Revenues_US!AM12</f>
        <v>100145.29955786475</v>
      </c>
      <c r="AN12" s="45">
        <f>C_Revenues_AUS!AN12+C_Revenues_US!AN12</f>
        <v>97140.940571128813</v>
      </c>
      <c r="AO12" s="45">
        <f>C_Revenues_AUS!AO12+C_Revenues_US!AO12</f>
        <v>101997.98759968526</v>
      </c>
      <c r="AP12" s="45">
        <f>C_Revenues_AUS!AP12+C_Revenues_US!AP12</f>
        <v>98938.047971694701</v>
      </c>
      <c r="AQ12" s="45">
        <f>C_Revenues_AUS!AQ12+C_Revenues_US!AQ12</f>
        <v>95969.906532543871</v>
      </c>
      <c r="AR12" s="45">
        <f>C_Revenues_AUS!AR12+C_Revenues_US!AR12</f>
        <v>93090.80933656756</v>
      </c>
      <c r="AS12" s="45">
        <f>C_Revenues_AUS!AS12+C_Revenues_US!AS12</f>
        <v>90298.085056470532</v>
      </c>
      <c r="AT12" s="45">
        <f>C_Revenues_AUS!AT12+C_Revenues_US!AT12</f>
        <v>72238.468045176414</v>
      </c>
      <c r="AU12" s="45">
        <f>C_Revenues_AUS!AU12+C_Revenues_US!AU12</f>
        <v>72238.468045176414</v>
      </c>
      <c r="AV12" s="45">
        <f>C_Revenues_AUS!AV12+C_Revenues_US!AV12</f>
        <v>180596.17011294106</v>
      </c>
      <c r="AW12" s="45">
        <f>C_Revenues_AUS!AW12+C_Revenues_US!AW12</f>
        <v>144476.93609035283</v>
      </c>
      <c r="AX12" s="45">
        <f>C_Revenues_AUS!AX12+C_Revenues_US!AX12</f>
        <v>140142.62800764226</v>
      </c>
      <c r="AY12" s="45">
        <f>C_Revenues_AUS!AY12+C_Revenues_US!AY12</f>
        <v>135938.34916741299</v>
      </c>
      <c r="AZ12" s="45">
        <f>C_Revenues_AUS!AZ12+C_Revenues_US!AZ12</f>
        <v>131860.19869239058</v>
      </c>
      <c r="BA12" s="45">
        <f>C_Revenues_AUS!BA12+C_Revenues_US!BA12</f>
        <v>138453.20862701011</v>
      </c>
      <c r="BB12" s="45">
        <f>C_Revenues_AUS!BB12+C_Revenues_US!BB12</f>
        <v>134299.6123681998</v>
      </c>
      <c r="BC12" s="45">
        <f>C_Revenues_AUS!BC12+C_Revenues_US!BC12</f>
        <v>130270.62399715382</v>
      </c>
      <c r="BD12" s="45">
        <f>C_Revenues_AUS!BD12+C_Revenues_US!BD12</f>
        <v>126362.50527723919</v>
      </c>
      <c r="BE12" s="45">
        <f>C_Revenues_AUS!BE12+C_Revenues_US!BE12</f>
        <v>122571.63011892202</v>
      </c>
      <c r="BF12" s="45">
        <f>C_Revenues_AUS!BF12+C_Revenues_US!BF12</f>
        <v>98057.304095137632</v>
      </c>
      <c r="BG12" s="45">
        <f>C_Revenues_AUS!BG12+C_Revenues_US!BG12</f>
        <v>98057.304095137632</v>
      </c>
      <c r="BH12" s="45">
        <f>C_Revenues_AUS!BH12+C_Revenues_US!BH12</f>
        <v>245143.26023784408</v>
      </c>
      <c r="BI12" s="45">
        <f>C_Revenues_AUS!BI12+C_Revenues_US!BI12</f>
        <v>196114.60819027529</v>
      </c>
      <c r="BJ12" s="45">
        <f>C_Revenues_AUS!BJ12+C_Revenues_US!BJ12</f>
        <v>190231.16994456702</v>
      </c>
      <c r="BK12" s="45">
        <f>C_Revenues_AUS!BK12+C_Revenues_US!BK12</f>
        <v>184524.23484623001</v>
      </c>
      <c r="BL12" s="45">
        <f>C_Revenues_AUS!BL12+C_Revenues_US!BL12</f>
        <v>178988.5078008431</v>
      </c>
    </row>
    <row r="13" spans="3:64">
      <c r="C13" t="s">
        <v>27</v>
      </c>
      <c r="D13" s="58"/>
      <c r="E13" s="45">
        <f>C_Revenues_AUS!E13+C_Revenues_US!E13</f>
        <v>8292.9</v>
      </c>
      <c r="F13" s="45">
        <f>C_Revenues_AUS!F13+C_Revenues_US!F13</f>
        <v>8044.1130000000003</v>
      </c>
      <c r="G13" s="45">
        <f>C_Revenues_AUS!G13+C_Revenues_US!G13</f>
        <v>7802.7896099999998</v>
      </c>
      <c r="H13" s="45">
        <f>C_Revenues_AUS!H13+C_Revenues_US!H13</f>
        <v>7568.7059216999996</v>
      </c>
      <c r="I13" s="45">
        <f>C_Revenues_AUS!I13+C_Revenues_US!I13</f>
        <v>7341.6447440489992</v>
      </c>
      <c r="J13" s="45">
        <f>C_Revenues_AUS!J13+C_Revenues_US!J13</f>
        <v>5873.3157952392003</v>
      </c>
      <c r="K13" s="45">
        <f>C_Revenues_AUS!K13+C_Revenues_US!K13</f>
        <v>5873.3157952392003</v>
      </c>
      <c r="L13" s="45">
        <f>C_Revenues_AUS!L13+C_Revenues_US!L13</f>
        <v>14683.289488098</v>
      </c>
      <c r="M13" s="45">
        <f>C_Revenues_AUS!M13+C_Revenues_US!M13</f>
        <v>11746.631590478402</v>
      </c>
      <c r="N13" s="45">
        <f>C_Revenues_AUS!N13+C_Revenues_US!N13</f>
        <v>11394.232642764049</v>
      </c>
      <c r="O13" s="45">
        <f>C_Revenues_AUS!O13+C_Revenues_US!O13</f>
        <v>11052.405663481128</v>
      </c>
      <c r="P13" s="45">
        <f>C_Revenues_AUS!P13+C_Revenues_US!P13</f>
        <v>10720.833493576692</v>
      </c>
      <c r="Q13" s="45">
        <f>C_Revenues_AUS!Q13+C_Revenues_US!Q13</f>
        <v>11256.875168255527</v>
      </c>
      <c r="R13" s="45">
        <f>C_Revenues_AUS!R13+C_Revenues_US!R13</f>
        <v>10919.168913207861</v>
      </c>
      <c r="S13" s="45">
        <f>C_Revenues_AUS!S13+C_Revenues_US!S13</f>
        <v>10591.593845811627</v>
      </c>
      <c r="T13" s="45">
        <f>C_Revenues_AUS!T13+C_Revenues_US!T13</f>
        <v>10273.846030437277</v>
      </c>
      <c r="U13" s="45">
        <f>C_Revenues_AUS!U13+C_Revenues_US!U13</f>
        <v>9965.630649524157</v>
      </c>
      <c r="V13" s="45">
        <f>C_Revenues_AUS!V13+C_Revenues_US!V13</f>
        <v>7972.5045196193259</v>
      </c>
      <c r="W13" s="45">
        <f>C_Revenues_AUS!W13+C_Revenues_US!W13</f>
        <v>7972.5045196193259</v>
      </c>
      <c r="X13" s="45">
        <f>C_Revenues_AUS!X13+C_Revenues_US!X13</f>
        <v>19931.261299048314</v>
      </c>
      <c r="Y13" s="45">
        <f>C_Revenues_AUS!Y13+C_Revenues_US!Y13</f>
        <v>15945.009039238652</v>
      </c>
      <c r="Z13" s="45">
        <f>C_Revenues_AUS!Z13+C_Revenues_US!Z13</f>
        <v>15466.658768061492</v>
      </c>
      <c r="AA13" s="45">
        <f>C_Revenues_AUS!AA13+C_Revenues_US!AA13</f>
        <v>15002.659005019648</v>
      </c>
      <c r="AB13" s="45">
        <f>C_Revenues_AUS!AB13+C_Revenues_US!AB13</f>
        <v>14552.579234869057</v>
      </c>
      <c r="AC13" s="45">
        <f>C_Revenues_AUS!AC13+C_Revenues_US!AC13</f>
        <v>15280.208196612512</v>
      </c>
      <c r="AD13" s="45">
        <f>C_Revenues_AUS!AD13+C_Revenues_US!AD13</f>
        <v>14821.801950714134</v>
      </c>
      <c r="AE13" s="45">
        <f>C_Revenues_AUS!AE13+C_Revenues_US!AE13</f>
        <v>14377.14789219271</v>
      </c>
      <c r="AF13" s="45">
        <f>C_Revenues_AUS!AF13+C_Revenues_US!AF13</f>
        <v>13945.833455426928</v>
      </c>
      <c r="AG13" s="45">
        <f>C_Revenues_AUS!AG13+C_Revenues_US!AG13</f>
        <v>13527.45845176412</v>
      </c>
      <c r="AH13" s="45">
        <f>C_Revenues_AUS!AH13+C_Revenues_US!AH13</f>
        <v>10821.966761411297</v>
      </c>
      <c r="AI13" s="45">
        <f>C_Revenues_AUS!AI13+C_Revenues_US!AI13</f>
        <v>10821.966761411297</v>
      </c>
      <c r="AJ13" s="45">
        <f>C_Revenues_AUS!AJ13+C_Revenues_US!AJ13</f>
        <v>27054.916903528243</v>
      </c>
      <c r="AK13" s="45">
        <f>C_Revenues_AUS!AK13+C_Revenues_US!AK13</f>
        <v>21643.933522822597</v>
      </c>
      <c r="AL13" s="45">
        <f>C_Revenues_AUS!AL13+C_Revenues_US!AL13</f>
        <v>20994.615517137918</v>
      </c>
      <c r="AM13" s="45">
        <f>C_Revenues_AUS!AM13+C_Revenues_US!AM13</f>
        <v>20364.77705162378</v>
      </c>
      <c r="AN13" s="45">
        <f>C_Revenues_AUS!AN13+C_Revenues_US!AN13</f>
        <v>19753.833740075064</v>
      </c>
      <c r="AO13" s="45">
        <f>C_Revenues_AUS!AO13+C_Revenues_US!AO13</f>
        <v>20741.525427078821</v>
      </c>
      <c r="AP13" s="45">
        <f>C_Revenues_AUS!AP13+C_Revenues_US!AP13</f>
        <v>20119.279664266454</v>
      </c>
      <c r="AQ13" s="45">
        <f>C_Revenues_AUS!AQ13+C_Revenues_US!AQ13</f>
        <v>19515.701274338462</v>
      </c>
      <c r="AR13" s="45">
        <f>C_Revenues_AUS!AR13+C_Revenues_US!AR13</f>
        <v>18930.230236108306</v>
      </c>
      <c r="AS13" s="45">
        <f>C_Revenues_AUS!AS13+C_Revenues_US!AS13</f>
        <v>18362.323329025054</v>
      </c>
      <c r="AT13" s="45">
        <f>C_Revenues_AUS!AT13+C_Revenues_US!AT13</f>
        <v>14689.858663220044</v>
      </c>
      <c r="AU13" s="45">
        <f>C_Revenues_AUS!AU13+C_Revenues_US!AU13</f>
        <v>14689.858663220044</v>
      </c>
      <c r="AV13" s="45">
        <f>C_Revenues_AUS!AV13+C_Revenues_US!AV13</f>
        <v>36724.646658050107</v>
      </c>
      <c r="AW13" s="45">
        <f>C_Revenues_AUS!AW13+C_Revenues_US!AW13</f>
        <v>29379.717326440088</v>
      </c>
      <c r="AX13" s="45">
        <f>C_Revenues_AUS!AX13+C_Revenues_US!AX13</f>
        <v>28498.325806646888</v>
      </c>
      <c r="AY13" s="45">
        <f>C_Revenues_AUS!AY13+C_Revenues_US!AY13</f>
        <v>27643.376032447479</v>
      </c>
      <c r="AZ13" s="45">
        <f>C_Revenues_AUS!AZ13+C_Revenues_US!AZ13</f>
        <v>26814.074751474058</v>
      </c>
      <c r="BA13" s="45">
        <f>C_Revenues_AUS!BA13+C_Revenues_US!BA13</f>
        <v>28154.77848904776</v>
      </c>
      <c r="BB13" s="45">
        <f>C_Revenues_AUS!BB13+C_Revenues_US!BB13</f>
        <v>27310.135134376324</v>
      </c>
      <c r="BC13" s="45">
        <f>C_Revenues_AUS!BC13+C_Revenues_US!BC13</f>
        <v>26490.831080345033</v>
      </c>
      <c r="BD13" s="45">
        <f>C_Revenues_AUS!BD13+C_Revenues_US!BD13</f>
        <v>25696.106147934683</v>
      </c>
      <c r="BE13" s="45">
        <f>C_Revenues_AUS!BE13+C_Revenues_US!BE13</f>
        <v>24925.222963496639</v>
      </c>
      <c r="BF13" s="45">
        <f>C_Revenues_AUS!BF13+C_Revenues_US!BF13</f>
        <v>19940.178370797315</v>
      </c>
      <c r="BG13" s="45">
        <f>C_Revenues_AUS!BG13+C_Revenues_US!BG13</f>
        <v>19940.178370797315</v>
      </c>
      <c r="BH13" s="45">
        <f>C_Revenues_AUS!BH13+C_Revenues_US!BH13</f>
        <v>49850.445926993285</v>
      </c>
      <c r="BI13" s="45">
        <f>C_Revenues_AUS!BI13+C_Revenues_US!BI13</f>
        <v>39880.356741594631</v>
      </c>
      <c r="BJ13" s="45">
        <f>C_Revenues_AUS!BJ13+C_Revenues_US!BJ13</f>
        <v>38683.946039346789</v>
      </c>
      <c r="BK13" s="45">
        <f>C_Revenues_AUS!BK13+C_Revenues_US!BK13</f>
        <v>37523.42765816638</v>
      </c>
      <c r="BL13" s="45">
        <f>C_Revenues_AUS!BL13+C_Revenues_US!BL13</f>
        <v>36397.724828421386</v>
      </c>
    </row>
    <row r="14" spans="3:64">
      <c r="C14" s="57" t="s">
        <v>71</v>
      </c>
      <c r="D14" s="60"/>
      <c r="E14" s="61">
        <f>SUM(E9:E13)</f>
        <v>398320.65</v>
      </c>
      <c r="F14" s="61">
        <f t="shared" ref="F14:BL14" si="0">SUM(F9:F13)</f>
        <v>386371.03049999999</v>
      </c>
      <c r="G14" s="61">
        <f t="shared" si="0"/>
        <v>374779.89958500001</v>
      </c>
      <c r="H14" s="61">
        <f t="shared" si="0"/>
        <v>363536.50259744993</v>
      </c>
      <c r="I14" s="61">
        <f t="shared" si="0"/>
        <v>352630.40751952643</v>
      </c>
      <c r="J14" s="61">
        <f t="shared" si="0"/>
        <v>282104.32601562113</v>
      </c>
      <c r="K14" s="61">
        <f t="shared" si="0"/>
        <v>282104.32601562113</v>
      </c>
      <c r="L14" s="61">
        <f t="shared" si="0"/>
        <v>705260.81503905309</v>
      </c>
      <c r="M14" s="61">
        <f t="shared" si="0"/>
        <v>564208.65203124238</v>
      </c>
      <c r="N14" s="61">
        <f t="shared" si="0"/>
        <v>547282.39247030509</v>
      </c>
      <c r="O14" s="61">
        <f t="shared" si="0"/>
        <v>530863.92069619591</v>
      </c>
      <c r="P14" s="61">
        <f t="shared" si="0"/>
        <v>514938.00307531003</v>
      </c>
      <c r="Q14" s="61">
        <f t="shared" si="0"/>
        <v>540684.9032290756</v>
      </c>
      <c r="R14" s="61">
        <f t="shared" si="0"/>
        <v>524464.35613220325</v>
      </c>
      <c r="S14" s="61">
        <f t="shared" si="0"/>
        <v>508730.42544823722</v>
      </c>
      <c r="T14" s="61">
        <f t="shared" si="0"/>
        <v>493468.51268479007</v>
      </c>
      <c r="U14" s="61">
        <f t="shared" si="0"/>
        <v>478664.45730424637</v>
      </c>
      <c r="V14" s="61">
        <f t="shared" si="0"/>
        <v>382931.56584339711</v>
      </c>
      <c r="W14" s="61">
        <f t="shared" si="0"/>
        <v>382931.56584339711</v>
      </c>
      <c r="X14" s="61">
        <f t="shared" si="0"/>
        <v>957328.91460849275</v>
      </c>
      <c r="Y14" s="61">
        <f t="shared" si="0"/>
        <v>765863.13168679422</v>
      </c>
      <c r="Z14" s="61">
        <f t="shared" si="0"/>
        <v>742887.23773619044</v>
      </c>
      <c r="AA14" s="61">
        <f t="shared" si="0"/>
        <v>720600.62060410471</v>
      </c>
      <c r="AB14" s="61">
        <f t="shared" si="0"/>
        <v>698982.60198598146</v>
      </c>
      <c r="AC14" s="61">
        <f t="shared" si="0"/>
        <v>733931.73208528047</v>
      </c>
      <c r="AD14" s="61">
        <f t="shared" si="0"/>
        <v>711913.78012272203</v>
      </c>
      <c r="AE14" s="61">
        <f t="shared" si="0"/>
        <v>690556.36671904044</v>
      </c>
      <c r="AF14" s="61">
        <f t="shared" si="0"/>
        <v>669839.67571746919</v>
      </c>
      <c r="AG14" s="61">
        <f t="shared" si="0"/>
        <v>649744.48544594506</v>
      </c>
      <c r="AH14" s="61">
        <f t="shared" si="0"/>
        <v>519795.58835675602</v>
      </c>
      <c r="AI14" s="61">
        <f t="shared" si="0"/>
        <v>519795.58835675602</v>
      </c>
      <c r="AJ14" s="61">
        <f t="shared" si="0"/>
        <v>1299488.9708918901</v>
      </c>
      <c r="AK14" s="61">
        <f t="shared" si="0"/>
        <v>1039591.1767135122</v>
      </c>
      <c r="AL14" s="61">
        <f t="shared" si="0"/>
        <v>1008403.4414121069</v>
      </c>
      <c r="AM14" s="61">
        <f t="shared" si="0"/>
        <v>978151.33816974377</v>
      </c>
      <c r="AN14" s="61">
        <f t="shared" si="0"/>
        <v>948806.79802465136</v>
      </c>
      <c r="AO14" s="61">
        <f t="shared" si="0"/>
        <v>996247.13792588399</v>
      </c>
      <c r="AP14" s="61">
        <f t="shared" si="0"/>
        <v>966359.72378810751</v>
      </c>
      <c r="AQ14" s="61">
        <f t="shared" si="0"/>
        <v>937368.93207446404</v>
      </c>
      <c r="AR14" s="61">
        <f t="shared" si="0"/>
        <v>909247.86411223025</v>
      </c>
      <c r="AS14" s="61">
        <f t="shared" si="0"/>
        <v>881970.42818886333</v>
      </c>
      <c r="AT14" s="61">
        <f t="shared" si="0"/>
        <v>705576.34255109064</v>
      </c>
      <c r="AU14" s="61">
        <f t="shared" si="0"/>
        <v>705576.34255109064</v>
      </c>
      <c r="AV14" s="61">
        <f t="shared" si="0"/>
        <v>1763940.8563777267</v>
      </c>
      <c r="AW14" s="61">
        <f t="shared" si="0"/>
        <v>1411152.6851021813</v>
      </c>
      <c r="AX14" s="61">
        <f t="shared" si="0"/>
        <v>1368818.1045491158</v>
      </c>
      <c r="AY14" s="61">
        <f t="shared" si="0"/>
        <v>1327753.5614126425</v>
      </c>
      <c r="AZ14" s="61">
        <f t="shared" si="0"/>
        <v>1287920.9545702632</v>
      </c>
      <c r="BA14" s="61">
        <f t="shared" si="0"/>
        <v>1352317.0022987761</v>
      </c>
      <c r="BB14" s="61">
        <f t="shared" si="0"/>
        <v>1311747.4922298128</v>
      </c>
      <c r="BC14" s="61">
        <f t="shared" si="0"/>
        <v>1272395.0674629183</v>
      </c>
      <c r="BD14" s="61">
        <f t="shared" si="0"/>
        <v>1234223.2154390309</v>
      </c>
      <c r="BE14" s="61">
        <f t="shared" si="0"/>
        <v>1197196.51897586</v>
      </c>
      <c r="BF14" s="61">
        <f t="shared" si="0"/>
        <v>957757.21518068807</v>
      </c>
      <c r="BG14" s="61">
        <f t="shared" si="0"/>
        <v>957757.21518068807</v>
      </c>
      <c r="BH14" s="61">
        <f t="shared" si="0"/>
        <v>2394393.0379517199</v>
      </c>
      <c r="BI14" s="61">
        <f t="shared" si="0"/>
        <v>1915514.4303613761</v>
      </c>
      <c r="BJ14" s="61">
        <f t="shared" si="0"/>
        <v>1858048.997450535</v>
      </c>
      <c r="BK14" s="61">
        <f t="shared" si="0"/>
        <v>1802307.5275270185</v>
      </c>
      <c r="BL14" s="61">
        <f t="shared" si="0"/>
        <v>1748238.3017012081</v>
      </c>
    </row>
    <row r="16" spans="3:64">
      <c r="C16" s="46" t="s">
        <v>69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  <c r="BF16" s="47"/>
      <c r="BG16" s="47"/>
      <c r="BH16" s="47"/>
      <c r="BI16" s="47"/>
      <c r="BJ16" s="47"/>
      <c r="BK16" s="47"/>
      <c r="BL16" s="47"/>
    </row>
    <row r="17" spans="3:64">
      <c r="C17" t="s">
        <v>30</v>
      </c>
      <c r="D17" s="56"/>
      <c r="E17" s="44">
        <f>C_Revenues_AUS!E30+C_Revenues_US!D23</f>
        <v>155444.718555</v>
      </c>
      <c r="F17" s="44">
        <f>C_Revenues_AUS!F30+C_Revenues_US!E23</f>
        <v>1162283.8619983499</v>
      </c>
      <c r="G17" s="44">
        <f>C_Revenues_AUS!G30+C_Revenues_US!F23</f>
        <v>1127415.3461383996</v>
      </c>
      <c r="H17" s="44">
        <f>C_Revenues_AUS!H30+C_Revenues_US!G23</f>
        <v>1093592.8857542474</v>
      </c>
      <c r="I17" s="44">
        <f>C_Revenues_AUS!I30+C_Revenues_US!H23</f>
        <v>1060785.0991816199</v>
      </c>
      <c r="J17" s="44">
        <f>C_Revenues_AUS!J30+C_Revenues_US!I23</f>
        <v>1005567.1506190049</v>
      </c>
      <c r="K17" s="44">
        <f>C_Revenues_AUS!K30+C_Revenues_US!J23</f>
        <v>826471.97516547842</v>
      </c>
      <c r="L17" s="44">
        <f>C_Revenues_AUS!L30+C_Revenues_US!K23</f>
        <v>991608.88519253652</v>
      </c>
      <c r="M17" s="44">
        <f>C_Revenues_AUS!M30+C_Revenues_US!L23</f>
        <v>2011134.3012380099</v>
      </c>
      <c r="N17" s="44">
        <f>C_Revenues_AUS!N30+C_Revenues_US!M23</f>
        <v>1646338.4739298746</v>
      </c>
      <c r="O17" s="44">
        <f>C_Revenues_AUS!O30+C_Revenues_US!N23</f>
        <v>1596948.3197119781</v>
      </c>
      <c r="P17" s="44">
        <f>C_Revenues_AUS!P30+C_Revenues_US!O23</f>
        <v>1549039.8701206192</v>
      </c>
      <c r="Q17" s="44">
        <f>C_Revenues_AUS!Q30+C_Revenues_US!P23</f>
        <v>1520255.7525864812</v>
      </c>
      <c r="R17" s="44">
        <f>C_Revenues_AUS!R30+C_Revenues_US!Q23</f>
        <v>1579259.4918915727</v>
      </c>
      <c r="S17" s="44">
        <f>C_Revenues_AUS!S30+C_Revenues_US!R23</f>
        <v>1531881.7071348252</v>
      </c>
      <c r="T17" s="44">
        <f>C_Revenues_AUS!T30+C_Revenues_US!S23</f>
        <v>1485925.2559207806</v>
      </c>
      <c r="U17" s="44">
        <f>C_Revenues_AUS!U30+C_Revenues_US!T23</f>
        <v>1441347.4982431571</v>
      </c>
      <c r="V17" s="44">
        <f>C_Revenues_AUS!V30+C_Revenues_US!U23</f>
        <v>1366108.8483997926</v>
      </c>
      <c r="W17" s="44">
        <f>C_Revenues_AUS!W30+C_Revenues_US!V23</f>
        <v>1123003.0550926058</v>
      </c>
      <c r="X17" s="44">
        <f>C_Revenues_AUS!X30+C_Revenues_US!W23</f>
        <v>1348872.8778883929</v>
      </c>
      <c r="Y17" s="44">
        <f>C_Revenues_AUS!Y30+C_Revenues_US!X23</f>
        <v>2732217.6967995856</v>
      </c>
      <c r="Z17" s="44">
        <f>C_Revenues_AUS!Z30+C_Revenues_US!Y23</f>
        <v>2236971.3172733802</v>
      </c>
      <c r="AA17" s="44">
        <f>C_Revenues_AUS!AA30+C_Revenues_US!Z23</f>
        <v>2169862.1777551789</v>
      </c>
      <c r="AB17" s="44">
        <f>C_Revenues_AUS!AB30+C_Revenues_US!AA23</f>
        <v>2104766.3124225233</v>
      </c>
      <c r="AC17" s="44">
        <f>C_Revenues_AUS!AC30+C_Revenues_US!AB23</f>
        <v>2065798.5432795605</v>
      </c>
      <c r="AD17" s="44">
        <f>C_Revenues_AUS!AD30+C_Revenues_US!AC23</f>
        <v>2145825.2869460057</v>
      </c>
      <c r="AE17" s="44">
        <f>C_Revenues_AUS!AE30+C_Revenues_US!AD23</f>
        <v>2081450.5283376258</v>
      </c>
      <c r="AF17" s="44">
        <f>C_Revenues_AUS!AF30+C_Revenues_US!AE23</f>
        <v>2019007.0124874967</v>
      </c>
      <c r="AG17" s="44">
        <f>C_Revenues_AUS!AG30+C_Revenues_US!AF23</f>
        <v>1958436.8021128718</v>
      </c>
      <c r="AH17" s="44">
        <f>C_Revenues_AUS!AH30+C_Revenues_US!AG23</f>
        <v>1855919.8987373232</v>
      </c>
      <c r="AI17" s="44">
        <f>C_Revenues_AUS!AI30+C_Revenues_US!AH23</f>
        <v>1525925.3771660114</v>
      </c>
      <c r="AJ17" s="44">
        <f>C_Revenues_AUS!AJ30+C_Revenues_US!AI23</f>
        <v>1834846.313487157</v>
      </c>
      <c r="AK17" s="44">
        <f>C_Revenues_AUS!AK30+C_Revenues_US!AJ23</f>
        <v>3711839.7974746465</v>
      </c>
      <c r="AL17" s="44">
        <f>C_Revenues_AUS!AL30+C_Revenues_US!AK23</f>
        <v>3039493.9168791771</v>
      </c>
      <c r="AM17" s="44">
        <f>C_Revenues_AUS!AM30+C_Revenues_US!AL23</f>
        <v>2948309.0993728014</v>
      </c>
      <c r="AN17" s="44">
        <f>C_Revenues_AUS!AN30+C_Revenues_US!AM23</f>
        <v>2985251.7755644121</v>
      </c>
      <c r="AO17" s="44">
        <f>C_Revenues_AUS!AO30+C_Revenues_US!AN23</f>
        <v>2939757.3492113762</v>
      </c>
      <c r="AP17" s="44">
        <f>C_Revenues_AUS!AP30+C_Revenues_US!AO23</f>
        <v>3044317.9663261091</v>
      </c>
      <c r="AQ17" s="44">
        <f>C_Revenues_AUS!AQ30+C_Revenues_US!AP23</f>
        <v>2952988.4273363259</v>
      </c>
      <c r="AR17" s="44">
        <f>C_Revenues_AUS!AR30+C_Revenues_US!AQ23</f>
        <v>2864398.774516236</v>
      </c>
      <c r="AS17" s="44">
        <f>C_Revenues_AUS!AS30+C_Revenues_US!AR23</f>
        <v>2778466.8112807488</v>
      </c>
      <c r="AT17" s="44">
        <f>C_Revenues_AUS!AT30+C_Revenues_US!AS23</f>
        <v>2615296.6601239452</v>
      </c>
      <c r="AU17" s="44">
        <f>C_Revenues_AUS!AU30+C_Revenues_US!AT23</f>
        <v>2167358.4074576325</v>
      </c>
      <c r="AV17" s="44">
        <f>C_Revenues_AUS!AV30+C_Revenues_US!AU23</f>
        <v>2730766.5026462059</v>
      </c>
      <c r="AW17" s="44">
        <f>C_Revenues_AUS!AW30+C_Revenues_US!AV23</f>
        <v>5230593.3202478904</v>
      </c>
      <c r="AX17" s="44">
        <f>C_Revenues_AUS!AX30+C_Revenues_US!AW23</f>
        <v>4312180.4911077227</v>
      </c>
      <c r="AY17" s="44">
        <f>C_Revenues_AUS!AY30+C_Revenues_US!AX23</f>
        <v>4182815.0763744907</v>
      </c>
      <c r="AZ17" s="44">
        <f>C_Revenues_AUS!AZ30+C_Revenues_US!AY23</f>
        <v>4057330.6240832554</v>
      </c>
      <c r="BA17" s="44">
        <f>C_Revenues_AUS!BA30+C_Revenues_US!AZ23</f>
        <v>3995831.8057143367</v>
      </c>
      <c r="BB17" s="44">
        <f>C_Revenues_AUS!BB30+C_Revenues_US!BA23</f>
        <v>4137602.3868233683</v>
      </c>
      <c r="BC17" s="44">
        <f>C_Revenues_AUS!BC30+C_Revenues_US!BB23</f>
        <v>4013474.3152186675</v>
      </c>
      <c r="BD17" s="44">
        <f>C_Revenues_AUS!BD30+C_Revenues_US!BC23</f>
        <v>3893070.0857621077</v>
      </c>
      <c r="BE17" s="44">
        <f>C_Revenues_AUS!BE30+C_Revenues_US!BD23</f>
        <v>3776277.9831892438</v>
      </c>
      <c r="BF17" s="44">
        <f>C_Revenues_AUS!BF30+C_Revenues_US!BE23</f>
        <v>3553837.7814058065</v>
      </c>
      <c r="BG17" s="44">
        <f>C_Revenues_AUS!BG30+C_Revenues_US!BF23</f>
        <v>2945801.3896307722</v>
      </c>
      <c r="BH17" s="44">
        <f>C_Revenues_AUS!BH30+C_Revenues_US!BG23</f>
        <v>3716285.1234267238</v>
      </c>
      <c r="BI17" s="44">
        <f>C_Revenues_AUS!BI30+C_Revenues_US!BH23</f>
        <v>7107675.5628116131</v>
      </c>
      <c r="BJ17" s="44">
        <f>C_Revenues_AUS!BJ30+C_Revenues_US!BI23</f>
        <v>5860783.4299097061</v>
      </c>
      <c r="BK17" s="44">
        <f>C_Revenues_AUS!BK30+C_Revenues_US!BJ23</f>
        <v>5684959.9270124156</v>
      </c>
      <c r="BL17" s="44">
        <f>C_Revenues_AUS!BL30+C_Revenues_US!BK23</f>
        <v>7805107.5897471085</v>
      </c>
    </row>
    <row r="18" spans="3:64">
      <c r="C18" t="s">
        <v>29</v>
      </c>
      <c r="D18" s="48"/>
      <c r="E18" s="44">
        <f>C_Revenues_AUS!E31+C_Revenues_US!D24</f>
        <v>401209.60887000005</v>
      </c>
      <c r="F18" s="44">
        <f>C_Revenues_AUS!F31+C_Revenues_US!E24</f>
        <v>3273865.2531038998</v>
      </c>
      <c r="G18" s="44">
        <f>C_Revenues_AUS!G31+C_Revenues_US!F24</f>
        <v>3175649.2955107829</v>
      </c>
      <c r="H18" s="44">
        <f>C_Revenues_AUS!H31+C_Revenues_US!G24</f>
        <v>3080379.8166454588</v>
      </c>
      <c r="I18" s="44">
        <f>C_Revenues_AUS!I31+C_Revenues_US!H24</f>
        <v>2987968.422146095</v>
      </c>
      <c r="J18" s="44">
        <f>C_Revenues_AUS!J31+C_Revenues_US!I24</f>
        <v>2837947.412535673</v>
      </c>
      <c r="K18" s="44">
        <f>C_Revenues_AUS!K31+C_Revenues_US!J24</f>
        <v>2327188.0071542226</v>
      </c>
      <c r="L18" s="44">
        <f>C_Revenues_AUS!L31+C_Revenues_US!K24</f>
        <v>2753413.5855968501</v>
      </c>
      <c r="M18" s="44">
        <f>C_Revenues_AUS!M31+C_Revenues_US!L24</f>
        <v>5675894.8250713469</v>
      </c>
      <c r="N18" s="44">
        <f>C_Revenues_AUS!N31+C_Revenues_US!M24</f>
        <v>4637326.9911707398</v>
      </c>
      <c r="O18" s="44">
        <f>C_Revenues_AUS!O31+C_Revenues_US!N24</f>
        <v>4498207.1814356176</v>
      </c>
      <c r="P18" s="44">
        <f>C_Revenues_AUS!P31+C_Revenues_US!O24</f>
        <v>4363260.9659925485</v>
      </c>
      <c r="Q18" s="44">
        <f>C_Revenues_AUS!Q31+C_Revenues_US!P24</f>
        <v>4278014.2594238799</v>
      </c>
      <c r="R18" s="44">
        <f>C_Revenues_AUS!R31+C_Revenues_US!Q24</f>
        <v>4448013.875665294</v>
      </c>
      <c r="S18" s="44">
        <f>C_Revenues_AUS!S31+C_Revenues_US!R24</f>
        <v>4314573.4593953351</v>
      </c>
      <c r="T18" s="44">
        <f>C_Revenues_AUS!T31+C_Revenues_US!S24</f>
        <v>4185136.2556134751</v>
      </c>
      <c r="U18" s="44">
        <f>C_Revenues_AUS!U31+C_Revenues_US!T24</f>
        <v>4059582.1679450707</v>
      </c>
      <c r="V18" s="44">
        <f>C_Revenues_AUS!V31+C_Revenues_US!U24</f>
        <v>3855205.8866739939</v>
      </c>
      <c r="W18" s="44">
        <f>C_Revenues_AUS!W31+C_Revenues_US!V24</f>
        <v>3161895.3599111713</v>
      </c>
      <c r="X18" s="44">
        <f>C_Revenues_AUS!X31+C_Revenues_US!W24</f>
        <v>3744875.2392009911</v>
      </c>
      <c r="Y18" s="44">
        <f>C_Revenues_AUS!Y31+C_Revenues_US!X24</f>
        <v>7710411.7733479878</v>
      </c>
      <c r="Z18" s="44">
        <f>C_Revenues_AUS!Z31+C_Revenues_US!Y24</f>
        <v>6300471.5246507488</v>
      </c>
      <c r="AA18" s="44">
        <f>C_Revenues_AUS!AA31+C_Revenues_US!Z24</f>
        <v>6111457.3789112261</v>
      </c>
      <c r="AB18" s="44">
        <f>C_Revenues_AUS!AB31+C_Revenues_US!AA24</f>
        <v>5928113.6575438902</v>
      </c>
      <c r="AC18" s="44">
        <f>C_Revenues_AUS!AC31+C_Revenues_US!AB24</f>
        <v>5937799.4512655707</v>
      </c>
      <c r="AD18" s="44">
        <f>C_Revenues_AUS!AD31+C_Revenues_US!AC24</f>
        <v>6164635.5786986146</v>
      </c>
      <c r="AE18" s="44">
        <f>C_Revenues_AUS!AE31+C_Revenues_US!AD24</f>
        <v>5979696.5113376565</v>
      </c>
      <c r="AF18" s="44">
        <f>C_Revenues_AUS!AF31+C_Revenues_US!AE24</f>
        <v>5800305.6159975268</v>
      </c>
      <c r="AG18" s="44">
        <f>C_Revenues_AUS!AG31+C_Revenues_US!AF24</f>
        <v>5626296.4475176008</v>
      </c>
      <c r="AH18" s="44">
        <f>C_Revenues_AUS!AH31+C_Revenues_US!AG24</f>
        <v>5325718.9526029425</v>
      </c>
      <c r="AI18" s="44">
        <f>C_Revenues_AUS!AI31+C_Revenues_US!AH24</f>
        <v>4384611.4928956535</v>
      </c>
      <c r="AJ18" s="44">
        <f>C_Revenues_AUS!AJ31+C_Revenues_US!AI24</f>
        <v>5314883.9739953987</v>
      </c>
      <c r="AK18" s="44">
        <f>C_Revenues_AUS!AK31+C_Revenues_US!AJ24</f>
        <v>10651437.905205885</v>
      </c>
      <c r="AL18" s="44">
        <f>C_Revenues_AUS!AL31+C_Revenues_US!AK24</f>
        <v>8732012.0865473188</v>
      </c>
      <c r="AM18" s="44">
        <f>C_Revenues_AUS!AM31+C_Revenues_US!AL24</f>
        <v>8470051.7239508983</v>
      </c>
      <c r="AN18" s="44">
        <f>C_Revenues_AUS!AN31+C_Revenues_US!AM24</f>
        <v>8215950.1722323708</v>
      </c>
      <c r="AO18" s="44">
        <f>C_Revenues_AUS!AO31+C_Revenues_US!AN24</f>
        <v>8068972.5612519532</v>
      </c>
      <c r="AP18" s="44">
        <f>C_Revenues_AUS!AP31+C_Revenues_US!AO24</f>
        <v>8376614.3403013917</v>
      </c>
      <c r="AQ18" s="44">
        <f>C_Revenues_AUS!AQ31+C_Revenues_US!AP24</f>
        <v>8125315.9100923501</v>
      </c>
      <c r="AR18" s="44">
        <f>C_Revenues_AUS!AR31+C_Revenues_US!AQ24</f>
        <v>9579543.5210642722</v>
      </c>
      <c r="AS18" s="44">
        <f>C_Revenues_AUS!AS31+C_Revenues_US!AR24</f>
        <v>9292157.215432344</v>
      </c>
      <c r="AT18" s="44">
        <f>C_Revenues_AUS!AT31+C_Revenues_US!AS24</f>
        <v>8833156.1304866485</v>
      </c>
      <c r="AU18" s="44">
        <f>C_Revenues_AUS!AU31+C_Revenues_US!AT24</f>
        <v>7236159.1335495319</v>
      </c>
      <c r="AV18" s="44">
        <f>C_Revenues_AUS!AV31+C_Revenues_US!AU24</f>
        <v>8508415.8522511311</v>
      </c>
      <c r="AW18" s="44">
        <f>C_Revenues_AUS!AW31+C_Revenues_US!AV24</f>
        <v>17666312.260973297</v>
      </c>
      <c r="AX18" s="44">
        <f>C_Revenues_AUS!AX31+C_Revenues_US!AW24</f>
        <v>14421427.998351</v>
      </c>
      <c r="AY18" s="44">
        <f>C_Revenues_AUS!AY31+C_Revenues_US!AX24</f>
        <v>13988785.15840047</v>
      </c>
      <c r="AZ18" s="44">
        <f>C_Revenues_AUS!AZ31+C_Revenues_US!AY24</f>
        <v>13569121.603648456</v>
      </c>
      <c r="BA18" s="44">
        <f>C_Revenues_AUS!BA31+C_Revenues_US!AZ24</f>
        <v>13298035.883626547</v>
      </c>
      <c r="BB18" s="44">
        <f>C_Revenues_AUS!BB31+C_Revenues_US!BA24</f>
        <v>13831917.872836526</v>
      </c>
      <c r="BC18" s="44">
        <f>C_Revenues_AUS!BC31+C_Revenues_US!BB24</f>
        <v>13416960.336651433</v>
      </c>
      <c r="BD18" s="44">
        <f>C_Revenues_AUS!BD31+C_Revenues_US!BC24</f>
        <v>13014451.526551887</v>
      </c>
      <c r="BE18" s="44">
        <f>C_Revenues_AUS!BE31+C_Revenues_US!BD24</f>
        <v>12624017.980755331</v>
      </c>
      <c r="BF18" s="44">
        <f>C_Revenues_AUS!BF31+C_Revenues_US!BE24</f>
        <v>11998816.797301609</v>
      </c>
      <c r="BG18" s="44">
        <f>C_Revenues_AUS!BG31+C_Revenues_US!BF24</f>
        <v>9996783.8505083956</v>
      </c>
      <c r="BH18" s="44">
        <f>C_Revenues_AUS!BH31+C_Revenues_US!BG24</f>
        <v>11985270.165213885</v>
      </c>
      <c r="BI18" s="44">
        <f>C_Revenues_AUS!BI31+C_Revenues_US!BH24</f>
        <v>24329130.854702491</v>
      </c>
      <c r="BJ18" s="44">
        <f>C_Revenues_AUS!BJ31+C_Revenues_US!BI24</f>
        <v>19914028.248428572</v>
      </c>
      <c r="BK18" s="44">
        <f>C_Revenues_AUS!BK31+C_Revenues_US!BJ24</f>
        <v>19316607.400975712</v>
      </c>
      <c r="BL18" s="44">
        <f>C_Revenues_AUS!BL31+C_Revenues_US!BK24</f>
        <v>18737109.178946439</v>
      </c>
    </row>
    <row r="19" spans="3:64">
      <c r="C19" t="s">
        <v>28</v>
      </c>
      <c r="D19" s="48"/>
      <c r="E19" s="44">
        <f>C_Revenues_AUS!E32+C_Revenues_US!D25</f>
        <v>1098498.3574950001</v>
      </c>
      <c r="F19" s="44">
        <f>C_Revenues_AUS!F32+C_Revenues_US!E25</f>
        <v>3072526.6892701499</v>
      </c>
      <c r="G19" s="44">
        <f>C_Revenues_AUS!G32+C_Revenues_US!F25</f>
        <v>2980350.8885920453</v>
      </c>
      <c r="H19" s="44">
        <f>C_Revenues_AUS!H32+C_Revenues_US!G25</f>
        <v>2890940.3619342837</v>
      </c>
      <c r="I19" s="44">
        <f>C_Revenues_AUS!I32+C_Revenues_US!H25</f>
        <v>2804212.1510762554</v>
      </c>
      <c r="J19" s="44">
        <f>C_Revenues_AUS!J32+C_Revenues_US!I25</f>
        <v>2554762.0279371552</v>
      </c>
      <c r="K19" s="44">
        <f>C_Revenues_AUS!K32+C_Revenues_US!J25</f>
        <v>2199408.4539796654</v>
      </c>
      <c r="L19" s="44">
        <f>C_Revenues_AUS!L32+C_Revenues_US!K25</f>
        <v>3366399.6912042247</v>
      </c>
      <c r="M19" s="44">
        <f>C_Revenues_AUS!M32+C_Revenues_US!L25</f>
        <v>5109524.0558743104</v>
      </c>
      <c r="N19" s="44">
        <f>C_Revenues_AUS!N32+C_Revenues_US!M25</f>
        <v>4352137.2584703481</v>
      </c>
      <c r="O19" s="44">
        <f>C_Revenues_AUS!O32+C_Revenues_US!N25</f>
        <v>4221573.1407162379</v>
      </c>
      <c r="P19" s="44">
        <f>C_Revenues_AUS!P32+C_Revenues_US!O25</f>
        <v>4094925.9464947507</v>
      </c>
      <c r="Q19" s="44">
        <f>C_Revenues_AUS!Q32+C_Revenues_US!P25</f>
        <v>4097069.399311055</v>
      </c>
      <c r="R19" s="44">
        <f>C_Revenues_AUS!R32+C_Revenues_US!Q25</f>
        <v>4181723.1492706062</v>
      </c>
      <c r="S19" s="44">
        <f>C_Revenues_AUS!S32+C_Revenues_US!R25</f>
        <v>4213384.0305782836</v>
      </c>
      <c r="T19" s="44">
        <f>C_Revenues_AUS!T32+C_Revenues_US!S25</f>
        <v>4086982.5096609346</v>
      </c>
      <c r="U19" s="44">
        <f>C_Revenues_AUS!U32+C_Revenues_US!T25</f>
        <v>3964373.0343711064</v>
      </c>
      <c r="V19" s="44">
        <f>C_Revenues_AUS!V32+C_Revenues_US!U25</f>
        <v>3594185.8262489894</v>
      </c>
      <c r="W19" s="44">
        <f>C_Revenues_AUS!W32+C_Revenues_US!V25</f>
        <v>3111824.9123789412</v>
      </c>
      <c r="X19" s="44">
        <f>C_Revenues_AUS!X32+C_Revenues_US!W25</f>
        <v>4885396.7977270661</v>
      </c>
      <c r="Y19" s="44">
        <f>C_Revenues_AUS!Y32+C_Revenues_US!X25</f>
        <v>7188371.6524979789</v>
      </c>
      <c r="Z19" s="44">
        <f>C_Revenues_AUS!Z32+C_Revenues_US!Y25</f>
        <v>6152706.949343957</v>
      </c>
      <c r="AA19" s="44">
        <f>C_Revenues_AUS!AA32+C_Revenues_US!Z25</f>
        <v>5968125.740863638</v>
      </c>
      <c r="AB19" s="44">
        <f>C_Revenues_AUS!AB32+C_Revenues_US!AA25</f>
        <v>5789081.9686377291</v>
      </c>
      <c r="AC19" s="44">
        <f>C_Revenues_AUS!AC32+C_Revenues_US!AB25</f>
        <v>5805237.8380856942</v>
      </c>
      <c r="AD19" s="44">
        <f>C_Revenues_AUS!AD32+C_Revenues_US!AC25</f>
        <v>6529371.2917286344</v>
      </c>
      <c r="AE19" s="44">
        <f>C_Revenues_AUS!AE32+C_Revenues_US!AD25</f>
        <v>6333490.1529767755</v>
      </c>
      <c r="AF19" s="44">
        <f>C_Revenues_AUS!AF32+C_Revenues_US!AE25</f>
        <v>6143485.448387472</v>
      </c>
      <c r="AG19" s="44">
        <f>C_Revenues_AUS!AG32+C_Revenues_US!AF25</f>
        <v>5959180.8849358475</v>
      </c>
      <c r="AH19" s="44">
        <f>C_Revenues_AUS!AH32+C_Revenues_US!AG25</f>
        <v>5436763.9612841746</v>
      </c>
      <c r="AI19" s="44">
        <f>C_Revenues_AUS!AI32+C_Revenues_US!AH25</f>
        <v>4672838.460418961</v>
      </c>
      <c r="AJ19" s="44">
        <f>C_Revenues_AUS!AJ32+C_Revenues_US!AI25</f>
        <v>7098543.1458561225</v>
      </c>
      <c r="AK19" s="44">
        <f>C_Revenues_AUS!AK32+C_Revenues_US!AJ25</f>
        <v>10873527.922568351</v>
      </c>
      <c r="AL19" s="44">
        <f>C_Revenues_AUS!AL32+C_Revenues_US!AK25</f>
        <v>9248648.7334204372</v>
      </c>
      <c r="AM19" s="44">
        <f>C_Revenues_AUS!AM32+C_Revenues_US!AL25</f>
        <v>8971189.2714178246</v>
      </c>
      <c r="AN19" s="44">
        <f>C_Revenues_AUS!AN32+C_Revenues_US!AM25</f>
        <v>8997295.9980725124</v>
      </c>
      <c r="AO19" s="44">
        <f>C_Revenues_AUS!AO32+C_Revenues_US!AN25</f>
        <v>9012778.0058404952</v>
      </c>
      <c r="AP19" s="44">
        <f>C_Revenues_AUS!AP32+C_Revenues_US!AO25</f>
        <v>9188611.7400020212</v>
      </c>
      <c r="AQ19" s="44">
        <f>C_Revenues_AUS!AQ32+C_Revenues_US!AP25</f>
        <v>8912953.387801962</v>
      </c>
      <c r="AR19" s="44">
        <f>C_Revenues_AUS!AR32+C_Revenues_US!AQ25</f>
        <v>8645564.7861679029</v>
      </c>
      <c r="AS19" s="44">
        <f>C_Revenues_AUS!AS32+C_Revenues_US!AR25</f>
        <v>8386197.8425828647</v>
      </c>
      <c r="AT19" s="44">
        <f>C_Revenues_AUS!AT32+C_Revenues_US!AS25</f>
        <v>7617635.4521372318</v>
      </c>
      <c r="AU19" s="44">
        <f>C_Revenues_AUS!AU32+C_Revenues_US!AT25</f>
        <v>6580674.437162159</v>
      </c>
      <c r="AV19" s="44">
        <f>C_Revenues_AUS!AV32+C_Revenues_US!AU25</f>
        <v>10229920.003054956</v>
      </c>
      <c r="AW19" s="44">
        <f>C_Revenues_AUS!AW32+C_Revenues_US!AV25</f>
        <v>15235270.904274464</v>
      </c>
      <c r="AX19" s="44">
        <f>C_Revenues_AUS!AX32+C_Revenues_US!AW25</f>
        <v>13015379.051688606</v>
      </c>
      <c r="AY19" s="44">
        <f>C_Revenues_AUS!AY32+C_Revenues_US!AX25</f>
        <v>12624917.680137947</v>
      </c>
      <c r="AZ19" s="44">
        <f>C_Revenues_AUS!AZ32+C_Revenues_US!AY25</f>
        <v>12246170.14973381</v>
      </c>
      <c r="BA19" s="44">
        <f>C_Revenues_AUS!BA32+C_Revenues_US!AZ25</f>
        <v>12268842.599109437</v>
      </c>
      <c r="BB19" s="44">
        <f>C_Revenues_AUS!BB32+C_Revenues_US!BA25</f>
        <v>12506477.366205174</v>
      </c>
      <c r="BC19" s="44">
        <f>C_Revenues_AUS!BC32+C_Revenues_US!BB25</f>
        <v>12131283.045219019</v>
      </c>
      <c r="BD19" s="44">
        <f>C_Revenues_AUS!BD32+C_Revenues_US!BC25</f>
        <v>11767344.553862449</v>
      </c>
      <c r="BE19" s="44">
        <f>C_Revenues_AUS!BE32+C_Revenues_US!BD25</f>
        <v>11414324.217246575</v>
      </c>
      <c r="BF19" s="44">
        <f>C_Revenues_AUS!BF32+C_Revenues_US!BE25</f>
        <v>10364907.933624012</v>
      </c>
      <c r="BG19" s="44">
        <f>C_Revenues_AUS!BG32+C_Revenues_US!BF25</f>
        <v>8957325.4594687764</v>
      </c>
      <c r="BH19" s="44">
        <f>C_Revenues_AUS!BH32+C_Revenues_US!BG25</f>
        <v>13947818.803740529</v>
      </c>
      <c r="BI19" s="44">
        <f>C_Revenues_AUS!BI32+C_Revenues_US!BH25</f>
        <v>20729815.867248025</v>
      </c>
      <c r="BJ19" s="44">
        <f>C_Revenues_AUS!BJ32+C_Revenues_US!BI25</f>
        <v>17715031.185166683</v>
      </c>
      <c r="BK19" s="44">
        <f>C_Revenues_AUS!BK32+C_Revenues_US!BJ25</f>
        <v>17183580.249611683</v>
      </c>
      <c r="BL19" s="44">
        <f>C_Revenues_AUS!BL32+C_Revenues_US!BK25</f>
        <v>18182098.96379542</v>
      </c>
    </row>
    <row r="20" spans="3:64">
      <c r="C20" t="s">
        <v>42</v>
      </c>
      <c r="D20" s="48"/>
      <c r="E20" s="44">
        <f>C_Revenues_AUS!E33+C_Revenues_US!D26</f>
        <v>360917.45875499997</v>
      </c>
      <c r="F20" s="44">
        <f>C_Revenues_AUS!F33+C_Revenues_US!E26</f>
        <v>2205068.8649923503</v>
      </c>
      <c r="G20" s="44">
        <f>C_Revenues_AUS!G33+C_Revenues_US!F26</f>
        <v>2138916.7990425797</v>
      </c>
      <c r="H20" s="44">
        <f>C_Revenues_AUS!H33+C_Revenues_US!G26</f>
        <v>2074749.2950713024</v>
      </c>
      <c r="I20" s="44">
        <f>C_Revenues_AUS!I33+C_Revenues_US!H26</f>
        <v>2012506.8162191631</v>
      </c>
      <c r="J20" s="44">
        <f>C_Revenues_AUS!J33+C_Revenues_US!I26</f>
        <v>1897813.614421912</v>
      </c>
      <c r="K20" s="44">
        <f>C_Revenues_AUS!K33+C_Revenues_US!J26</f>
        <v>1569373.7125358135</v>
      </c>
      <c r="L20" s="44">
        <f>C_Revenues_AUS!L33+C_Revenues_US!K26</f>
        <v>1952794.8700229409</v>
      </c>
      <c r="M20" s="44">
        <f>C_Revenues_AUS!M33+C_Revenues_US!L26</f>
        <v>3795627.228843824</v>
      </c>
      <c r="N20" s="44">
        <f>C_Revenues_AUS!N33+C_Revenues_US!M26</f>
        <v>3123410.5787721416</v>
      </c>
      <c r="O20" s="44">
        <f>C_Revenues_AUS!O33+C_Revenues_US!N26</f>
        <v>3029708.2614089777</v>
      </c>
      <c r="P20" s="44">
        <f>C_Revenues_AUS!P33+C_Revenues_US!O26</f>
        <v>2938817.0135667082</v>
      </c>
      <c r="Q20" s="44">
        <f>C_Revenues_AUS!Q33+C_Revenues_US!P26</f>
        <v>2891719.0347822551</v>
      </c>
      <c r="R20" s="44">
        <f>C_Revenues_AUS!R33+C_Revenues_US!Q26</f>
        <v>2996812.731306206</v>
      </c>
      <c r="S20" s="44">
        <f>C_Revenues_AUS!S33+C_Revenues_US!R26</f>
        <v>2937877.6977234222</v>
      </c>
      <c r="T20" s="44">
        <f>C_Revenues_AUS!T33+C_Revenues_US!S26</f>
        <v>2849741.3667917196</v>
      </c>
      <c r="U20" s="44">
        <f>C_Revenues_AUS!U33+C_Revenues_US!T26</f>
        <v>2764249.1257879678</v>
      </c>
      <c r="V20" s="44">
        <f>C_Revenues_AUS!V33+C_Revenues_US!U26</f>
        <v>2602073.3164522578</v>
      </c>
      <c r="W20" s="44">
        <f>C_Revenues_AUS!W33+C_Revenues_US!V26</f>
        <v>2156245.3219261086</v>
      </c>
      <c r="X20" s="44">
        <f>C_Revenues_AUS!X33+C_Revenues_US!W26</f>
        <v>2715645.3376583732</v>
      </c>
      <c r="Y20" s="44">
        <f>C_Revenues_AUS!Y33+C_Revenues_US!X26</f>
        <v>5204146.6329045156</v>
      </c>
      <c r="Z20" s="44">
        <f>C_Revenues_AUS!Z33+C_Revenues_US!Y26</f>
        <v>4290114.6432229262</v>
      </c>
      <c r="AA20" s="44">
        <f>C_Revenues_AUS!AA33+C_Revenues_US!Z26</f>
        <v>4161411.2039262382</v>
      </c>
      <c r="AB20" s="44">
        <f>C_Revenues_AUS!AB33+C_Revenues_US!AA26</f>
        <v>4036568.8678084509</v>
      </c>
      <c r="AC20" s="44">
        <f>C_Revenues_AUS!AC33+C_Revenues_US!AB26</f>
        <v>4020362.4318441725</v>
      </c>
      <c r="AD20" s="44">
        <f>C_Revenues_AUS!AD33+C_Revenues_US!AC26</f>
        <v>4502024.7873596493</v>
      </c>
      <c r="AE20" s="44">
        <f>C_Revenues_AUS!AE33+C_Revenues_US!AD26</f>
        <v>4366964.0437388588</v>
      </c>
      <c r="AF20" s="44">
        <f>C_Revenues_AUS!AF33+C_Revenues_US!AE26</f>
        <v>4235955.1224266933</v>
      </c>
      <c r="AG20" s="44">
        <f>C_Revenues_AUS!AG33+C_Revenues_US!AF26</f>
        <v>4108876.468753892</v>
      </c>
      <c r="AH20" s="44">
        <f>C_Revenues_AUS!AH33+C_Revenues_US!AG26</f>
        <v>3870447.5873937095</v>
      </c>
      <c r="AI20" s="44">
        <f>C_Revenues_AUS!AI33+C_Revenues_US!AH26</f>
        <v>3204746.3873714996</v>
      </c>
      <c r="AJ20" s="44">
        <f>C_Revenues_AUS!AJ33+C_Revenues_US!AI26</f>
        <v>4017658.7682954902</v>
      </c>
      <c r="AK20" s="44">
        <f>C_Revenues_AUS!AK33+C_Revenues_US!AJ26</f>
        <v>7740895.1747874189</v>
      </c>
      <c r="AL20" s="44">
        <f>C_Revenues_AUS!AL33+C_Revenues_US!AK26</f>
        <v>6376976.2795060398</v>
      </c>
      <c r="AM20" s="44">
        <f>C_Revenues_AUS!AM33+C_Revenues_US!AL26</f>
        <v>6185666.991120859</v>
      </c>
      <c r="AN20" s="44">
        <f>C_Revenues_AUS!AN33+C_Revenues_US!AM26</f>
        <v>6058293.8815272525</v>
      </c>
      <c r="AO20" s="44">
        <f>C_Revenues_AUS!AO33+C_Revenues_US!AN26</f>
        <v>5968608.4566899892</v>
      </c>
      <c r="AP20" s="44">
        <f>C_Revenues_AUS!AP33+C_Revenues_US!AO26</f>
        <v>6178393.4102391265</v>
      </c>
      <c r="AQ20" s="44">
        <f>C_Revenues_AUS!AQ33+C_Revenues_US!AP26</f>
        <v>5993041.6079319529</v>
      </c>
      <c r="AR20" s="44">
        <f>C_Revenues_AUS!AR33+C_Revenues_US!AQ26</f>
        <v>6249870.3160342844</v>
      </c>
      <c r="AS20" s="44">
        <f>C_Revenues_AUS!AS33+C_Revenues_US!AR26</f>
        <v>6062374.2065532561</v>
      </c>
      <c r="AT20" s="44">
        <f>C_Revenues_AUS!AT33+C_Revenues_US!AS26</f>
        <v>5713738.9375871681</v>
      </c>
      <c r="AU20" s="44">
        <f>C_Revenues_AUS!AU33+C_Revenues_US!AT26</f>
        <v>4727945.5432645483</v>
      </c>
      <c r="AV20" s="44">
        <f>C_Revenues_AUS!AV33+C_Revenues_US!AU26</f>
        <v>5905103.4922256526</v>
      </c>
      <c r="AW20" s="44">
        <f>C_Revenues_AUS!AW33+C_Revenues_US!AV26</f>
        <v>11427477.875174336</v>
      </c>
      <c r="AX20" s="44">
        <f>C_Revenues_AUS!AX33+C_Revenues_US!AW26</f>
        <v>9408804.7685706522</v>
      </c>
      <c r="AY20" s="44">
        <f>C_Revenues_AUS!AY33+C_Revenues_US!AX26</f>
        <v>9126540.6255135331</v>
      </c>
      <c r="AZ20" s="44">
        <f>C_Revenues_AUS!AZ33+C_Revenues_US!AY26</f>
        <v>8852744.4067481272</v>
      </c>
      <c r="BA20" s="44">
        <f>C_Revenues_AUS!BA33+C_Revenues_US!AZ26</f>
        <v>8712985.1636737734</v>
      </c>
      <c r="BB20" s="44">
        <f>C_Revenues_AUS!BB33+C_Revenues_US!BA26</f>
        <v>9027408.0980925895</v>
      </c>
      <c r="BC20" s="44">
        <f>C_Revenues_AUS!BC33+C_Revenues_US!BB26</f>
        <v>8756585.855149813</v>
      </c>
      <c r="BD20" s="44">
        <f>C_Revenues_AUS!BD33+C_Revenues_US!BC26</f>
        <v>8493888.2794953175</v>
      </c>
      <c r="BE20" s="44">
        <f>C_Revenues_AUS!BE33+C_Revenues_US!BD26</f>
        <v>8239071.6311104577</v>
      </c>
      <c r="BF20" s="44">
        <f>C_Revenues_AUS!BF33+C_Revenues_US!BE26</f>
        <v>7763842.7974521238</v>
      </c>
      <c r="BG20" s="44">
        <f>C_Revenues_AUS!BG33+C_Revenues_US!BF26</f>
        <v>6485345.1117349165</v>
      </c>
      <c r="BH20" s="44">
        <f>C_Revenues_AUS!BH33+C_Revenues_US!BG26</f>
        <v>8184600.9361360278</v>
      </c>
      <c r="BI20" s="44">
        <f>C_Revenues_AUS!BI33+C_Revenues_US!BH26</f>
        <v>15646944.171203587</v>
      </c>
      <c r="BJ20" s="44">
        <f>C_Revenues_AUS!BJ33+C_Revenues_US!BI26</f>
        <v>12902719.990493791</v>
      </c>
      <c r="BK20" s="44">
        <f>C_Revenues_AUS!BK33+C_Revenues_US!BJ26</f>
        <v>12515638.390778977</v>
      </c>
      <c r="BL20" s="44">
        <f>C_Revenues_AUS!BL33+C_Revenues_US!BK26</f>
        <v>12979671.602590427</v>
      </c>
    </row>
    <row r="21" spans="3:64">
      <c r="C21" t="s">
        <v>27</v>
      </c>
      <c r="D21" s="48"/>
      <c r="E21" s="44">
        <f>C_Revenues_AUS!E34+C_Revenues_US!D27</f>
        <v>136371.73294500003</v>
      </c>
      <c r="F21" s="44">
        <f>C_Revenues_AUS!F34+C_Revenues_US!E27</f>
        <v>892089.59245664999</v>
      </c>
      <c r="G21" s="44">
        <f>C_Revenues_AUS!G34+C_Revenues_US!F27</f>
        <v>865326.90468295047</v>
      </c>
      <c r="H21" s="44">
        <f>C_Revenues_AUS!H34+C_Revenues_US!G27</f>
        <v>839367.09754246194</v>
      </c>
      <c r="I21" s="44">
        <f>C_Revenues_AUS!I34+C_Revenues_US!H27</f>
        <v>814186.08461618808</v>
      </c>
      <c r="J21" s="44">
        <f>C_Revenues_AUS!J34+C_Revenues_US!I27</f>
        <v>769236.58658491622</v>
      </c>
      <c r="K21" s="44">
        <f>C_Revenues_AUS!K34+C_Revenues_US!J27</f>
        <v>634705.89561408479</v>
      </c>
      <c r="L21" s="44">
        <f>C_Revenues_AUS!L34+C_Revenues_US!K27</f>
        <v>779580.59321022313</v>
      </c>
      <c r="M21" s="44">
        <f>C_Revenues_AUS!M34+C_Revenues_US!L27</f>
        <v>1538473.1731698324</v>
      </c>
      <c r="N21" s="44">
        <f>C_Revenues_AUS!N34+C_Revenues_US!M27</f>
        <v>1263616.8033243243</v>
      </c>
      <c r="O21" s="44">
        <f>C_Revenues_AUS!O34+C_Revenues_US!N27</f>
        <v>1225708.2992245944</v>
      </c>
      <c r="P21" s="44">
        <f>C_Revenues_AUS!P34+C_Revenues_US!O27</f>
        <v>1188937.0502478564</v>
      </c>
      <c r="Q21" s="44">
        <f>C_Revenues_AUS!Q34+C_Revenues_US!P27</f>
        <v>1168785.8220264942</v>
      </c>
      <c r="R21" s="44">
        <f>C_Revenues_AUS!R34+C_Revenues_US!Q27</f>
        <v>1212303.0661307692</v>
      </c>
      <c r="S21" s="44">
        <f>C_Revenues_AUS!S34+C_Revenues_US!R27</f>
        <v>1187634.88255701</v>
      </c>
      <c r="T21" s="44">
        <f>C_Revenues_AUS!T34+C_Revenues_US!S27</f>
        <v>1152005.8360802999</v>
      </c>
      <c r="U21" s="44">
        <f>C_Revenues_AUS!U34+C_Revenues_US!T27</f>
        <v>1117445.6609978909</v>
      </c>
      <c r="V21" s="44">
        <f>C_Revenues_AUS!V34+C_Revenues_US!U27</f>
        <v>1053978.6363164615</v>
      </c>
      <c r="W21" s="44">
        <f>C_Revenues_AUS!W34+C_Revenues_US!V27</f>
        <v>871365.17244280933</v>
      </c>
      <c r="X21" s="44">
        <f>C_Revenues_AUS!X34+C_Revenues_US!W27</f>
        <v>1082732.1478651098</v>
      </c>
      <c r="Y21" s="44">
        <f>C_Revenues_AUS!Y34+C_Revenues_US!X27</f>
        <v>2107957.272632923</v>
      </c>
      <c r="Z21" s="44">
        <f>C_Revenues_AUS!Z34+C_Revenues_US!Y27</f>
        <v>1734275.6658687266</v>
      </c>
      <c r="AA21" s="44">
        <f>C_Revenues_AUS!AA34+C_Revenues_US!Z27</f>
        <v>1682247.3958926648</v>
      </c>
      <c r="AB21" s="44">
        <f>C_Revenues_AUS!AB34+C_Revenues_US!AA27</f>
        <v>1631779.9740158846</v>
      </c>
      <c r="AC21" s="44">
        <f>C_Revenues_AUS!AC34+C_Revenues_US!AB27</f>
        <v>1613953.7662044445</v>
      </c>
      <c r="AD21" s="44">
        <f>C_Revenues_AUS!AD34+C_Revenues_US!AC27</f>
        <v>1812215.3939068513</v>
      </c>
      <c r="AE21" s="44">
        <f>C_Revenues_AUS!AE34+C_Revenues_US!AD27</f>
        <v>1757848.9320896456</v>
      </c>
      <c r="AF21" s="44">
        <f>C_Revenues_AUS!AF34+C_Revenues_US!AE27</f>
        <v>1705113.4641269562</v>
      </c>
      <c r="AG21" s="44">
        <f>C_Revenues_AUS!AG34+C_Revenues_US!AF27</f>
        <v>1653960.0602031474</v>
      </c>
      <c r="AH21" s="44">
        <f>C_Revenues_AUS!AH34+C_Revenues_US!AG27</f>
        <v>1562107.5979741248</v>
      </c>
      <c r="AI21" s="44">
        <f>C_Revenues_AUS!AI34+C_Revenues_US!AH27</f>
        <v>1289435.4058361733</v>
      </c>
      <c r="AJ21" s="44">
        <f>C_Revenues_AUS!AJ34+C_Revenues_US!AI27</f>
        <v>1587555.3617627241</v>
      </c>
      <c r="AK21" s="44">
        <f>C_Revenues_AUS!AK34+C_Revenues_US!AJ27</f>
        <v>3124215.1959482501</v>
      </c>
      <c r="AL21" s="44">
        <f>C_Revenues_AUS!AL34+C_Revenues_US!AK27</f>
        <v>2566946.0134352855</v>
      </c>
      <c r="AM21" s="44">
        <f>C_Revenues_AUS!AM34+C_Revenues_US!AL27</f>
        <v>2489937.6330322269</v>
      </c>
      <c r="AN21" s="44">
        <f>C_Revenues_AUS!AN34+C_Revenues_US!AM27</f>
        <v>2437227.586917826</v>
      </c>
      <c r="AO21" s="44">
        <f>C_Revenues_AUS!AO34+C_Revenues_US!AN27</f>
        <v>2397929.9699402517</v>
      </c>
      <c r="AP21" s="44">
        <f>C_Revenues_AUS!AP34+C_Revenues_US!AO27</f>
        <v>2485262.8213157216</v>
      </c>
      <c r="AQ21" s="44">
        <f>C_Revenues_AUS!AQ34+C_Revenues_US!AP27</f>
        <v>2410704.9366762498</v>
      </c>
      <c r="AR21" s="44">
        <f>C_Revenues_AUS!AR34+C_Revenues_US!AQ27</f>
        <v>2427795.7473771702</v>
      </c>
      <c r="AS21" s="44">
        <f>C_Revenues_AUS!AS34+C_Revenues_US!AR27</f>
        <v>2354961.8749558548</v>
      </c>
      <c r="AT21" s="44">
        <f>C_Revenues_AUS!AT34+C_Revenues_US!AS27</f>
        <v>2223052.7480460107</v>
      </c>
      <c r="AU21" s="44">
        <f>C_Revenues_AUS!AU34+C_Revenues_US!AT27</f>
        <v>1836098.9237649669</v>
      </c>
      <c r="AV21" s="44">
        <f>C_Revenues_AUS!AV34+C_Revenues_US!AU27</f>
        <v>2268524.3637261535</v>
      </c>
      <c r="AW21" s="44">
        <f>C_Revenues_AUS!AW34+C_Revenues_US!AV27</f>
        <v>4446105.4960920215</v>
      </c>
      <c r="AX21" s="44">
        <f>C_Revenues_AUS!AX34+C_Revenues_US!AW27</f>
        <v>3654900.8299314864</v>
      </c>
      <c r="AY21" s="44">
        <f>C_Revenues_AUS!AY34+C_Revenues_US!AX27</f>
        <v>3545253.8050335422</v>
      </c>
      <c r="AZ21" s="44">
        <f>C_Revenues_AUS!AZ34+C_Revenues_US!AY27</f>
        <v>3438896.1908825357</v>
      </c>
      <c r="BA21" s="44">
        <f>C_Revenues_AUS!BA34+C_Revenues_US!AZ27</f>
        <v>3381950.0393587286</v>
      </c>
      <c r="BB21" s="44">
        <f>C_Revenues_AUS!BB34+C_Revenues_US!BA27</f>
        <v>3506515.4150855206</v>
      </c>
      <c r="BC21" s="44">
        <f>C_Revenues_AUS!BC34+C_Revenues_US!BB27</f>
        <v>3401319.9526329548</v>
      </c>
      <c r="BD21" s="44">
        <f>C_Revenues_AUS!BD34+C_Revenues_US!BC27</f>
        <v>3299280.3540539662</v>
      </c>
      <c r="BE21" s="44">
        <f>C_Revenues_AUS!BE34+C_Revenues_US!BD27</f>
        <v>3200301.9434323469</v>
      </c>
      <c r="BF21" s="44">
        <f>C_Revenues_AUS!BF34+C_Revenues_US!BE27</f>
        <v>3020516.9463818697</v>
      </c>
      <c r="BG21" s="44">
        <f>C_Revenues_AUS!BG34+C_Revenues_US!BF27</f>
        <v>2529055.4058295675</v>
      </c>
      <c r="BH21" s="44">
        <f>C_Revenues_AUS!BH34+C_Revenues_US!BG27</f>
        <v>3171105.8330192417</v>
      </c>
      <c r="BI21" s="44">
        <f>C_Revenues_AUS!BI34+C_Revenues_US!BH27</f>
        <v>6108621.7055106936</v>
      </c>
      <c r="BJ21" s="44">
        <f>C_Revenues_AUS!BJ34+C_Revenues_US!BI27</f>
        <v>5032428.7945715478</v>
      </c>
      <c r="BK21" s="44">
        <f>C_Revenues_AUS!BK34+C_Revenues_US!BJ27</f>
        <v>4881455.9307344006</v>
      </c>
      <c r="BL21" s="44">
        <f>C_Revenues_AUS!BL34+C_Revenues_US!BK27</f>
        <v>5078842.3945724973</v>
      </c>
    </row>
    <row r="22" spans="3:64">
      <c r="C22" s="57" t="s">
        <v>71</v>
      </c>
      <c r="D22" s="57"/>
      <c r="E22" s="59">
        <f>SUM(E17:E21)</f>
        <v>2152441.8766200002</v>
      </c>
      <c r="F22" s="59">
        <f t="shared" ref="F22:BL22" si="1">SUM(F17:F21)</f>
        <v>10605834.2618214</v>
      </c>
      <c r="G22" s="59">
        <f t="shared" si="1"/>
        <v>10287659.233966758</v>
      </c>
      <c r="H22" s="59">
        <f t="shared" si="1"/>
        <v>9979029.4569477551</v>
      </c>
      <c r="I22" s="59">
        <f t="shared" si="1"/>
        <v>9679658.5732393228</v>
      </c>
      <c r="J22" s="59">
        <f t="shared" si="1"/>
        <v>9065326.7920986619</v>
      </c>
      <c r="K22" s="59">
        <f t="shared" si="1"/>
        <v>7557148.0444492651</v>
      </c>
      <c r="L22" s="59">
        <f t="shared" si="1"/>
        <v>9843797.625226777</v>
      </c>
      <c r="M22" s="59">
        <f t="shared" si="1"/>
        <v>18130653.584197324</v>
      </c>
      <c r="N22" s="59">
        <f t="shared" si="1"/>
        <v>15022830.105667429</v>
      </c>
      <c r="O22" s="59">
        <f t="shared" si="1"/>
        <v>14572145.202497406</v>
      </c>
      <c r="P22" s="59">
        <f t="shared" si="1"/>
        <v>14134980.846422482</v>
      </c>
      <c r="Q22" s="59">
        <f t="shared" si="1"/>
        <v>13955844.268130166</v>
      </c>
      <c r="R22" s="59">
        <f t="shared" si="1"/>
        <v>14418112.314264446</v>
      </c>
      <c r="S22" s="59">
        <f t="shared" si="1"/>
        <v>14185351.777388876</v>
      </c>
      <c r="T22" s="59">
        <f t="shared" si="1"/>
        <v>13759791.224067209</v>
      </c>
      <c r="U22" s="59">
        <f t="shared" si="1"/>
        <v>13346997.487345193</v>
      </c>
      <c r="V22" s="59">
        <f t="shared" si="1"/>
        <v>12471552.514091494</v>
      </c>
      <c r="W22" s="59">
        <f t="shared" si="1"/>
        <v>10424333.821751636</v>
      </c>
      <c r="X22" s="59">
        <f t="shared" si="1"/>
        <v>13777522.400339933</v>
      </c>
      <c r="Y22" s="59">
        <f t="shared" si="1"/>
        <v>24943105.028182987</v>
      </c>
      <c r="Z22" s="59">
        <f t="shared" si="1"/>
        <v>20714540.100359738</v>
      </c>
      <c r="AA22" s="59">
        <f t="shared" si="1"/>
        <v>20093103.897348948</v>
      </c>
      <c r="AB22" s="59">
        <f t="shared" si="1"/>
        <v>19490310.780428477</v>
      </c>
      <c r="AC22" s="59">
        <f t="shared" si="1"/>
        <v>19443152.030679438</v>
      </c>
      <c r="AD22" s="59">
        <f t="shared" si="1"/>
        <v>21154072.338639755</v>
      </c>
      <c r="AE22" s="59">
        <f t="shared" si="1"/>
        <v>20519450.168480564</v>
      </c>
      <c r="AF22" s="59">
        <f t="shared" si="1"/>
        <v>19903866.663426146</v>
      </c>
      <c r="AG22" s="59">
        <f t="shared" si="1"/>
        <v>19306750.663523357</v>
      </c>
      <c r="AH22" s="59">
        <f t="shared" si="1"/>
        <v>18050957.997992273</v>
      </c>
      <c r="AI22" s="59">
        <f t="shared" si="1"/>
        <v>15077557.123688299</v>
      </c>
      <c r="AJ22" s="59">
        <f t="shared" si="1"/>
        <v>19853487.563396893</v>
      </c>
      <c r="AK22" s="59">
        <f t="shared" si="1"/>
        <v>36101915.995984554</v>
      </c>
      <c r="AL22" s="59">
        <f t="shared" si="1"/>
        <v>29964077.029788256</v>
      </c>
      <c r="AM22" s="59">
        <f t="shared" si="1"/>
        <v>29065154.718894608</v>
      </c>
      <c r="AN22" s="59">
        <f t="shared" si="1"/>
        <v>28694019.414314374</v>
      </c>
      <c r="AO22" s="59">
        <f t="shared" si="1"/>
        <v>28388046.342934065</v>
      </c>
      <c r="AP22" s="59">
        <f t="shared" si="1"/>
        <v>29273200.278184369</v>
      </c>
      <c r="AQ22" s="59">
        <f t="shared" si="1"/>
        <v>28395004.26983884</v>
      </c>
      <c r="AR22" s="59">
        <f t="shared" si="1"/>
        <v>29767173.145159863</v>
      </c>
      <c r="AS22" s="59">
        <f t="shared" si="1"/>
        <v>28874157.950805068</v>
      </c>
      <c r="AT22" s="59">
        <f t="shared" si="1"/>
        <v>27002879.928381003</v>
      </c>
      <c r="AU22" s="59">
        <f t="shared" si="1"/>
        <v>22548236.445198838</v>
      </c>
      <c r="AV22" s="59">
        <f t="shared" si="1"/>
        <v>29642730.213904098</v>
      </c>
      <c r="AW22" s="59">
        <f t="shared" si="1"/>
        <v>54005759.856762007</v>
      </c>
      <c r="AX22" s="59">
        <f t="shared" si="1"/>
        <v>44812693.139649466</v>
      </c>
      <c r="AY22" s="59">
        <f t="shared" si="1"/>
        <v>43468312.345459983</v>
      </c>
      <c r="AZ22" s="59">
        <f t="shared" si="1"/>
        <v>42164262.975096181</v>
      </c>
      <c r="BA22" s="59">
        <f t="shared" si="1"/>
        <v>41657645.491482817</v>
      </c>
      <c r="BB22" s="59">
        <f t="shared" si="1"/>
        <v>43009921.139043182</v>
      </c>
      <c r="BC22" s="59">
        <f t="shared" si="1"/>
        <v>41719623.50487189</v>
      </c>
      <c r="BD22" s="59">
        <f t="shared" si="1"/>
        <v>40468034.799725726</v>
      </c>
      <c r="BE22" s="59">
        <f t="shared" si="1"/>
        <v>39253993.755733952</v>
      </c>
      <c r="BF22" s="59">
        <f t="shared" si="1"/>
        <v>36701922.256165415</v>
      </c>
      <c r="BG22" s="59">
        <f t="shared" si="1"/>
        <v>30914311.217172429</v>
      </c>
      <c r="BH22" s="59">
        <f t="shared" si="1"/>
        <v>41005080.861536406</v>
      </c>
      <c r="BI22" s="59">
        <f t="shared" si="1"/>
        <v>73922188.161476403</v>
      </c>
      <c r="BJ22" s="59">
        <f t="shared" si="1"/>
        <v>61424991.648570299</v>
      </c>
      <c r="BK22" s="59">
        <f t="shared" si="1"/>
        <v>59582241.899113186</v>
      </c>
      <c r="BL22" s="59">
        <f t="shared" si="1"/>
        <v>62782829.729651891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CEC2C-689B-4DE1-97FD-74409CFC29E8}">
  <sheetPr codeName="Feuil5">
    <tabColor theme="9"/>
  </sheetPr>
  <dimension ref="A1:BL34"/>
  <sheetViews>
    <sheetView workbookViewId="0">
      <selection activeCell="C2" sqref="C2:BL4"/>
    </sheetView>
  </sheetViews>
  <sheetFormatPr baseColWidth="10" defaultRowHeight="14.5"/>
  <cols>
    <col min="5" max="8" width="11.1796875" bestFit="1" customWidth="1"/>
    <col min="9" max="47" width="11.26953125" bestFit="1" customWidth="1"/>
    <col min="48" max="53" width="12.1796875" bestFit="1" customWidth="1"/>
    <col min="54" max="64" width="12.26953125" bestFit="1" customWidth="1"/>
  </cols>
  <sheetData>
    <row r="1" spans="1:64">
      <c r="A1" t="s">
        <v>61</v>
      </c>
      <c r="B1" t="s">
        <v>5</v>
      </c>
    </row>
    <row r="2" spans="1:64">
      <c r="C2" s="62" t="s">
        <v>45</v>
      </c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</row>
    <row r="3" spans="1:64">
      <c r="C3" s="62" t="s">
        <v>46</v>
      </c>
      <c r="D3" s="62">
        <v>2021</v>
      </c>
      <c r="E3" s="63">
        <v>2022</v>
      </c>
      <c r="F3" s="63">
        <v>2022</v>
      </c>
      <c r="G3" s="63">
        <v>2022</v>
      </c>
      <c r="H3" s="63">
        <v>2022</v>
      </c>
      <c r="I3" s="63">
        <v>2022</v>
      </c>
      <c r="J3" s="63">
        <v>2022</v>
      </c>
      <c r="K3" s="63">
        <v>2022</v>
      </c>
      <c r="L3" s="63">
        <v>2022</v>
      </c>
      <c r="M3" s="63">
        <v>2022</v>
      </c>
      <c r="N3" s="63">
        <v>2022</v>
      </c>
      <c r="O3" s="63">
        <v>2022</v>
      </c>
      <c r="P3" s="63">
        <v>2022</v>
      </c>
      <c r="Q3" s="63">
        <v>2023</v>
      </c>
      <c r="R3" s="63">
        <v>2023</v>
      </c>
      <c r="S3" s="63">
        <v>2023</v>
      </c>
      <c r="T3" s="63">
        <v>2023</v>
      </c>
      <c r="U3" s="63">
        <v>2023</v>
      </c>
      <c r="V3" s="63">
        <v>2023</v>
      </c>
      <c r="W3" s="63">
        <v>2023</v>
      </c>
      <c r="X3" s="63">
        <v>2023</v>
      </c>
      <c r="Y3" s="63">
        <v>2023</v>
      </c>
      <c r="Z3" s="63">
        <v>2023</v>
      </c>
      <c r="AA3" s="63">
        <v>2023</v>
      </c>
      <c r="AB3" s="63">
        <v>2023</v>
      </c>
      <c r="AC3" s="63">
        <v>2024</v>
      </c>
      <c r="AD3" s="63">
        <v>2024</v>
      </c>
      <c r="AE3" s="63">
        <v>2024</v>
      </c>
      <c r="AF3" s="63">
        <v>2024</v>
      </c>
      <c r="AG3" s="63">
        <v>2024</v>
      </c>
      <c r="AH3" s="63">
        <v>2024</v>
      </c>
      <c r="AI3" s="63">
        <v>2024</v>
      </c>
      <c r="AJ3" s="63">
        <v>2024</v>
      </c>
      <c r="AK3" s="63">
        <v>2024</v>
      </c>
      <c r="AL3" s="63">
        <v>2024</v>
      </c>
      <c r="AM3" s="63">
        <v>2024</v>
      </c>
      <c r="AN3" s="63">
        <v>2024</v>
      </c>
      <c r="AO3" s="63">
        <v>2025</v>
      </c>
      <c r="AP3" s="63">
        <v>2025</v>
      </c>
      <c r="AQ3" s="63">
        <v>2025</v>
      </c>
      <c r="AR3" s="63">
        <v>2025</v>
      </c>
      <c r="AS3" s="63">
        <v>2025</v>
      </c>
      <c r="AT3" s="63">
        <v>2025</v>
      </c>
      <c r="AU3" s="63">
        <v>2025</v>
      </c>
      <c r="AV3" s="63">
        <v>2025</v>
      </c>
      <c r="AW3" s="63">
        <v>2025</v>
      </c>
      <c r="AX3" s="63">
        <v>2025</v>
      </c>
      <c r="AY3" s="63">
        <v>2025</v>
      </c>
      <c r="AZ3" s="63">
        <v>2025</v>
      </c>
      <c r="BA3" s="63">
        <v>2026</v>
      </c>
      <c r="BB3" s="63">
        <v>2026</v>
      </c>
      <c r="BC3" s="63">
        <v>2026</v>
      </c>
      <c r="BD3" s="63">
        <v>2026</v>
      </c>
      <c r="BE3" s="63">
        <v>2026</v>
      </c>
      <c r="BF3" s="63">
        <v>2026</v>
      </c>
      <c r="BG3" s="63">
        <v>2026</v>
      </c>
      <c r="BH3" s="63">
        <v>2026</v>
      </c>
      <c r="BI3" s="63">
        <v>2026</v>
      </c>
      <c r="BJ3" s="63">
        <v>2026</v>
      </c>
      <c r="BK3" s="63">
        <v>2026</v>
      </c>
      <c r="BL3" s="63">
        <v>2026</v>
      </c>
    </row>
    <row r="4" spans="1:64">
      <c r="C4" s="62" t="s">
        <v>47</v>
      </c>
      <c r="D4" s="62" t="s">
        <v>53</v>
      </c>
      <c r="E4" s="62" t="s">
        <v>12</v>
      </c>
      <c r="F4" s="62" t="s">
        <v>13</v>
      </c>
      <c r="G4" s="62" t="s">
        <v>14</v>
      </c>
      <c r="H4" s="62" t="s">
        <v>15</v>
      </c>
      <c r="I4" s="62" t="s">
        <v>16</v>
      </c>
      <c r="J4" s="62" t="s">
        <v>17</v>
      </c>
      <c r="K4" s="62" t="s">
        <v>18</v>
      </c>
      <c r="L4" s="62" t="s">
        <v>19</v>
      </c>
      <c r="M4" s="62" t="s">
        <v>20</v>
      </c>
      <c r="N4" s="62" t="s">
        <v>21</v>
      </c>
      <c r="O4" s="62" t="s">
        <v>22</v>
      </c>
      <c r="P4" s="62" t="s">
        <v>23</v>
      </c>
      <c r="Q4" s="62" t="s">
        <v>12</v>
      </c>
      <c r="R4" s="62" t="s">
        <v>13</v>
      </c>
      <c r="S4" s="62" t="s">
        <v>14</v>
      </c>
      <c r="T4" s="62" t="s">
        <v>15</v>
      </c>
      <c r="U4" s="62" t="s">
        <v>16</v>
      </c>
      <c r="V4" s="62" t="s">
        <v>17</v>
      </c>
      <c r="W4" s="62" t="s">
        <v>18</v>
      </c>
      <c r="X4" s="62" t="s">
        <v>19</v>
      </c>
      <c r="Y4" s="62" t="s">
        <v>20</v>
      </c>
      <c r="Z4" s="62" t="s">
        <v>21</v>
      </c>
      <c r="AA4" s="62" t="s">
        <v>22</v>
      </c>
      <c r="AB4" s="62" t="s">
        <v>23</v>
      </c>
      <c r="AC4" s="62" t="s">
        <v>12</v>
      </c>
      <c r="AD4" s="62" t="s">
        <v>13</v>
      </c>
      <c r="AE4" s="62" t="s">
        <v>14</v>
      </c>
      <c r="AF4" s="62" t="s">
        <v>15</v>
      </c>
      <c r="AG4" s="62" t="s">
        <v>16</v>
      </c>
      <c r="AH4" s="62" t="s">
        <v>17</v>
      </c>
      <c r="AI4" s="62" t="s">
        <v>18</v>
      </c>
      <c r="AJ4" s="62" t="s">
        <v>19</v>
      </c>
      <c r="AK4" s="62" t="s">
        <v>20</v>
      </c>
      <c r="AL4" s="62" t="s">
        <v>21</v>
      </c>
      <c r="AM4" s="62" t="s">
        <v>22</v>
      </c>
      <c r="AN4" s="62" t="s">
        <v>23</v>
      </c>
      <c r="AO4" s="62" t="s">
        <v>12</v>
      </c>
      <c r="AP4" s="62" t="s">
        <v>13</v>
      </c>
      <c r="AQ4" s="62" t="s">
        <v>14</v>
      </c>
      <c r="AR4" s="62" t="s">
        <v>15</v>
      </c>
      <c r="AS4" s="62" t="s">
        <v>16</v>
      </c>
      <c r="AT4" s="62" t="s">
        <v>17</v>
      </c>
      <c r="AU4" s="62" t="s">
        <v>18</v>
      </c>
      <c r="AV4" s="62" t="s">
        <v>19</v>
      </c>
      <c r="AW4" s="62" t="s">
        <v>20</v>
      </c>
      <c r="AX4" s="62" t="s">
        <v>21</v>
      </c>
      <c r="AY4" s="62" t="s">
        <v>22</v>
      </c>
      <c r="AZ4" s="62" t="s">
        <v>23</v>
      </c>
      <c r="BA4" s="62" t="s">
        <v>12</v>
      </c>
      <c r="BB4" s="62" t="s">
        <v>13</v>
      </c>
      <c r="BC4" s="62" t="s">
        <v>14</v>
      </c>
      <c r="BD4" s="62" t="s">
        <v>15</v>
      </c>
      <c r="BE4" s="62" t="s">
        <v>16</v>
      </c>
      <c r="BF4" s="62" t="s">
        <v>17</v>
      </c>
      <c r="BG4" s="62" t="s">
        <v>18</v>
      </c>
      <c r="BH4" s="62" t="s">
        <v>19</v>
      </c>
      <c r="BI4" s="62" t="s">
        <v>20</v>
      </c>
      <c r="BJ4" s="62" t="s">
        <v>21</v>
      </c>
      <c r="BK4" s="62" t="s">
        <v>22</v>
      </c>
      <c r="BL4" s="62" t="s">
        <v>23</v>
      </c>
    </row>
    <row r="6" spans="1:64">
      <c r="C6" s="46" t="s">
        <v>54</v>
      </c>
      <c r="D6" s="51"/>
      <c r="E6" s="49">
        <f>INDEX(D_Assumptions!$J$14:$J$25,MATCH(E4,D_Assumptions!$H$14:$H$25,0))</f>
        <v>0.05</v>
      </c>
      <c r="F6" s="49">
        <f>INDEX(D_Assumptions!$J$14:$J$25,MATCH(F4,D_Assumptions!$H$14:$H$25,0))</f>
        <v>-0.03</v>
      </c>
      <c r="G6" s="49">
        <f>INDEX(D_Assumptions!$J$14:$J$25,MATCH(G4,D_Assumptions!$H$14:$H$25,0))</f>
        <v>-0.03</v>
      </c>
      <c r="H6" s="49">
        <f>INDEX(D_Assumptions!$J$14:$J$25,MATCH(H4,D_Assumptions!$H$14:$H$25,0))</f>
        <v>-0.03</v>
      </c>
      <c r="I6" s="49">
        <f>INDEX(D_Assumptions!$J$14:$J$25,MATCH(I4,D_Assumptions!$H$14:$H$25,0))</f>
        <v>-0.03</v>
      </c>
      <c r="J6" s="49">
        <f>INDEX(D_Assumptions!$J$14:$J$25,MATCH(J4,D_Assumptions!$H$14:$H$25,0))</f>
        <v>-0.2</v>
      </c>
      <c r="K6" s="49">
        <f>INDEX(D_Assumptions!$J$14:$J$25,MATCH(K4,D_Assumptions!$H$14:$H$25,0))</f>
        <v>0</v>
      </c>
      <c r="L6" s="49">
        <f>INDEX(D_Assumptions!$J$14:$J$25,MATCH(L4,D_Assumptions!$H$14:$H$25,0))</f>
        <v>1.5</v>
      </c>
      <c r="M6" s="49">
        <f>INDEX(D_Assumptions!$J$14:$J$25,MATCH(M4,D_Assumptions!$H$14:$H$25,0))</f>
        <v>-0.2</v>
      </c>
      <c r="N6" s="49">
        <f>INDEX(D_Assumptions!$J$14:$J$25,MATCH(N4,D_Assumptions!$H$14:$H$25,0))</f>
        <v>-0.03</v>
      </c>
      <c r="O6" s="49">
        <f>INDEX(D_Assumptions!$J$14:$J$25,MATCH(O4,D_Assumptions!$H$14:$H$25,0))</f>
        <v>-0.03</v>
      </c>
      <c r="P6" s="49">
        <f>INDEX(D_Assumptions!$J$14:$J$25,MATCH(P4,D_Assumptions!$H$14:$H$25,0))</f>
        <v>-0.03</v>
      </c>
      <c r="Q6" s="49">
        <f>INDEX(D_Assumptions!$J$14:$J$25,MATCH(Q4,D_Assumptions!$H$14:$H$25,0))</f>
        <v>0.05</v>
      </c>
      <c r="R6" s="49">
        <f>INDEX(D_Assumptions!$J$14:$J$25,MATCH(R4,D_Assumptions!$H$14:$H$25,0))</f>
        <v>-0.03</v>
      </c>
      <c r="S6" s="49">
        <f>INDEX(D_Assumptions!$J$14:$J$25,MATCH(S4,D_Assumptions!$H$14:$H$25,0))</f>
        <v>-0.03</v>
      </c>
      <c r="T6" s="49">
        <f>INDEX(D_Assumptions!$J$14:$J$25,MATCH(T4,D_Assumptions!$H$14:$H$25,0))</f>
        <v>-0.03</v>
      </c>
      <c r="U6" s="49">
        <f>INDEX(D_Assumptions!$J$14:$J$25,MATCH(U4,D_Assumptions!$H$14:$H$25,0))</f>
        <v>-0.03</v>
      </c>
      <c r="V6" s="49">
        <f>INDEX(D_Assumptions!$J$14:$J$25,MATCH(V4,D_Assumptions!$H$14:$H$25,0))</f>
        <v>-0.2</v>
      </c>
      <c r="W6" s="49">
        <f>INDEX(D_Assumptions!$J$14:$J$25,MATCH(W4,D_Assumptions!$H$14:$H$25,0))</f>
        <v>0</v>
      </c>
      <c r="X6" s="49">
        <f>INDEX(D_Assumptions!$J$14:$J$25,MATCH(X4,D_Assumptions!$H$14:$H$25,0))</f>
        <v>1.5</v>
      </c>
      <c r="Y6" s="49">
        <f>INDEX(D_Assumptions!$J$14:$J$25,MATCH(Y4,D_Assumptions!$H$14:$H$25,0))</f>
        <v>-0.2</v>
      </c>
      <c r="Z6" s="49">
        <f>INDEX(D_Assumptions!$J$14:$J$25,MATCH(Z4,D_Assumptions!$H$14:$H$25,0))</f>
        <v>-0.03</v>
      </c>
      <c r="AA6" s="49">
        <f>INDEX(D_Assumptions!$J$14:$J$25,MATCH(AA4,D_Assumptions!$H$14:$H$25,0))</f>
        <v>-0.03</v>
      </c>
      <c r="AB6" s="49">
        <f>INDEX(D_Assumptions!$J$14:$J$25,MATCH(AB4,D_Assumptions!$H$14:$H$25,0))</f>
        <v>-0.03</v>
      </c>
      <c r="AC6" s="49">
        <f>INDEX(D_Assumptions!$J$14:$J$25,MATCH(AC4,D_Assumptions!$H$14:$H$25,0))</f>
        <v>0.05</v>
      </c>
      <c r="AD6" s="49">
        <f>INDEX(D_Assumptions!$J$14:$J$25,MATCH(AD4,D_Assumptions!$H$14:$H$25,0))</f>
        <v>-0.03</v>
      </c>
      <c r="AE6" s="49">
        <f>INDEX(D_Assumptions!$J$14:$J$25,MATCH(AE4,D_Assumptions!$H$14:$H$25,0))</f>
        <v>-0.03</v>
      </c>
      <c r="AF6" s="49">
        <f>INDEX(D_Assumptions!$J$14:$J$25,MATCH(AF4,D_Assumptions!$H$14:$H$25,0))</f>
        <v>-0.03</v>
      </c>
      <c r="AG6" s="49">
        <f>INDEX(D_Assumptions!$J$14:$J$25,MATCH(AG4,D_Assumptions!$H$14:$H$25,0))</f>
        <v>-0.03</v>
      </c>
      <c r="AH6" s="49">
        <f>INDEX(D_Assumptions!$J$14:$J$25,MATCH(AH4,D_Assumptions!$H$14:$H$25,0))</f>
        <v>-0.2</v>
      </c>
      <c r="AI6" s="49">
        <f>INDEX(D_Assumptions!$J$14:$J$25,MATCH(AI4,D_Assumptions!$H$14:$H$25,0))</f>
        <v>0</v>
      </c>
      <c r="AJ6" s="49">
        <f>INDEX(D_Assumptions!$J$14:$J$25,MATCH(AJ4,D_Assumptions!$H$14:$H$25,0))</f>
        <v>1.5</v>
      </c>
      <c r="AK6" s="49">
        <f>INDEX(D_Assumptions!$J$14:$J$25,MATCH(AK4,D_Assumptions!$H$14:$H$25,0))</f>
        <v>-0.2</v>
      </c>
      <c r="AL6" s="49">
        <f>INDEX(D_Assumptions!$J$14:$J$25,MATCH(AL4,D_Assumptions!$H$14:$H$25,0))</f>
        <v>-0.03</v>
      </c>
      <c r="AM6" s="49">
        <f>INDEX(D_Assumptions!$J$14:$J$25,MATCH(AM4,D_Assumptions!$H$14:$H$25,0))</f>
        <v>-0.03</v>
      </c>
      <c r="AN6" s="49">
        <f>INDEX(D_Assumptions!$J$14:$J$25,MATCH(AN4,D_Assumptions!$H$14:$H$25,0))</f>
        <v>-0.03</v>
      </c>
      <c r="AO6" s="49">
        <f>INDEX(D_Assumptions!$J$14:$J$25,MATCH(AO4,D_Assumptions!$H$14:$H$25,0))</f>
        <v>0.05</v>
      </c>
      <c r="AP6" s="49">
        <f>INDEX(D_Assumptions!$J$14:$J$25,MATCH(AP4,D_Assumptions!$H$14:$H$25,0))</f>
        <v>-0.03</v>
      </c>
      <c r="AQ6" s="49">
        <f>INDEX(D_Assumptions!$J$14:$J$25,MATCH(AQ4,D_Assumptions!$H$14:$H$25,0))</f>
        <v>-0.03</v>
      </c>
      <c r="AR6" s="49">
        <f>INDEX(D_Assumptions!$J$14:$J$25,MATCH(AR4,D_Assumptions!$H$14:$H$25,0))</f>
        <v>-0.03</v>
      </c>
      <c r="AS6" s="49">
        <f>INDEX(D_Assumptions!$J$14:$J$25,MATCH(AS4,D_Assumptions!$H$14:$H$25,0))</f>
        <v>-0.03</v>
      </c>
      <c r="AT6" s="49">
        <f>INDEX(D_Assumptions!$J$14:$J$25,MATCH(AT4,D_Assumptions!$H$14:$H$25,0))</f>
        <v>-0.2</v>
      </c>
      <c r="AU6" s="49">
        <f>INDEX(D_Assumptions!$J$14:$J$25,MATCH(AU4,D_Assumptions!$H$14:$H$25,0))</f>
        <v>0</v>
      </c>
      <c r="AV6" s="49">
        <f>INDEX(D_Assumptions!$J$14:$J$25,MATCH(AV4,D_Assumptions!$H$14:$H$25,0))</f>
        <v>1.5</v>
      </c>
      <c r="AW6" s="49">
        <f>INDEX(D_Assumptions!$J$14:$J$25,MATCH(AW4,D_Assumptions!$H$14:$H$25,0))</f>
        <v>-0.2</v>
      </c>
      <c r="AX6" s="49">
        <f>INDEX(D_Assumptions!$J$14:$J$25,MATCH(AX4,D_Assumptions!$H$14:$H$25,0))</f>
        <v>-0.03</v>
      </c>
      <c r="AY6" s="49">
        <f>INDEX(D_Assumptions!$J$14:$J$25,MATCH(AY4,D_Assumptions!$H$14:$H$25,0))</f>
        <v>-0.03</v>
      </c>
      <c r="AZ6" s="49">
        <f>INDEX(D_Assumptions!$J$14:$J$25,MATCH(AZ4,D_Assumptions!$H$14:$H$25,0))</f>
        <v>-0.03</v>
      </c>
      <c r="BA6" s="49">
        <f>INDEX(D_Assumptions!$J$14:$J$25,MATCH(BA4,D_Assumptions!$H$14:$H$25,0))</f>
        <v>0.05</v>
      </c>
      <c r="BB6" s="49">
        <f>INDEX(D_Assumptions!$J$14:$J$25,MATCH(BB4,D_Assumptions!$H$14:$H$25,0))</f>
        <v>-0.03</v>
      </c>
      <c r="BC6" s="49">
        <f>INDEX(D_Assumptions!$J$14:$J$25,MATCH(BC4,D_Assumptions!$H$14:$H$25,0))</f>
        <v>-0.03</v>
      </c>
      <c r="BD6" s="49">
        <f>INDEX(D_Assumptions!$J$14:$J$25,MATCH(BD4,D_Assumptions!$H$14:$H$25,0))</f>
        <v>-0.03</v>
      </c>
      <c r="BE6" s="49">
        <f>INDEX(D_Assumptions!$J$14:$J$25,MATCH(BE4,D_Assumptions!$H$14:$H$25,0))</f>
        <v>-0.03</v>
      </c>
      <c r="BF6" s="49">
        <f>INDEX(D_Assumptions!$J$14:$J$25,MATCH(BF4,D_Assumptions!$H$14:$H$25,0))</f>
        <v>-0.2</v>
      </c>
      <c r="BG6" s="49">
        <f>INDEX(D_Assumptions!$J$14:$J$25,MATCH(BG4,D_Assumptions!$H$14:$H$25,0))</f>
        <v>0</v>
      </c>
      <c r="BH6" s="49">
        <f>INDEX(D_Assumptions!$J$14:$J$25,MATCH(BH4,D_Assumptions!$H$14:$H$25,0))</f>
        <v>1.5</v>
      </c>
      <c r="BI6" s="49">
        <f>INDEX(D_Assumptions!$J$14:$J$25,MATCH(BI4,D_Assumptions!$H$14:$H$25,0))</f>
        <v>-0.2</v>
      </c>
      <c r="BJ6" s="49">
        <f>INDEX(D_Assumptions!$J$14:$J$25,MATCH(BJ4,D_Assumptions!$H$14:$H$25,0))</f>
        <v>-0.03</v>
      </c>
      <c r="BK6" s="49">
        <f>INDEX(D_Assumptions!$J$14:$J$25,MATCH(BK4,D_Assumptions!$H$14:$H$25,0))</f>
        <v>-0.03</v>
      </c>
      <c r="BL6" s="49">
        <f>INDEX(D_Assumptions!$J$14:$J$25,MATCH(BL4,D_Assumptions!$H$14:$H$25,0))</f>
        <v>-0.03</v>
      </c>
    </row>
    <row r="8" spans="1:64">
      <c r="C8" s="46" t="s">
        <v>50</v>
      </c>
      <c r="D8" s="46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</row>
    <row r="9" spans="1:64">
      <c r="C9" t="s">
        <v>30</v>
      </c>
      <c r="D9" s="58">
        <f>INDEX(D_Assumptions!$E$16:$F$20,MATCH($C9,D_Assumptions!$C$16:$C$20,0),MATCH($B$1,D_Assumptions!$E$15:$F$15,0))</f>
        <v>7539</v>
      </c>
      <c r="E9" s="45">
        <f>D9*(1+E$6)</f>
        <v>7915.9500000000007</v>
      </c>
      <c r="F9" s="45">
        <f t="shared" ref="F9:BL9" si="0">E9*(1+F$6)</f>
        <v>7678.4715000000006</v>
      </c>
      <c r="G9" s="45">
        <f t="shared" si="0"/>
        <v>7448.1173550000003</v>
      </c>
      <c r="H9" s="45">
        <f t="shared" si="0"/>
        <v>7224.6738343500001</v>
      </c>
      <c r="I9" s="45">
        <f t="shared" si="0"/>
        <v>7007.9336193194995</v>
      </c>
      <c r="J9" s="45">
        <f t="shared" si="0"/>
        <v>5606.3468954556001</v>
      </c>
      <c r="K9" s="45">
        <f t="shared" si="0"/>
        <v>5606.3468954556001</v>
      </c>
      <c r="L9" s="45">
        <f t="shared" si="0"/>
        <v>14015.867238639001</v>
      </c>
      <c r="M9" s="45">
        <f t="shared" si="0"/>
        <v>11212.693790911202</v>
      </c>
      <c r="N9" s="45">
        <f t="shared" si="0"/>
        <v>10876.312977183865</v>
      </c>
      <c r="O9" s="45">
        <f t="shared" si="0"/>
        <v>10550.023587868349</v>
      </c>
      <c r="P9" s="45">
        <f t="shared" si="0"/>
        <v>10233.522880232298</v>
      </c>
      <c r="Q9" s="45">
        <f t="shared" si="0"/>
        <v>10745.199024243913</v>
      </c>
      <c r="R9" s="45">
        <f t="shared" si="0"/>
        <v>10422.843053516595</v>
      </c>
      <c r="S9" s="45">
        <f t="shared" si="0"/>
        <v>10110.157761911098</v>
      </c>
      <c r="T9" s="45">
        <f t="shared" si="0"/>
        <v>9806.8530290537637</v>
      </c>
      <c r="U9" s="45">
        <f t="shared" si="0"/>
        <v>9512.6474381821499</v>
      </c>
      <c r="V9" s="45">
        <f t="shared" si="0"/>
        <v>7610.1179505457203</v>
      </c>
      <c r="W9" s="45">
        <f t="shared" si="0"/>
        <v>7610.1179505457203</v>
      </c>
      <c r="X9" s="45">
        <f t="shared" si="0"/>
        <v>19025.2948763643</v>
      </c>
      <c r="Y9" s="45">
        <f t="shared" si="0"/>
        <v>15220.235901091441</v>
      </c>
      <c r="Z9" s="45">
        <f t="shared" si="0"/>
        <v>14763.628824058696</v>
      </c>
      <c r="AA9" s="45">
        <f t="shared" si="0"/>
        <v>14320.719959336935</v>
      </c>
      <c r="AB9" s="45">
        <f t="shared" si="0"/>
        <v>13891.098360556827</v>
      </c>
      <c r="AC9" s="45">
        <f t="shared" si="0"/>
        <v>14585.653278584668</v>
      </c>
      <c r="AD9" s="45">
        <f t="shared" si="0"/>
        <v>14148.083680227128</v>
      </c>
      <c r="AE9" s="45">
        <f t="shared" si="0"/>
        <v>13723.641169820314</v>
      </c>
      <c r="AF9" s="45">
        <f t="shared" si="0"/>
        <v>13311.931934725704</v>
      </c>
      <c r="AG9" s="45">
        <f t="shared" si="0"/>
        <v>12912.573976683932</v>
      </c>
      <c r="AH9" s="45">
        <f t="shared" si="0"/>
        <v>10330.059181347147</v>
      </c>
      <c r="AI9" s="45">
        <f t="shared" si="0"/>
        <v>10330.059181347147</v>
      </c>
      <c r="AJ9" s="45">
        <f t="shared" si="0"/>
        <v>25825.147953367868</v>
      </c>
      <c r="AK9" s="45">
        <f t="shared" si="0"/>
        <v>20660.118362694295</v>
      </c>
      <c r="AL9" s="45">
        <f t="shared" si="0"/>
        <v>20040.314811813467</v>
      </c>
      <c r="AM9" s="45">
        <f t="shared" si="0"/>
        <v>19439.105367459062</v>
      </c>
      <c r="AN9" s="45">
        <f t="shared" si="0"/>
        <v>18855.932206435289</v>
      </c>
      <c r="AO9" s="45">
        <f t="shared" si="0"/>
        <v>19798.728816757055</v>
      </c>
      <c r="AP9" s="45">
        <f t="shared" si="0"/>
        <v>19204.766952254344</v>
      </c>
      <c r="AQ9" s="45">
        <f t="shared" si="0"/>
        <v>18628.623943686714</v>
      </c>
      <c r="AR9" s="45">
        <f t="shared" si="0"/>
        <v>18069.765225376112</v>
      </c>
      <c r="AS9" s="45">
        <f t="shared" si="0"/>
        <v>17527.672268614828</v>
      </c>
      <c r="AT9" s="45">
        <f t="shared" si="0"/>
        <v>14022.137814891863</v>
      </c>
      <c r="AU9" s="45">
        <f t="shared" si="0"/>
        <v>14022.137814891863</v>
      </c>
      <c r="AV9" s="45">
        <f t="shared" si="0"/>
        <v>35055.344537229656</v>
      </c>
      <c r="AW9" s="45">
        <f t="shared" si="0"/>
        <v>28044.275629783726</v>
      </c>
      <c r="AX9" s="45">
        <f t="shared" si="0"/>
        <v>27202.947360890212</v>
      </c>
      <c r="AY9" s="45">
        <f t="shared" si="0"/>
        <v>26386.858940063506</v>
      </c>
      <c r="AZ9" s="45">
        <f t="shared" si="0"/>
        <v>25595.253171861601</v>
      </c>
      <c r="BA9" s="45">
        <f t="shared" si="0"/>
        <v>26875.015830454682</v>
      </c>
      <c r="BB9" s="45">
        <f t="shared" si="0"/>
        <v>26068.76535554104</v>
      </c>
      <c r="BC9" s="45">
        <f t="shared" si="0"/>
        <v>25286.702394874806</v>
      </c>
      <c r="BD9" s="45">
        <f t="shared" si="0"/>
        <v>24528.101323028561</v>
      </c>
      <c r="BE9" s="45">
        <f t="shared" si="0"/>
        <v>23792.258283337702</v>
      </c>
      <c r="BF9" s="45">
        <f t="shared" si="0"/>
        <v>19033.806626670161</v>
      </c>
      <c r="BG9" s="45">
        <f t="shared" si="0"/>
        <v>19033.806626670161</v>
      </c>
      <c r="BH9" s="45">
        <f t="shared" si="0"/>
        <v>47584.516566675404</v>
      </c>
      <c r="BI9" s="45">
        <f t="shared" si="0"/>
        <v>38067.613253340322</v>
      </c>
      <c r="BJ9" s="45">
        <f t="shared" si="0"/>
        <v>36925.584855740111</v>
      </c>
      <c r="BK9" s="45">
        <f t="shared" si="0"/>
        <v>35817.817310067905</v>
      </c>
      <c r="BL9" s="45">
        <f t="shared" si="0"/>
        <v>34743.282790765865</v>
      </c>
    </row>
    <row r="10" spans="1:64">
      <c r="C10" t="s">
        <v>29</v>
      </c>
      <c r="D10" s="58">
        <f>INDEX(D_Assumptions!$E$16:$F$20,MATCH($C10,D_Assumptions!$C$16:$C$20,0),MATCH($B$1,D_Assumptions!$E$15:$F$15,0))</f>
        <v>9726</v>
      </c>
      <c r="E10" s="45">
        <f t="shared" ref="E10:BL10" si="1">D10*(1+E$6)</f>
        <v>10212.300000000001</v>
      </c>
      <c r="F10" s="45">
        <f t="shared" si="1"/>
        <v>9905.9310000000005</v>
      </c>
      <c r="G10" s="45">
        <f t="shared" si="1"/>
        <v>9608.7530700000007</v>
      </c>
      <c r="H10" s="45">
        <f t="shared" si="1"/>
        <v>9320.4904779000008</v>
      </c>
      <c r="I10" s="45">
        <f t="shared" si="1"/>
        <v>9040.8757635630009</v>
      </c>
      <c r="J10" s="45">
        <f t="shared" si="1"/>
        <v>7232.7006108504011</v>
      </c>
      <c r="K10" s="45">
        <f t="shared" si="1"/>
        <v>7232.7006108504011</v>
      </c>
      <c r="L10" s="45">
        <f t="shared" si="1"/>
        <v>18081.751527126002</v>
      </c>
      <c r="M10" s="45">
        <f t="shared" si="1"/>
        <v>14465.401221700802</v>
      </c>
      <c r="N10" s="45">
        <f t="shared" si="1"/>
        <v>14031.439185049778</v>
      </c>
      <c r="O10" s="45">
        <f t="shared" si="1"/>
        <v>13610.496009498283</v>
      </c>
      <c r="P10" s="45">
        <f t="shared" si="1"/>
        <v>13202.181129213335</v>
      </c>
      <c r="Q10" s="45">
        <f t="shared" si="1"/>
        <v>13862.290185674003</v>
      </c>
      <c r="R10" s="45">
        <f t="shared" si="1"/>
        <v>13446.421480103782</v>
      </c>
      <c r="S10" s="45">
        <f t="shared" si="1"/>
        <v>13043.028835700668</v>
      </c>
      <c r="T10" s="45">
        <f t="shared" si="1"/>
        <v>12651.737970629649</v>
      </c>
      <c r="U10" s="45">
        <f t="shared" si="1"/>
        <v>12272.185831510758</v>
      </c>
      <c r="V10" s="45">
        <f t="shared" si="1"/>
        <v>9817.7486652086063</v>
      </c>
      <c r="W10" s="45">
        <f t="shared" si="1"/>
        <v>9817.7486652086063</v>
      </c>
      <c r="X10" s="45">
        <f t="shared" si="1"/>
        <v>24544.371663021517</v>
      </c>
      <c r="Y10" s="45">
        <f t="shared" si="1"/>
        <v>19635.497330417213</v>
      </c>
      <c r="Z10" s="45">
        <f t="shared" si="1"/>
        <v>19046.432410504694</v>
      </c>
      <c r="AA10" s="45">
        <f t="shared" si="1"/>
        <v>18475.039438189553</v>
      </c>
      <c r="AB10" s="45">
        <f t="shared" si="1"/>
        <v>17920.788255043866</v>
      </c>
      <c r="AC10" s="45">
        <f t="shared" si="1"/>
        <v>18816.82766779606</v>
      </c>
      <c r="AD10" s="45">
        <f t="shared" si="1"/>
        <v>18252.322837762178</v>
      </c>
      <c r="AE10" s="45">
        <f t="shared" si="1"/>
        <v>17704.753152629313</v>
      </c>
      <c r="AF10" s="45">
        <f t="shared" si="1"/>
        <v>17173.610558050434</v>
      </c>
      <c r="AG10" s="45">
        <f t="shared" si="1"/>
        <v>16658.402241308919</v>
      </c>
      <c r="AH10" s="45">
        <f t="shared" si="1"/>
        <v>13326.721793047136</v>
      </c>
      <c r="AI10" s="45">
        <f t="shared" si="1"/>
        <v>13326.721793047136</v>
      </c>
      <c r="AJ10" s="45">
        <f t="shared" si="1"/>
        <v>33316.804482617837</v>
      </c>
      <c r="AK10" s="45">
        <f t="shared" si="1"/>
        <v>26653.443586094272</v>
      </c>
      <c r="AL10" s="45">
        <f t="shared" si="1"/>
        <v>25853.840278511445</v>
      </c>
      <c r="AM10" s="45">
        <f t="shared" si="1"/>
        <v>25078.225070156102</v>
      </c>
      <c r="AN10" s="45">
        <f t="shared" si="1"/>
        <v>24325.878318051418</v>
      </c>
      <c r="AO10" s="45">
        <f t="shared" si="1"/>
        <v>25542.172233953992</v>
      </c>
      <c r="AP10" s="45">
        <f t="shared" si="1"/>
        <v>24775.907066935371</v>
      </c>
      <c r="AQ10" s="45">
        <f t="shared" si="1"/>
        <v>24032.629854927309</v>
      </c>
      <c r="AR10" s="45">
        <f t="shared" si="1"/>
        <v>23311.65095927949</v>
      </c>
      <c r="AS10" s="45">
        <f t="shared" si="1"/>
        <v>22612.301430501106</v>
      </c>
      <c r="AT10" s="45">
        <f t="shared" si="1"/>
        <v>18089.841144400885</v>
      </c>
      <c r="AU10" s="45">
        <f t="shared" si="1"/>
        <v>18089.841144400885</v>
      </c>
      <c r="AV10" s="45">
        <f t="shared" si="1"/>
        <v>45224.602861002211</v>
      </c>
      <c r="AW10" s="45">
        <f t="shared" si="1"/>
        <v>36179.68228880177</v>
      </c>
      <c r="AX10" s="45">
        <f t="shared" si="1"/>
        <v>35094.291820137718</v>
      </c>
      <c r="AY10" s="45">
        <f t="shared" si="1"/>
        <v>34041.463065533586</v>
      </c>
      <c r="AZ10" s="45">
        <f t="shared" si="1"/>
        <v>33020.219173567581</v>
      </c>
      <c r="BA10" s="45">
        <f t="shared" si="1"/>
        <v>34671.230132245961</v>
      </c>
      <c r="BB10" s="45">
        <f t="shared" si="1"/>
        <v>33631.09322827858</v>
      </c>
      <c r="BC10" s="45">
        <f t="shared" si="1"/>
        <v>32622.16043143022</v>
      </c>
      <c r="BD10" s="45">
        <f t="shared" si="1"/>
        <v>31643.495618487312</v>
      </c>
      <c r="BE10" s="45">
        <f t="shared" si="1"/>
        <v>30694.190749932692</v>
      </c>
      <c r="BF10" s="45">
        <f t="shared" si="1"/>
        <v>24555.352599946156</v>
      </c>
      <c r="BG10" s="45">
        <f t="shared" si="1"/>
        <v>24555.352599946156</v>
      </c>
      <c r="BH10" s="45">
        <f t="shared" si="1"/>
        <v>61388.381499865391</v>
      </c>
      <c r="BI10" s="45">
        <f t="shared" si="1"/>
        <v>49110.705199892313</v>
      </c>
      <c r="BJ10" s="45">
        <f t="shared" si="1"/>
        <v>47637.384043895545</v>
      </c>
      <c r="BK10" s="45">
        <f t="shared" si="1"/>
        <v>46208.262522578676</v>
      </c>
      <c r="BL10" s="45">
        <f t="shared" si="1"/>
        <v>44822.014646901313</v>
      </c>
    </row>
    <row r="11" spans="1:64">
      <c r="C11" t="s">
        <v>28</v>
      </c>
      <c r="D11" s="58">
        <f>INDEX(D_Assumptions!$E$16:$F$20,MATCH($C11,D_Assumptions!$C$16:$C$20,0),MATCH($B$1,D_Assumptions!$E$15:$F$15,0))</f>
        <v>17751</v>
      </c>
      <c r="E11" s="45">
        <f t="shared" ref="E11:BL11" si="2">D11*(1+E$6)</f>
        <v>18638.55</v>
      </c>
      <c r="F11" s="45">
        <f t="shared" si="2"/>
        <v>18079.393499999998</v>
      </c>
      <c r="G11" s="45">
        <f t="shared" si="2"/>
        <v>17537.011694999997</v>
      </c>
      <c r="H11" s="45">
        <f t="shared" si="2"/>
        <v>17010.901344149996</v>
      </c>
      <c r="I11" s="45">
        <f t="shared" si="2"/>
        <v>16500.574303825495</v>
      </c>
      <c r="J11" s="45">
        <f t="shared" si="2"/>
        <v>13200.459443060397</v>
      </c>
      <c r="K11" s="45">
        <f t="shared" si="2"/>
        <v>13200.459443060397</v>
      </c>
      <c r="L11" s="45">
        <f t="shared" si="2"/>
        <v>33001.14860765099</v>
      </c>
      <c r="M11" s="45">
        <f t="shared" si="2"/>
        <v>26400.918886120795</v>
      </c>
      <c r="N11" s="45">
        <f t="shared" si="2"/>
        <v>25608.891319537172</v>
      </c>
      <c r="O11" s="45">
        <f t="shared" si="2"/>
        <v>24840.624579951054</v>
      </c>
      <c r="P11" s="45">
        <f t="shared" si="2"/>
        <v>24095.405842552522</v>
      </c>
      <c r="Q11" s="45">
        <f t="shared" si="2"/>
        <v>25300.17613468015</v>
      </c>
      <c r="R11" s="45">
        <f t="shared" si="2"/>
        <v>24541.170850639744</v>
      </c>
      <c r="S11" s="45">
        <f t="shared" si="2"/>
        <v>23804.935725120551</v>
      </c>
      <c r="T11" s="45">
        <f t="shared" si="2"/>
        <v>23090.787653366933</v>
      </c>
      <c r="U11" s="45">
        <f t="shared" si="2"/>
        <v>22398.064023765925</v>
      </c>
      <c r="V11" s="45">
        <f t="shared" si="2"/>
        <v>17918.451219012739</v>
      </c>
      <c r="W11" s="45">
        <f t="shared" si="2"/>
        <v>17918.451219012739</v>
      </c>
      <c r="X11" s="45">
        <f t="shared" si="2"/>
        <v>44796.128047531849</v>
      </c>
      <c r="Y11" s="45">
        <f t="shared" si="2"/>
        <v>35836.902438025478</v>
      </c>
      <c r="Z11" s="45">
        <f t="shared" si="2"/>
        <v>34761.795364884711</v>
      </c>
      <c r="AA11" s="45">
        <f t="shared" si="2"/>
        <v>33718.941503938171</v>
      </c>
      <c r="AB11" s="45">
        <f t="shared" si="2"/>
        <v>32707.373258820026</v>
      </c>
      <c r="AC11" s="45">
        <f t="shared" si="2"/>
        <v>34342.74192176103</v>
      </c>
      <c r="AD11" s="45">
        <f t="shared" si="2"/>
        <v>33312.459664108195</v>
      </c>
      <c r="AE11" s="45">
        <f t="shared" si="2"/>
        <v>32313.085874184948</v>
      </c>
      <c r="AF11" s="45">
        <f t="shared" si="2"/>
        <v>31343.693297959398</v>
      </c>
      <c r="AG11" s="45">
        <f t="shared" si="2"/>
        <v>30403.382499020616</v>
      </c>
      <c r="AH11" s="45">
        <f t="shared" si="2"/>
        <v>24322.705999216494</v>
      </c>
      <c r="AI11" s="45">
        <f t="shared" si="2"/>
        <v>24322.705999216494</v>
      </c>
      <c r="AJ11" s="45">
        <f t="shared" si="2"/>
        <v>60806.764998041239</v>
      </c>
      <c r="AK11" s="45">
        <f t="shared" si="2"/>
        <v>48645.411998432995</v>
      </c>
      <c r="AL11" s="45">
        <f t="shared" si="2"/>
        <v>47186.049638480006</v>
      </c>
      <c r="AM11" s="45">
        <f t="shared" si="2"/>
        <v>45770.468149325607</v>
      </c>
      <c r="AN11" s="45">
        <f t="shared" si="2"/>
        <v>44397.354104845836</v>
      </c>
      <c r="AO11" s="45">
        <f t="shared" si="2"/>
        <v>46617.221810088129</v>
      </c>
      <c r="AP11" s="45">
        <f t="shared" si="2"/>
        <v>45218.705155785487</v>
      </c>
      <c r="AQ11" s="45">
        <f t="shared" si="2"/>
        <v>43862.144001111919</v>
      </c>
      <c r="AR11" s="45">
        <f t="shared" si="2"/>
        <v>42546.279681078558</v>
      </c>
      <c r="AS11" s="45">
        <f t="shared" si="2"/>
        <v>41269.891290646199</v>
      </c>
      <c r="AT11" s="45">
        <f t="shared" si="2"/>
        <v>33015.913032516961</v>
      </c>
      <c r="AU11" s="45">
        <f t="shared" si="2"/>
        <v>33015.913032516961</v>
      </c>
      <c r="AV11" s="45">
        <f t="shared" si="2"/>
        <v>82539.782581292398</v>
      </c>
      <c r="AW11" s="45">
        <f t="shared" si="2"/>
        <v>66031.826065033922</v>
      </c>
      <c r="AX11" s="45">
        <f t="shared" si="2"/>
        <v>64050.871283082903</v>
      </c>
      <c r="AY11" s="45">
        <f t="shared" si="2"/>
        <v>62129.345144590414</v>
      </c>
      <c r="AZ11" s="45">
        <f t="shared" si="2"/>
        <v>60265.464790252699</v>
      </c>
      <c r="BA11" s="45">
        <f t="shared" si="2"/>
        <v>63278.738029765336</v>
      </c>
      <c r="BB11" s="45">
        <f t="shared" si="2"/>
        <v>61380.375888872375</v>
      </c>
      <c r="BC11" s="45">
        <f t="shared" si="2"/>
        <v>59538.964612206204</v>
      </c>
      <c r="BD11" s="45">
        <f t="shared" si="2"/>
        <v>57752.795673840017</v>
      </c>
      <c r="BE11" s="45">
        <f t="shared" si="2"/>
        <v>56020.211803624814</v>
      </c>
      <c r="BF11" s="45">
        <f t="shared" si="2"/>
        <v>44816.169442899853</v>
      </c>
      <c r="BG11" s="45">
        <f t="shared" si="2"/>
        <v>44816.169442899853</v>
      </c>
      <c r="BH11" s="45">
        <f t="shared" si="2"/>
        <v>112040.42360724963</v>
      </c>
      <c r="BI11" s="45">
        <f t="shared" si="2"/>
        <v>89632.338885799705</v>
      </c>
      <c r="BJ11" s="45">
        <f t="shared" si="2"/>
        <v>86943.368719225706</v>
      </c>
      <c r="BK11" s="45">
        <f t="shared" si="2"/>
        <v>84335.067657648935</v>
      </c>
      <c r="BL11" s="45">
        <f t="shared" si="2"/>
        <v>81805.015627919463</v>
      </c>
    </row>
    <row r="12" spans="1:64">
      <c r="C12" t="s">
        <v>42</v>
      </c>
      <c r="D12" s="58">
        <f>INDEX(D_Assumptions!$E$16:$F$20,MATCH($C12,D_Assumptions!$C$16:$C$20,0),MATCH($B$1,D_Assumptions!$E$15:$F$15,0))</f>
        <v>3499</v>
      </c>
      <c r="E12" s="45">
        <f t="shared" ref="E12:BL12" si="3">D12*(1+E$6)</f>
        <v>3673.9500000000003</v>
      </c>
      <c r="F12" s="45">
        <f t="shared" si="3"/>
        <v>3563.7315000000003</v>
      </c>
      <c r="G12" s="45">
        <f t="shared" si="3"/>
        <v>3456.819555</v>
      </c>
      <c r="H12" s="45">
        <f t="shared" si="3"/>
        <v>3353.1149683499998</v>
      </c>
      <c r="I12" s="45">
        <f t="shared" si="3"/>
        <v>3252.5215192994997</v>
      </c>
      <c r="J12" s="45">
        <f t="shared" si="3"/>
        <v>2602.0172154396</v>
      </c>
      <c r="K12" s="45">
        <f t="shared" si="3"/>
        <v>2602.0172154396</v>
      </c>
      <c r="L12" s="45">
        <f t="shared" si="3"/>
        <v>6505.0430385990003</v>
      </c>
      <c r="M12" s="45">
        <f t="shared" si="3"/>
        <v>5204.034430879201</v>
      </c>
      <c r="N12" s="45">
        <f t="shared" si="3"/>
        <v>5047.9133979528251</v>
      </c>
      <c r="O12" s="45">
        <f t="shared" si="3"/>
        <v>4896.4759960142401</v>
      </c>
      <c r="P12" s="45">
        <f t="shared" si="3"/>
        <v>4749.5817161338127</v>
      </c>
      <c r="Q12" s="45">
        <f t="shared" si="3"/>
        <v>4987.0608019405036</v>
      </c>
      <c r="R12" s="45">
        <f t="shared" si="3"/>
        <v>4837.4489778822881</v>
      </c>
      <c r="S12" s="45">
        <f t="shared" si="3"/>
        <v>4692.3255085458195</v>
      </c>
      <c r="T12" s="45">
        <f t="shared" si="3"/>
        <v>4551.5557432894448</v>
      </c>
      <c r="U12" s="45">
        <f t="shared" si="3"/>
        <v>4415.0090709907608</v>
      </c>
      <c r="V12" s="45">
        <f t="shared" si="3"/>
        <v>3532.007256792609</v>
      </c>
      <c r="W12" s="45">
        <f t="shared" si="3"/>
        <v>3532.007256792609</v>
      </c>
      <c r="X12" s="45">
        <f t="shared" si="3"/>
        <v>8830.0181419815235</v>
      </c>
      <c r="Y12" s="45">
        <f t="shared" si="3"/>
        <v>7064.014513585219</v>
      </c>
      <c r="Z12" s="45">
        <f t="shared" si="3"/>
        <v>6852.0940781776626</v>
      </c>
      <c r="AA12" s="45">
        <f t="shared" si="3"/>
        <v>6646.5312558323321</v>
      </c>
      <c r="AB12" s="45">
        <f t="shared" si="3"/>
        <v>6447.1353181573622</v>
      </c>
      <c r="AC12" s="45">
        <f t="shared" si="3"/>
        <v>6769.4920840652303</v>
      </c>
      <c r="AD12" s="45">
        <f t="shared" si="3"/>
        <v>6566.4073215432736</v>
      </c>
      <c r="AE12" s="45">
        <f t="shared" si="3"/>
        <v>6369.4151018969751</v>
      </c>
      <c r="AF12" s="45">
        <f t="shared" si="3"/>
        <v>6178.3326488400653</v>
      </c>
      <c r="AG12" s="45">
        <f t="shared" si="3"/>
        <v>5992.9826693748628</v>
      </c>
      <c r="AH12" s="45">
        <f t="shared" si="3"/>
        <v>4794.3861354998908</v>
      </c>
      <c r="AI12" s="45">
        <f t="shared" si="3"/>
        <v>4794.3861354998908</v>
      </c>
      <c r="AJ12" s="45">
        <f t="shared" si="3"/>
        <v>11985.965338749727</v>
      </c>
      <c r="AK12" s="45">
        <f t="shared" si="3"/>
        <v>9588.7722709997815</v>
      </c>
      <c r="AL12" s="45">
        <f t="shared" si="3"/>
        <v>9301.1091028697883</v>
      </c>
      <c r="AM12" s="45">
        <f t="shared" si="3"/>
        <v>9022.0758297836946</v>
      </c>
      <c r="AN12" s="45">
        <f t="shared" si="3"/>
        <v>8751.4135548901831</v>
      </c>
      <c r="AO12" s="45">
        <f t="shared" si="3"/>
        <v>9188.9842326346934</v>
      </c>
      <c r="AP12" s="45">
        <f t="shared" si="3"/>
        <v>8913.3147056556518</v>
      </c>
      <c r="AQ12" s="45">
        <f t="shared" si="3"/>
        <v>8645.9152644859823</v>
      </c>
      <c r="AR12" s="45">
        <f t="shared" si="3"/>
        <v>8386.5378065514033</v>
      </c>
      <c r="AS12" s="45">
        <f t="shared" si="3"/>
        <v>8134.9416723548611</v>
      </c>
      <c r="AT12" s="45">
        <f t="shared" si="3"/>
        <v>6507.9533378838896</v>
      </c>
      <c r="AU12" s="45">
        <f t="shared" si="3"/>
        <v>6507.9533378838896</v>
      </c>
      <c r="AV12" s="45">
        <f t="shared" si="3"/>
        <v>16269.883344709724</v>
      </c>
      <c r="AW12" s="45">
        <f t="shared" si="3"/>
        <v>13015.906675767779</v>
      </c>
      <c r="AX12" s="45">
        <f t="shared" si="3"/>
        <v>12625.429475494746</v>
      </c>
      <c r="AY12" s="45">
        <f t="shared" si="3"/>
        <v>12246.666591229903</v>
      </c>
      <c r="AZ12" s="45">
        <f t="shared" si="3"/>
        <v>11879.266593493006</v>
      </c>
      <c r="BA12" s="45">
        <f t="shared" si="3"/>
        <v>12473.229923167657</v>
      </c>
      <c r="BB12" s="45">
        <f t="shared" si="3"/>
        <v>12099.033025472627</v>
      </c>
      <c r="BC12" s="45">
        <f t="shared" si="3"/>
        <v>11736.062034708448</v>
      </c>
      <c r="BD12" s="45">
        <f t="shared" si="3"/>
        <v>11383.980173667194</v>
      </c>
      <c r="BE12" s="45">
        <f t="shared" si="3"/>
        <v>11042.460768457178</v>
      </c>
      <c r="BF12" s="45">
        <f t="shared" si="3"/>
        <v>8833.968614765743</v>
      </c>
      <c r="BG12" s="45">
        <f t="shared" si="3"/>
        <v>8833.968614765743</v>
      </c>
      <c r="BH12" s="45">
        <f t="shared" si="3"/>
        <v>22084.921536914357</v>
      </c>
      <c r="BI12" s="45">
        <f t="shared" si="3"/>
        <v>17667.937229531486</v>
      </c>
      <c r="BJ12" s="45">
        <f t="shared" si="3"/>
        <v>17137.89911264554</v>
      </c>
      <c r="BK12" s="45">
        <f t="shared" si="3"/>
        <v>16623.762139266175</v>
      </c>
      <c r="BL12" s="45">
        <f t="shared" si="3"/>
        <v>16125.049275088189</v>
      </c>
    </row>
    <row r="13" spans="1:64">
      <c r="C13" t="s">
        <v>27</v>
      </c>
      <c r="D13" s="58">
        <f>INDEX(D_Assumptions!$E$16:$F$20,MATCH($C13,D_Assumptions!$C$16:$C$20,0),MATCH($B$1,D_Assumptions!$E$15:$F$15,0))</f>
        <v>661</v>
      </c>
      <c r="E13" s="45">
        <f t="shared" ref="E13:BL13" si="4">D13*(1+E$6)</f>
        <v>694.05000000000007</v>
      </c>
      <c r="F13" s="45">
        <f t="shared" si="4"/>
        <v>673.22850000000005</v>
      </c>
      <c r="G13" s="45">
        <f t="shared" si="4"/>
        <v>653.03164500000003</v>
      </c>
      <c r="H13" s="45">
        <f t="shared" si="4"/>
        <v>633.44069564999995</v>
      </c>
      <c r="I13" s="45">
        <f t="shared" si="4"/>
        <v>614.43747478049988</v>
      </c>
      <c r="J13" s="45">
        <f t="shared" si="4"/>
        <v>491.54997982439994</v>
      </c>
      <c r="K13" s="45">
        <f t="shared" si="4"/>
        <v>491.54997982439994</v>
      </c>
      <c r="L13" s="45">
        <f t="shared" si="4"/>
        <v>1228.8749495609998</v>
      </c>
      <c r="M13" s="45">
        <f t="shared" si="4"/>
        <v>983.09995964879988</v>
      </c>
      <c r="N13" s="45">
        <f t="shared" si="4"/>
        <v>953.60696085933591</v>
      </c>
      <c r="O13" s="45">
        <f t="shared" si="4"/>
        <v>924.99875203355577</v>
      </c>
      <c r="P13" s="45">
        <f t="shared" si="4"/>
        <v>897.24878947254911</v>
      </c>
      <c r="Q13" s="45">
        <f t="shared" si="4"/>
        <v>942.11122894617665</v>
      </c>
      <c r="R13" s="45">
        <f t="shared" si="4"/>
        <v>913.84789207779136</v>
      </c>
      <c r="S13" s="45">
        <f t="shared" si="4"/>
        <v>886.43245531545756</v>
      </c>
      <c r="T13" s="45">
        <f t="shared" si="4"/>
        <v>859.83948165599384</v>
      </c>
      <c r="U13" s="45">
        <f t="shared" si="4"/>
        <v>834.04429720631401</v>
      </c>
      <c r="V13" s="45">
        <f t="shared" si="4"/>
        <v>667.2354377650513</v>
      </c>
      <c r="W13" s="45">
        <f t="shared" si="4"/>
        <v>667.2354377650513</v>
      </c>
      <c r="X13" s="45">
        <f t="shared" si="4"/>
        <v>1668.0885944126283</v>
      </c>
      <c r="Y13" s="45">
        <f t="shared" si="4"/>
        <v>1334.4708755301026</v>
      </c>
      <c r="Z13" s="45">
        <f t="shared" si="4"/>
        <v>1294.4367492641995</v>
      </c>
      <c r="AA13" s="45">
        <f t="shared" si="4"/>
        <v>1255.6036467862734</v>
      </c>
      <c r="AB13" s="45">
        <f t="shared" si="4"/>
        <v>1217.9355373826852</v>
      </c>
      <c r="AC13" s="45">
        <f t="shared" si="4"/>
        <v>1278.8323142518195</v>
      </c>
      <c r="AD13" s="45">
        <f t="shared" si="4"/>
        <v>1240.467344824265</v>
      </c>
      <c r="AE13" s="45">
        <f t="shared" si="4"/>
        <v>1203.253324479537</v>
      </c>
      <c r="AF13" s="45">
        <f t="shared" si="4"/>
        <v>1167.1557247451508</v>
      </c>
      <c r="AG13" s="45">
        <f t="shared" si="4"/>
        <v>1132.1410530027963</v>
      </c>
      <c r="AH13" s="45">
        <f t="shared" si="4"/>
        <v>905.71284240223713</v>
      </c>
      <c r="AI13" s="45">
        <f t="shared" si="4"/>
        <v>905.71284240223713</v>
      </c>
      <c r="AJ13" s="45">
        <f t="shared" si="4"/>
        <v>2264.2821060055931</v>
      </c>
      <c r="AK13" s="45">
        <f t="shared" si="4"/>
        <v>1811.4256848044745</v>
      </c>
      <c r="AL13" s="45">
        <f t="shared" si="4"/>
        <v>1757.0829142603402</v>
      </c>
      <c r="AM13" s="45">
        <f t="shared" si="4"/>
        <v>1704.37042683253</v>
      </c>
      <c r="AN13" s="45">
        <f t="shared" si="4"/>
        <v>1653.239314027554</v>
      </c>
      <c r="AO13" s="45">
        <f t="shared" si="4"/>
        <v>1735.9012797289317</v>
      </c>
      <c r="AP13" s="45">
        <f t="shared" si="4"/>
        <v>1683.8242413370638</v>
      </c>
      <c r="AQ13" s="45">
        <f t="shared" si="4"/>
        <v>1633.3095140969517</v>
      </c>
      <c r="AR13" s="45">
        <f t="shared" si="4"/>
        <v>1584.3102286740432</v>
      </c>
      <c r="AS13" s="45">
        <f t="shared" si="4"/>
        <v>1536.7809218138218</v>
      </c>
      <c r="AT13" s="45">
        <f t="shared" si="4"/>
        <v>1229.4247374510576</v>
      </c>
      <c r="AU13" s="45">
        <f t="shared" si="4"/>
        <v>1229.4247374510576</v>
      </c>
      <c r="AV13" s="45">
        <f t="shared" si="4"/>
        <v>3073.5618436276441</v>
      </c>
      <c r="AW13" s="45">
        <f t="shared" si="4"/>
        <v>2458.8494749021156</v>
      </c>
      <c r="AX13" s="45">
        <f t="shared" si="4"/>
        <v>2385.0839906550523</v>
      </c>
      <c r="AY13" s="45">
        <f t="shared" si="4"/>
        <v>2313.5314709354006</v>
      </c>
      <c r="AZ13" s="45">
        <f t="shared" si="4"/>
        <v>2244.1255268073387</v>
      </c>
      <c r="BA13" s="45">
        <f t="shared" si="4"/>
        <v>2356.3318031477056</v>
      </c>
      <c r="BB13" s="45">
        <f t="shared" si="4"/>
        <v>2285.6418490532742</v>
      </c>
      <c r="BC13" s="45">
        <f t="shared" si="4"/>
        <v>2217.0725935816758</v>
      </c>
      <c r="BD13" s="45">
        <f t="shared" si="4"/>
        <v>2150.5604157742255</v>
      </c>
      <c r="BE13" s="45">
        <f t="shared" si="4"/>
        <v>2086.0436033009987</v>
      </c>
      <c r="BF13" s="45">
        <f t="shared" si="4"/>
        <v>1668.8348826407992</v>
      </c>
      <c r="BG13" s="45">
        <f t="shared" si="4"/>
        <v>1668.8348826407992</v>
      </c>
      <c r="BH13" s="45">
        <f t="shared" si="4"/>
        <v>4172.0872066019983</v>
      </c>
      <c r="BI13" s="45">
        <f t="shared" si="4"/>
        <v>3337.6697652815988</v>
      </c>
      <c r="BJ13" s="45">
        <f t="shared" si="4"/>
        <v>3237.5396723231506</v>
      </c>
      <c r="BK13" s="45">
        <f t="shared" si="4"/>
        <v>3140.4134821534562</v>
      </c>
      <c r="BL13" s="45">
        <f t="shared" si="4"/>
        <v>3046.2010776888524</v>
      </c>
    </row>
    <row r="15" spans="1:64">
      <c r="C15" s="46" t="s">
        <v>51</v>
      </c>
      <c r="D15" s="46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</row>
    <row r="16" spans="1:64">
      <c r="C16" t="s">
        <v>30</v>
      </c>
      <c r="D16" s="48">
        <f>INDEX(D_Assumptions!$E$25:$F$29,MATCH($C16,D_Assumptions!$C$25:$C$29,0),MATCH($B$1,D_Assumptions!$E$24:$F$24,0))</f>
        <v>14.99</v>
      </c>
      <c r="E16" s="44">
        <f>IF(C_Price_change_flags!E$41&gt;=C_Price_change_flags!$H$1,D16+C_Price_change_flags!E34,D16)</f>
        <v>14.99</v>
      </c>
      <c r="F16" s="44">
        <f>IF(C_Price_change_flags!F$41&gt;=C_Price_change_flags!$H$1,E16+C_Price_change_flags!F34,E16)</f>
        <v>14.99</v>
      </c>
      <c r="G16" s="44">
        <f>IF(C_Price_change_flags!G$41&gt;=C_Price_change_flags!$H$1,F16+C_Price_change_flags!G34,F16)</f>
        <v>14.99</v>
      </c>
      <c r="H16" s="44">
        <f>IF(C_Price_change_flags!H$41&gt;=C_Price_change_flags!$H$1,G16+C_Price_change_flags!H34,G16)</f>
        <v>14.99</v>
      </c>
      <c r="I16" s="44">
        <f>IF(C_Price_change_flags!I$41&gt;=C_Price_change_flags!$H$1,H16+C_Price_change_flags!I34,H16)</f>
        <v>14.99</v>
      </c>
      <c r="J16" s="44">
        <f>IF(C_Price_change_flags!J$41&gt;=C_Price_change_flags!$H$1,I16+C_Price_change_flags!J34,I16)</f>
        <v>14.99</v>
      </c>
      <c r="K16" s="44">
        <f>IF(C_Price_change_flags!K$41&gt;=C_Price_change_flags!$H$1,J16+C_Price_change_flags!K34,J16)</f>
        <v>14.99</v>
      </c>
      <c r="L16" s="44">
        <f>IF(C_Price_change_flags!L$41&gt;=C_Price_change_flags!$H$1,K16+C_Price_change_flags!L34,K16)</f>
        <v>14.99</v>
      </c>
      <c r="M16" s="44">
        <f>IF(C_Price_change_flags!M$41&gt;=C_Price_change_flags!$H$1,L16+C_Price_change_flags!M34,L16)</f>
        <v>14.99</v>
      </c>
      <c r="N16" s="44">
        <f>IF(C_Price_change_flags!N$41&gt;=C_Price_change_flags!$H$1,M16+C_Price_change_flags!N34,M16)</f>
        <v>14.99</v>
      </c>
      <c r="O16" s="44">
        <f>IF(C_Price_change_flags!O$41&gt;=C_Price_change_flags!$H$1,N16+C_Price_change_flags!O34,N16)</f>
        <v>14.99</v>
      </c>
      <c r="P16" s="44">
        <f>IF(C_Price_change_flags!P$41&gt;=C_Price_change_flags!$H$1,O16+C_Price_change_flags!P34,O16)</f>
        <v>14.99</v>
      </c>
      <c r="Q16" s="44">
        <f>IF(C_Price_change_flags!Q$41&gt;=C_Price_change_flags!$H$1,P16+C_Price_change_flags!Q34,P16)</f>
        <v>14.99</v>
      </c>
      <c r="R16" s="44">
        <f>IF(C_Price_change_flags!R$41&gt;=C_Price_change_flags!$H$1,Q16+C_Price_change_flags!R34,Q16)</f>
        <v>14.99</v>
      </c>
      <c r="S16" s="44">
        <f>IF(C_Price_change_flags!S$41&gt;=C_Price_change_flags!$H$1,R16+C_Price_change_flags!S34,R16)</f>
        <v>14.99</v>
      </c>
      <c r="T16" s="44">
        <f>IF(C_Price_change_flags!T$41&gt;=C_Price_change_flags!$H$1,S16+C_Price_change_flags!T34,S16)</f>
        <v>14.99</v>
      </c>
      <c r="U16" s="44">
        <f>IF(C_Price_change_flags!U$41&gt;=C_Price_change_flags!$H$1,T16+C_Price_change_flags!U34,T16)</f>
        <v>14.99</v>
      </c>
      <c r="V16" s="44">
        <f>IF(C_Price_change_flags!V$41&gt;=C_Price_change_flags!$H$1,U16+C_Price_change_flags!V34,U16)</f>
        <v>14.99</v>
      </c>
      <c r="W16" s="44">
        <f>IF(C_Price_change_flags!W$41&gt;=C_Price_change_flags!$H$1,V16+C_Price_change_flags!W34,V16)</f>
        <v>14.99</v>
      </c>
      <c r="X16" s="44">
        <f>IF(C_Price_change_flags!X$41&gt;=C_Price_change_flags!$H$1,W16+C_Price_change_flags!X34,W16)</f>
        <v>14.99</v>
      </c>
      <c r="Y16" s="44">
        <f>IF(C_Price_change_flags!Y$41&gt;=C_Price_change_flags!$H$1,X16+C_Price_change_flags!Y34,X16)</f>
        <v>14.99</v>
      </c>
      <c r="Z16" s="44">
        <f>IF(C_Price_change_flags!Z$41&gt;=C_Price_change_flags!$H$1,Y16+C_Price_change_flags!Z34,Y16)</f>
        <v>14.99</v>
      </c>
      <c r="AA16" s="44">
        <f>IF(C_Price_change_flags!AA$41&gt;=C_Price_change_flags!$H$1,Z16+C_Price_change_flags!AA34,Z16)</f>
        <v>14.99</v>
      </c>
      <c r="AB16" s="44">
        <f>IF(C_Price_change_flags!AB$41&gt;=C_Price_change_flags!$H$1,AA16+C_Price_change_flags!AB34,AA16)</f>
        <v>14.99</v>
      </c>
      <c r="AC16" s="44">
        <f>IF(C_Price_change_flags!AC$41&gt;=C_Price_change_flags!$H$1,AB16+C_Price_change_flags!AC34,AB16)</f>
        <v>14.99</v>
      </c>
      <c r="AD16" s="44">
        <f>IF(C_Price_change_flags!AD$41&gt;=C_Price_change_flags!$H$1,AC16+C_Price_change_flags!AD34,AC16)</f>
        <v>14.99</v>
      </c>
      <c r="AE16" s="44">
        <f>IF(C_Price_change_flags!AE$41&gt;=C_Price_change_flags!$H$1,AD16+C_Price_change_flags!AE34,AD16)</f>
        <v>14.99</v>
      </c>
      <c r="AF16" s="44">
        <f>IF(C_Price_change_flags!AF$41&gt;=C_Price_change_flags!$H$1,AE16+C_Price_change_flags!AF34,AE16)</f>
        <v>14.99</v>
      </c>
      <c r="AG16" s="44">
        <f>IF(C_Price_change_flags!AG$41&gt;=C_Price_change_flags!$H$1,AF16+C_Price_change_flags!AG34,AF16)</f>
        <v>14.99</v>
      </c>
      <c r="AH16" s="44">
        <f>IF(C_Price_change_flags!AH$41&gt;=C_Price_change_flags!$H$1,AG16+C_Price_change_flags!AH34,AG16)</f>
        <v>14.99</v>
      </c>
      <c r="AI16" s="44">
        <f>IF(C_Price_change_flags!AI$41&gt;=C_Price_change_flags!$H$1,AH16+C_Price_change_flags!AI34,AH16)</f>
        <v>14.99</v>
      </c>
      <c r="AJ16" s="44">
        <f>IF(C_Price_change_flags!AJ$41&gt;=C_Price_change_flags!$H$1,AI16+C_Price_change_flags!AJ34,AI16)</f>
        <v>14.99</v>
      </c>
      <c r="AK16" s="44">
        <f>IF(C_Price_change_flags!AK$41&gt;=C_Price_change_flags!$H$1,AJ16+C_Price_change_flags!AK34,AJ16)</f>
        <v>14.99</v>
      </c>
      <c r="AL16" s="44">
        <f>IF(C_Price_change_flags!AL$41&gt;=C_Price_change_flags!$H$1,AK16+C_Price_change_flags!AL34,AK16)</f>
        <v>14.99</v>
      </c>
      <c r="AM16" s="44">
        <f>IF(C_Price_change_flags!AM$41&gt;=C_Price_change_flags!$H$1,AL16+C_Price_change_flags!AM34,AL16)</f>
        <v>14.99</v>
      </c>
      <c r="AN16" s="44">
        <f>IF(C_Price_change_flags!AN$41&gt;=C_Price_change_flags!$H$1,AM16+C_Price_change_flags!AN34,AM16)</f>
        <v>19.990000000000002</v>
      </c>
      <c r="AO16" s="44">
        <f>IF(C_Price_change_flags!AO$41&gt;=C_Price_change_flags!$H$1,AN16+C_Price_change_flags!AO34,AN16)</f>
        <v>19.990000000000002</v>
      </c>
      <c r="AP16" s="44">
        <f>IF(C_Price_change_flags!AP$41&gt;=C_Price_change_flags!$H$1,AO16+C_Price_change_flags!AP34,AO16)</f>
        <v>19.990000000000002</v>
      </c>
      <c r="AQ16" s="44">
        <f>IF(C_Price_change_flags!AQ$41&gt;=C_Price_change_flags!$H$1,AP16+C_Price_change_flags!AQ34,AP16)</f>
        <v>19.990000000000002</v>
      </c>
      <c r="AR16" s="44">
        <f>IF(C_Price_change_flags!AR$41&gt;=C_Price_change_flags!$H$1,AQ16+C_Price_change_flags!AR34,AQ16)</f>
        <v>19.990000000000002</v>
      </c>
      <c r="AS16" s="44">
        <f>IF(C_Price_change_flags!AS$41&gt;=C_Price_change_flags!$H$1,AR16+C_Price_change_flags!AS34,AR16)</f>
        <v>19.990000000000002</v>
      </c>
      <c r="AT16" s="44">
        <f>IF(C_Price_change_flags!AT$41&gt;=C_Price_change_flags!$H$1,AS16+C_Price_change_flags!AT34,AS16)</f>
        <v>19.990000000000002</v>
      </c>
      <c r="AU16" s="44">
        <f>IF(C_Price_change_flags!AU$41&gt;=C_Price_change_flags!$H$1,AT16+C_Price_change_flags!AU34,AT16)</f>
        <v>19.990000000000002</v>
      </c>
      <c r="AV16" s="44">
        <f>IF(C_Price_change_flags!AV$41&gt;=C_Price_change_flags!$H$1,AU16+C_Price_change_flags!AV34,AU16)</f>
        <v>19.990000000000002</v>
      </c>
      <c r="AW16" s="44">
        <f>IF(C_Price_change_flags!AW$41&gt;=C_Price_change_flags!$H$1,AV16+C_Price_change_flags!AW34,AV16)</f>
        <v>19.990000000000002</v>
      </c>
      <c r="AX16" s="44">
        <f>IF(C_Price_change_flags!AX$41&gt;=C_Price_change_flags!$H$1,AW16+C_Price_change_flags!AX34,AW16)</f>
        <v>19.990000000000002</v>
      </c>
      <c r="AY16" s="44">
        <f>IF(C_Price_change_flags!AY$41&gt;=C_Price_change_flags!$H$1,AX16+C_Price_change_flags!AY34,AX16)</f>
        <v>19.990000000000002</v>
      </c>
      <c r="AZ16" s="44">
        <f>IF(C_Price_change_flags!AZ$41&gt;=C_Price_change_flags!$H$1,AY16+C_Price_change_flags!AZ34,AY16)</f>
        <v>19.990000000000002</v>
      </c>
      <c r="BA16" s="44">
        <f>IF(C_Price_change_flags!BA$41&gt;=C_Price_change_flags!$H$1,AZ16+C_Price_change_flags!BA34,AZ16)</f>
        <v>19.990000000000002</v>
      </c>
      <c r="BB16" s="44">
        <f>IF(C_Price_change_flags!BB$41&gt;=C_Price_change_flags!$H$1,BA16+C_Price_change_flags!BB34,BA16)</f>
        <v>19.990000000000002</v>
      </c>
      <c r="BC16" s="44">
        <f>IF(C_Price_change_flags!BC$41&gt;=C_Price_change_flags!$H$1,BB16+C_Price_change_flags!BC34,BB16)</f>
        <v>19.990000000000002</v>
      </c>
      <c r="BD16" s="44">
        <f>IF(C_Price_change_flags!BD$41&gt;=C_Price_change_flags!$H$1,BC16+C_Price_change_flags!BD34,BC16)</f>
        <v>19.990000000000002</v>
      </c>
      <c r="BE16" s="44">
        <f>IF(C_Price_change_flags!BE$41&gt;=C_Price_change_flags!$H$1,BD16+C_Price_change_flags!BE34,BD16)</f>
        <v>19.990000000000002</v>
      </c>
      <c r="BF16" s="44">
        <f>IF(C_Price_change_flags!BF$41&gt;=C_Price_change_flags!$H$1,BE16+C_Price_change_flags!BF34,BE16)</f>
        <v>19.990000000000002</v>
      </c>
      <c r="BG16" s="44">
        <f>IF(C_Price_change_flags!BG$41&gt;=C_Price_change_flags!$H$1,BF16+C_Price_change_flags!BG34,BF16)</f>
        <v>19.990000000000002</v>
      </c>
      <c r="BH16" s="44">
        <f>IF(C_Price_change_flags!BH$41&gt;=C_Price_change_flags!$H$1,BG16+C_Price_change_flags!BH34,BG16)</f>
        <v>19.990000000000002</v>
      </c>
      <c r="BI16" s="44">
        <f>IF(C_Price_change_flags!BI$41&gt;=C_Price_change_flags!$H$1,BH16+C_Price_change_flags!BI34,BH16)</f>
        <v>19.990000000000002</v>
      </c>
      <c r="BJ16" s="44">
        <f>IF(C_Price_change_flags!BJ$41&gt;=C_Price_change_flags!$H$1,BI16+C_Price_change_flags!BJ34,BI16)</f>
        <v>19.990000000000002</v>
      </c>
      <c r="BK16" s="44">
        <f>IF(C_Price_change_flags!BK$41&gt;=C_Price_change_flags!$H$1,BJ16+C_Price_change_flags!BK34,BJ16)</f>
        <v>19.990000000000002</v>
      </c>
      <c r="BL16" s="44">
        <f>IF(C_Price_change_flags!BL$41&gt;=C_Price_change_flags!$H$1,BK16+C_Price_change_flags!BL34,BK16)</f>
        <v>19.990000000000002</v>
      </c>
    </row>
    <row r="17" spans="3:64">
      <c r="C17" t="s">
        <v>29</v>
      </c>
      <c r="D17" s="48">
        <f>INDEX(D_Assumptions!$E$25:$F$29,MATCH($C17,D_Assumptions!$C$25:$C$29,0),MATCH($B$1,D_Assumptions!$E$24:$F$24,0))</f>
        <v>29.99</v>
      </c>
      <c r="E17">
        <f>IF(C_Price_change_flags!E$41&gt;=C_Price_change_flags!$H$1,D17+C_Price_change_flags!E35,D17)</f>
        <v>29.99</v>
      </c>
      <c r="F17">
        <f>IF(C_Price_change_flags!F$41&gt;=C_Price_change_flags!$H$1,E17+C_Price_change_flags!F35,E17)</f>
        <v>29.99</v>
      </c>
      <c r="G17">
        <f>IF(C_Price_change_flags!G$41&gt;=C_Price_change_flags!$H$1,F17+C_Price_change_flags!G35,F17)</f>
        <v>29.99</v>
      </c>
      <c r="H17">
        <f>IF(C_Price_change_flags!H$41&gt;=C_Price_change_flags!$H$1,G17+C_Price_change_flags!H35,G17)</f>
        <v>29.99</v>
      </c>
      <c r="I17">
        <f>IF(C_Price_change_flags!I$41&gt;=C_Price_change_flags!$H$1,H17+C_Price_change_flags!I35,H17)</f>
        <v>29.99</v>
      </c>
      <c r="J17">
        <f>IF(C_Price_change_flags!J$41&gt;=C_Price_change_flags!$H$1,I17+C_Price_change_flags!J35,I17)</f>
        <v>29.99</v>
      </c>
      <c r="K17">
        <f>IF(C_Price_change_flags!K$41&gt;=C_Price_change_flags!$H$1,J17+C_Price_change_flags!K35,J17)</f>
        <v>29.99</v>
      </c>
      <c r="L17">
        <f>IF(C_Price_change_flags!L$41&gt;=C_Price_change_flags!$H$1,K17+C_Price_change_flags!L35,K17)</f>
        <v>29.99</v>
      </c>
      <c r="M17">
        <f>IF(C_Price_change_flags!M$41&gt;=C_Price_change_flags!$H$1,L17+C_Price_change_flags!M35,L17)</f>
        <v>29.99</v>
      </c>
      <c r="N17">
        <f>IF(C_Price_change_flags!N$41&gt;=C_Price_change_flags!$H$1,M17+C_Price_change_flags!N35,M17)</f>
        <v>29.99</v>
      </c>
      <c r="O17">
        <f>IF(C_Price_change_flags!O$41&gt;=C_Price_change_flags!$H$1,N17+C_Price_change_flags!O35,N17)</f>
        <v>29.99</v>
      </c>
      <c r="P17">
        <f>IF(C_Price_change_flags!P$41&gt;=C_Price_change_flags!$H$1,O17+C_Price_change_flags!P35,O17)</f>
        <v>29.99</v>
      </c>
      <c r="Q17">
        <f>IF(C_Price_change_flags!Q$41&gt;=C_Price_change_flags!$H$1,P17+C_Price_change_flags!Q35,P17)</f>
        <v>29.99</v>
      </c>
      <c r="R17">
        <f>IF(C_Price_change_flags!R$41&gt;=C_Price_change_flags!$H$1,Q17+C_Price_change_flags!R35,Q17)</f>
        <v>29.99</v>
      </c>
      <c r="S17">
        <f>IF(C_Price_change_flags!S$41&gt;=C_Price_change_flags!$H$1,R17+C_Price_change_flags!S35,R17)</f>
        <v>29.99</v>
      </c>
      <c r="T17">
        <f>IF(C_Price_change_flags!T$41&gt;=C_Price_change_flags!$H$1,S17+C_Price_change_flags!T35,S17)</f>
        <v>29.99</v>
      </c>
      <c r="U17">
        <f>IF(C_Price_change_flags!U$41&gt;=C_Price_change_flags!$H$1,T17+C_Price_change_flags!U35,T17)</f>
        <v>29.99</v>
      </c>
      <c r="V17">
        <f>IF(C_Price_change_flags!V$41&gt;=C_Price_change_flags!$H$1,U17+C_Price_change_flags!V35,U17)</f>
        <v>29.99</v>
      </c>
      <c r="W17">
        <f>IF(C_Price_change_flags!W$41&gt;=C_Price_change_flags!$H$1,V17+C_Price_change_flags!W35,V17)</f>
        <v>29.99</v>
      </c>
      <c r="X17">
        <f>IF(C_Price_change_flags!X$41&gt;=C_Price_change_flags!$H$1,W17+C_Price_change_flags!X35,W17)</f>
        <v>29.99</v>
      </c>
      <c r="Y17">
        <f>IF(C_Price_change_flags!Y$41&gt;=C_Price_change_flags!$H$1,X17+C_Price_change_flags!Y35,X17)</f>
        <v>29.99</v>
      </c>
      <c r="Z17">
        <f>IF(C_Price_change_flags!Z$41&gt;=C_Price_change_flags!$H$1,Y17+C_Price_change_flags!Z35,Y17)</f>
        <v>29.99</v>
      </c>
      <c r="AA17">
        <f>IF(C_Price_change_flags!AA$41&gt;=C_Price_change_flags!$H$1,Z17+C_Price_change_flags!AA35,Z17)</f>
        <v>29.99</v>
      </c>
      <c r="AB17">
        <f>IF(C_Price_change_flags!AB$41&gt;=C_Price_change_flags!$H$1,AA17+C_Price_change_flags!AB35,AA17)</f>
        <v>29.99</v>
      </c>
      <c r="AC17">
        <f>IF(C_Price_change_flags!AC$41&gt;=C_Price_change_flags!$H$1,AB17+C_Price_change_flags!AC35,AB17)</f>
        <v>34.989999999999995</v>
      </c>
      <c r="AD17">
        <f>IF(C_Price_change_flags!AD$41&gt;=C_Price_change_flags!$H$1,AC17+C_Price_change_flags!AD35,AC17)</f>
        <v>34.989999999999995</v>
      </c>
      <c r="AE17">
        <f>IF(C_Price_change_flags!AE$41&gt;=C_Price_change_flags!$H$1,AD17+C_Price_change_flags!AE35,AD17)</f>
        <v>34.989999999999995</v>
      </c>
      <c r="AF17">
        <f>IF(C_Price_change_flags!AF$41&gt;=C_Price_change_flags!$H$1,AE17+C_Price_change_flags!AF35,AE17)</f>
        <v>34.989999999999995</v>
      </c>
      <c r="AG17">
        <f>IF(C_Price_change_flags!AG$41&gt;=C_Price_change_flags!$H$1,AF17+C_Price_change_flags!AG35,AF17)</f>
        <v>34.989999999999995</v>
      </c>
      <c r="AH17">
        <f>IF(C_Price_change_flags!AH$41&gt;=C_Price_change_flags!$H$1,AG17+C_Price_change_flags!AH35,AG17)</f>
        <v>34.989999999999995</v>
      </c>
      <c r="AI17">
        <f>IF(C_Price_change_flags!AI$41&gt;=C_Price_change_flags!$H$1,AH17+C_Price_change_flags!AI35,AH17)</f>
        <v>34.989999999999995</v>
      </c>
      <c r="AJ17">
        <f>IF(C_Price_change_flags!AJ$41&gt;=C_Price_change_flags!$H$1,AI17+C_Price_change_flags!AJ35,AI17)</f>
        <v>34.989999999999995</v>
      </c>
      <c r="AK17">
        <f>IF(C_Price_change_flags!AK$41&gt;=C_Price_change_flags!$H$1,AJ17+C_Price_change_flags!AK35,AJ17)</f>
        <v>34.989999999999995</v>
      </c>
      <c r="AL17">
        <f>IF(C_Price_change_flags!AL$41&gt;=C_Price_change_flags!$H$1,AK17+C_Price_change_flags!AL35,AK17)</f>
        <v>34.989999999999995</v>
      </c>
      <c r="AM17">
        <f>IF(C_Price_change_flags!AM$41&gt;=C_Price_change_flags!$H$1,AL17+C_Price_change_flags!AM35,AL17)</f>
        <v>34.989999999999995</v>
      </c>
      <c r="AN17">
        <f>IF(C_Price_change_flags!AN$41&gt;=C_Price_change_flags!$H$1,AM17+C_Price_change_flags!AN35,AM17)</f>
        <v>34.989999999999995</v>
      </c>
      <c r="AO17">
        <f>IF(C_Price_change_flags!AO$41&gt;=C_Price_change_flags!$H$1,AN17+C_Price_change_flags!AO35,AN17)</f>
        <v>34.989999999999995</v>
      </c>
      <c r="AP17">
        <f>IF(C_Price_change_flags!AP$41&gt;=C_Price_change_flags!$H$1,AO17+C_Price_change_flags!AP35,AO17)</f>
        <v>34.989999999999995</v>
      </c>
      <c r="AQ17">
        <f>IF(C_Price_change_flags!AQ$41&gt;=C_Price_change_flags!$H$1,AP17+C_Price_change_flags!AQ35,AP17)</f>
        <v>34.989999999999995</v>
      </c>
      <c r="AR17">
        <f>IF(C_Price_change_flags!AR$41&gt;=C_Price_change_flags!$H$1,AQ17+C_Price_change_flags!AR35,AQ17)</f>
        <v>34.989999999999995</v>
      </c>
      <c r="AS17">
        <f>IF(C_Price_change_flags!AS$41&gt;=C_Price_change_flags!$H$1,AR17+C_Price_change_flags!AS35,AR17)</f>
        <v>34.989999999999995</v>
      </c>
      <c r="AT17">
        <f>IF(C_Price_change_flags!AT$41&gt;=C_Price_change_flags!$H$1,AS17+C_Price_change_flags!AT35,AS17)</f>
        <v>34.989999999999995</v>
      </c>
      <c r="AU17">
        <f>IF(C_Price_change_flags!AU$41&gt;=C_Price_change_flags!$H$1,AT17+C_Price_change_flags!AU35,AT17)</f>
        <v>34.989999999999995</v>
      </c>
      <c r="AV17">
        <f>IF(C_Price_change_flags!AV$41&gt;=C_Price_change_flags!$H$1,AU17+C_Price_change_flags!AV35,AU17)</f>
        <v>34.989999999999995</v>
      </c>
      <c r="AW17">
        <f>IF(C_Price_change_flags!AW$41&gt;=C_Price_change_flags!$H$1,AV17+C_Price_change_flags!AW35,AV17)</f>
        <v>34.989999999999995</v>
      </c>
      <c r="AX17">
        <f>IF(C_Price_change_flags!AX$41&gt;=C_Price_change_flags!$H$1,AW17+C_Price_change_flags!AX35,AW17)</f>
        <v>34.989999999999995</v>
      </c>
      <c r="AY17">
        <f>IF(C_Price_change_flags!AY$41&gt;=C_Price_change_flags!$H$1,AX17+C_Price_change_flags!AY35,AX17)</f>
        <v>34.989999999999995</v>
      </c>
      <c r="AZ17">
        <f>IF(C_Price_change_flags!AZ$41&gt;=C_Price_change_flags!$H$1,AY17+C_Price_change_flags!AZ35,AY17)</f>
        <v>34.989999999999995</v>
      </c>
      <c r="BA17">
        <f>IF(C_Price_change_flags!BA$41&gt;=C_Price_change_flags!$H$1,AZ17+C_Price_change_flags!BA35,AZ17)</f>
        <v>34.989999999999995</v>
      </c>
      <c r="BB17">
        <f>IF(C_Price_change_flags!BB$41&gt;=C_Price_change_flags!$H$1,BA17+C_Price_change_flags!BB35,BA17)</f>
        <v>34.989999999999995</v>
      </c>
      <c r="BC17">
        <f>IF(C_Price_change_flags!BC$41&gt;=C_Price_change_flags!$H$1,BB17+C_Price_change_flags!BC35,BB17)</f>
        <v>34.989999999999995</v>
      </c>
      <c r="BD17">
        <f>IF(C_Price_change_flags!BD$41&gt;=C_Price_change_flags!$H$1,BC17+C_Price_change_flags!BD35,BC17)</f>
        <v>34.989999999999995</v>
      </c>
      <c r="BE17">
        <f>IF(C_Price_change_flags!BE$41&gt;=C_Price_change_flags!$H$1,BD17+C_Price_change_flags!BE35,BD17)</f>
        <v>34.989999999999995</v>
      </c>
      <c r="BF17">
        <f>IF(C_Price_change_flags!BF$41&gt;=C_Price_change_flags!$H$1,BE17+C_Price_change_flags!BF35,BE17)</f>
        <v>34.989999999999995</v>
      </c>
      <c r="BG17">
        <f>IF(C_Price_change_flags!BG$41&gt;=C_Price_change_flags!$H$1,BF17+C_Price_change_flags!BG35,BF17)</f>
        <v>39.989999999999995</v>
      </c>
      <c r="BH17">
        <f>IF(C_Price_change_flags!BH$41&gt;=C_Price_change_flags!$H$1,BG17+C_Price_change_flags!BH35,BG17)</f>
        <v>39.989999999999995</v>
      </c>
      <c r="BI17">
        <f>IF(C_Price_change_flags!BI$41&gt;=C_Price_change_flags!$H$1,BH17+C_Price_change_flags!BI35,BH17)</f>
        <v>39.989999999999995</v>
      </c>
      <c r="BJ17">
        <f>IF(C_Price_change_flags!BJ$41&gt;=C_Price_change_flags!$H$1,BI17+C_Price_change_flags!BJ35,BI17)</f>
        <v>39.989999999999995</v>
      </c>
      <c r="BK17">
        <f>IF(C_Price_change_flags!BK$41&gt;=C_Price_change_flags!$H$1,BJ17+C_Price_change_flags!BK35,BJ17)</f>
        <v>39.989999999999995</v>
      </c>
      <c r="BL17">
        <f>IF(C_Price_change_flags!BL$41&gt;=C_Price_change_flags!$H$1,BK17+C_Price_change_flags!BL35,BK17)</f>
        <v>39.989999999999995</v>
      </c>
    </row>
    <row r="18" spans="3:64">
      <c r="C18" t="s">
        <v>28</v>
      </c>
      <c r="D18" s="48">
        <f>INDEX(D_Assumptions!$E$25:$F$29,MATCH($C18,D_Assumptions!$C$25:$C$29,0),MATCH($B$1,D_Assumptions!$E$24:$F$24,0))</f>
        <v>44.99</v>
      </c>
      <c r="E18">
        <f>IF(C_Price_change_flags!E$41&gt;=C_Price_change_flags!$H$1,D18+C_Price_change_flags!E36,D18)</f>
        <v>44.99</v>
      </c>
      <c r="F18">
        <f>IF(C_Price_change_flags!F$41&gt;=C_Price_change_flags!$H$1,E18+C_Price_change_flags!F36,E18)</f>
        <v>44.99</v>
      </c>
      <c r="G18">
        <f>IF(C_Price_change_flags!G$41&gt;=C_Price_change_flags!$H$1,F18+C_Price_change_flags!G36,F18)</f>
        <v>44.99</v>
      </c>
      <c r="H18">
        <f>IF(C_Price_change_flags!H$41&gt;=C_Price_change_flags!$H$1,G18+C_Price_change_flags!H36,G18)</f>
        <v>44.99</v>
      </c>
      <c r="I18">
        <f>IF(C_Price_change_flags!I$41&gt;=C_Price_change_flags!$H$1,H18+C_Price_change_flags!I36,H18)</f>
        <v>44.99</v>
      </c>
      <c r="J18">
        <f>IF(C_Price_change_flags!J$41&gt;=C_Price_change_flags!$H$1,I18+C_Price_change_flags!J36,I18)</f>
        <v>44.99</v>
      </c>
      <c r="K18">
        <f>IF(C_Price_change_flags!K$41&gt;=C_Price_change_flags!$H$1,J18+C_Price_change_flags!K36,J18)</f>
        <v>44.99</v>
      </c>
      <c r="L18">
        <f>IF(C_Price_change_flags!L$41&gt;=C_Price_change_flags!$H$1,K18+C_Price_change_flags!L36,K18)</f>
        <v>44.99</v>
      </c>
      <c r="M18">
        <f>IF(C_Price_change_flags!M$41&gt;=C_Price_change_flags!$H$1,L18+C_Price_change_flags!M36,L18)</f>
        <v>44.99</v>
      </c>
      <c r="N18">
        <f>IF(C_Price_change_flags!N$41&gt;=C_Price_change_flags!$H$1,M18+C_Price_change_flags!N36,M18)</f>
        <v>44.99</v>
      </c>
      <c r="O18">
        <f>IF(C_Price_change_flags!O$41&gt;=C_Price_change_flags!$H$1,N18+C_Price_change_flags!O36,N18)</f>
        <v>44.99</v>
      </c>
      <c r="P18">
        <f>IF(C_Price_change_flags!P$41&gt;=C_Price_change_flags!$H$1,O18+C_Price_change_flags!P36,O18)</f>
        <v>44.99</v>
      </c>
      <c r="Q18">
        <f>IF(C_Price_change_flags!Q$41&gt;=C_Price_change_flags!$H$1,P18+C_Price_change_flags!Q36,P18)</f>
        <v>44.99</v>
      </c>
      <c r="R18">
        <f>IF(C_Price_change_flags!R$41&gt;=C_Price_change_flags!$H$1,Q18+C_Price_change_flags!R36,Q18)</f>
        <v>44.99</v>
      </c>
      <c r="S18">
        <f>IF(C_Price_change_flags!S$41&gt;=C_Price_change_flags!$H$1,R18+C_Price_change_flags!S36,R18)</f>
        <v>49.99</v>
      </c>
      <c r="T18">
        <f>IF(C_Price_change_flags!T$41&gt;=C_Price_change_flags!$H$1,S18+C_Price_change_flags!T36,S18)</f>
        <v>49.99</v>
      </c>
      <c r="U18">
        <f>IF(C_Price_change_flags!U$41&gt;=C_Price_change_flags!$H$1,T18+C_Price_change_flags!U36,T18)</f>
        <v>49.99</v>
      </c>
      <c r="V18">
        <f>IF(C_Price_change_flags!V$41&gt;=C_Price_change_flags!$H$1,U18+C_Price_change_flags!V36,U18)</f>
        <v>49.99</v>
      </c>
      <c r="W18">
        <f>IF(C_Price_change_flags!W$41&gt;=C_Price_change_flags!$H$1,V18+C_Price_change_flags!W36,V18)</f>
        <v>49.99</v>
      </c>
      <c r="X18">
        <f>IF(C_Price_change_flags!X$41&gt;=C_Price_change_flags!$H$1,W18+C_Price_change_flags!X36,W18)</f>
        <v>49.99</v>
      </c>
      <c r="Y18">
        <f>IF(C_Price_change_flags!Y$41&gt;=C_Price_change_flags!$H$1,X18+C_Price_change_flags!Y36,X18)</f>
        <v>49.99</v>
      </c>
      <c r="Z18">
        <f>IF(C_Price_change_flags!Z$41&gt;=C_Price_change_flags!$H$1,Y18+C_Price_change_flags!Z36,Y18)</f>
        <v>49.99</v>
      </c>
      <c r="AA18">
        <f>IF(C_Price_change_flags!AA$41&gt;=C_Price_change_flags!$H$1,Z18+C_Price_change_flags!AA36,Z18)</f>
        <v>49.99</v>
      </c>
      <c r="AB18">
        <f>IF(C_Price_change_flags!AB$41&gt;=C_Price_change_flags!$H$1,AA18+C_Price_change_flags!AB36,AA18)</f>
        <v>49.99</v>
      </c>
      <c r="AC18">
        <f>IF(C_Price_change_flags!AC$41&gt;=C_Price_change_flags!$H$1,AB18+C_Price_change_flags!AC36,AB18)</f>
        <v>49.99</v>
      </c>
      <c r="AD18">
        <f>IF(C_Price_change_flags!AD$41&gt;=C_Price_change_flags!$H$1,AC18+C_Price_change_flags!AD36,AC18)</f>
        <v>49.99</v>
      </c>
      <c r="AE18">
        <f>IF(C_Price_change_flags!AE$41&gt;=C_Price_change_flags!$H$1,AD18+C_Price_change_flags!AE36,AD18)</f>
        <v>49.99</v>
      </c>
      <c r="AF18">
        <f>IF(C_Price_change_flags!AF$41&gt;=C_Price_change_flags!$H$1,AE18+C_Price_change_flags!AF36,AE18)</f>
        <v>49.99</v>
      </c>
      <c r="AG18">
        <f>IF(C_Price_change_flags!AG$41&gt;=C_Price_change_flags!$H$1,AF18+C_Price_change_flags!AG36,AF18)</f>
        <v>49.99</v>
      </c>
      <c r="AH18">
        <f>IF(C_Price_change_flags!AH$41&gt;=C_Price_change_flags!$H$1,AG18+C_Price_change_flags!AH36,AG18)</f>
        <v>49.99</v>
      </c>
      <c r="AI18">
        <f>IF(C_Price_change_flags!AI$41&gt;=C_Price_change_flags!$H$1,AH18+C_Price_change_flags!AI36,AH18)</f>
        <v>49.99</v>
      </c>
      <c r="AJ18">
        <f>IF(C_Price_change_flags!AJ$41&gt;=C_Price_change_flags!$H$1,AI18+C_Price_change_flags!AJ36,AI18)</f>
        <v>49.99</v>
      </c>
      <c r="AK18">
        <f>IF(C_Price_change_flags!AK$41&gt;=C_Price_change_flags!$H$1,AJ18+C_Price_change_flags!AK36,AJ18)</f>
        <v>49.99</v>
      </c>
      <c r="AL18">
        <f>IF(C_Price_change_flags!AL$41&gt;=C_Price_change_flags!$H$1,AK18+C_Price_change_flags!AL36,AK18)</f>
        <v>49.99</v>
      </c>
      <c r="AM18">
        <f>IF(C_Price_change_flags!AM$41&gt;=C_Price_change_flags!$H$1,AL18+C_Price_change_flags!AM36,AL18)</f>
        <v>49.99</v>
      </c>
      <c r="AN18">
        <f>IF(C_Price_change_flags!AN$41&gt;=C_Price_change_flags!$H$1,AM18+C_Price_change_flags!AN36,AM18)</f>
        <v>54.99</v>
      </c>
      <c r="AO18">
        <f>IF(C_Price_change_flags!AO$41&gt;=C_Price_change_flags!$H$1,AN18+C_Price_change_flags!AO36,AN18)</f>
        <v>54.99</v>
      </c>
      <c r="AP18">
        <f>IF(C_Price_change_flags!AP$41&gt;=C_Price_change_flags!$H$1,AO18+C_Price_change_flags!AP36,AO18)</f>
        <v>54.99</v>
      </c>
      <c r="AQ18">
        <f>IF(C_Price_change_flags!AQ$41&gt;=C_Price_change_flags!$H$1,AP18+C_Price_change_flags!AQ36,AP18)</f>
        <v>54.99</v>
      </c>
      <c r="AR18">
        <f>IF(C_Price_change_flags!AR$41&gt;=C_Price_change_flags!$H$1,AQ18+C_Price_change_flags!AR36,AQ18)</f>
        <v>54.99</v>
      </c>
      <c r="AS18">
        <f>IF(C_Price_change_flags!AS$41&gt;=C_Price_change_flags!$H$1,AR18+C_Price_change_flags!AS36,AR18)</f>
        <v>54.99</v>
      </c>
      <c r="AT18">
        <f>IF(C_Price_change_flags!AT$41&gt;=C_Price_change_flags!$H$1,AS18+C_Price_change_flags!AT36,AS18)</f>
        <v>54.99</v>
      </c>
      <c r="AU18">
        <f>IF(C_Price_change_flags!AU$41&gt;=C_Price_change_flags!$H$1,AT18+C_Price_change_flags!AU36,AT18)</f>
        <v>54.99</v>
      </c>
      <c r="AV18">
        <f>IF(C_Price_change_flags!AV$41&gt;=C_Price_change_flags!$H$1,AU18+C_Price_change_flags!AV36,AU18)</f>
        <v>54.99</v>
      </c>
      <c r="AW18">
        <f>IF(C_Price_change_flags!AW$41&gt;=C_Price_change_flags!$H$1,AV18+C_Price_change_flags!AW36,AV18)</f>
        <v>54.99</v>
      </c>
      <c r="AX18">
        <f>IF(C_Price_change_flags!AX$41&gt;=C_Price_change_flags!$H$1,AW18+C_Price_change_flags!AX36,AW18)</f>
        <v>54.99</v>
      </c>
      <c r="AY18">
        <f>IF(C_Price_change_flags!AY$41&gt;=C_Price_change_flags!$H$1,AX18+C_Price_change_flags!AY36,AX18)</f>
        <v>54.99</v>
      </c>
      <c r="AZ18">
        <f>IF(C_Price_change_flags!AZ$41&gt;=C_Price_change_flags!$H$1,AY18+C_Price_change_flags!AZ36,AY18)</f>
        <v>54.99</v>
      </c>
      <c r="BA18">
        <f>IF(C_Price_change_flags!BA$41&gt;=C_Price_change_flags!$H$1,AZ18+C_Price_change_flags!BA36,AZ18)</f>
        <v>54.99</v>
      </c>
      <c r="BB18">
        <f>IF(C_Price_change_flags!BB$41&gt;=C_Price_change_flags!$H$1,BA18+C_Price_change_flags!BB36,BA18)</f>
        <v>54.99</v>
      </c>
      <c r="BC18">
        <f>IF(C_Price_change_flags!BC$41&gt;=C_Price_change_flags!$H$1,BB18+C_Price_change_flags!BC36,BB18)</f>
        <v>54.99</v>
      </c>
      <c r="BD18">
        <f>IF(C_Price_change_flags!BD$41&gt;=C_Price_change_flags!$H$1,BC18+C_Price_change_flags!BD36,BC18)</f>
        <v>54.99</v>
      </c>
      <c r="BE18">
        <f>IF(C_Price_change_flags!BE$41&gt;=C_Price_change_flags!$H$1,BD18+C_Price_change_flags!BE36,BD18)</f>
        <v>54.99</v>
      </c>
      <c r="BF18">
        <f>IF(C_Price_change_flags!BF$41&gt;=C_Price_change_flags!$H$1,BE18+C_Price_change_flags!BF36,BE18)</f>
        <v>54.99</v>
      </c>
      <c r="BG18">
        <f>IF(C_Price_change_flags!BG$41&gt;=C_Price_change_flags!$H$1,BF18+C_Price_change_flags!BG36,BF18)</f>
        <v>54.99</v>
      </c>
      <c r="BH18">
        <f>IF(C_Price_change_flags!BH$41&gt;=C_Price_change_flags!$H$1,BG18+C_Price_change_flags!BH36,BG18)</f>
        <v>54.99</v>
      </c>
      <c r="BI18">
        <f>IF(C_Price_change_flags!BI$41&gt;=C_Price_change_flags!$H$1,BH18+C_Price_change_flags!BI36,BH18)</f>
        <v>54.99</v>
      </c>
      <c r="BJ18">
        <f>IF(C_Price_change_flags!BJ$41&gt;=C_Price_change_flags!$H$1,BI18+C_Price_change_flags!BJ36,BI18)</f>
        <v>54.99</v>
      </c>
      <c r="BK18">
        <f>IF(C_Price_change_flags!BK$41&gt;=C_Price_change_flags!$H$1,BJ18+C_Price_change_flags!BK36,BJ18)</f>
        <v>54.99</v>
      </c>
      <c r="BL18">
        <f>IF(C_Price_change_flags!BL$41&gt;=C_Price_change_flags!$H$1,BK18+C_Price_change_flags!BL36,BK18)</f>
        <v>54.99</v>
      </c>
    </row>
    <row r="19" spans="3:64">
      <c r="C19" t="s">
        <v>42</v>
      </c>
      <c r="D19" s="48">
        <f>INDEX(D_Assumptions!$E$25:$F$29,MATCH($C19,D_Assumptions!$C$25:$C$29,0),MATCH($B$1,D_Assumptions!$E$24:$F$24,0))</f>
        <v>74.989999999999995</v>
      </c>
      <c r="E19">
        <f>IF(C_Price_change_flags!E$41&gt;=C_Price_change_flags!$H$1,D19+C_Price_change_flags!E37,D19)</f>
        <v>74.989999999999995</v>
      </c>
      <c r="F19">
        <f>IF(C_Price_change_flags!F$41&gt;=C_Price_change_flags!$H$1,E19+C_Price_change_flags!F37,E19)</f>
        <v>74.989999999999995</v>
      </c>
      <c r="G19">
        <f>IF(C_Price_change_flags!G$41&gt;=C_Price_change_flags!$H$1,F19+C_Price_change_flags!G37,F19)</f>
        <v>74.989999999999995</v>
      </c>
      <c r="H19">
        <f>IF(C_Price_change_flags!H$41&gt;=C_Price_change_flags!$H$1,G19+C_Price_change_flags!H37,G19)</f>
        <v>74.989999999999995</v>
      </c>
      <c r="I19">
        <f>IF(C_Price_change_flags!I$41&gt;=C_Price_change_flags!$H$1,H19+C_Price_change_flags!I37,H19)</f>
        <v>74.989999999999995</v>
      </c>
      <c r="J19">
        <f>IF(C_Price_change_flags!J$41&gt;=C_Price_change_flags!$H$1,I19+C_Price_change_flags!J37,I19)</f>
        <v>74.989999999999995</v>
      </c>
      <c r="K19">
        <f>IF(C_Price_change_flags!K$41&gt;=C_Price_change_flags!$H$1,J19+C_Price_change_flags!K37,J19)</f>
        <v>74.989999999999995</v>
      </c>
      <c r="L19">
        <f>IF(C_Price_change_flags!L$41&gt;=C_Price_change_flags!$H$1,K19+C_Price_change_flags!L37,K19)</f>
        <v>74.989999999999995</v>
      </c>
      <c r="M19">
        <f>IF(C_Price_change_flags!M$41&gt;=C_Price_change_flags!$H$1,L19+C_Price_change_flags!M37,L19)</f>
        <v>74.989999999999995</v>
      </c>
      <c r="N19">
        <f>IF(C_Price_change_flags!N$41&gt;=C_Price_change_flags!$H$1,M19+C_Price_change_flags!N37,M19)</f>
        <v>74.989999999999995</v>
      </c>
      <c r="O19">
        <f>IF(C_Price_change_flags!O$41&gt;=C_Price_change_flags!$H$1,N19+C_Price_change_flags!O37,N19)</f>
        <v>74.989999999999995</v>
      </c>
      <c r="P19">
        <f>IF(C_Price_change_flags!P$41&gt;=C_Price_change_flags!$H$1,O19+C_Price_change_flags!P37,O19)</f>
        <v>74.989999999999995</v>
      </c>
      <c r="Q19">
        <f>IF(C_Price_change_flags!Q$41&gt;=C_Price_change_flags!$H$1,P19+C_Price_change_flags!Q37,P19)</f>
        <v>74.989999999999995</v>
      </c>
      <c r="R19">
        <f>IF(C_Price_change_flags!R$41&gt;=C_Price_change_flags!$H$1,Q19+C_Price_change_flags!R37,Q19)</f>
        <v>74.989999999999995</v>
      </c>
      <c r="S19">
        <f>IF(C_Price_change_flags!S$41&gt;=C_Price_change_flags!$H$1,R19+C_Price_change_flags!S37,R19)</f>
        <v>79.989999999999995</v>
      </c>
      <c r="T19">
        <f>IF(C_Price_change_flags!T$41&gt;=C_Price_change_flags!$H$1,S19+C_Price_change_flags!T37,S19)</f>
        <v>79.989999999999995</v>
      </c>
      <c r="U19">
        <f>IF(C_Price_change_flags!U$41&gt;=C_Price_change_flags!$H$1,T19+C_Price_change_flags!U37,T19)</f>
        <v>79.989999999999995</v>
      </c>
      <c r="V19">
        <f>IF(C_Price_change_flags!V$41&gt;=C_Price_change_flags!$H$1,U19+C_Price_change_flags!V37,U19)</f>
        <v>79.989999999999995</v>
      </c>
      <c r="W19">
        <f>IF(C_Price_change_flags!W$41&gt;=C_Price_change_flags!$H$1,V19+C_Price_change_flags!W37,V19)</f>
        <v>79.989999999999995</v>
      </c>
      <c r="X19">
        <f>IF(C_Price_change_flags!X$41&gt;=C_Price_change_flags!$H$1,W19+C_Price_change_flags!X37,W19)</f>
        <v>79.989999999999995</v>
      </c>
      <c r="Y19">
        <f>IF(C_Price_change_flags!Y$41&gt;=C_Price_change_flags!$H$1,X19+C_Price_change_flags!Y37,X19)</f>
        <v>79.989999999999995</v>
      </c>
      <c r="Z19">
        <f>IF(C_Price_change_flags!Z$41&gt;=C_Price_change_flags!$H$1,Y19+C_Price_change_flags!Z37,Y19)</f>
        <v>79.989999999999995</v>
      </c>
      <c r="AA19">
        <f>IF(C_Price_change_flags!AA$41&gt;=C_Price_change_flags!$H$1,Z19+C_Price_change_flags!AA37,Z19)</f>
        <v>79.989999999999995</v>
      </c>
      <c r="AB19">
        <f>IF(C_Price_change_flags!AB$41&gt;=C_Price_change_flags!$H$1,AA19+C_Price_change_flags!AB37,AA19)</f>
        <v>79.989999999999995</v>
      </c>
      <c r="AC19">
        <f>IF(C_Price_change_flags!AC$41&gt;=C_Price_change_flags!$H$1,AB19+C_Price_change_flags!AC37,AB19)</f>
        <v>84.99</v>
      </c>
      <c r="AD19">
        <f>IF(C_Price_change_flags!AD$41&gt;=C_Price_change_flags!$H$1,AC19+C_Price_change_flags!AD37,AC19)</f>
        <v>84.99</v>
      </c>
      <c r="AE19">
        <f>IF(C_Price_change_flags!AE$41&gt;=C_Price_change_flags!$H$1,AD19+C_Price_change_flags!AE37,AD19)</f>
        <v>84.99</v>
      </c>
      <c r="AF19">
        <f>IF(C_Price_change_flags!AF$41&gt;=C_Price_change_flags!$H$1,AE19+C_Price_change_flags!AF37,AE19)</f>
        <v>84.99</v>
      </c>
      <c r="AG19">
        <f>IF(C_Price_change_flags!AG$41&gt;=C_Price_change_flags!$H$1,AF19+C_Price_change_flags!AG37,AF19)</f>
        <v>84.99</v>
      </c>
      <c r="AH19">
        <f>IF(C_Price_change_flags!AH$41&gt;=C_Price_change_flags!$H$1,AG19+C_Price_change_flags!AH37,AG19)</f>
        <v>84.99</v>
      </c>
      <c r="AI19">
        <f>IF(C_Price_change_flags!AI$41&gt;=C_Price_change_flags!$H$1,AH19+C_Price_change_flags!AI37,AH19)</f>
        <v>84.99</v>
      </c>
      <c r="AJ19">
        <f>IF(C_Price_change_flags!AJ$41&gt;=C_Price_change_flags!$H$1,AI19+C_Price_change_flags!AJ37,AI19)</f>
        <v>84.99</v>
      </c>
      <c r="AK19">
        <f>IF(C_Price_change_flags!AK$41&gt;=C_Price_change_flags!$H$1,AJ19+C_Price_change_flags!AK37,AJ19)</f>
        <v>84.99</v>
      </c>
      <c r="AL19">
        <f>IF(C_Price_change_flags!AL$41&gt;=C_Price_change_flags!$H$1,AK19+C_Price_change_flags!AL37,AK19)</f>
        <v>84.99</v>
      </c>
      <c r="AM19">
        <f>IF(C_Price_change_flags!AM$41&gt;=C_Price_change_flags!$H$1,AL19+C_Price_change_flags!AM37,AL19)</f>
        <v>84.99</v>
      </c>
      <c r="AN19">
        <f>IF(C_Price_change_flags!AN$41&gt;=C_Price_change_flags!$H$1,AM19+C_Price_change_flags!AN37,AM19)</f>
        <v>89.99</v>
      </c>
      <c r="AO19">
        <f>IF(C_Price_change_flags!AO$41&gt;=C_Price_change_flags!$H$1,AN19+C_Price_change_flags!AO37,AN19)</f>
        <v>89.99</v>
      </c>
      <c r="AP19">
        <f>IF(C_Price_change_flags!AP$41&gt;=C_Price_change_flags!$H$1,AO19+C_Price_change_flags!AP37,AO19)</f>
        <v>89.99</v>
      </c>
      <c r="AQ19">
        <f>IF(C_Price_change_flags!AQ$41&gt;=C_Price_change_flags!$H$1,AP19+C_Price_change_flags!AQ37,AP19)</f>
        <v>89.99</v>
      </c>
      <c r="AR19">
        <f>IF(C_Price_change_flags!AR$41&gt;=C_Price_change_flags!$H$1,AQ19+C_Price_change_flags!AR37,AQ19)</f>
        <v>89.99</v>
      </c>
      <c r="AS19">
        <f>IF(C_Price_change_flags!AS$41&gt;=C_Price_change_flags!$H$1,AR19+C_Price_change_flags!AS37,AR19)</f>
        <v>89.99</v>
      </c>
      <c r="AT19">
        <f>IF(C_Price_change_flags!AT$41&gt;=C_Price_change_flags!$H$1,AS19+C_Price_change_flags!AT37,AS19)</f>
        <v>89.99</v>
      </c>
      <c r="AU19">
        <f>IF(C_Price_change_flags!AU$41&gt;=C_Price_change_flags!$H$1,AT19+C_Price_change_flags!AU37,AT19)</f>
        <v>89.99</v>
      </c>
      <c r="AV19">
        <f>IF(C_Price_change_flags!AV$41&gt;=C_Price_change_flags!$H$1,AU19+C_Price_change_flags!AV37,AU19)</f>
        <v>89.99</v>
      </c>
      <c r="AW19">
        <f>IF(C_Price_change_flags!AW$41&gt;=C_Price_change_flags!$H$1,AV19+C_Price_change_flags!AW37,AV19)</f>
        <v>89.99</v>
      </c>
      <c r="AX19">
        <f>IF(C_Price_change_flags!AX$41&gt;=C_Price_change_flags!$H$1,AW19+C_Price_change_flags!AX37,AW19)</f>
        <v>89.99</v>
      </c>
      <c r="AY19">
        <f>IF(C_Price_change_flags!AY$41&gt;=C_Price_change_flags!$H$1,AX19+C_Price_change_flags!AY37,AX19)</f>
        <v>89.99</v>
      </c>
      <c r="AZ19">
        <f>IF(C_Price_change_flags!AZ$41&gt;=C_Price_change_flags!$H$1,AY19+C_Price_change_flags!AZ37,AY19)</f>
        <v>89.99</v>
      </c>
      <c r="BA19">
        <f>IF(C_Price_change_flags!BA$41&gt;=C_Price_change_flags!$H$1,AZ19+C_Price_change_flags!BA37,AZ19)</f>
        <v>89.99</v>
      </c>
      <c r="BB19">
        <f>IF(C_Price_change_flags!BB$41&gt;=C_Price_change_flags!$H$1,BA19+C_Price_change_flags!BB37,BA19)</f>
        <v>89.99</v>
      </c>
      <c r="BC19">
        <f>IF(C_Price_change_flags!BC$41&gt;=C_Price_change_flags!$H$1,BB19+C_Price_change_flags!BC37,BB19)</f>
        <v>89.99</v>
      </c>
      <c r="BD19">
        <f>IF(C_Price_change_flags!BD$41&gt;=C_Price_change_flags!$H$1,BC19+C_Price_change_flags!BD37,BC19)</f>
        <v>89.99</v>
      </c>
      <c r="BE19">
        <f>IF(C_Price_change_flags!BE$41&gt;=C_Price_change_flags!$H$1,BD19+C_Price_change_flags!BE37,BD19)</f>
        <v>89.99</v>
      </c>
      <c r="BF19">
        <f>IF(C_Price_change_flags!BF$41&gt;=C_Price_change_flags!$H$1,BE19+C_Price_change_flags!BF37,BE19)</f>
        <v>89.99</v>
      </c>
      <c r="BG19">
        <f>IF(C_Price_change_flags!BG$41&gt;=C_Price_change_flags!$H$1,BF19+C_Price_change_flags!BG37,BF19)</f>
        <v>94.99</v>
      </c>
      <c r="BH19">
        <f>IF(C_Price_change_flags!BH$41&gt;=C_Price_change_flags!$H$1,BG19+C_Price_change_flags!BH37,BG19)</f>
        <v>94.99</v>
      </c>
      <c r="BI19">
        <f>IF(C_Price_change_flags!BI$41&gt;=C_Price_change_flags!$H$1,BH19+C_Price_change_flags!BI37,BH19)</f>
        <v>94.99</v>
      </c>
      <c r="BJ19">
        <f>IF(C_Price_change_flags!BJ$41&gt;=C_Price_change_flags!$H$1,BI19+C_Price_change_flags!BJ37,BI19)</f>
        <v>94.99</v>
      </c>
      <c r="BK19">
        <f>IF(C_Price_change_flags!BK$41&gt;=C_Price_change_flags!$H$1,BJ19+C_Price_change_flags!BK37,BJ19)</f>
        <v>94.99</v>
      </c>
      <c r="BL19">
        <f>IF(C_Price_change_flags!BL$41&gt;=C_Price_change_flags!$H$1,BK19+C_Price_change_flags!BL37,BK19)</f>
        <v>94.99</v>
      </c>
    </row>
    <row r="20" spans="3:64">
      <c r="C20" t="s">
        <v>27</v>
      </c>
      <c r="D20" s="48">
        <f>INDEX(D_Assumptions!$E$25:$F$29,MATCH($C20,D_Assumptions!$C$25:$C$29,0),MATCH($B$1,D_Assumptions!$E$24:$F$24,0))</f>
        <v>149.99</v>
      </c>
      <c r="E20">
        <f>IF(C_Price_change_flags!E$41&gt;=C_Price_change_flags!$H$1,D20+C_Price_change_flags!E38,D20)</f>
        <v>149.99</v>
      </c>
      <c r="F20">
        <f>IF(C_Price_change_flags!F$41&gt;=C_Price_change_flags!$H$1,E20+C_Price_change_flags!F38,E20)</f>
        <v>149.99</v>
      </c>
      <c r="G20">
        <f>IF(C_Price_change_flags!G$41&gt;=C_Price_change_flags!$H$1,F20+C_Price_change_flags!G38,F20)</f>
        <v>149.99</v>
      </c>
      <c r="H20">
        <f>IF(C_Price_change_flags!H$41&gt;=C_Price_change_flags!$H$1,G20+C_Price_change_flags!H38,G20)</f>
        <v>149.99</v>
      </c>
      <c r="I20">
        <f>IF(C_Price_change_flags!I$41&gt;=C_Price_change_flags!$H$1,H20+C_Price_change_flags!I38,H20)</f>
        <v>149.99</v>
      </c>
      <c r="J20">
        <f>IF(C_Price_change_flags!J$41&gt;=C_Price_change_flags!$H$1,I20+C_Price_change_flags!J38,I20)</f>
        <v>149.99</v>
      </c>
      <c r="K20">
        <f>IF(C_Price_change_flags!K$41&gt;=C_Price_change_flags!$H$1,J20+C_Price_change_flags!K38,J20)</f>
        <v>149.99</v>
      </c>
      <c r="L20">
        <f>IF(C_Price_change_flags!L$41&gt;=C_Price_change_flags!$H$1,K20+C_Price_change_flags!L38,K20)</f>
        <v>149.99</v>
      </c>
      <c r="M20">
        <f>IF(C_Price_change_flags!M$41&gt;=C_Price_change_flags!$H$1,L20+C_Price_change_flags!M38,L20)</f>
        <v>149.99</v>
      </c>
      <c r="N20">
        <f>IF(C_Price_change_flags!N$41&gt;=C_Price_change_flags!$H$1,M20+C_Price_change_flags!N38,M20)</f>
        <v>149.99</v>
      </c>
      <c r="O20">
        <f>IF(C_Price_change_flags!O$41&gt;=C_Price_change_flags!$H$1,N20+C_Price_change_flags!O38,N20)</f>
        <v>149.99</v>
      </c>
      <c r="P20">
        <f>IF(C_Price_change_flags!P$41&gt;=C_Price_change_flags!$H$1,O20+C_Price_change_flags!P38,O20)</f>
        <v>149.99</v>
      </c>
      <c r="Q20">
        <f>IF(C_Price_change_flags!Q$41&gt;=C_Price_change_flags!$H$1,P20+C_Price_change_flags!Q38,P20)</f>
        <v>149.99</v>
      </c>
      <c r="R20">
        <f>IF(C_Price_change_flags!R$41&gt;=C_Price_change_flags!$H$1,Q20+C_Price_change_flags!R38,Q20)</f>
        <v>149.99</v>
      </c>
      <c r="S20">
        <f>IF(C_Price_change_flags!S$41&gt;=C_Price_change_flags!$H$1,R20+C_Price_change_flags!S38,R20)</f>
        <v>159.99</v>
      </c>
      <c r="T20">
        <f>IF(C_Price_change_flags!T$41&gt;=C_Price_change_flags!$H$1,S20+C_Price_change_flags!T38,S20)</f>
        <v>159.99</v>
      </c>
      <c r="U20">
        <f>IF(C_Price_change_flags!U$41&gt;=C_Price_change_flags!$H$1,T20+C_Price_change_flags!U38,T20)</f>
        <v>159.99</v>
      </c>
      <c r="V20">
        <f>IF(C_Price_change_flags!V$41&gt;=C_Price_change_flags!$H$1,U20+C_Price_change_flags!V38,U20)</f>
        <v>159.99</v>
      </c>
      <c r="W20">
        <f>IF(C_Price_change_flags!W$41&gt;=C_Price_change_flags!$H$1,V20+C_Price_change_flags!W38,V20)</f>
        <v>159.99</v>
      </c>
      <c r="X20">
        <f>IF(C_Price_change_flags!X$41&gt;=C_Price_change_flags!$H$1,W20+C_Price_change_flags!X38,W20)</f>
        <v>159.99</v>
      </c>
      <c r="Y20">
        <f>IF(C_Price_change_flags!Y$41&gt;=C_Price_change_flags!$H$1,X20+C_Price_change_flags!Y38,X20)</f>
        <v>159.99</v>
      </c>
      <c r="Z20">
        <f>IF(C_Price_change_flags!Z$41&gt;=C_Price_change_flags!$H$1,Y20+C_Price_change_flags!Z38,Y20)</f>
        <v>159.99</v>
      </c>
      <c r="AA20">
        <f>IF(C_Price_change_flags!AA$41&gt;=C_Price_change_flags!$H$1,Z20+C_Price_change_flags!AA38,Z20)</f>
        <v>159.99</v>
      </c>
      <c r="AB20">
        <f>IF(C_Price_change_flags!AB$41&gt;=C_Price_change_flags!$H$1,AA20+C_Price_change_flags!AB38,AA20)</f>
        <v>159.99</v>
      </c>
      <c r="AC20">
        <f>IF(C_Price_change_flags!AC$41&gt;=C_Price_change_flags!$H$1,AB20+C_Price_change_flags!AC38,AB20)</f>
        <v>164.99</v>
      </c>
      <c r="AD20">
        <f>IF(C_Price_change_flags!AD$41&gt;=C_Price_change_flags!$H$1,AC20+C_Price_change_flags!AD38,AC20)</f>
        <v>164.99</v>
      </c>
      <c r="AE20">
        <f>IF(C_Price_change_flags!AE$41&gt;=C_Price_change_flags!$H$1,AD20+C_Price_change_flags!AE38,AD20)</f>
        <v>164.99</v>
      </c>
      <c r="AF20">
        <f>IF(C_Price_change_flags!AF$41&gt;=C_Price_change_flags!$H$1,AE20+C_Price_change_flags!AF38,AE20)</f>
        <v>164.99</v>
      </c>
      <c r="AG20">
        <f>IF(C_Price_change_flags!AG$41&gt;=C_Price_change_flags!$H$1,AF20+C_Price_change_flags!AG38,AF20)</f>
        <v>164.99</v>
      </c>
      <c r="AH20">
        <f>IF(C_Price_change_flags!AH$41&gt;=C_Price_change_flags!$H$1,AG20+C_Price_change_flags!AH38,AG20)</f>
        <v>164.99</v>
      </c>
      <c r="AI20">
        <f>IF(C_Price_change_flags!AI$41&gt;=C_Price_change_flags!$H$1,AH20+C_Price_change_flags!AI38,AH20)</f>
        <v>164.99</v>
      </c>
      <c r="AJ20">
        <f>IF(C_Price_change_flags!AJ$41&gt;=C_Price_change_flags!$H$1,AI20+C_Price_change_flags!AJ38,AI20)</f>
        <v>164.99</v>
      </c>
      <c r="AK20">
        <f>IF(C_Price_change_flags!AK$41&gt;=C_Price_change_flags!$H$1,AJ20+C_Price_change_flags!AK38,AJ20)</f>
        <v>164.99</v>
      </c>
      <c r="AL20">
        <f>IF(C_Price_change_flags!AL$41&gt;=C_Price_change_flags!$H$1,AK20+C_Price_change_flags!AL38,AK20)</f>
        <v>164.99</v>
      </c>
      <c r="AM20">
        <f>IF(C_Price_change_flags!AM$41&gt;=C_Price_change_flags!$H$1,AL20+C_Price_change_flags!AM38,AL20)</f>
        <v>164.99</v>
      </c>
      <c r="AN20">
        <f>IF(C_Price_change_flags!AN$41&gt;=C_Price_change_flags!$H$1,AM20+C_Price_change_flags!AN38,AM20)</f>
        <v>174.99</v>
      </c>
      <c r="AO20">
        <f>IF(C_Price_change_flags!AO$41&gt;=C_Price_change_flags!$H$1,AN20+C_Price_change_flags!AO38,AN20)</f>
        <v>174.99</v>
      </c>
      <c r="AP20">
        <f>IF(C_Price_change_flags!AP$41&gt;=C_Price_change_flags!$H$1,AO20+C_Price_change_flags!AP38,AO20)</f>
        <v>174.99</v>
      </c>
      <c r="AQ20">
        <f>IF(C_Price_change_flags!AQ$41&gt;=C_Price_change_flags!$H$1,AP20+C_Price_change_flags!AQ38,AP20)</f>
        <v>174.99</v>
      </c>
      <c r="AR20">
        <f>IF(C_Price_change_flags!AR$41&gt;=C_Price_change_flags!$H$1,AQ20+C_Price_change_flags!AR38,AQ20)</f>
        <v>174.99</v>
      </c>
      <c r="AS20">
        <f>IF(C_Price_change_flags!AS$41&gt;=C_Price_change_flags!$H$1,AR20+C_Price_change_flags!AS38,AR20)</f>
        <v>174.99</v>
      </c>
      <c r="AT20">
        <f>IF(C_Price_change_flags!AT$41&gt;=C_Price_change_flags!$H$1,AS20+C_Price_change_flags!AT38,AS20)</f>
        <v>174.99</v>
      </c>
      <c r="AU20">
        <f>IF(C_Price_change_flags!AU$41&gt;=C_Price_change_flags!$H$1,AT20+C_Price_change_flags!AU38,AT20)</f>
        <v>174.99</v>
      </c>
      <c r="AV20">
        <f>IF(C_Price_change_flags!AV$41&gt;=C_Price_change_flags!$H$1,AU20+C_Price_change_flags!AV38,AU20)</f>
        <v>174.99</v>
      </c>
      <c r="AW20">
        <f>IF(C_Price_change_flags!AW$41&gt;=C_Price_change_flags!$H$1,AV20+C_Price_change_flags!AW38,AV20)</f>
        <v>174.99</v>
      </c>
      <c r="AX20">
        <f>IF(C_Price_change_flags!AX$41&gt;=C_Price_change_flags!$H$1,AW20+C_Price_change_flags!AX38,AW20)</f>
        <v>174.99</v>
      </c>
      <c r="AY20">
        <f>IF(C_Price_change_flags!AY$41&gt;=C_Price_change_flags!$H$1,AX20+C_Price_change_flags!AY38,AX20)</f>
        <v>174.99</v>
      </c>
      <c r="AZ20">
        <f>IF(C_Price_change_flags!AZ$41&gt;=C_Price_change_flags!$H$1,AY20+C_Price_change_flags!AZ38,AY20)</f>
        <v>174.99</v>
      </c>
      <c r="BA20">
        <f>IF(C_Price_change_flags!BA$41&gt;=C_Price_change_flags!$H$1,AZ20+C_Price_change_flags!BA38,AZ20)</f>
        <v>174.99</v>
      </c>
      <c r="BB20">
        <f>IF(C_Price_change_flags!BB$41&gt;=C_Price_change_flags!$H$1,BA20+C_Price_change_flags!BB38,BA20)</f>
        <v>174.99</v>
      </c>
      <c r="BC20">
        <f>IF(C_Price_change_flags!BC$41&gt;=C_Price_change_flags!$H$1,BB20+C_Price_change_flags!BC38,BB20)</f>
        <v>174.99</v>
      </c>
      <c r="BD20">
        <f>IF(C_Price_change_flags!BD$41&gt;=C_Price_change_flags!$H$1,BC20+C_Price_change_flags!BD38,BC20)</f>
        <v>174.99</v>
      </c>
      <c r="BE20">
        <f>IF(C_Price_change_flags!BE$41&gt;=C_Price_change_flags!$H$1,BD20+C_Price_change_flags!BE38,BD20)</f>
        <v>174.99</v>
      </c>
      <c r="BF20">
        <f>IF(C_Price_change_flags!BF$41&gt;=C_Price_change_flags!$H$1,BE20+C_Price_change_flags!BF38,BE20)</f>
        <v>174.99</v>
      </c>
      <c r="BG20">
        <f>IF(C_Price_change_flags!BG$41&gt;=C_Price_change_flags!$H$1,BF20+C_Price_change_flags!BG38,BF20)</f>
        <v>189.99</v>
      </c>
      <c r="BH20">
        <f>IF(C_Price_change_flags!BH$41&gt;=C_Price_change_flags!$H$1,BG20+C_Price_change_flags!BH38,BG20)</f>
        <v>189.99</v>
      </c>
      <c r="BI20">
        <f>IF(C_Price_change_flags!BI$41&gt;=C_Price_change_flags!$H$1,BH20+C_Price_change_flags!BI38,BH20)</f>
        <v>189.99</v>
      </c>
      <c r="BJ20">
        <f>IF(C_Price_change_flags!BJ$41&gt;=C_Price_change_flags!$H$1,BI20+C_Price_change_flags!BJ38,BI20)</f>
        <v>189.99</v>
      </c>
      <c r="BK20">
        <f>IF(C_Price_change_flags!BK$41&gt;=C_Price_change_flags!$H$1,BJ20+C_Price_change_flags!BK38,BJ20)</f>
        <v>189.99</v>
      </c>
      <c r="BL20">
        <f>IF(C_Price_change_flags!BL$41&gt;=C_Price_change_flags!$H$1,BK20+C_Price_change_flags!BL38,BK20)</f>
        <v>189.99</v>
      </c>
    </row>
    <row r="22" spans="3:64">
      <c r="C22" s="46" t="s">
        <v>68</v>
      </c>
      <c r="D22" s="46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</row>
    <row r="23" spans="3:64">
      <c r="C23" t="s">
        <v>30</v>
      </c>
      <c r="D23" s="56">
        <f>D9*D16</f>
        <v>113009.61</v>
      </c>
      <c r="E23" s="44">
        <f t="shared" ref="E23:BL23" si="5">E9*E16</f>
        <v>118660.09050000001</v>
      </c>
      <c r="F23" s="44">
        <f t="shared" si="5"/>
        <v>115100.28778500001</v>
      </c>
      <c r="G23" s="44">
        <f t="shared" si="5"/>
        <v>111647.27915145001</v>
      </c>
      <c r="H23" s="44">
        <f t="shared" si="5"/>
        <v>108297.8607769065</v>
      </c>
      <c r="I23" s="44">
        <f t="shared" si="5"/>
        <v>105048.9249535993</v>
      </c>
      <c r="J23" s="44">
        <f t="shared" si="5"/>
        <v>84039.139962879446</v>
      </c>
      <c r="K23" s="44">
        <f t="shared" si="5"/>
        <v>84039.139962879446</v>
      </c>
      <c r="L23" s="44">
        <f t="shared" si="5"/>
        <v>210097.84990719863</v>
      </c>
      <c r="M23" s="44">
        <f t="shared" si="5"/>
        <v>168078.27992575892</v>
      </c>
      <c r="N23" s="44">
        <f t="shared" si="5"/>
        <v>163035.93152798613</v>
      </c>
      <c r="O23" s="44">
        <f t="shared" si="5"/>
        <v>158144.85358214655</v>
      </c>
      <c r="P23" s="44">
        <f t="shared" si="5"/>
        <v>153400.50797468214</v>
      </c>
      <c r="Q23" s="44">
        <f t="shared" si="5"/>
        <v>161070.53337341626</v>
      </c>
      <c r="R23" s="44">
        <f t="shared" si="5"/>
        <v>156238.41737221376</v>
      </c>
      <c r="S23" s="44">
        <f t="shared" si="5"/>
        <v>151551.26485104737</v>
      </c>
      <c r="T23" s="44">
        <f t="shared" si="5"/>
        <v>147004.72690551591</v>
      </c>
      <c r="U23" s="44">
        <f t="shared" si="5"/>
        <v>142594.58509835042</v>
      </c>
      <c r="V23" s="44">
        <f t="shared" si="5"/>
        <v>114075.66807868035</v>
      </c>
      <c r="W23" s="44">
        <f t="shared" si="5"/>
        <v>114075.66807868035</v>
      </c>
      <c r="X23" s="44">
        <f t="shared" si="5"/>
        <v>285189.17019670084</v>
      </c>
      <c r="Y23" s="44">
        <f t="shared" si="5"/>
        <v>228151.3361573607</v>
      </c>
      <c r="Z23" s="44">
        <f t="shared" si="5"/>
        <v>221306.79607263987</v>
      </c>
      <c r="AA23" s="44">
        <f t="shared" si="5"/>
        <v>214667.59219046065</v>
      </c>
      <c r="AB23" s="44">
        <f t="shared" si="5"/>
        <v>208227.56442474684</v>
      </c>
      <c r="AC23" s="44">
        <f t="shared" si="5"/>
        <v>218638.94264598418</v>
      </c>
      <c r="AD23" s="44">
        <f t="shared" si="5"/>
        <v>212079.77436660466</v>
      </c>
      <c r="AE23" s="44">
        <f t="shared" si="5"/>
        <v>205717.3811356065</v>
      </c>
      <c r="AF23" s="44">
        <f t="shared" si="5"/>
        <v>199545.85970153831</v>
      </c>
      <c r="AG23" s="44">
        <f t="shared" si="5"/>
        <v>193559.48391049216</v>
      </c>
      <c r="AH23" s="44">
        <f t="shared" si="5"/>
        <v>154847.58712839373</v>
      </c>
      <c r="AI23" s="44">
        <f t="shared" si="5"/>
        <v>154847.58712839373</v>
      </c>
      <c r="AJ23" s="44">
        <f t="shared" si="5"/>
        <v>387118.96782098437</v>
      </c>
      <c r="AK23" s="44">
        <f t="shared" si="5"/>
        <v>309695.17425678746</v>
      </c>
      <c r="AL23" s="44">
        <f t="shared" si="5"/>
        <v>300404.31902908388</v>
      </c>
      <c r="AM23" s="44">
        <f t="shared" si="5"/>
        <v>291392.18945821136</v>
      </c>
      <c r="AN23" s="44">
        <f t="shared" si="5"/>
        <v>376930.08480664145</v>
      </c>
      <c r="AO23" s="44">
        <f t="shared" si="5"/>
        <v>395776.58904697356</v>
      </c>
      <c r="AP23" s="44">
        <f t="shared" si="5"/>
        <v>383903.29137556435</v>
      </c>
      <c r="AQ23" s="44">
        <f t="shared" si="5"/>
        <v>372386.19263429748</v>
      </c>
      <c r="AR23" s="44">
        <f t="shared" si="5"/>
        <v>361214.60685526853</v>
      </c>
      <c r="AS23" s="44">
        <f t="shared" si="5"/>
        <v>350378.16864961042</v>
      </c>
      <c r="AT23" s="44">
        <f t="shared" si="5"/>
        <v>280302.53491968836</v>
      </c>
      <c r="AU23" s="44">
        <f t="shared" si="5"/>
        <v>280302.53491968836</v>
      </c>
      <c r="AV23" s="44">
        <f t="shared" si="5"/>
        <v>700756.33729922085</v>
      </c>
      <c r="AW23" s="44">
        <f t="shared" si="5"/>
        <v>560605.06983937672</v>
      </c>
      <c r="AX23" s="44">
        <f t="shared" si="5"/>
        <v>543786.91774419544</v>
      </c>
      <c r="AY23" s="44">
        <f t="shared" si="5"/>
        <v>527473.31021186954</v>
      </c>
      <c r="AZ23" s="44">
        <f t="shared" si="5"/>
        <v>511649.11090551346</v>
      </c>
      <c r="BA23" s="44">
        <f t="shared" si="5"/>
        <v>537231.56645078911</v>
      </c>
      <c r="BB23" s="44">
        <f t="shared" si="5"/>
        <v>521114.61945726542</v>
      </c>
      <c r="BC23" s="44">
        <f t="shared" si="5"/>
        <v>505481.18087354745</v>
      </c>
      <c r="BD23" s="44">
        <f t="shared" si="5"/>
        <v>490316.745447341</v>
      </c>
      <c r="BE23" s="44">
        <f t="shared" si="5"/>
        <v>475607.24308392068</v>
      </c>
      <c r="BF23" s="44">
        <f t="shared" si="5"/>
        <v>380485.79446713655</v>
      </c>
      <c r="BG23" s="44">
        <f t="shared" si="5"/>
        <v>380485.79446713655</v>
      </c>
      <c r="BH23" s="44">
        <f t="shared" si="5"/>
        <v>951214.48616784136</v>
      </c>
      <c r="BI23" s="44">
        <f t="shared" si="5"/>
        <v>760971.58893427311</v>
      </c>
      <c r="BJ23" s="44">
        <f t="shared" si="5"/>
        <v>738142.44126624486</v>
      </c>
      <c r="BK23" s="44">
        <f t="shared" si="5"/>
        <v>715998.16802825744</v>
      </c>
      <c r="BL23" s="44">
        <f t="shared" si="5"/>
        <v>694518.22298740968</v>
      </c>
    </row>
    <row r="24" spans="3:64">
      <c r="C24" t="s">
        <v>29</v>
      </c>
      <c r="D24" s="56">
        <f t="shared" ref="D24:BL24" si="6">D10*D17</f>
        <v>291682.74</v>
      </c>
      <c r="E24" s="44">
        <f t="shared" si="6"/>
        <v>306266.87700000004</v>
      </c>
      <c r="F24" s="44">
        <f t="shared" si="6"/>
        <v>297078.87069000001</v>
      </c>
      <c r="G24" s="44">
        <f t="shared" si="6"/>
        <v>288166.50456929998</v>
      </c>
      <c r="H24" s="44">
        <f t="shared" si="6"/>
        <v>279521.50943222101</v>
      </c>
      <c r="I24" s="44">
        <f t="shared" si="6"/>
        <v>271135.8641492544</v>
      </c>
      <c r="J24" s="44">
        <f t="shared" si="6"/>
        <v>216908.69131940353</v>
      </c>
      <c r="K24" s="44">
        <f t="shared" si="6"/>
        <v>216908.69131940353</v>
      </c>
      <c r="L24" s="44">
        <f t="shared" si="6"/>
        <v>542271.72829850879</v>
      </c>
      <c r="M24" s="44">
        <f t="shared" si="6"/>
        <v>433817.38263880706</v>
      </c>
      <c r="N24" s="44">
        <f t="shared" si="6"/>
        <v>420802.86115964281</v>
      </c>
      <c r="O24" s="44">
        <f t="shared" si="6"/>
        <v>408178.77532485349</v>
      </c>
      <c r="P24" s="44">
        <f t="shared" si="6"/>
        <v>395933.4120651079</v>
      </c>
      <c r="Q24" s="44">
        <f t="shared" si="6"/>
        <v>415730.08266836329</v>
      </c>
      <c r="R24" s="44">
        <f t="shared" si="6"/>
        <v>403258.18018831237</v>
      </c>
      <c r="S24" s="44">
        <f t="shared" si="6"/>
        <v>391160.43478266301</v>
      </c>
      <c r="T24" s="44">
        <f t="shared" si="6"/>
        <v>379425.62173918315</v>
      </c>
      <c r="U24" s="44">
        <f t="shared" si="6"/>
        <v>368042.85308700765</v>
      </c>
      <c r="V24" s="44">
        <f t="shared" si="6"/>
        <v>294434.28246960609</v>
      </c>
      <c r="W24" s="44">
        <f t="shared" si="6"/>
        <v>294434.28246960609</v>
      </c>
      <c r="X24" s="44">
        <f t="shared" si="6"/>
        <v>736085.7061740153</v>
      </c>
      <c r="Y24" s="44">
        <f t="shared" si="6"/>
        <v>588868.56493921217</v>
      </c>
      <c r="Z24" s="44">
        <f t="shared" si="6"/>
        <v>571202.5079910357</v>
      </c>
      <c r="AA24" s="44">
        <f t="shared" si="6"/>
        <v>554066.4327513047</v>
      </c>
      <c r="AB24" s="44">
        <f t="shared" si="6"/>
        <v>537444.43976876547</v>
      </c>
      <c r="AC24" s="44">
        <f t="shared" si="6"/>
        <v>658400.80009618402</v>
      </c>
      <c r="AD24" s="44">
        <f t="shared" si="6"/>
        <v>638648.77609329857</v>
      </c>
      <c r="AE24" s="44">
        <f t="shared" si="6"/>
        <v>619489.31281049957</v>
      </c>
      <c r="AF24" s="44">
        <f t="shared" si="6"/>
        <v>600904.63342618453</v>
      </c>
      <c r="AG24" s="44">
        <f t="shared" si="6"/>
        <v>582877.49442339898</v>
      </c>
      <c r="AH24" s="44">
        <f t="shared" si="6"/>
        <v>466301.99553871923</v>
      </c>
      <c r="AI24" s="44">
        <f t="shared" si="6"/>
        <v>466301.99553871923</v>
      </c>
      <c r="AJ24" s="44">
        <f t="shared" si="6"/>
        <v>1165754.988846798</v>
      </c>
      <c r="AK24" s="44">
        <f t="shared" si="6"/>
        <v>932603.99107743846</v>
      </c>
      <c r="AL24" s="44">
        <f t="shared" si="6"/>
        <v>904625.87134511536</v>
      </c>
      <c r="AM24" s="44">
        <f t="shared" si="6"/>
        <v>877487.09520476195</v>
      </c>
      <c r="AN24" s="44">
        <f t="shared" si="6"/>
        <v>851162.48234861903</v>
      </c>
      <c r="AO24" s="44">
        <f t="shared" si="6"/>
        <v>893720.60646605003</v>
      </c>
      <c r="AP24" s="44">
        <f t="shared" si="6"/>
        <v>866908.98827206856</v>
      </c>
      <c r="AQ24" s="44">
        <f t="shared" si="6"/>
        <v>840901.71862390637</v>
      </c>
      <c r="AR24" s="44">
        <f t="shared" si="6"/>
        <v>815674.66706518922</v>
      </c>
      <c r="AS24" s="44">
        <f t="shared" si="6"/>
        <v>791204.42705323361</v>
      </c>
      <c r="AT24" s="44">
        <f t="shared" si="6"/>
        <v>632963.54164258693</v>
      </c>
      <c r="AU24" s="44">
        <f t="shared" si="6"/>
        <v>632963.54164258693</v>
      </c>
      <c r="AV24" s="44">
        <f t="shared" si="6"/>
        <v>1582408.8541064672</v>
      </c>
      <c r="AW24" s="44">
        <f t="shared" si="6"/>
        <v>1265927.0832851739</v>
      </c>
      <c r="AX24" s="44">
        <f t="shared" si="6"/>
        <v>1227949.2707866186</v>
      </c>
      <c r="AY24" s="44">
        <f t="shared" si="6"/>
        <v>1191110.7926630201</v>
      </c>
      <c r="AZ24" s="44">
        <f t="shared" si="6"/>
        <v>1155377.4688831295</v>
      </c>
      <c r="BA24" s="44">
        <f t="shared" si="6"/>
        <v>1213146.342327286</v>
      </c>
      <c r="BB24" s="44">
        <f t="shared" si="6"/>
        <v>1176751.9520574673</v>
      </c>
      <c r="BC24" s="44">
        <f t="shared" si="6"/>
        <v>1141449.3934957432</v>
      </c>
      <c r="BD24" s="44">
        <f t="shared" si="6"/>
        <v>1107205.9116908708</v>
      </c>
      <c r="BE24" s="44">
        <f t="shared" si="6"/>
        <v>1073989.7343401448</v>
      </c>
      <c r="BF24" s="44">
        <f t="shared" si="6"/>
        <v>859191.78747211583</v>
      </c>
      <c r="BG24" s="44">
        <f t="shared" si="6"/>
        <v>981968.55047184671</v>
      </c>
      <c r="BH24" s="44">
        <f t="shared" si="6"/>
        <v>2454921.3761796164</v>
      </c>
      <c r="BI24" s="44">
        <f t="shared" si="6"/>
        <v>1963937.1009436934</v>
      </c>
      <c r="BJ24" s="44">
        <f t="shared" si="6"/>
        <v>1905018.9879153825</v>
      </c>
      <c r="BK24" s="44">
        <f t="shared" si="6"/>
        <v>1847868.4182779209</v>
      </c>
      <c r="BL24" s="44">
        <f t="shared" si="6"/>
        <v>1792432.3657295832</v>
      </c>
    </row>
    <row r="25" spans="3:64">
      <c r="C25" t="s">
        <v>28</v>
      </c>
      <c r="D25" s="56">
        <f t="shared" ref="D25:BL25" si="7">D11*D18</f>
        <v>798617.49</v>
      </c>
      <c r="E25" s="44">
        <f t="shared" si="7"/>
        <v>838548.36450000003</v>
      </c>
      <c r="F25" s="44">
        <f t="shared" si="7"/>
        <v>813391.91356499994</v>
      </c>
      <c r="G25" s="44">
        <f t="shared" si="7"/>
        <v>788990.15615804994</v>
      </c>
      <c r="H25" s="44">
        <f t="shared" si="7"/>
        <v>765320.45147330838</v>
      </c>
      <c r="I25" s="44">
        <f t="shared" si="7"/>
        <v>742360.83792910911</v>
      </c>
      <c r="J25" s="44">
        <f t="shared" si="7"/>
        <v>593888.67034328729</v>
      </c>
      <c r="K25" s="44">
        <f t="shared" si="7"/>
        <v>593888.67034328729</v>
      </c>
      <c r="L25" s="44">
        <f t="shared" si="7"/>
        <v>1484721.6758582182</v>
      </c>
      <c r="M25" s="44">
        <f t="shared" si="7"/>
        <v>1187777.3406865746</v>
      </c>
      <c r="N25" s="44">
        <f t="shared" si="7"/>
        <v>1152144.0204659775</v>
      </c>
      <c r="O25" s="44">
        <f t="shared" si="7"/>
        <v>1117579.6998519979</v>
      </c>
      <c r="P25" s="44">
        <f t="shared" si="7"/>
        <v>1084052.3088564379</v>
      </c>
      <c r="Q25" s="44">
        <f t="shared" si="7"/>
        <v>1138254.9242992599</v>
      </c>
      <c r="R25" s="44">
        <f t="shared" si="7"/>
        <v>1104107.2765702822</v>
      </c>
      <c r="S25" s="44">
        <f t="shared" si="7"/>
        <v>1190008.7368987764</v>
      </c>
      <c r="T25" s="44">
        <f t="shared" si="7"/>
        <v>1154308.4747918129</v>
      </c>
      <c r="U25" s="44">
        <f t="shared" si="7"/>
        <v>1119679.2205480586</v>
      </c>
      <c r="V25" s="44">
        <f t="shared" si="7"/>
        <v>895743.37643844681</v>
      </c>
      <c r="W25" s="44">
        <f t="shared" si="7"/>
        <v>895743.37643844681</v>
      </c>
      <c r="X25" s="44">
        <f t="shared" si="7"/>
        <v>2239358.4410961173</v>
      </c>
      <c r="Y25" s="44">
        <f t="shared" si="7"/>
        <v>1791486.7528768936</v>
      </c>
      <c r="Z25" s="44">
        <f t="shared" si="7"/>
        <v>1737742.1502905868</v>
      </c>
      <c r="AA25" s="44">
        <f t="shared" si="7"/>
        <v>1685609.8857818693</v>
      </c>
      <c r="AB25" s="44">
        <f t="shared" si="7"/>
        <v>1635041.5892084131</v>
      </c>
      <c r="AC25" s="44">
        <f t="shared" si="7"/>
        <v>1716793.668668834</v>
      </c>
      <c r="AD25" s="44">
        <f t="shared" si="7"/>
        <v>1665289.8586087688</v>
      </c>
      <c r="AE25" s="44">
        <f t="shared" si="7"/>
        <v>1615331.1628505057</v>
      </c>
      <c r="AF25" s="44">
        <f t="shared" si="7"/>
        <v>1566871.2279649903</v>
      </c>
      <c r="AG25" s="44">
        <f t="shared" si="7"/>
        <v>1519865.0911260406</v>
      </c>
      <c r="AH25" s="44">
        <f t="shared" si="7"/>
        <v>1215892.0729008326</v>
      </c>
      <c r="AI25" s="44">
        <f t="shared" si="7"/>
        <v>1215892.0729008326</v>
      </c>
      <c r="AJ25" s="44">
        <f t="shared" si="7"/>
        <v>3039730.1822520816</v>
      </c>
      <c r="AK25" s="44">
        <f t="shared" si="7"/>
        <v>2431784.1458016657</v>
      </c>
      <c r="AL25" s="44">
        <f t="shared" si="7"/>
        <v>2358830.6214276156</v>
      </c>
      <c r="AM25" s="44">
        <f t="shared" si="7"/>
        <v>2288065.7027847874</v>
      </c>
      <c r="AN25" s="44">
        <f t="shared" si="7"/>
        <v>2441410.5022254726</v>
      </c>
      <c r="AO25" s="44">
        <f t="shared" si="7"/>
        <v>2563481.0273367465</v>
      </c>
      <c r="AP25" s="44">
        <f t="shared" si="7"/>
        <v>2486576.5965166441</v>
      </c>
      <c r="AQ25" s="44">
        <f t="shared" si="7"/>
        <v>2411979.2986211446</v>
      </c>
      <c r="AR25" s="44">
        <f t="shared" si="7"/>
        <v>2339619.91966251</v>
      </c>
      <c r="AS25" s="44">
        <f t="shared" si="7"/>
        <v>2269431.3220726345</v>
      </c>
      <c r="AT25" s="44">
        <f t="shared" si="7"/>
        <v>1815545.0576581077</v>
      </c>
      <c r="AU25" s="44">
        <f t="shared" si="7"/>
        <v>1815545.0576581077</v>
      </c>
      <c r="AV25" s="44">
        <f t="shared" si="7"/>
        <v>4538862.6441452689</v>
      </c>
      <c r="AW25" s="44">
        <f t="shared" si="7"/>
        <v>3631090.1153162154</v>
      </c>
      <c r="AX25" s="44">
        <f t="shared" si="7"/>
        <v>3522157.4118567291</v>
      </c>
      <c r="AY25" s="44">
        <f t="shared" si="7"/>
        <v>3416492.6895010271</v>
      </c>
      <c r="AZ25" s="44">
        <f t="shared" si="7"/>
        <v>3313997.9088159963</v>
      </c>
      <c r="BA25" s="44">
        <f t="shared" si="7"/>
        <v>3479697.8042567959</v>
      </c>
      <c r="BB25" s="44">
        <f t="shared" si="7"/>
        <v>3375306.8701290921</v>
      </c>
      <c r="BC25" s="44">
        <f t="shared" si="7"/>
        <v>3274047.6640252192</v>
      </c>
      <c r="BD25" s="44">
        <f t="shared" si="7"/>
        <v>3175826.2341044624</v>
      </c>
      <c r="BE25" s="44">
        <f t="shared" si="7"/>
        <v>3080551.4470813288</v>
      </c>
      <c r="BF25" s="44">
        <f t="shared" si="7"/>
        <v>2464441.1576650632</v>
      </c>
      <c r="BG25" s="44">
        <f t="shared" si="7"/>
        <v>2464441.1576650632</v>
      </c>
      <c r="BH25" s="44">
        <f t="shared" si="7"/>
        <v>6161102.8941626577</v>
      </c>
      <c r="BI25" s="44">
        <f t="shared" si="7"/>
        <v>4928882.3153301263</v>
      </c>
      <c r="BJ25" s="44">
        <f t="shared" si="7"/>
        <v>4781015.845870222</v>
      </c>
      <c r="BK25" s="44">
        <f t="shared" si="7"/>
        <v>4637585.3704941152</v>
      </c>
      <c r="BL25" s="44">
        <f t="shared" si="7"/>
        <v>4498457.8093792917</v>
      </c>
    </row>
    <row r="26" spans="3:64">
      <c r="C26" t="s">
        <v>42</v>
      </c>
      <c r="D26" s="56">
        <f t="shared" ref="D26:BL26" si="8">D12*D19</f>
        <v>262390.01</v>
      </c>
      <c r="E26" s="44">
        <f t="shared" si="8"/>
        <v>275509.51049999997</v>
      </c>
      <c r="F26" s="44">
        <f t="shared" si="8"/>
        <v>267244.22518499999</v>
      </c>
      <c r="G26" s="44">
        <f t="shared" si="8"/>
        <v>259226.89842945</v>
      </c>
      <c r="H26" s="44">
        <f t="shared" si="8"/>
        <v>251450.09147656648</v>
      </c>
      <c r="I26" s="44">
        <f t="shared" si="8"/>
        <v>243906.58873226948</v>
      </c>
      <c r="J26" s="44">
        <f t="shared" si="8"/>
        <v>195125.27098581559</v>
      </c>
      <c r="K26" s="44">
        <f t="shared" si="8"/>
        <v>195125.27098581559</v>
      </c>
      <c r="L26" s="44">
        <f t="shared" si="8"/>
        <v>487813.17746453901</v>
      </c>
      <c r="M26" s="44">
        <f t="shared" si="8"/>
        <v>390250.54197163123</v>
      </c>
      <c r="N26" s="44">
        <f t="shared" si="8"/>
        <v>378543.02571248234</v>
      </c>
      <c r="O26" s="44">
        <f t="shared" si="8"/>
        <v>367186.73494110786</v>
      </c>
      <c r="P26" s="44">
        <f t="shared" si="8"/>
        <v>356171.13289287459</v>
      </c>
      <c r="Q26" s="44">
        <f t="shared" si="8"/>
        <v>373979.68953751831</v>
      </c>
      <c r="R26" s="44">
        <f t="shared" si="8"/>
        <v>362760.29885139276</v>
      </c>
      <c r="S26" s="44">
        <f t="shared" si="8"/>
        <v>375339.11742858007</v>
      </c>
      <c r="T26" s="44">
        <f t="shared" si="8"/>
        <v>364078.94390572264</v>
      </c>
      <c r="U26" s="44">
        <f t="shared" si="8"/>
        <v>353156.57558855094</v>
      </c>
      <c r="V26" s="44">
        <f t="shared" si="8"/>
        <v>282525.26047084079</v>
      </c>
      <c r="W26" s="44">
        <f t="shared" si="8"/>
        <v>282525.26047084079</v>
      </c>
      <c r="X26" s="44">
        <f t="shared" si="8"/>
        <v>706313.151177102</v>
      </c>
      <c r="Y26" s="44">
        <f t="shared" si="8"/>
        <v>565050.52094168158</v>
      </c>
      <c r="Z26" s="44">
        <f t="shared" si="8"/>
        <v>548099.00531343115</v>
      </c>
      <c r="AA26" s="44">
        <f t="shared" si="8"/>
        <v>531656.03515402821</v>
      </c>
      <c r="AB26" s="44">
        <f t="shared" si="8"/>
        <v>515706.35409940738</v>
      </c>
      <c r="AC26" s="44">
        <f t="shared" si="8"/>
        <v>575339.13222470391</v>
      </c>
      <c r="AD26" s="44">
        <f t="shared" si="8"/>
        <v>558078.95825796283</v>
      </c>
      <c r="AE26" s="44">
        <f t="shared" si="8"/>
        <v>541336.58951022383</v>
      </c>
      <c r="AF26" s="44">
        <f t="shared" si="8"/>
        <v>525096.49182491715</v>
      </c>
      <c r="AG26" s="44">
        <f t="shared" si="8"/>
        <v>509343.59707016958</v>
      </c>
      <c r="AH26" s="44">
        <f t="shared" si="8"/>
        <v>407474.87765613571</v>
      </c>
      <c r="AI26" s="44">
        <f t="shared" si="8"/>
        <v>407474.87765613571</v>
      </c>
      <c r="AJ26" s="44">
        <f t="shared" si="8"/>
        <v>1018687.1941403393</v>
      </c>
      <c r="AK26" s="44">
        <f t="shared" si="8"/>
        <v>814949.75531227142</v>
      </c>
      <c r="AL26" s="44">
        <f t="shared" si="8"/>
        <v>790501.26265290321</v>
      </c>
      <c r="AM26" s="44">
        <f t="shared" si="8"/>
        <v>766786.22477331618</v>
      </c>
      <c r="AN26" s="44">
        <f t="shared" si="8"/>
        <v>787539.70580456755</v>
      </c>
      <c r="AO26" s="44">
        <f t="shared" si="8"/>
        <v>826916.69109479606</v>
      </c>
      <c r="AP26" s="44">
        <f t="shared" si="8"/>
        <v>802109.19036195206</v>
      </c>
      <c r="AQ26" s="44">
        <f t="shared" si="8"/>
        <v>778045.91465109354</v>
      </c>
      <c r="AR26" s="44">
        <f t="shared" si="8"/>
        <v>754704.53721156076</v>
      </c>
      <c r="AS26" s="44">
        <f t="shared" si="8"/>
        <v>732063.40109521395</v>
      </c>
      <c r="AT26" s="44">
        <f t="shared" si="8"/>
        <v>585650.72087617114</v>
      </c>
      <c r="AU26" s="44">
        <f t="shared" si="8"/>
        <v>585650.72087617114</v>
      </c>
      <c r="AV26" s="44">
        <f t="shared" si="8"/>
        <v>1464126.8021904279</v>
      </c>
      <c r="AW26" s="44">
        <f t="shared" si="8"/>
        <v>1171301.4417523423</v>
      </c>
      <c r="AX26" s="44">
        <f t="shared" si="8"/>
        <v>1136162.3984997722</v>
      </c>
      <c r="AY26" s="44">
        <f t="shared" si="8"/>
        <v>1102077.5265447788</v>
      </c>
      <c r="AZ26" s="44">
        <f t="shared" si="8"/>
        <v>1069015.2007484357</v>
      </c>
      <c r="BA26" s="44">
        <f t="shared" si="8"/>
        <v>1122465.9607858574</v>
      </c>
      <c r="BB26" s="44">
        <f t="shared" si="8"/>
        <v>1088791.9819622815</v>
      </c>
      <c r="BC26" s="44">
        <f t="shared" si="8"/>
        <v>1056128.2225034132</v>
      </c>
      <c r="BD26" s="44">
        <f t="shared" si="8"/>
        <v>1024444.3758283107</v>
      </c>
      <c r="BE26" s="44">
        <f t="shared" si="8"/>
        <v>993711.04455346137</v>
      </c>
      <c r="BF26" s="44">
        <f t="shared" si="8"/>
        <v>794968.83564276912</v>
      </c>
      <c r="BG26" s="44">
        <f t="shared" si="8"/>
        <v>839138.67871659785</v>
      </c>
      <c r="BH26" s="44">
        <f t="shared" si="8"/>
        <v>2097846.6967914947</v>
      </c>
      <c r="BI26" s="44">
        <f t="shared" si="8"/>
        <v>1678277.3574331957</v>
      </c>
      <c r="BJ26" s="44">
        <f t="shared" si="8"/>
        <v>1627929.0367101999</v>
      </c>
      <c r="BK26" s="44">
        <f t="shared" si="8"/>
        <v>1579091.1656088938</v>
      </c>
      <c r="BL26" s="44">
        <f t="shared" si="8"/>
        <v>1531718.4306406269</v>
      </c>
    </row>
    <row r="27" spans="3:64">
      <c r="C27" t="s">
        <v>27</v>
      </c>
      <c r="D27" s="56">
        <f t="shared" ref="D27:BL27" si="9">D13*D20</f>
        <v>99143.39</v>
      </c>
      <c r="E27" s="44">
        <f t="shared" si="9"/>
        <v>104100.55950000002</v>
      </c>
      <c r="F27" s="44">
        <f t="shared" si="9"/>
        <v>100977.54271500002</v>
      </c>
      <c r="G27" s="44">
        <f t="shared" si="9"/>
        <v>97948.216433550013</v>
      </c>
      <c r="H27" s="44">
        <f t="shared" si="9"/>
        <v>95009.769940543498</v>
      </c>
      <c r="I27" s="44">
        <f t="shared" si="9"/>
        <v>92159.476842327189</v>
      </c>
      <c r="J27" s="44">
        <f t="shared" si="9"/>
        <v>73727.581473861748</v>
      </c>
      <c r="K27" s="44">
        <f t="shared" si="9"/>
        <v>73727.581473861748</v>
      </c>
      <c r="L27" s="44">
        <f t="shared" si="9"/>
        <v>184318.95368465438</v>
      </c>
      <c r="M27" s="44">
        <f t="shared" si="9"/>
        <v>147455.1629477235</v>
      </c>
      <c r="N27" s="44">
        <f t="shared" si="9"/>
        <v>143031.50805929181</v>
      </c>
      <c r="O27" s="44">
        <f t="shared" si="9"/>
        <v>138740.56281751304</v>
      </c>
      <c r="P27" s="44">
        <f t="shared" si="9"/>
        <v>134578.34593298764</v>
      </c>
      <c r="Q27" s="44">
        <f t="shared" si="9"/>
        <v>141307.26322963706</v>
      </c>
      <c r="R27" s="44">
        <f t="shared" si="9"/>
        <v>137068.04533274795</v>
      </c>
      <c r="S27" s="44">
        <f t="shared" si="9"/>
        <v>141820.32852592005</v>
      </c>
      <c r="T27" s="44">
        <f t="shared" si="9"/>
        <v>137565.71867014247</v>
      </c>
      <c r="U27" s="44">
        <f t="shared" si="9"/>
        <v>133438.74711003818</v>
      </c>
      <c r="V27" s="44">
        <f t="shared" si="9"/>
        <v>106750.99768803056</v>
      </c>
      <c r="W27" s="44">
        <f t="shared" si="9"/>
        <v>106750.99768803056</v>
      </c>
      <c r="X27" s="44">
        <f t="shared" si="9"/>
        <v>266877.49422007642</v>
      </c>
      <c r="Y27" s="44">
        <f t="shared" si="9"/>
        <v>213501.99537606112</v>
      </c>
      <c r="Z27" s="44">
        <f t="shared" si="9"/>
        <v>207096.9355147793</v>
      </c>
      <c r="AA27" s="44">
        <f t="shared" si="9"/>
        <v>200884.0274493359</v>
      </c>
      <c r="AB27" s="44">
        <f t="shared" si="9"/>
        <v>194857.50662585581</v>
      </c>
      <c r="AC27" s="44">
        <f t="shared" si="9"/>
        <v>210994.54352840772</v>
      </c>
      <c r="AD27" s="44">
        <f t="shared" si="9"/>
        <v>204664.70722255547</v>
      </c>
      <c r="AE27" s="44">
        <f t="shared" si="9"/>
        <v>198524.76600587883</v>
      </c>
      <c r="AF27" s="44">
        <f t="shared" si="9"/>
        <v>192569.02302570245</v>
      </c>
      <c r="AG27" s="44">
        <f t="shared" si="9"/>
        <v>186791.95233493138</v>
      </c>
      <c r="AH27" s="44">
        <f t="shared" si="9"/>
        <v>149433.5618679451</v>
      </c>
      <c r="AI27" s="44">
        <f t="shared" si="9"/>
        <v>149433.5618679451</v>
      </c>
      <c r="AJ27" s="44">
        <f t="shared" si="9"/>
        <v>373583.90466986282</v>
      </c>
      <c r="AK27" s="44">
        <f t="shared" si="9"/>
        <v>298867.12373589026</v>
      </c>
      <c r="AL27" s="44">
        <f t="shared" si="9"/>
        <v>289901.11002381356</v>
      </c>
      <c r="AM27" s="44">
        <f t="shared" si="9"/>
        <v>281204.07672309916</v>
      </c>
      <c r="AN27" s="44">
        <f t="shared" si="9"/>
        <v>289300.3475616817</v>
      </c>
      <c r="AO27" s="44">
        <f t="shared" si="9"/>
        <v>303765.36493976577</v>
      </c>
      <c r="AP27" s="44">
        <f t="shared" si="9"/>
        <v>294652.40399157279</v>
      </c>
      <c r="AQ27" s="44">
        <f t="shared" si="9"/>
        <v>285812.83187182562</v>
      </c>
      <c r="AR27" s="44">
        <f t="shared" si="9"/>
        <v>277238.44691567082</v>
      </c>
      <c r="AS27" s="44">
        <f t="shared" si="9"/>
        <v>268921.29350820067</v>
      </c>
      <c r="AT27" s="44">
        <f t="shared" si="9"/>
        <v>215137.03480656058</v>
      </c>
      <c r="AU27" s="44">
        <f t="shared" si="9"/>
        <v>215137.03480656058</v>
      </c>
      <c r="AV27" s="44">
        <f t="shared" si="9"/>
        <v>537842.58701640146</v>
      </c>
      <c r="AW27" s="44">
        <f t="shared" si="9"/>
        <v>430274.06961312122</v>
      </c>
      <c r="AX27" s="44">
        <f t="shared" si="9"/>
        <v>417365.84752472764</v>
      </c>
      <c r="AY27" s="44">
        <f t="shared" si="9"/>
        <v>404844.87209898577</v>
      </c>
      <c r="AZ27" s="44">
        <f t="shared" si="9"/>
        <v>392699.52593601623</v>
      </c>
      <c r="BA27" s="44">
        <f t="shared" si="9"/>
        <v>412334.502232817</v>
      </c>
      <c r="BB27" s="44">
        <f t="shared" si="9"/>
        <v>399964.46716583247</v>
      </c>
      <c r="BC27" s="44">
        <f t="shared" si="9"/>
        <v>387965.53315085749</v>
      </c>
      <c r="BD27" s="44">
        <f t="shared" si="9"/>
        <v>376326.56715633173</v>
      </c>
      <c r="BE27" s="44">
        <f t="shared" si="9"/>
        <v>365036.77014164178</v>
      </c>
      <c r="BF27" s="44">
        <f t="shared" si="9"/>
        <v>292029.41611331346</v>
      </c>
      <c r="BG27" s="44">
        <f t="shared" si="9"/>
        <v>317061.93935292546</v>
      </c>
      <c r="BH27" s="44">
        <f t="shared" si="9"/>
        <v>792654.84838231374</v>
      </c>
      <c r="BI27" s="44">
        <f t="shared" si="9"/>
        <v>634123.87870585104</v>
      </c>
      <c r="BJ27" s="44">
        <f t="shared" si="9"/>
        <v>615100.16234467539</v>
      </c>
      <c r="BK27" s="44">
        <f t="shared" si="9"/>
        <v>596647.15747433517</v>
      </c>
      <c r="BL27" s="44">
        <f t="shared" si="9"/>
        <v>578747.7427501051</v>
      </c>
    </row>
    <row r="29" spans="3:64">
      <c r="C29" s="46" t="s">
        <v>69</v>
      </c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  <c r="BF29" s="47"/>
      <c r="BG29" s="47"/>
      <c r="BH29" s="47"/>
      <c r="BI29" s="47"/>
      <c r="BJ29" s="47"/>
      <c r="BK29" s="47"/>
      <c r="BL29" s="47"/>
    </row>
    <row r="30" spans="3:64">
      <c r="C30" t="s">
        <v>30</v>
      </c>
      <c r="E30" s="44">
        <f>INDEX(D_Assumptions!$F$36:$J$36,1,MATCH(E$3,D_Assumptions!$F$35:$J$35,0))*E23</f>
        <v>155444.718555</v>
      </c>
      <c r="F30" s="44">
        <f>INDEX(D_Assumptions!$F$36:$J$36,1,MATCH(F$3,D_Assumptions!$F$35:$J$35,0))*F23</f>
        <v>150781.37699835002</v>
      </c>
      <c r="G30" s="44">
        <f>INDEX(D_Assumptions!$F$36:$J$36,1,MATCH(G$3,D_Assumptions!$F$35:$J$35,0))*G23</f>
        <v>146257.93568839954</v>
      </c>
      <c r="H30" s="44">
        <f>INDEX(D_Assumptions!$F$36:$J$36,1,MATCH(H$3,D_Assumptions!$F$35:$J$35,0))*H23</f>
        <v>141870.19761774753</v>
      </c>
      <c r="I30" s="44">
        <f>INDEX(D_Assumptions!$F$36:$J$36,1,MATCH(I$3,D_Assumptions!$F$35:$J$35,0))*I23</f>
        <v>137614.0916892151</v>
      </c>
      <c r="J30" s="44">
        <f>INDEX(D_Assumptions!$F$36:$J$36,1,MATCH(J$3,D_Assumptions!$F$35:$J$35,0))*J23</f>
        <v>110091.27335137207</v>
      </c>
      <c r="K30" s="44">
        <f>INDEX(D_Assumptions!$F$36:$J$36,1,MATCH(K$3,D_Assumptions!$F$35:$J$35,0))*K23</f>
        <v>110091.27335137207</v>
      </c>
      <c r="L30" s="44">
        <f>INDEX(D_Assumptions!$F$36:$J$36,1,MATCH(L$3,D_Assumptions!$F$35:$J$35,0))*L23</f>
        <v>275228.1833784302</v>
      </c>
      <c r="M30" s="44">
        <f>INDEX(D_Assumptions!$F$36:$J$36,1,MATCH(M$3,D_Assumptions!$F$35:$J$35,0))*M23</f>
        <v>220182.54670274421</v>
      </c>
      <c r="N30" s="44">
        <f>INDEX(D_Assumptions!$F$36:$J$36,1,MATCH(N$3,D_Assumptions!$F$35:$J$35,0))*N23</f>
        <v>213577.07030166185</v>
      </c>
      <c r="O30" s="44">
        <f>INDEX(D_Assumptions!$F$36:$J$36,1,MATCH(O$3,D_Assumptions!$F$35:$J$35,0))*O23</f>
        <v>207169.75819261197</v>
      </c>
      <c r="P30" s="44">
        <f>INDEX(D_Assumptions!$F$36:$J$36,1,MATCH(P$3,D_Assumptions!$F$35:$J$35,0))*P23</f>
        <v>200954.66544683362</v>
      </c>
      <c r="Q30" s="44">
        <f>INDEX(D_Assumptions!$F$36:$J$36,1,MATCH(Q$3,D_Assumptions!$F$35:$J$35,0))*Q23</f>
        <v>212613.10405290948</v>
      </c>
      <c r="R30" s="44">
        <f>INDEX(D_Assumptions!$F$36:$J$36,1,MATCH(R$3,D_Assumptions!$F$35:$J$35,0))*R23</f>
        <v>206234.71093132219</v>
      </c>
      <c r="S30" s="44">
        <f>INDEX(D_Assumptions!$F$36:$J$36,1,MATCH(S$3,D_Assumptions!$F$35:$J$35,0))*S23</f>
        <v>200047.66960338253</v>
      </c>
      <c r="T30" s="44">
        <f>INDEX(D_Assumptions!$F$36:$J$36,1,MATCH(T$3,D_Assumptions!$F$35:$J$35,0))*T23</f>
        <v>194046.23951528102</v>
      </c>
      <c r="U30" s="44">
        <f>INDEX(D_Assumptions!$F$36:$J$36,1,MATCH(U$3,D_Assumptions!$F$35:$J$35,0))*U23</f>
        <v>188224.85232982258</v>
      </c>
      <c r="V30" s="44">
        <f>INDEX(D_Assumptions!$F$36:$J$36,1,MATCH(V$3,D_Assumptions!$F$35:$J$35,0))*V23</f>
        <v>150579.88186385806</v>
      </c>
      <c r="W30" s="44">
        <f>INDEX(D_Assumptions!$F$36:$J$36,1,MATCH(W$3,D_Assumptions!$F$35:$J$35,0))*W23</f>
        <v>150579.88186385806</v>
      </c>
      <c r="X30" s="44">
        <f>INDEX(D_Assumptions!$F$36:$J$36,1,MATCH(X$3,D_Assumptions!$F$35:$J$35,0))*X23</f>
        <v>376449.70465964515</v>
      </c>
      <c r="Y30" s="44">
        <f>INDEX(D_Assumptions!$F$36:$J$36,1,MATCH(Y$3,D_Assumptions!$F$35:$J$35,0))*Y23</f>
        <v>301159.76372771611</v>
      </c>
      <c r="Z30" s="44">
        <f>INDEX(D_Assumptions!$F$36:$J$36,1,MATCH(Z$3,D_Assumptions!$F$35:$J$35,0))*Z23</f>
        <v>292124.97081588465</v>
      </c>
      <c r="AA30" s="44">
        <f>INDEX(D_Assumptions!$F$36:$J$36,1,MATCH(AA$3,D_Assumptions!$F$35:$J$35,0))*AA23</f>
        <v>283361.22169140808</v>
      </c>
      <c r="AB30" s="44">
        <f>INDEX(D_Assumptions!$F$36:$J$36,1,MATCH(AB$3,D_Assumptions!$F$35:$J$35,0))*AB23</f>
        <v>274860.38504066586</v>
      </c>
      <c r="AC30" s="44">
        <f>INDEX(D_Assumptions!$F$36:$J$36,1,MATCH(AC$3,D_Assumptions!$F$35:$J$35,0))*AC23</f>
        <v>290789.79371915897</v>
      </c>
      <c r="AD30" s="44">
        <f>INDEX(D_Assumptions!$F$36:$J$36,1,MATCH(AD$3,D_Assumptions!$F$35:$J$35,0))*AD23</f>
        <v>282066.0999075842</v>
      </c>
      <c r="AE30" s="44">
        <f>INDEX(D_Assumptions!$F$36:$J$36,1,MATCH(AE$3,D_Assumptions!$F$35:$J$35,0))*AE23</f>
        <v>273604.11691035668</v>
      </c>
      <c r="AF30" s="44">
        <f>INDEX(D_Assumptions!$F$36:$J$36,1,MATCH(AF$3,D_Assumptions!$F$35:$J$35,0))*AF23</f>
        <v>265395.99340304598</v>
      </c>
      <c r="AG30" s="44">
        <f>INDEX(D_Assumptions!$F$36:$J$36,1,MATCH(AG$3,D_Assumptions!$F$35:$J$35,0))*AG23</f>
        <v>257434.11360095459</v>
      </c>
      <c r="AH30" s="44">
        <f>INDEX(D_Assumptions!$F$36:$J$36,1,MATCH(AH$3,D_Assumptions!$F$35:$J$35,0))*AH23</f>
        <v>205947.29088076367</v>
      </c>
      <c r="AI30" s="44">
        <f>INDEX(D_Assumptions!$F$36:$J$36,1,MATCH(AI$3,D_Assumptions!$F$35:$J$35,0))*AI23</f>
        <v>205947.29088076367</v>
      </c>
      <c r="AJ30" s="44">
        <f>INDEX(D_Assumptions!$F$36:$J$36,1,MATCH(AJ$3,D_Assumptions!$F$35:$J$35,0))*AJ23</f>
        <v>514868.22720190923</v>
      </c>
      <c r="AK30" s="44">
        <f>INDEX(D_Assumptions!$F$36:$J$36,1,MATCH(AK$3,D_Assumptions!$F$35:$J$35,0))*AK23</f>
        <v>411894.58176152734</v>
      </c>
      <c r="AL30" s="44">
        <f>INDEX(D_Assumptions!$F$36:$J$36,1,MATCH(AL$3,D_Assumptions!$F$35:$J$35,0))*AL23</f>
        <v>399537.74430868158</v>
      </c>
      <c r="AM30" s="44">
        <f>INDEX(D_Assumptions!$F$36:$J$36,1,MATCH(AM$3,D_Assumptions!$F$35:$J$35,0))*AM23</f>
        <v>387551.61197942111</v>
      </c>
      <c r="AN30" s="44">
        <f>INDEX(D_Assumptions!$F$36:$J$36,1,MATCH(AN$3,D_Assumptions!$F$35:$J$35,0))*AN23</f>
        <v>501317.01279283315</v>
      </c>
      <c r="AO30" s="44">
        <f>INDEX(D_Assumptions!$F$36:$J$36,1,MATCH(AO$3,D_Assumptions!$F$35:$J$35,0))*AO23</f>
        <v>530340.62932294456</v>
      </c>
      <c r="AP30" s="44">
        <f>INDEX(D_Assumptions!$F$36:$J$36,1,MATCH(AP$3,D_Assumptions!$F$35:$J$35,0))*AP23</f>
        <v>514430.41044325626</v>
      </c>
      <c r="AQ30" s="44">
        <f>INDEX(D_Assumptions!$F$36:$J$36,1,MATCH(AQ$3,D_Assumptions!$F$35:$J$35,0))*AQ23</f>
        <v>498997.49812995864</v>
      </c>
      <c r="AR30" s="44">
        <f>INDEX(D_Assumptions!$F$36:$J$36,1,MATCH(AR$3,D_Assumptions!$F$35:$J$35,0))*AR23</f>
        <v>484027.57318605989</v>
      </c>
      <c r="AS30" s="44">
        <f>INDEX(D_Assumptions!$F$36:$J$36,1,MATCH(AS$3,D_Assumptions!$F$35:$J$35,0))*AS23</f>
        <v>469506.74599047797</v>
      </c>
      <c r="AT30" s="44">
        <f>INDEX(D_Assumptions!$F$36:$J$36,1,MATCH(AT$3,D_Assumptions!$F$35:$J$35,0))*AT23</f>
        <v>375605.39679238241</v>
      </c>
      <c r="AU30" s="44">
        <f>INDEX(D_Assumptions!$F$36:$J$36,1,MATCH(AU$3,D_Assumptions!$F$35:$J$35,0))*AU23</f>
        <v>375605.39679238241</v>
      </c>
      <c r="AV30" s="44">
        <f>INDEX(D_Assumptions!$F$36:$J$36,1,MATCH(AV$3,D_Assumptions!$F$35:$J$35,0))*AV23</f>
        <v>939013.49198095594</v>
      </c>
      <c r="AW30" s="44">
        <f>INDEX(D_Assumptions!$F$36:$J$36,1,MATCH(AW$3,D_Assumptions!$F$35:$J$35,0))*AW23</f>
        <v>751210.79358476482</v>
      </c>
      <c r="AX30" s="44">
        <f>INDEX(D_Assumptions!$F$36:$J$36,1,MATCH(AX$3,D_Assumptions!$F$35:$J$35,0))*AX23</f>
        <v>728674.46977722191</v>
      </c>
      <c r="AY30" s="44">
        <f>INDEX(D_Assumptions!$F$36:$J$36,1,MATCH(AY$3,D_Assumptions!$F$35:$J$35,0))*AY23</f>
        <v>706814.23568390519</v>
      </c>
      <c r="AZ30" s="44">
        <f>INDEX(D_Assumptions!$F$36:$J$36,1,MATCH(AZ$3,D_Assumptions!$F$35:$J$35,0))*AZ23</f>
        <v>685609.8086133881</v>
      </c>
      <c r="BA30" s="44">
        <f>INDEX(D_Assumptions!$F$36:$J$36,1,MATCH(BA$3,D_Assumptions!$F$35:$J$35,0))*BA23</f>
        <v>725262.61470856529</v>
      </c>
      <c r="BB30" s="44">
        <f>INDEX(D_Assumptions!$F$36:$J$36,1,MATCH(BB$3,D_Assumptions!$F$35:$J$35,0))*BB23</f>
        <v>703504.73626730836</v>
      </c>
      <c r="BC30" s="44">
        <f>INDEX(D_Assumptions!$F$36:$J$36,1,MATCH(BC$3,D_Assumptions!$F$35:$J$35,0))*BC23</f>
        <v>682399.59417928907</v>
      </c>
      <c r="BD30" s="44">
        <f>INDEX(D_Assumptions!$F$36:$J$36,1,MATCH(BD$3,D_Assumptions!$F$35:$J$35,0))*BD23</f>
        <v>661927.60635391041</v>
      </c>
      <c r="BE30" s="44">
        <f>INDEX(D_Assumptions!$F$36:$J$36,1,MATCH(BE$3,D_Assumptions!$F$35:$J$35,0))*BE23</f>
        <v>642069.77816329291</v>
      </c>
      <c r="BF30" s="44">
        <f>INDEX(D_Assumptions!$F$36:$J$36,1,MATCH(BF$3,D_Assumptions!$F$35:$J$35,0))*BF23</f>
        <v>513655.82253063441</v>
      </c>
      <c r="BG30" s="44">
        <f>INDEX(D_Assumptions!$F$36:$J$36,1,MATCH(BG$3,D_Assumptions!$F$35:$J$35,0))*BG23</f>
        <v>513655.82253063441</v>
      </c>
      <c r="BH30" s="44">
        <f>INDEX(D_Assumptions!$F$36:$J$36,1,MATCH(BH$3,D_Assumptions!$F$35:$J$35,0))*BH23</f>
        <v>1284139.5563265858</v>
      </c>
      <c r="BI30" s="44">
        <f>INDEX(D_Assumptions!$F$36:$J$36,1,MATCH(BI$3,D_Assumptions!$F$35:$J$35,0))*BI23</f>
        <v>1027311.6450612688</v>
      </c>
      <c r="BJ30" s="44">
        <f>INDEX(D_Assumptions!$F$36:$J$36,1,MATCH(BJ$3,D_Assumptions!$F$35:$J$35,0))*BJ23</f>
        <v>996492.29570943059</v>
      </c>
      <c r="BK30" s="44">
        <f>INDEX(D_Assumptions!$F$36:$J$36,1,MATCH(BK$3,D_Assumptions!$F$35:$J$35,0))*BK23</f>
        <v>966597.52683814755</v>
      </c>
      <c r="BL30" s="44">
        <f>INDEX(D_Assumptions!$F$36:$J$36,1,MATCH(BL$3,D_Assumptions!$F$35:$J$35,0))*BL23</f>
        <v>937599.60103300319</v>
      </c>
    </row>
    <row r="31" spans="3:64">
      <c r="C31" t="s">
        <v>29</v>
      </c>
      <c r="E31" s="44">
        <f>INDEX(D_Assumptions!$F$36:$J$36,1,MATCH(E$3,D_Assumptions!$F$35:$J$35,0))*E24</f>
        <v>401209.60887000005</v>
      </c>
      <c r="F31" s="44">
        <f>INDEX(D_Assumptions!$F$36:$J$36,1,MATCH(F$3,D_Assumptions!$F$35:$J$35,0))*F24</f>
        <v>389173.32060390001</v>
      </c>
      <c r="G31" s="44">
        <f>INDEX(D_Assumptions!$F$36:$J$36,1,MATCH(G$3,D_Assumptions!$F$35:$J$35,0))*G24</f>
        <v>377498.120985783</v>
      </c>
      <c r="H31" s="44">
        <f>INDEX(D_Assumptions!$F$36:$J$36,1,MATCH(H$3,D_Assumptions!$F$35:$J$35,0))*H24</f>
        <v>366173.17735620955</v>
      </c>
      <c r="I31" s="44">
        <f>INDEX(D_Assumptions!$F$36:$J$36,1,MATCH(I$3,D_Assumptions!$F$35:$J$35,0))*I24</f>
        <v>355187.98203552328</v>
      </c>
      <c r="J31" s="44">
        <f>INDEX(D_Assumptions!$F$36:$J$36,1,MATCH(J$3,D_Assumptions!$F$35:$J$35,0))*J24</f>
        <v>284150.38562841865</v>
      </c>
      <c r="K31" s="44">
        <f>INDEX(D_Assumptions!$F$36:$J$36,1,MATCH(K$3,D_Assumptions!$F$35:$J$35,0))*K24</f>
        <v>284150.38562841865</v>
      </c>
      <c r="L31" s="44">
        <f>INDEX(D_Assumptions!$F$36:$J$36,1,MATCH(L$3,D_Assumptions!$F$35:$J$35,0))*L24</f>
        <v>710375.96407104656</v>
      </c>
      <c r="M31" s="44">
        <f>INDEX(D_Assumptions!$F$36:$J$36,1,MATCH(M$3,D_Assumptions!$F$35:$J$35,0))*M24</f>
        <v>568300.7712568373</v>
      </c>
      <c r="N31" s="44">
        <f>INDEX(D_Assumptions!$F$36:$J$36,1,MATCH(N$3,D_Assumptions!$F$35:$J$35,0))*N24</f>
        <v>551251.74811913213</v>
      </c>
      <c r="O31" s="44">
        <f>INDEX(D_Assumptions!$F$36:$J$36,1,MATCH(O$3,D_Assumptions!$F$35:$J$35,0))*O24</f>
        <v>534714.19567555806</v>
      </c>
      <c r="P31" s="44">
        <f>INDEX(D_Assumptions!$F$36:$J$36,1,MATCH(P$3,D_Assumptions!$F$35:$J$35,0))*P24</f>
        <v>518672.76980529138</v>
      </c>
      <c r="Q31" s="44">
        <f>INDEX(D_Assumptions!$F$36:$J$36,1,MATCH(Q$3,D_Assumptions!$F$35:$J$35,0))*Q24</f>
        <v>548763.70912223961</v>
      </c>
      <c r="R31" s="44">
        <f>INDEX(D_Assumptions!$F$36:$J$36,1,MATCH(R$3,D_Assumptions!$F$35:$J$35,0))*R24</f>
        <v>532300.79784857237</v>
      </c>
      <c r="S31" s="44">
        <f>INDEX(D_Assumptions!$F$36:$J$36,1,MATCH(S$3,D_Assumptions!$F$35:$J$35,0))*S24</f>
        <v>516331.7739131152</v>
      </c>
      <c r="T31" s="44">
        <f>INDEX(D_Assumptions!$F$36:$J$36,1,MATCH(T$3,D_Assumptions!$F$35:$J$35,0))*T24</f>
        <v>500841.82069572178</v>
      </c>
      <c r="U31" s="44">
        <f>INDEX(D_Assumptions!$F$36:$J$36,1,MATCH(U$3,D_Assumptions!$F$35:$J$35,0))*U24</f>
        <v>485816.5660748501</v>
      </c>
      <c r="V31" s="44">
        <f>INDEX(D_Assumptions!$F$36:$J$36,1,MATCH(V$3,D_Assumptions!$F$35:$J$35,0))*V24</f>
        <v>388653.25285988004</v>
      </c>
      <c r="W31" s="44">
        <f>INDEX(D_Assumptions!$F$36:$J$36,1,MATCH(W$3,D_Assumptions!$F$35:$J$35,0))*W24</f>
        <v>388653.25285988004</v>
      </c>
      <c r="X31" s="44">
        <f>INDEX(D_Assumptions!$F$36:$J$36,1,MATCH(X$3,D_Assumptions!$F$35:$J$35,0))*X24</f>
        <v>971633.13214970019</v>
      </c>
      <c r="Y31" s="44">
        <f>INDEX(D_Assumptions!$F$36:$J$36,1,MATCH(Y$3,D_Assumptions!$F$35:$J$35,0))*Y24</f>
        <v>777306.50571976008</v>
      </c>
      <c r="Z31" s="44">
        <f>INDEX(D_Assumptions!$F$36:$J$36,1,MATCH(Z$3,D_Assumptions!$F$35:$J$35,0))*Z24</f>
        <v>753987.31054816721</v>
      </c>
      <c r="AA31" s="44">
        <f>INDEX(D_Assumptions!$F$36:$J$36,1,MATCH(AA$3,D_Assumptions!$F$35:$J$35,0))*AA24</f>
        <v>731367.69123172224</v>
      </c>
      <c r="AB31" s="44">
        <f>INDEX(D_Assumptions!$F$36:$J$36,1,MATCH(AB$3,D_Assumptions!$F$35:$J$35,0))*AB24</f>
        <v>709426.66049477051</v>
      </c>
      <c r="AC31" s="44">
        <f>INDEX(D_Assumptions!$F$36:$J$36,1,MATCH(AC$3,D_Assumptions!$F$35:$J$35,0))*AC24</f>
        <v>875673.06412792474</v>
      </c>
      <c r="AD31" s="44">
        <f>INDEX(D_Assumptions!$F$36:$J$36,1,MATCH(AD$3,D_Assumptions!$F$35:$J$35,0))*AD24</f>
        <v>849402.87220408709</v>
      </c>
      <c r="AE31" s="44">
        <f>INDEX(D_Assumptions!$F$36:$J$36,1,MATCH(AE$3,D_Assumptions!$F$35:$J$35,0))*AE24</f>
        <v>823920.78603796451</v>
      </c>
      <c r="AF31" s="44">
        <f>INDEX(D_Assumptions!$F$36:$J$36,1,MATCH(AF$3,D_Assumptions!$F$35:$J$35,0))*AF24</f>
        <v>799203.16245682549</v>
      </c>
      <c r="AG31" s="44">
        <f>INDEX(D_Assumptions!$F$36:$J$36,1,MATCH(AG$3,D_Assumptions!$F$35:$J$35,0))*AG24</f>
        <v>775227.06758312066</v>
      </c>
      <c r="AH31" s="44">
        <f>INDEX(D_Assumptions!$F$36:$J$36,1,MATCH(AH$3,D_Assumptions!$F$35:$J$35,0))*AH24</f>
        <v>620181.65406649665</v>
      </c>
      <c r="AI31" s="44">
        <f>INDEX(D_Assumptions!$F$36:$J$36,1,MATCH(AI$3,D_Assumptions!$F$35:$J$35,0))*AI24</f>
        <v>620181.65406649665</v>
      </c>
      <c r="AJ31" s="44">
        <f>INDEX(D_Assumptions!$F$36:$J$36,1,MATCH(AJ$3,D_Assumptions!$F$35:$J$35,0))*AJ24</f>
        <v>1550454.1351662413</v>
      </c>
      <c r="AK31" s="44">
        <f>INDEX(D_Assumptions!$F$36:$J$36,1,MATCH(AK$3,D_Assumptions!$F$35:$J$35,0))*AK24</f>
        <v>1240363.3081329933</v>
      </c>
      <c r="AL31" s="44">
        <f>INDEX(D_Assumptions!$F$36:$J$36,1,MATCH(AL$3,D_Assumptions!$F$35:$J$35,0))*AL24</f>
        <v>1203152.4088890036</v>
      </c>
      <c r="AM31" s="44">
        <f>INDEX(D_Assumptions!$F$36:$J$36,1,MATCH(AM$3,D_Assumptions!$F$35:$J$35,0))*AM24</f>
        <v>1167057.8366223334</v>
      </c>
      <c r="AN31" s="44">
        <f>INDEX(D_Assumptions!$F$36:$J$36,1,MATCH(AN$3,D_Assumptions!$F$35:$J$35,0))*AN24</f>
        <v>1132046.1015236634</v>
      </c>
      <c r="AO31" s="44">
        <f>INDEX(D_Assumptions!$F$36:$J$36,1,MATCH(AO$3,D_Assumptions!$F$35:$J$35,0))*AO24</f>
        <v>1197585.612664507</v>
      </c>
      <c r="AP31" s="44">
        <f>INDEX(D_Assumptions!$F$36:$J$36,1,MATCH(AP$3,D_Assumptions!$F$35:$J$35,0))*AP24</f>
        <v>1161658.0442845719</v>
      </c>
      <c r="AQ31" s="44">
        <f>INDEX(D_Assumptions!$F$36:$J$36,1,MATCH(AQ$3,D_Assumptions!$F$35:$J$35,0))*AQ24</f>
        <v>1126808.3029560347</v>
      </c>
      <c r="AR31" s="44">
        <f>INDEX(D_Assumptions!$F$36:$J$36,1,MATCH(AR$3,D_Assumptions!$F$35:$J$35,0))*AR24</f>
        <v>1093004.0538673536</v>
      </c>
      <c r="AS31" s="44">
        <f>INDEX(D_Assumptions!$F$36:$J$36,1,MATCH(AS$3,D_Assumptions!$F$35:$J$35,0))*AS24</f>
        <v>1060213.932251333</v>
      </c>
      <c r="AT31" s="44">
        <f>INDEX(D_Assumptions!$F$36:$J$36,1,MATCH(AT$3,D_Assumptions!$F$35:$J$35,0))*AT24</f>
        <v>848171.14580106654</v>
      </c>
      <c r="AU31" s="44">
        <f>INDEX(D_Assumptions!$F$36:$J$36,1,MATCH(AU$3,D_Assumptions!$F$35:$J$35,0))*AU24</f>
        <v>848171.14580106654</v>
      </c>
      <c r="AV31" s="44">
        <f>INDEX(D_Assumptions!$F$36:$J$36,1,MATCH(AV$3,D_Assumptions!$F$35:$J$35,0))*AV24</f>
        <v>2120427.8645026661</v>
      </c>
      <c r="AW31" s="44">
        <f>INDEX(D_Assumptions!$F$36:$J$36,1,MATCH(AW$3,D_Assumptions!$F$35:$J$35,0))*AW24</f>
        <v>1696342.2916021331</v>
      </c>
      <c r="AX31" s="44">
        <f>INDEX(D_Assumptions!$F$36:$J$36,1,MATCH(AX$3,D_Assumptions!$F$35:$J$35,0))*AX24</f>
        <v>1645452.022854069</v>
      </c>
      <c r="AY31" s="44">
        <f>INDEX(D_Assumptions!$F$36:$J$36,1,MATCH(AY$3,D_Assumptions!$F$35:$J$35,0))*AY24</f>
        <v>1596088.462168447</v>
      </c>
      <c r="AZ31" s="44">
        <f>INDEX(D_Assumptions!$F$36:$J$36,1,MATCH(AZ$3,D_Assumptions!$F$35:$J$35,0))*AZ24</f>
        <v>1548205.8083033937</v>
      </c>
      <c r="BA31" s="44">
        <f>INDEX(D_Assumptions!$F$36:$J$36,1,MATCH(BA$3,D_Assumptions!$F$35:$J$35,0))*BA24</f>
        <v>1637747.5621418362</v>
      </c>
      <c r="BB31" s="44">
        <f>INDEX(D_Assumptions!$F$36:$J$36,1,MATCH(BB$3,D_Assumptions!$F$35:$J$35,0))*BB24</f>
        <v>1588615.1352775809</v>
      </c>
      <c r="BC31" s="44">
        <f>INDEX(D_Assumptions!$F$36:$J$36,1,MATCH(BC$3,D_Assumptions!$F$35:$J$35,0))*BC24</f>
        <v>1540956.6812192535</v>
      </c>
      <c r="BD31" s="44">
        <f>INDEX(D_Assumptions!$F$36:$J$36,1,MATCH(BD$3,D_Assumptions!$F$35:$J$35,0))*BD24</f>
        <v>1494727.9807826756</v>
      </c>
      <c r="BE31" s="44">
        <f>INDEX(D_Assumptions!$F$36:$J$36,1,MATCH(BE$3,D_Assumptions!$F$35:$J$35,0))*BE24</f>
        <v>1449886.1413591956</v>
      </c>
      <c r="BF31" s="44">
        <f>INDEX(D_Assumptions!$F$36:$J$36,1,MATCH(BF$3,D_Assumptions!$F$35:$J$35,0))*BF24</f>
        <v>1159908.9130873564</v>
      </c>
      <c r="BG31" s="44">
        <f>INDEX(D_Assumptions!$F$36:$J$36,1,MATCH(BG$3,D_Assumptions!$F$35:$J$35,0))*BG24</f>
        <v>1325657.5431369932</v>
      </c>
      <c r="BH31" s="44">
        <f>INDEX(D_Assumptions!$F$36:$J$36,1,MATCH(BH$3,D_Assumptions!$F$35:$J$35,0))*BH24</f>
        <v>3314143.8578424826</v>
      </c>
      <c r="BI31" s="44">
        <f>INDEX(D_Assumptions!$F$36:$J$36,1,MATCH(BI$3,D_Assumptions!$F$35:$J$35,0))*BI24</f>
        <v>2651315.0862739864</v>
      </c>
      <c r="BJ31" s="44">
        <f>INDEX(D_Assumptions!$F$36:$J$36,1,MATCH(BJ$3,D_Assumptions!$F$35:$J$35,0))*BJ24</f>
        <v>2571775.6336857667</v>
      </c>
      <c r="BK31" s="44">
        <f>INDEX(D_Assumptions!$F$36:$J$36,1,MATCH(BK$3,D_Assumptions!$F$35:$J$35,0))*BK24</f>
        <v>2494622.3646751936</v>
      </c>
      <c r="BL31" s="44">
        <f>INDEX(D_Assumptions!$F$36:$J$36,1,MATCH(BL$3,D_Assumptions!$F$35:$J$35,0))*BL24</f>
        <v>2419783.6937349373</v>
      </c>
    </row>
    <row r="32" spans="3:64">
      <c r="C32" t="s">
        <v>28</v>
      </c>
      <c r="E32" s="44">
        <f>INDEX(D_Assumptions!$F$36:$J$36,1,MATCH(E$3,D_Assumptions!$F$35:$J$35,0))*E25</f>
        <v>1098498.3574950001</v>
      </c>
      <c r="F32" s="44">
        <f>INDEX(D_Assumptions!$F$36:$J$36,1,MATCH(F$3,D_Assumptions!$F$35:$J$35,0))*F25</f>
        <v>1065543.4067701499</v>
      </c>
      <c r="G32" s="44">
        <f>INDEX(D_Assumptions!$F$36:$J$36,1,MATCH(G$3,D_Assumptions!$F$35:$J$35,0))*G25</f>
        <v>1033577.1045670455</v>
      </c>
      <c r="H32" s="44">
        <f>INDEX(D_Assumptions!$F$36:$J$36,1,MATCH(H$3,D_Assumptions!$F$35:$J$35,0))*H25</f>
        <v>1002569.791430034</v>
      </c>
      <c r="I32" s="44">
        <f>INDEX(D_Assumptions!$F$36:$J$36,1,MATCH(I$3,D_Assumptions!$F$35:$J$35,0))*I25</f>
        <v>972492.69768713298</v>
      </c>
      <c r="J32" s="44">
        <f>INDEX(D_Assumptions!$F$36:$J$36,1,MATCH(J$3,D_Assumptions!$F$35:$J$35,0))*J25</f>
        <v>777994.15814970643</v>
      </c>
      <c r="K32" s="44">
        <f>INDEX(D_Assumptions!$F$36:$J$36,1,MATCH(K$3,D_Assumptions!$F$35:$J$35,0))*K25</f>
        <v>777994.15814970643</v>
      </c>
      <c r="L32" s="44">
        <f>INDEX(D_Assumptions!$F$36:$J$36,1,MATCH(L$3,D_Assumptions!$F$35:$J$35,0))*L25</f>
        <v>1944985.395374266</v>
      </c>
      <c r="M32" s="44">
        <f>INDEX(D_Assumptions!$F$36:$J$36,1,MATCH(M$3,D_Assumptions!$F$35:$J$35,0))*M25</f>
        <v>1555988.3162994129</v>
      </c>
      <c r="N32" s="44">
        <f>INDEX(D_Assumptions!$F$36:$J$36,1,MATCH(N$3,D_Assumptions!$F$35:$J$35,0))*N25</f>
        <v>1509308.6668104306</v>
      </c>
      <c r="O32" s="44">
        <f>INDEX(D_Assumptions!$F$36:$J$36,1,MATCH(O$3,D_Assumptions!$F$35:$J$35,0))*O25</f>
        <v>1464029.4068061174</v>
      </c>
      <c r="P32" s="44">
        <f>INDEX(D_Assumptions!$F$36:$J$36,1,MATCH(P$3,D_Assumptions!$F$35:$J$35,0))*P25</f>
        <v>1420108.5246019338</v>
      </c>
      <c r="Q32" s="44">
        <f>INDEX(D_Assumptions!$F$36:$J$36,1,MATCH(Q$3,D_Assumptions!$F$35:$J$35,0))*Q25</f>
        <v>1502496.5000750232</v>
      </c>
      <c r="R32" s="44">
        <f>INDEX(D_Assumptions!$F$36:$J$36,1,MATCH(R$3,D_Assumptions!$F$35:$J$35,0))*R25</f>
        <v>1457421.6050727726</v>
      </c>
      <c r="S32" s="44">
        <f>INDEX(D_Assumptions!$F$36:$J$36,1,MATCH(S$3,D_Assumptions!$F$35:$J$35,0))*S25</f>
        <v>1570811.5327063848</v>
      </c>
      <c r="T32" s="44">
        <f>INDEX(D_Assumptions!$F$36:$J$36,1,MATCH(T$3,D_Assumptions!$F$35:$J$35,0))*T25</f>
        <v>1523687.1867251932</v>
      </c>
      <c r="U32" s="44">
        <f>INDEX(D_Assumptions!$F$36:$J$36,1,MATCH(U$3,D_Assumptions!$F$35:$J$35,0))*U25</f>
        <v>1477976.5711234375</v>
      </c>
      <c r="V32" s="44">
        <f>INDEX(D_Assumptions!$F$36:$J$36,1,MATCH(V$3,D_Assumptions!$F$35:$J$35,0))*V25</f>
        <v>1182381.2568987499</v>
      </c>
      <c r="W32" s="44">
        <f>INDEX(D_Assumptions!$F$36:$J$36,1,MATCH(W$3,D_Assumptions!$F$35:$J$35,0))*W25</f>
        <v>1182381.2568987499</v>
      </c>
      <c r="X32" s="44">
        <f>INDEX(D_Assumptions!$F$36:$J$36,1,MATCH(X$3,D_Assumptions!$F$35:$J$35,0))*X25</f>
        <v>2955953.142246875</v>
      </c>
      <c r="Y32" s="44">
        <f>INDEX(D_Assumptions!$F$36:$J$36,1,MATCH(Y$3,D_Assumptions!$F$35:$J$35,0))*Y25</f>
        <v>2364762.5137974997</v>
      </c>
      <c r="Z32" s="44">
        <f>INDEX(D_Assumptions!$F$36:$J$36,1,MATCH(Z$3,D_Assumptions!$F$35:$J$35,0))*Z25</f>
        <v>2293819.6383835748</v>
      </c>
      <c r="AA32" s="44">
        <f>INDEX(D_Assumptions!$F$36:$J$36,1,MATCH(AA$3,D_Assumptions!$F$35:$J$35,0))*AA25</f>
        <v>2225005.0492320675</v>
      </c>
      <c r="AB32" s="44">
        <f>INDEX(D_Assumptions!$F$36:$J$36,1,MATCH(AB$3,D_Assumptions!$F$35:$J$35,0))*AB25</f>
        <v>2158254.8977551055</v>
      </c>
      <c r="AC32" s="44">
        <f>INDEX(D_Assumptions!$F$36:$J$36,1,MATCH(AC$3,D_Assumptions!$F$35:$J$35,0))*AC25</f>
        <v>2283335.5793295493</v>
      </c>
      <c r="AD32" s="44">
        <f>INDEX(D_Assumptions!$F$36:$J$36,1,MATCH(AD$3,D_Assumptions!$F$35:$J$35,0))*AD25</f>
        <v>2214835.5119496626</v>
      </c>
      <c r="AE32" s="44">
        <f>INDEX(D_Assumptions!$F$36:$J$36,1,MATCH(AE$3,D_Assumptions!$F$35:$J$35,0))*AE25</f>
        <v>2148390.4465911728</v>
      </c>
      <c r="AF32" s="44">
        <f>INDEX(D_Assumptions!$F$36:$J$36,1,MATCH(AF$3,D_Assumptions!$F$35:$J$35,0))*AF25</f>
        <v>2083938.7331934371</v>
      </c>
      <c r="AG32" s="44">
        <f>INDEX(D_Assumptions!$F$36:$J$36,1,MATCH(AG$3,D_Assumptions!$F$35:$J$35,0))*AG25</f>
        <v>2021420.5711976341</v>
      </c>
      <c r="AH32" s="44">
        <f>INDEX(D_Assumptions!$F$36:$J$36,1,MATCH(AH$3,D_Assumptions!$F$35:$J$35,0))*AH25</f>
        <v>1617136.4569581074</v>
      </c>
      <c r="AI32" s="44">
        <f>INDEX(D_Assumptions!$F$36:$J$36,1,MATCH(AI$3,D_Assumptions!$F$35:$J$35,0))*AI25</f>
        <v>1617136.4569581074</v>
      </c>
      <c r="AJ32" s="44">
        <f>INDEX(D_Assumptions!$F$36:$J$36,1,MATCH(AJ$3,D_Assumptions!$F$35:$J$35,0))*AJ25</f>
        <v>4042841.1423952687</v>
      </c>
      <c r="AK32" s="44">
        <f>INDEX(D_Assumptions!$F$36:$J$36,1,MATCH(AK$3,D_Assumptions!$F$35:$J$35,0))*AK25</f>
        <v>3234272.9139162158</v>
      </c>
      <c r="AL32" s="44">
        <f>INDEX(D_Assumptions!$F$36:$J$36,1,MATCH(AL$3,D_Assumptions!$F$35:$J$35,0))*AL25</f>
        <v>3137244.7264987291</v>
      </c>
      <c r="AM32" s="44">
        <f>INDEX(D_Assumptions!$F$36:$J$36,1,MATCH(AM$3,D_Assumptions!$F$35:$J$35,0))*AM25</f>
        <v>3043127.3847037675</v>
      </c>
      <c r="AN32" s="44">
        <f>INDEX(D_Assumptions!$F$36:$J$36,1,MATCH(AN$3,D_Assumptions!$F$35:$J$35,0))*AN25</f>
        <v>3247075.9679598785</v>
      </c>
      <c r="AO32" s="44">
        <f>INDEX(D_Assumptions!$F$36:$J$36,1,MATCH(AO$3,D_Assumptions!$F$35:$J$35,0))*AO25</f>
        <v>3435064.5766312405</v>
      </c>
      <c r="AP32" s="44">
        <f>INDEX(D_Assumptions!$F$36:$J$36,1,MATCH(AP$3,D_Assumptions!$F$35:$J$35,0))*AP25</f>
        <v>3332012.6393323033</v>
      </c>
      <c r="AQ32" s="44">
        <f>INDEX(D_Assumptions!$F$36:$J$36,1,MATCH(AQ$3,D_Assumptions!$F$35:$J$35,0))*AQ25</f>
        <v>3232052.2601523339</v>
      </c>
      <c r="AR32" s="44">
        <f>INDEX(D_Assumptions!$F$36:$J$36,1,MATCH(AR$3,D_Assumptions!$F$35:$J$35,0))*AR25</f>
        <v>3135090.6923477636</v>
      </c>
      <c r="AS32" s="44">
        <f>INDEX(D_Assumptions!$F$36:$J$36,1,MATCH(AS$3,D_Assumptions!$F$35:$J$35,0))*AS25</f>
        <v>3041037.9715773305</v>
      </c>
      <c r="AT32" s="44">
        <f>INDEX(D_Assumptions!$F$36:$J$36,1,MATCH(AT$3,D_Assumptions!$F$35:$J$35,0))*AT25</f>
        <v>2432830.3772618645</v>
      </c>
      <c r="AU32" s="44">
        <f>INDEX(D_Assumptions!$F$36:$J$36,1,MATCH(AU$3,D_Assumptions!$F$35:$J$35,0))*AU25</f>
        <v>2432830.3772618645</v>
      </c>
      <c r="AV32" s="44">
        <f>INDEX(D_Assumptions!$F$36:$J$36,1,MATCH(AV$3,D_Assumptions!$F$35:$J$35,0))*AV25</f>
        <v>6082075.943154661</v>
      </c>
      <c r="AW32" s="44">
        <f>INDEX(D_Assumptions!$F$36:$J$36,1,MATCH(AW$3,D_Assumptions!$F$35:$J$35,0))*AW25</f>
        <v>4865660.754523729</v>
      </c>
      <c r="AX32" s="44">
        <f>INDEX(D_Assumptions!$F$36:$J$36,1,MATCH(AX$3,D_Assumptions!$F$35:$J$35,0))*AX25</f>
        <v>4719690.9318880169</v>
      </c>
      <c r="AY32" s="44">
        <f>INDEX(D_Assumptions!$F$36:$J$36,1,MATCH(AY$3,D_Assumptions!$F$35:$J$35,0))*AY25</f>
        <v>4578100.2039313763</v>
      </c>
      <c r="AZ32" s="44">
        <f>INDEX(D_Assumptions!$F$36:$J$36,1,MATCH(AZ$3,D_Assumptions!$F$35:$J$35,0))*AZ25</f>
        <v>4440757.1978134355</v>
      </c>
      <c r="BA32" s="44">
        <f>INDEX(D_Assumptions!$F$36:$J$36,1,MATCH(BA$3,D_Assumptions!$F$35:$J$35,0))*BA25</f>
        <v>4697592.035746675</v>
      </c>
      <c r="BB32" s="44">
        <f>INDEX(D_Assumptions!$F$36:$J$36,1,MATCH(BB$3,D_Assumptions!$F$35:$J$35,0))*BB25</f>
        <v>4556664.274674275</v>
      </c>
      <c r="BC32" s="44">
        <f>INDEX(D_Assumptions!$F$36:$J$36,1,MATCH(BC$3,D_Assumptions!$F$35:$J$35,0))*BC25</f>
        <v>4419964.3464340465</v>
      </c>
      <c r="BD32" s="44">
        <f>INDEX(D_Assumptions!$F$36:$J$36,1,MATCH(BD$3,D_Assumptions!$F$35:$J$35,0))*BD25</f>
        <v>4287365.416041025</v>
      </c>
      <c r="BE32" s="44">
        <f>INDEX(D_Assumptions!$F$36:$J$36,1,MATCH(BE$3,D_Assumptions!$F$35:$J$35,0))*BE25</f>
        <v>4158744.453559794</v>
      </c>
      <c r="BF32" s="44">
        <f>INDEX(D_Assumptions!$F$36:$J$36,1,MATCH(BF$3,D_Assumptions!$F$35:$J$35,0))*BF25</f>
        <v>3326995.5628478355</v>
      </c>
      <c r="BG32" s="44">
        <f>INDEX(D_Assumptions!$F$36:$J$36,1,MATCH(BG$3,D_Assumptions!$F$35:$J$35,0))*BG25</f>
        <v>3326995.5628478355</v>
      </c>
      <c r="BH32" s="44">
        <f>INDEX(D_Assumptions!$F$36:$J$36,1,MATCH(BH$3,D_Assumptions!$F$35:$J$35,0))*BH25</f>
        <v>8317488.907119588</v>
      </c>
      <c r="BI32" s="44">
        <f>INDEX(D_Assumptions!$F$36:$J$36,1,MATCH(BI$3,D_Assumptions!$F$35:$J$35,0))*BI25</f>
        <v>6653991.125695671</v>
      </c>
      <c r="BJ32" s="44">
        <f>INDEX(D_Assumptions!$F$36:$J$36,1,MATCH(BJ$3,D_Assumptions!$F$35:$J$35,0))*BJ25</f>
        <v>6454371.3919248004</v>
      </c>
      <c r="BK32" s="44">
        <f>INDEX(D_Assumptions!$F$36:$J$36,1,MATCH(BK$3,D_Assumptions!$F$35:$J$35,0))*BK25</f>
        <v>6260740.250167056</v>
      </c>
      <c r="BL32" s="44">
        <f>INDEX(D_Assumptions!$F$36:$J$36,1,MATCH(BL$3,D_Assumptions!$F$35:$J$35,0))*BL25</f>
        <v>6072918.0426620441</v>
      </c>
    </row>
    <row r="33" spans="3:64">
      <c r="C33" t="s">
        <v>42</v>
      </c>
      <c r="E33" s="44">
        <f>INDEX(D_Assumptions!$F$36:$J$36,1,MATCH(E$3,D_Assumptions!$F$35:$J$35,0))*E26</f>
        <v>360917.45875499997</v>
      </c>
      <c r="F33" s="44">
        <f>INDEX(D_Assumptions!$F$36:$J$36,1,MATCH(F$3,D_Assumptions!$F$35:$J$35,0))*F26</f>
        <v>350089.93499235</v>
      </c>
      <c r="G33" s="44">
        <f>INDEX(D_Assumptions!$F$36:$J$36,1,MATCH(G$3,D_Assumptions!$F$35:$J$35,0))*G26</f>
        <v>339587.2369425795</v>
      </c>
      <c r="H33" s="44">
        <f>INDEX(D_Assumptions!$F$36:$J$36,1,MATCH(H$3,D_Assumptions!$F$35:$J$35,0))*H26</f>
        <v>329399.61983430211</v>
      </c>
      <c r="I33" s="44">
        <f>INDEX(D_Assumptions!$F$36:$J$36,1,MATCH(I$3,D_Assumptions!$F$35:$J$35,0))*I26</f>
        <v>319517.631239273</v>
      </c>
      <c r="J33" s="44">
        <f>INDEX(D_Assumptions!$F$36:$J$36,1,MATCH(J$3,D_Assumptions!$F$35:$J$35,0))*J26</f>
        <v>255614.10499141843</v>
      </c>
      <c r="K33" s="44">
        <f>INDEX(D_Assumptions!$F$36:$J$36,1,MATCH(K$3,D_Assumptions!$F$35:$J$35,0))*K26</f>
        <v>255614.10499141843</v>
      </c>
      <c r="L33" s="44">
        <f>INDEX(D_Assumptions!$F$36:$J$36,1,MATCH(L$3,D_Assumptions!$F$35:$J$35,0))*L26</f>
        <v>639035.26247854612</v>
      </c>
      <c r="M33" s="44">
        <f>INDEX(D_Assumptions!$F$36:$J$36,1,MATCH(M$3,D_Assumptions!$F$35:$J$35,0))*M26</f>
        <v>511228.20998283691</v>
      </c>
      <c r="N33" s="44">
        <f>INDEX(D_Assumptions!$F$36:$J$36,1,MATCH(N$3,D_Assumptions!$F$35:$J$35,0))*N26</f>
        <v>495891.3636833519</v>
      </c>
      <c r="O33" s="44">
        <f>INDEX(D_Assumptions!$F$36:$J$36,1,MATCH(O$3,D_Assumptions!$F$35:$J$35,0))*O26</f>
        <v>481014.62277285132</v>
      </c>
      <c r="P33" s="44">
        <f>INDEX(D_Assumptions!$F$36:$J$36,1,MATCH(P$3,D_Assumptions!$F$35:$J$35,0))*P26</f>
        <v>466584.18408966571</v>
      </c>
      <c r="Q33" s="44">
        <f>INDEX(D_Assumptions!$F$36:$J$36,1,MATCH(Q$3,D_Assumptions!$F$35:$J$35,0))*Q26</f>
        <v>493653.1901895242</v>
      </c>
      <c r="R33" s="44">
        <f>INDEX(D_Assumptions!$F$36:$J$36,1,MATCH(R$3,D_Assumptions!$F$35:$J$35,0))*R26</f>
        <v>478843.59448383847</v>
      </c>
      <c r="S33" s="44">
        <f>INDEX(D_Assumptions!$F$36:$J$36,1,MATCH(S$3,D_Assumptions!$F$35:$J$35,0))*S26</f>
        <v>495447.63500572572</v>
      </c>
      <c r="T33" s="44">
        <f>INDEX(D_Assumptions!$F$36:$J$36,1,MATCH(T$3,D_Assumptions!$F$35:$J$35,0))*T26</f>
        <v>480584.20595555392</v>
      </c>
      <c r="U33" s="44">
        <f>INDEX(D_Assumptions!$F$36:$J$36,1,MATCH(U$3,D_Assumptions!$F$35:$J$35,0))*U26</f>
        <v>466166.67977688729</v>
      </c>
      <c r="V33" s="44">
        <f>INDEX(D_Assumptions!$F$36:$J$36,1,MATCH(V$3,D_Assumptions!$F$35:$J$35,0))*V26</f>
        <v>372933.34382150986</v>
      </c>
      <c r="W33" s="44">
        <f>INDEX(D_Assumptions!$F$36:$J$36,1,MATCH(W$3,D_Assumptions!$F$35:$J$35,0))*W26</f>
        <v>372933.34382150986</v>
      </c>
      <c r="X33" s="44">
        <f>INDEX(D_Assumptions!$F$36:$J$36,1,MATCH(X$3,D_Assumptions!$F$35:$J$35,0))*X26</f>
        <v>932333.3595537747</v>
      </c>
      <c r="Y33" s="44">
        <f>INDEX(D_Assumptions!$F$36:$J$36,1,MATCH(Y$3,D_Assumptions!$F$35:$J$35,0))*Y26</f>
        <v>745866.68764301972</v>
      </c>
      <c r="Z33" s="44">
        <f>INDEX(D_Assumptions!$F$36:$J$36,1,MATCH(Z$3,D_Assumptions!$F$35:$J$35,0))*Z26</f>
        <v>723490.68701372913</v>
      </c>
      <c r="AA33" s="44">
        <f>INDEX(D_Assumptions!$F$36:$J$36,1,MATCH(AA$3,D_Assumptions!$F$35:$J$35,0))*AA26</f>
        <v>701785.96640331729</v>
      </c>
      <c r="AB33" s="44">
        <f>INDEX(D_Assumptions!$F$36:$J$36,1,MATCH(AB$3,D_Assumptions!$F$35:$J$35,0))*AB26</f>
        <v>680732.38741121779</v>
      </c>
      <c r="AC33" s="44">
        <f>INDEX(D_Assumptions!$F$36:$J$36,1,MATCH(AC$3,D_Assumptions!$F$35:$J$35,0))*AC26</f>
        <v>765201.04585885629</v>
      </c>
      <c r="AD33" s="44">
        <f>INDEX(D_Assumptions!$F$36:$J$36,1,MATCH(AD$3,D_Assumptions!$F$35:$J$35,0))*AD26</f>
        <v>742245.01448309061</v>
      </c>
      <c r="AE33" s="44">
        <f>INDEX(D_Assumptions!$F$36:$J$36,1,MATCH(AE$3,D_Assumptions!$F$35:$J$35,0))*AE26</f>
        <v>719977.66404859768</v>
      </c>
      <c r="AF33" s="44">
        <f>INDEX(D_Assumptions!$F$36:$J$36,1,MATCH(AF$3,D_Assumptions!$F$35:$J$35,0))*AF26</f>
        <v>698378.33412713988</v>
      </c>
      <c r="AG33" s="44">
        <f>INDEX(D_Assumptions!$F$36:$J$36,1,MATCH(AG$3,D_Assumptions!$F$35:$J$35,0))*AG26</f>
        <v>677426.98410332552</v>
      </c>
      <c r="AH33" s="44">
        <f>INDEX(D_Assumptions!$F$36:$J$36,1,MATCH(AH$3,D_Assumptions!$F$35:$J$35,0))*AH26</f>
        <v>541941.58728266053</v>
      </c>
      <c r="AI33" s="44">
        <f>INDEX(D_Assumptions!$F$36:$J$36,1,MATCH(AI$3,D_Assumptions!$F$35:$J$35,0))*AI26</f>
        <v>541941.58728266053</v>
      </c>
      <c r="AJ33" s="44">
        <f>INDEX(D_Assumptions!$F$36:$J$36,1,MATCH(AJ$3,D_Assumptions!$F$35:$J$35,0))*AJ26</f>
        <v>1354853.9682066513</v>
      </c>
      <c r="AK33" s="44">
        <f>INDEX(D_Assumptions!$F$36:$J$36,1,MATCH(AK$3,D_Assumptions!$F$35:$J$35,0))*AK26</f>
        <v>1083883.1745653211</v>
      </c>
      <c r="AL33" s="44">
        <f>INDEX(D_Assumptions!$F$36:$J$36,1,MATCH(AL$3,D_Assumptions!$F$35:$J$35,0))*AL26</f>
        <v>1051366.6793283613</v>
      </c>
      <c r="AM33" s="44">
        <f>INDEX(D_Assumptions!$F$36:$J$36,1,MATCH(AM$3,D_Assumptions!$F$35:$J$35,0))*AM26</f>
        <v>1019825.6789485106</v>
      </c>
      <c r="AN33" s="44">
        <f>INDEX(D_Assumptions!$F$36:$J$36,1,MATCH(AN$3,D_Assumptions!$F$35:$J$35,0))*AN26</f>
        <v>1047427.8087200749</v>
      </c>
      <c r="AO33" s="44">
        <f>INDEX(D_Assumptions!$F$36:$J$36,1,MATCH(AO$3,D_Assumptions!$F$35:$J$35,0))*AO26</f>
        <v>1108068.3660670267</v>
      </c>
      <c r="AP33" s="44">
        <f>INDEX(D_Assumptions!$F$36:$J$36,1,MATCH(AP$3,D_Assumptions!$F$35:$J$35,0))*AP26</f>
        <v>1074826.3150850157</v>
      </c>
      <c r="AQ33" s="44">
        <f>INDEX(D_Assumptions!$F$36:$J$36,1,MATCH(AQ$3,D_Assumptions!$F$35:$J$35,0))*AQ26</f>
        <v>1042581.5256324654</v>
      </c>
      <c r="AR33" s="44">
        <f>INDEX(D_Assumptions!$F$36:$J$36,1,MATCH(AR$3,D_Assumptions!$F$35:$J$35,0))*AR26</f>
        <v>1011304.0798634915</v>
      </c>
      <c r="AS33" s="44">
        <f>INDEX(D_Assumptions!$F$36:$J$36,1,MATCH(AS$3,D_Assumptions!$F$35:$J$35,0))*AS26</f>
        <v>980964.95746758673</v>
      </c>
      <c r="AT33" s="44">
        <f>INDEX(D_Assumptions!$F$36:$J$36,1,MATCH(AT$3,D_Assumptions!$F$35:$J$35,0))*AT26</f>
        <v>784771.96597406932</v>
      </c>
      <c r="AU33" s="44">
        <f>INDEX(D_Assumptions!$F$36:$J$36,1,MATCH(AU$3,D_Assumptions!$F$35:$J$35,0))*AU26</f>
        <v>784771.96597406932</v>
      </c>
      <c r="AV33" s="44">
        <f>INDEX(D_Assumptions!$F$36:$J$36,1,MATCH(AV$3,D_Assumptions!$F$35:$J$35,0))*AV26</f>
        <v>1961929.9149351735</v>
      </c>
      <c r="AW33" s="44">
        <f>INDEX(D_Assumptions!$F$36:$J$36,1,MATCH(AW$3,D_Assumptions!$F$35:$J$35,0))*AW26</f>
        <v>1569543.9319481386</v>
      </c>
      <c r="AX33" s="44">
        <f>INDEX(D_Assumptions!$F$36:$J$36,1,MATCH(AX$3,D_Assumptions!$F$35:$J$35,0))*AX26</f>
        <v>1522457.6139896947</v>
      </c>
      <c r="AY33" s="44">
        <f>INDEX(D_Assumptions!$F$36:$J$36,1,MATCH(AY$3,D_Assumptions!$F$35:$J$35,0))*AY26</f>
        <v>1476783.8855700037</v>
      </c>
      <c r="AZ33" s="44">
        <f>INDEX(D_Assumptions!$F$36:$J$36,1,MATCH(AZ$3,D_Assumptions!$F$35:$J$35,0))*AZ26</f>
        <v>1432480.3690029038</v>
      </c>
      <c r="BA33" s="44">
        <f>INDEX(D_Assumptions!$F$36:$J$36,1,MATCH(BA$3,D_Assumptions!$F$35:$J$35,0))*BA26</f>
        <v>1515329.0470609076</v>
      </c>
      <c r="BB33" s="44">
        <f>INDEX(D_Assumptions!$F$36:$J$36,1,MATCH(BB$3,D_Assumptions!$F$35:$J$35,0))*BB26</f>
        <v>1469869.1756490802</v>
      </c>
      <c r="BC33" s="44">
        <f>INDEX(D_Assumptions!$F$36:$J$36,1,MATCH(BC$3,D_Assumptions!$F$35:$J$35,0))*BC26</f>
        <v>1425773.1003796079</v>
      </c>
      <c r="BD33" s="44">
        <f>INDEX(D_Assumptions!$F$36:$J$36,1,MATCH(BD$3,D_Assumptions!$F$35:$J$35,0))*BD26</f>
        <v>1382999.9073682197</v>
      </c>
      <c r="BE33" s="44">
        <f>INDEX(D_Assumptions!$F$36:$J$36,1,MATCH(BE$3,D_Assumptions!$F$35:$J$35,0))*BE26</f>
        <v>1341509.9101471729</v>
      </c>
      <c r="BF33" s="44">
        <f>INDEX(D_Assumptions!$F$36:$J$36,1,MATCH(BF$3,D_Assumptions!$F$35:$J$35,0))*BF26</f>
        <v>1073207.9281177383</v>
      </c>
      <c r="BG33" s="44">
        <f>INDEX(D_Assumptions!$F$36:$J$36,1,MATCH(BG$3,D_Assumptions!$F$35:$J$35,0))*BG26</f>
        <v>1132837.2162674072</v>
      </c>
      <c r="BH33" s="44">
        <f>INDEX(D_Assumptions!$F$36:$J$36,1,MATCH(BH$3,D_Assumptions!$F$35:$J$35,0))*BH26</f>
        <v>2832093.0406685183</v>
      </c>
      <c r="BI33" s="44">
        <f>INDEX(D_Assumptions!$F$36:$J$36,1,MATCH(BI$3,D_Assumptions!$F$35:$J$35,0))*BI26</f>
        <v>2265674.4325348143</v>
      </c>
      <c r="BJ33" s="44">
        <f>INDEX(D_Assumptions!$F$36:$J$36,1,MATCH(BJ$3,D_Assumptions!$F$35:$J$35,0))*BJ26</f>
        <v>2197704.1995587698</v>
      </c>
      <c r="BK33" s="44">
        <f>INDEX(D_Assumptions!$F$36:$J$36,1,MATCH(BK$3,D_Assumptions!$F$35:$J$35,0))*BK26</f>
        <v>2131773.073572007</v>
      </c>
      <c r="BL33" s="44">
        <f>INDEX(D_Assumptions!$F$36:$J$36,1,MATCH(BL$3,D_Assumptions!$F$35:$J$35,0))*BL26</f>
        <v>2067819.8813648466</v>
      </c>
    </row>
    <row r="34" spans="3:64">
      <c r="C34" t="s">
        <v>27</v>
      </c>
      <c r="E34" s="44">
        <f>INDEX(D_Assumptions!$F$36:$J$36,1,MATCH(E$3,D_Assumptions!$F$35:$J$35,0))*E27</f>
        <v>136371.73294500003</v>
      </c>
      <c r="F34" s="44">
        <f>INDEX(D_Assumptions!$F$36:$J$36,1,MATCH(F$3,D_Assumptions!$F$35:$J$35,0))*F27</f>
        <v>132280.58095665002</v>
      </c>
      <c r="G34" s="44">
        <f>INDEX(D_Assumptions!$F$36:$J$36,1,MATCH(G$3,D_Assumptions!$F$35:$J$35,0))*G27</f>
        <v>128312.16352795053</v>
      </c>
      <c r="H34" s="44">
        <f>INDEX(D_Assumptions!$F$36:$J$36,1,MATCH(H$3,D_Assumptions!$F$35:$J$35,0))*H27</f>
        <v>124462.79862211199</v>
      </c>
      <c r="I34" s="44">
        <f>INDEX(D_Assumptions!$F$36:$J$36,1,MATCH(I$3,D_Assumptions!$F$35:$J$35,0))*I27</f>
        <v>120728.91466344862</v>
      </c>
      <c r="J34" s="44">
        <f>INDEX(D_Assumptions!$F$36:$J$36,1,MATCH(J$3,D_Assumptions!$F$35:$J$35,0))*J27</f>
        <v>96583.131730758891</v>
      </c>
      <c r="K34" s="44">
        <f>INDEX(D_Assumptions!$F$36:$J$36,1,MATCH(K$3,D_Assumptions!$F$35:$J$35,0))*K27</f>
        <v>96583.131730758891</v>
      </c>
      <c r="L34" s="44">
        <f>INDEX(D_Assumptions!$F$36:$J$36,1,MATCH(L$3,D_Assumptions!$F$35:$J$35,0))*L27</f>
        <v>241457.82932689725</v>
      </c>
      <c r="M34" s="44">
        <f>INDEX(D_Assumptions!$F$36:$J$36,1,MATCH(M$3,D_Assumptions!$F$35:$J$35,0))*M27</f>
        <v>193166.26346151778</v>
      </c>
      <c r="N34" s="44">
        <f>INDEX(D_Assumptions!$F$36:$J$36,1,MATCH(N$3,D_Assumptions!$F$35:$J$35,0))*N27</f>
        <v>187371.27555767228</v>
      </c>
      <c r="O34" s="44">
        <f>INDEX(D_Assumptions!$F$36:$J$36,1,MATCH(O$3,D_Assumptions!$F$35:$J$35,0))*O27</f>
        <v>181750.1372909421</v>
      </c>
      <c r="P34" s="44">
        <f>INDEX(D_Assumptions!$F$36:$J$36,1,MATCH(P$3,D_Assumptions!$F$35:$J$35,0))*P27</f>
        <v>176297.6331722138</v>
      </c>
      <c r="Q34" s="44">
        <f>INDEX(D_Assumptions!$F$36:$J$36,1,MATCH(Q$3,D_Assumptions!$F$35:$J$35,0))*Q27</f>
        <v>186525.58746312093</v>
      </c>
      <c r="R34" s="44">
        <f>INDEX(D_Assumptions!$F$36:$J$36,1,MATCH(R$3,D_Assumptions!$F$35:$J$35,0))*R27</f>
        <v>180929.8198392273</v>
      </c>
      <c r="S34" s="44">
        <f>INDEX(D_Assumptions!$F$36:$J$36,1,MATCH(S$3,D_Assumptions!$F$35:$J$35,0))*S27</f>
        <v>187202.83365421448</v>
      </c>
      <c r="T34" s="44">
        <f>INDEX(D_Assumptions!$F$36:$J$36,1,MATCH(T$3,D_Assumptions!$F$35:$J$35,0))*T27</f>
        <v>181586.74864458805</v>
      </c>
      <c r="U34" s="44">
        <f>INDEX(D_Assumptions!$F$36:$J$36,1,MATCH(U$3,D_Assumptions!$F$35:$J$35,0))*U27</f>
        <v>176139.1461852504</v>
      </c>
      <c r="V34" s="44">
        <f>INDEX(D_Assumptions!$F$36:$J$36,1,MATCH(V$3,D_Assumptions!$F$35:$J$35,0))*V27</f>
        <v>140911.31694820034</v>
      </c>
      <c r="W34" s="44">
        <f>INDEX(D_Assumptions!$F$36:$J$36,1,MATCH(W$3,D_Assumptions!$F$35:$J$35,0))*W27</f>
        <v>140911.31694820034</v>
      </c>
      <c r="X34" s="44">
        <f>INDEX(D_Assumptions!$F$36:$J$36,1,MATCH(X$3,D_Assumptions!$F$35:$J$35,0))*X27</f>
        <v>352278.29237050092</v>
      </c>
      <c r="Y34" s="44">
        <f>INDEX(D_Assumptions!$F$36:$J$36,1,MATCH(Y$3,D_Assumptions!$F$35:$J$35,0))*Y27</f>
        <v>281822.63389640069</v>
      </c>
      <c r="Z34" s="44">
        <f>INDEX(D_Assumptions!$F$36:$J$36,1,MATCH(Z$3,D_Assumptions!$F$35:$J$35,0))*Z27</f>
        <v>273367.9548795087</v>
      </c>
      <c r="AA34" s="44">
        <f>INDEX(D_Assumptions!$F$36:$J$36,1,MATCH(AA$3,D_Assumptions!$F$35:$J$35,0))*AA27</f>
        <v>265166.9162331234</v>
      </c>
      <c r="AB34" s="44">
        <f>INDEX(D_Assumptions!$F$36:$J$36,1,MATCH(AB$3,D_Assumptions!$F$35:$J$35,0))*AB27</f>
        <v>257211.90874612969</v>
      </c>
      <c r="AC34" s="44">
        <f>INDEX(D_Assumptions!$F$36:$J$36,1,MATCH(AC$3,D_Assumptions!$F$35:$J$35,0))*AC27</f>
        <v>280622.74289278226</v>
      </c>
      <c r="AD34" s="44">
        <f>INDEX(D_Assumptions!$F$36:$J$36,1,MATCH(AD$3,D_Assumptions!$F$35:$J$35,0))*AD27</f>
        <v>272204.06060599879</v>
      </c>
      <c r="AE34" s="44">
        <f>INDEX(D_Assumptions!$F$36:$J$36,1,MATCH(AE$3,D_Assumptions!$F$35:$J$35,0))*AE27</f>
        <v>264037.93878781889</v>
      </c>
      <c r="AF34" s="44">
        <f>INDEX(D_Assumptions!$F$36:$J$36,1,MATCH(AF$3,D_Assumptions!$F$35:$J$35,0))*AF27</f>
        <v>256116.80062418428</v>
      </c>
      <c r="AG34" s="44">
        <f>INDEX(D_Assumptions!$F$36:$J$36,1,MATCH(AG$3,D_Assumptions!$F$35:$J$35,0))*AG27</f>
        <v>248433.29660545875</v>
      </c>
      <c r="AH34" s="44">
        <f>INDEX(D_Assumptions!$F$36:$J$36,1,MATCH(AH$3,D_Assumptions!$F$35:$J$35,0))*AH27</f>
        <v>198746.637284367</v>
      </c>
      <c r="AI34" s="44">
        <f>INDEX(D_Assumptions!$F$36:$J$36,1,MATCH(AI$3,D_Assumptions!$F$35:$J$35,0))*AI27</f>
        <v>198746.637284367</v>
      </c>
      <c r="AJ34" s="44">
        <f>INDEX(D_Assumptions!$F$36:$J$36,1,MATCH(AJ$3,D_Assumptions!$F$35:$J$35,0))*AJ27</f>
        <v>496866.59321091761</v>
      </c>
      <c r="AK34" s="44">
        <f>INDEX(D_Assumptions!$F$36:$J$36,1,MATCH(AK$3,D_Assumptions!$F$35:$J$35,0))*AK27</f>
        <v>397493.27456873405</v>
      </c>
      <c r="AL34" s="44">
        <f>INDEX(D_Assumptions!$F$36:$J$36,1,MATCH(AL$3,D_Assumptions!$F$35:$J$35,0))*AL27</f>
        <v>385568.47633167205</v>
      </c>
      <c r="AM34" s="44">
        <f>INDEX(D_Assumptions!$F$36:$J$36,1,MATCH(AM$3,D_Assumptions!$F$35:$J$35,0))*AM27</f>
        <v>374001.42204172193</v>
      </c>
      <c r="AN34" s="44">
        <f>INDEX(D_Assumptions!$F$36:$J$36,1,MATCH(AN$3,D_Assumptions!$F$35:$J$35,0))*AN27</f>
        <v>384769.46225703671</v>
      </c>
      <c r="AO34" s="44">
        <f>INDEX(D_Assumptions!$F$36:$J$36,1,MATCH(AO$3,D_Assumptions!$F$35:$J$35,0))*AO27</f>
        <v>407045.58901928616</v>
      </c>
      <c r="AP34" s="44">
        <f>INDEX(D_Assumptions!$F$36:$J$36,1,MATCH(AP$3,D_Assumptions!$F$35:$J$35,0))*AP27</f>
        <v>394834.22134870756</v>
      </c>
      <c r="AQ34" s="44">
        <f>INDEX(D_Assumptions!$F$36:$J$36,1,MATCH(AQ$3,D_Assumptions!$F$35:$J$35,0))*AQ27</f>
        <v>382989.19470824633</v>
      </c>
      <c r="AR34" s="44">
        <f>INDEX(D_Assumptions!$F$36:$J$36,1,MATCH(AR$3,D_Assumptions!$F$35:$J$35,0))*AR27</f>
        <v>371499.5188669989</v>
      </c>
      <c r="AS34" s="44">
        <f>INDEX(D_Assumptions!$F$36:$J$36,1,MATCH(AS$3,D_Assumptions!$F$35:$J$35,0))*AS27</f>
        <v>360354.5333009889</v>
      </c>
      <c r="AT34" s="44">
        <f>INDEX(D_Assumptions!$F$36:$J$36,1,MATCH(AT$3,D_Assumptions!$F$35:$J$35,0))*AT27</f>
        <v>288283.62664079119</v>
      </c>
      <c r="AU34" s="44">
        <f>INDEX(D_Assumptions!$F$36:$J$36,1,MATCH(AU$3,D_Assumptions!$F$35:$J$35,0))*AU27</f>
        <v>288283.62664079119</v>
      </c>
      <c r="AV34" s="44">
        <f>INDEX(D_Assumptions!$F$36:$J$36,1,MATCH(AV$3,D_Assumptions!$F$35:$J$35,0))*AV27</f>
        <v>720709.06660197803</v>
      </c>
      <c r="AW34" s="44">
        <f>INDEX(D_Assumptions!$F$36:$J$36,1,MATCH(AW$3,D_Assumptions!$F$35:$J$35,0))*AW27</f>
        <v>576567.2532815825</v>
      </c>
      <c r="AX34" s="44">
        <f>INDEX(D_Assumptions!$F$36:$J$36,1,MATCH(AX$3,D_Assumptions!$F$35:$J$35,0))*AX27</f>
        <v>559270.23568313511</v>
      </c>
      <c r="AY34" s="44">
        <f>INDEX(D_Assumptions!$F$36:$J$36,1,MATCH(AY$3,D_Assumptions!$F$35:$J$35,0))*AY27</f>
        <v>542492.12861264101</v>
      </c>
      <c r="AZ34" s="44">
        <f>INDEX(D_Assumptions!$F$36:$J$36,1,MATCH(AZ$3,D_Assumptions!$F$35:$J$35,0))*AZ27</f>
        <v>526217.3647542618</v>
      </c>
      <c r="BA34" s="44">
        <f>INDEX(D_Assumptions!$F$36:$J$36,1,MATCH(BA$3,D_Assumptions!$F$35:$J$35,0))*BA27</f>
        <v>556651.578014303</v>
      </c>
      <c r="BB34" s="44">
        <f>INDEX(D_Assumptions!$F$36:$J$36,1,MATCH(BB$3,D_Assumptions!$F$35:$J$35,0))*BB27</f>
        <v>539952.03067387384</v>
      </c>
      <c r="BC34" s="44">
        <f>INDEX(D_Assumptions!$F$36:$J$36,1,MATCH(BC$3,D_Assumptions!$F$35:$J$35,0))*BC27</f>
        <v>523753.46975365764</v>
      </c>
      <c r="BD34" s="44">
        <f>INDEX(D_Assumptions!$F$36:$J$36,1,MATCH(BD$3,D_Assumptions!$F$35:$J$35,0))*BD27</f>
        <v>508040.86566104786</v>
      </c>
      <c r="BE34" s="44">
        <f>INDEX(D_Assumptions!$F$36:$J$36,1,MATCH(BE$3,D_Assumptions!$F$35:$J$35,0))*BE27</f>
        <v>492799.63969121646</v>
      </c>
      <c r="BF34" s="44">
        <f>INDEX(D_Assumptions!$F$36:$J$36,1,MATCH(BF$3,D_Assumptions!$F$35:$J$35,0))*BF27</f>
        <v>394239.71175297321</v>
      </c>
      <c r="BG34" s="44">
        <f>INDEX(D_Assumptions!$F$36:$J$36,1,MATCH(BG$3,D_Assumptions!$F$35:$J$35,0))*BG27</f>
        <v>428033.61812644941</v>
      </c>
      <c r="BH34" s="44">
        <f>INDEX(D_Assumptions!$F$36:$J$36,1,MATCH(BH$3,D_Assumptions!$F$35:$J$35,0))*BH27</f>
        <v>1070084.0453161236</v>
      </c>
      <c r="BI34" s="44">
        <f>INDEX(D_Assumptions!$F$36:$J$36,1,MATCH(BI$3,D_Assumptions!$F$35:$J$35,0))*BI27</f>
        <v>856067.23625289893</v>
      </c>
      <c r="BJ34" s="44">
        <f>INDEX(D_Assumptions!$F$36:$J$36,1,MATCH(BJ$3,D_Assumptions!$F$35:$J$35,0))*BJ27</f>
        <v>830385.21916531189</v>
      </c>
      <c r="BK34" s="44">
        <f>INDEX(D_Assumptions!$F$36:$J$36,1,MATCH(BK$3,D_Assumptions!$F$35:$J$35,0))*BK27</f>
        <v>805473.66259035259</v>
      </c>
      <c r="BL34" s="44">
        <f>INDEX(D_Assumptions!$F$36:$J$36,1,MATCH(BL$3,D_Assumptions!$F$35:$J$35,0))*BL27</f>
        <v>781309.45271264191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4ABD5-F1A2-49A3-AB79-C46DE90C6107}">
  <sheetPr codeName="Feuil6">
    <tabColor theme="9"/>
  </sheetPr>
  <dimension ref="A1:BN41"/>
  <sheetViews>
    <sheetView zoomScale="85" zoomScaleNormal="85" workbookViewId="0">
      <selection activeCell="C2" sqref="C2:BL4"/>
    </sheetView>
  </sheetViews>
  <sheetFormatPr baseColWidth="10" defaultRowHeight="14.5"/>
  <sheetData>
    <row r="1" spans="1:66">
      <c r="A1" t="s">
        <v>61</v>
      </c>
      <c r="B1" t="s">
        <v>5</v>
      </c>
      <c r="D1" t="s">
        <v>66</v>
      </c>
      <c r="E1">
        <f>INDEX(D_Assumptions!$E$30:$F$30,1,MATCH(B1,D_Assumptions!$E$24:$F$24,0))</f>
        <v>5</v>
      </c>
      <c r="G1" t="s">
        <v>67</v>
      </c>
      <c r="H1">
        <f>INDEX(D_Assumptions!$E$31:$F$31,1,MATCH(B1,D_Assumptions!$E$24:$F$24,0))</f>
        <v>3</v>
      </c>
    </row>
    <row r="2" spans="1:66">
      <c r="C2" s="62" t="s">
        <v>45</v>
      </c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</row>
    <row r="3" spans="1:66">
      <c r="C3" s="62" t="s">
        <v>46</v>
      </c>
      <c r="D3" s="62">
        <v>2021</v>
      </c>
      <c r="E3" s="63">
        <v>2022</v>
      </c>
      <c r="F3" s="63">
        <v>2022</v>
      </c>
      <c r="G3" s="63">
        <v>2022</v>
      </c>
      <c r="H3" s="63">
        <v>2022</v>
      </c>
      <c r="I3" s="63">
        <v>2022</v>
      </c>
      <c r="J3" s="63">
        <v>2022</v>
      </c>
      <c r="K3" s="63">
        <v>2022</v>
      </c>
      <c r="L3" s="63">
        <v>2022</v>
      </c>
      <c r="M3" s="63">
        <v>2022</v>
      </c>
      <c r="N3" s="63">
        <v>2022</v>
      </c>
      <c r="O3" s="63">
        <v>2022</v>
      </c>
      <c r="P3" s="63">
        <v>2022</v>
      </c>
      <c r="Q3" s="63">
        <v>2023</v>
      </c>
      <c r="R3" s="63">
        <v>2023</v>
      </c>
      <c r="S3" s="63">
        <v>2023</v>
      </c>
      <c r="T3" s="63">
        <v>2023</v>
      </c>
      <c r="U3" s="63">
        <v>2023</v>
      </c>
      <c r="V3" s="63">
        <v>2023</v>
      </c>
      <c r="W3" s="63">
        <v>2023</v>
      </c>
      <c r="X3" s="63">
        <v>2023</v>
      </c>
      <c r="Y3" s="63">
        <v>2023</v>
      </c>
      <c r="Z3" s="63">
        <v>2023</v>
      </c>
      <c r="AA3" s="63">
        <v>2023</v>
      </c>
      <c r="AB3" s="63">
        <v>2023</v>
      </c>
      <c r="AC3" s="63">
        <v>2024</v>
      </c>
      <c r="AD3" s="63">
        <v>2024</v>
      </c>
      <c r="AE3" s="63">
        <v>2024</v>
      </c>
      <c r="AF3" s="63">
        <v>2024</v>
      </c>
      <c r="AG3" s="63">
        <v>2024</v>
      </c>
      <c r="AH3" s="63">
        <v>2024</v>
      </c>
      <c r="AI3" s="63">
        <v>2024</v>
      </c>
      <c r="AJ3" s="63">
        <v>2024</v>
      </c>
      <c r="AK3" s="63">
        <v>2024</v>
      </c>
      <c r="AL3" s="63">
        <v>2024</v>
      </c>
      <c r="AM3" s="63">
        <v>2024</v>
      </c>
      <c r="AN3" s="63">
        <v>2024</v>
      </c>
      <c r="AO3" s="63">
        <v>2025</v>
      </c>
      <c r="AP3" s="63">
        <v>2025</v>
      </c>
      <c r="AQ3" s="63">
        <v>2025</v>
      </c>
      <c r="AR3" s="63">
        <v>2025</v>
      </c>
      <c r="AS3" s="63">
        <v>2025</v>
      </c>
      <c r="AT3" s="63">
        <v>2025</v>
      </c>
      <c r="AU3" s="63">
        <v>2025</v>
      </c>
      <c r="AV3" s="63">
        <v>2025</v>
      </c>
      <c r="AW3" s="63">
        <v>2025</v>
      </c>
      <c r="AX3" s="63">
        <v>2025</v>
      </c>
      <c r="AY3" s="63">
        <v>2025</v>
      </c>
      <c r="AZ3" s="63">
        <v>2025</v>
      </c>
      <c r="BA3" s="63">
        <v>2026</v>
      </c>
      <c r="BB3" s="63">
        <v>2026</v>
      </c>
      <c r="BC3" s="63">
        <v>2026</v>
      </c>
      <c r="BD3" s="63">
        <v>2026</v>
      </c>
      <c r="BE3" s="63">
        <v>2026</v>
      </c>
      <c r="BF3" s="63">
        <v>2026</v>
      </c>
      <c r="BG3" s="63">
        <v>2026</v>
      </c>
      <c r="BH3" s="63">
        <v>2026</v>
      </c>
      <c r="BI3" s="63">
        <v>2026</v>
      </c>
      <c r="BJ3" s="63">
        <v>2026</v>
      </c>
      <c r="BK3" s="63">
        <v>2026</v>
      </c>
      <c r="BL3" s="63">
        <v>2026</v>
      </c>
    </row>
    <row r="4" spans="1:66">
      <c r="C4" s="62" t="s">
        <v>47</v>
      </c>
      <c r="D4" s="62" t="s">
        <v>53</v>
      </c>
      <c r="E4" s="62" t="s">
        <v>12</v>
      </c>
      <c r="F4" s="62" t="s">
        <v>13</v>
      </c>
      <c r="G4" s="62" t="s">
        <v>14</v>
      </c>
      <c r="H4" s="62" t="s">
        <v>15</v>
      </c>
      <c r="I4" s="62" t="s">
        <v>16</v>
      </c>
      <c r="J4" s="62" t="s">
        <v>17</v>
      </c>
      <c r="K4" s="62" t="s">
        <v>18</v>
      </c>
      <c r="L4" s="62" t="s">
        <v>19</v>
      </c>
      <c r="M4" s="62" t="s">
        <v>20</v>
      </c>
      <c r="N4" s="62" t="s">
        <v>21</v>
      </c>
      <c r="O4" s="62" t="s">
        <v>22</v>
      </c>
      <c r="P4" s="62" t="s">
        <v>23</v>
      </c>
      <c r="Q4" s="62" t="s">
        <v>12</v>
      </c>
      <c r="R4" s="62" t="s">
        <v>13</v>
      </c>
      <c r="S4" s="62" t="s">
        <v>14</v>
      </c>
      <c r="T4" s="62" t="s">
        <v>15</v>
      </c>
      <c r="U4" s="62" t="s">
        <v>16</v>
      </c>
      <c r="V4" s="62" t="s">
        <v>17</v>
      </c>
      <c r="W4" s="62" t="s">
        <v>18</v>
      </c>
      <c r="X4" s="62" t="s">
        <v>19</v>
      </c>
      <c r="Y4" s="62" t="s">
        <v>20</v>
      </c>
      <c r="Z4" s="62" t="s">
        <v>21</v>
      </c>
      <c r="AA4" s="62" t="s">
        <v>22</v>
      </c>
      <c r="AB4" s="62" t="s">
        <v>23</v>
      </c>
      <c r="AC4" s="62" t="s">
        <v>12</v>
      </c>
      <c r="AD4" s="62" t="s">
        <v>13</v>
      </c>
      <c r="AE4" s="62" t="s">
        <v>14</v>
      </c>
      <c r="AF4" s="62" t="s">
        <v>15</v>
      </c>
      <c r="AG4" s="62" t="s">
        <v>16</v>
      </c>
      <c r="AH4" s="62" t="s">
        <v>17</v>
      </c>
      <c r="AI4" s="62" t="s">
        <v>18</v>
      </c>
      <c r="AJ4" s="62" t="s">
        <v>19</v>
      </c>
      <c r="AK4" s="62" t="s">
        <v>20</v>
      </c>
      <c r="AL4" s="62" t="s">
        <v>21</v>
      </c>
      <c r="AM4" s="62" t="s">
        <v>22</v>
      </c>
      <c r="AN4" s="62" t="s">
        <v>23</v>
      </c>
      <c r="AO4" s="62" t="s">
        <v>12</v>
      </c>
      <c r="AP4" s="62" t="s">
        <v>13</v>
      </c>
      <c r="AQ4" s="62" t="s">
        <v>14</v>
      </c>
      <c r="AR4" s="62" t="s">
        <v>15</v>
      </c>
      <c r="AS4" s="62" t="s">
        <v>16</v>
      </c>
      <c r="AT4" s="62" t="s">
        <v>17</v>
      </c>
      <c r="AU4" s="62" t="s">
        <v>18</v>
      </c>
      <c r="AV4" s="62" t="s">
        <v>19</v>
      </c>
      <c r="AW4" s="62" t="s">
        <v>20</v>
      </c>
      <c r="AX4" s="62" t="s">
        <v>21</v>
      </c>
      <c r="AY4" s="62" t="s">
        <v>22</v>
      </c>
      <c r="AZ4" s="62" t="s">
        <v>23</v>
      </c>
      <c r="BA4" s="62" t="s">
        <v>12</v>
      </c>
      <c r="BB4" s="62" t="s">
        <v>13</v>
      </c>
      <c r="BC4" s="62" t="s">
        <v>14</v>
      </c>
      <c r="BD4" s="62" t="s">
        <v>15</v>
      </c>
      <c r="BE4" s="62" t="s">
        <v>16</v>
      </c>
      <c r="BF4" s="62" t="s">
        <v>17</v>
      </c>
      <c r="BG4" s="62" t="s">
        <v>18</v>
      </c>
      <c r="BH4" s="62" t="s">
        <v>19</v>
      </c>
      <c r="BI4" s="62" t="s">
        <v>20</v>
      </c>
      <c r="BJ4" s="62" t="s">
        <v>21</v>
      </c>
      <c r="BK4" s="62" t="s">
        <v>22</v>
      </c>
      <c r="BL4" s="62" t="s">
        <v>23</v>
      </c>
    </row>
    <row r="6" spans="1:66">
      <c r="C6" s="46" t="s">
        <v>60</v>
      </c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</row>
    <row r="7" spans="1:66">
      <c r="D7" s="50">
        <v>1</v>
      </c>
      <c r="E7" s="53">
        <f>(((E3&lt;&gt;D3)*$D7+(E3=D3)*D7+INDEX(D_Assumptions!$F$41:$J$42,MATCH($B$1,D_Assumptions!$C$41:$C$42,0),MATCH(E$3,D_Assumptions!$F$40:$J$40,0))/Constants!$D$5))</f>
        <v>1.003525</v>
      </c>
      <c r="F7" s="53">
        <f>(((F3&lt;&gt;E3)*$D7+(F3=E3)*E7+INDEX(D_Assumptions!$F$41:$J$42,MATCH($B$1,D_Assumptions!$C$41:$C$42,0),MATCH(F$3,D_Assumptions!$F$40:$J$40,0))/Constants!$D$5))</f>
        <v>1.00705</v>
      </c>
      <c r="G7" s="53">
        <f>(((G3&lt;&gt;F3)*$D7+(G3=F3)*F7+INDEX(D_Assumptions!$F$41:$J$42,MATCH($B$1,D_Assumptions!$C$41:$C$42,0),MATCH(G$3,D_Assumptions!$F$40:$J$40,0))/Constants!$D$5))</f>
        <v>1.010575</v>
      </c>
      <c r="H7" s="53">
        <f>(((H3&lt;&gt;G3)*$D7+(H3=G3)*G7+INDEX(D_Assumptions!$F$41:$J$42,MATCH($B$1,D_Assumptions!$C$41:$C$42,0),MATCH(H$3,D_Assumptions!$F$40:$J$40,0))/Constants!$D$5))</f>
        <v>1.0141</v>
      </c>
      <c r="I7" s="53">
        <f>(((I3&lt;&gt;H3)*$D7+(I3=H3)*H7+INDEX(D_Assumptions!$F$41:$J$42,MATCH($B$1,D_Assumptions!$C$41:$C$42,0),MATCH(I$3,D_Assumptions!$F$40:$J$40,0))/Constants!$D$5))</f>
        <v>1.017625</v>
      </c>
      <c r="J7" s="53">
        <f>(((J3&lt;&gt;I3)*$D7+(J3=I3)*I7+INDEX(D_Assumptions!$F$41:$J$42,MATCH($B$1,D_Assumptions!$C$41:$C$42,0),MATCH(J$3,D_Assumptions!$F$40:$J$40,0))/Constants!$D$5))</f>
        <v>1.02115</v>
      </c>
      <c r="K7" s="53">
        <f>(((K3&lt;&gt;J3)*$D7+(K3=J3)*J7+INDEX(D_Assumptions!$F$41:$J$42,MATCH($B$1,D_Assumptions!$C$41:$C$42,0),MATCH(K$3,D_Assumptions!$F$40:$J$40,0))/Constants!$D$5))</f>
        <v>1.024675</v>
      </c>
      <c r="L7" s="53">
        <f>(((L3&lt;&gt;K3)*$D7+(L3=K3)*K7+INDEX(D_Assumptions!$F$41:$J$42,MATCH($B$1,D_Assumptions!$C$41:$C$42,0),MATCH(L$3,D_Assumptions!$F$40:$J$40,0))/Constants!$D$5))</f>
        <v>1.0282</v>
      </c>
      <c r="M7" s="53">
        <f>(((M3&lt;&gt;L3)*$D7+(M3=L3)*L7+INDEX(D_Assumptions!$F$41:$J$42,MATCH($B$1,D_Assumptions!$C$41:$C$42,0),MATCH(M$3,D_Assumptions!$F$40:$J$40,0))/Constants!$D$5))</f>
        <v>1.031725</v>
      </c>
      <c r="N7" s="53">
        <f>(((N3&lt;&gt;M3)*$D7+(N3=M3)*M7+INDEX(D_Assumptions!$F$41:$J$42,MATCH($B$1,D_Assumptions!$C$41:$C$42,0),MATCH(N$3,D_Assumptions!$F$40:$J$40,0))/Constants!$D$5))</f>
        <v>1.03525</v>
      </c>
      <c r="O7" s="53">
        <f>(((O3&lt;&gt;N3)*$D7+(O3=N3)*N7+INDEX(D_Assumptions!$F$41:$J$42,MATCH($B$1,D_Assumptions!$C$41:$C$42,0),MATCH(O$3,D_Assumptions!$F$40:$J$40,0))/Constants!$D$5))</f>
        <v>1.038775</v>
      </c>
      <c r="P7" s="53">
        <f>(((P3&lt;&gt;O3)*$D7+(P3=O3)*O7+INDEX(D_Assumptions!$F$41:$J$42,MATCH($B$1,D_Assumptions!$C$41:$C$42,0),MATCH(P$3,D_Assumptions!$F$40:$J$40,0))/Constants!$D$5))</f>
        <v>1.0423</v>
      </c>
      <c r="Q7" s="53">
        <f>(((Q3&lt;&gt;P3)*$D7+(Q3=P3)*P7+INDEX(D_Assumptions!$F$41:$J$42,MATCH($B$1,D_Assumptions!$C$41:$C$42,0),MATCH(Q$3,D_Assumptions!$F$40:$J$40,0))/Constants!$D$5))</f>
        <v>1.0045416666666667</v>
      </c>
      <c r="R7" s="53">
        <f>(((R3&lt;&gt;Q3)*$D7+(R3=Q3)*Q7+INDEX(D_Assumptions!$F$41:$J$42,MATCH($B$1,D_Assumptions!$C$41:$C$42,0),MATCH(R$3,D_Assumptions!$F$40:$J$40,0))/Constants!$D$5))</f>
        <v>1.0090833333333333</v>
      </c>
      <c r="S7" s="53">
        <f>(((S3&lt;&gt;R3)*$D7+(S3=R3)*R7+INDEX(D_Assumptions!$F$41:$J$42,MATCH($B$1,D_Assumptions!$C$41:$C$42,0),MATCH(S$3,D_Assumptions!$F$40:$J$40,0))/Constants!$D$5))</f>
        <v>1.013625</v>
      </c>
      <c r="T7" s="53">
        <f>(((T3&lt;&gt;S3)*$D7+(T3=S3)*S7+INDEX(D_Assumptions!$F$41:$J$42,MATCH($B$1,D_Assumptions!$C$41:$C$42,0),MATCH(T$3,D_Assumptions!$F$40:$J$40,0))/Constants!$D$5))</f>
        <v>1.0181666666666667</v>
      </c>
      <c r="U7" s="53">
        <f>(((U3&lt;&gt;T3)*$D7+(U3=T3)*T7+INDEX(D_Assumptions!$F$41:$J$42,MATCH($B$1,D_Assumptions!$C$41:$C$42,0),MATCH(U$3,D_Assumptions!$F$40:$J$40,0))/Constants!$D$5))</f>
        <v>1.0227083333333333</v>
      </c>
      <c r="V7" s="53">
        <f>(((V3&lt;&gt;U3)*$D7+(V3=U3)*U7+INDEX(D_Assumptions!$F$41:$J$42,MATCH($B$1,D_Assumptions!$C$41:$C$42,0),MATCH(V$3,D_Assumptions!$F$40:$J$40,0))/Constants!$D$5))</f>
        <v>1.02725</v>
      </c>
      <c r="W7" s="53">
        <f>(((W3&lt;&gt;V3)*$D7+(W3=V3)*V7+INDEX(D_Assumptions!$F$41:$J$42,MATCH($B$1,D_Assumptions!$C$41:$C$42,0),MATCH(W$3,D_Assumptions!$F$40:$J$40,0))/Constants!$D$5))</f>
        <v>1.0317916666666667</v>
      </c>
      <c r="X7" s="53">
        <f>(((X3&lt;&gt;W3)*$D7+(X3=W3)*W7+INDEX(D_Assumptions!$F$41:$J$42,MATCH($B$1,D_Assumptions!$C$41:$C$42,0),MATCH(X$3,D_Assumptions!$F$40:$J$40,0))/Constants!$D$5))</f>
        <v>1.0363333333333333</v>
      </c>
      <c r="Y7" s="53">
        <f>(((Y3&lt;&gt;X3)*$D7+(Y3=X3)*X7+INDEX(D_Assumptions!$F$41:$J$42,MATCH($B$1,D_Assumptions!$C$41:$C$42,0),MATCH(Y$3,D_Assumptions!$F$40:$J$40,0))/Constants!$D$5))</f>
        <v>1.040875</v>
      </c>
      <c r="Z7" s="53">
        <f>(((Z3&lt;&gt;Y3)*$D7+(Z3=Y3)*Y7+INDEX(D_Assumptions!$F$41:$J$42,MATCH($B$1,D_Assumptions!$C$41:$C$42,0),MATCH(Z$3,D_Assumptions!$F$40:$J$40,0))/Constants!$D$5))</f>
        <v>1.0454166666666667</v>
      </c>
      <c r="AA7" s="53">
        <f>(((AA3&lt;&gt;Z3)*$D7+(AA3=Z3)*Z7+INDEX(D_Assumptions!$F$41:$J$42,MATCH($B$1,D_Assumptions!$C$41:$C$42,0),MATCH(AA$3,D_Assumptions!$F$40:$J$40,0))/Constants!$D$5))</f>
        <v>1.0499583333333333</v>
      </c>
      <c r="AB7" s="53">
        <f>(((AB3&lt;&gt;AA3)*$D7+(AB3=AA3)*AA7+INDEX(D_Assumptions!$F$41:$J$42,MATCH($B$1,D_Assumptions!$C$41:$C$42,0),MATCH(AB$3,D_Assumptions!$F$40:$J$40,0))/Constants!$D$5))</f>
        <v>1.0545</v>
      </c>
      <c r="AC7" s="53">
        <f>(((AC3&lt;&gt;AB3)*$D7+(AC3=AB3)*AB7+INDEX(D_Assumptions!$F$41:$J$42,MATCH($B$1,D_Assumptions!$C$41:$C$42,0),MATCH(AC$3,D_Assumptions!$F$40:$J$40,0))/Constants!$D$5))</f>
        <v>1.0055666666666667</v>
      </c>
      <c r="AD7" s="53">
        <f>(((AD3&lt;&gt;AC3)*$D7+(AD3=AC3)*AC7+INDEX(D_Assumptions!$F$41:$J$42,MATCH($B$1,D_Assumptions!$C$41:$C$42,0),MATCH(AD$3,D_Assumptions!$F$40:$J$40,0))/Constants!$D$5))</f>
        <v>1.0111333333333334</v>
      </c>
      <c r="AE7" s="53">
        <f>(((AE3&lt;&gt;AD3)*$D7+(AE3=AD3)*AD7+INDEX(D_Assumptions!$F$41:$J$42,MATCH($B$1,D_Assumptions!$C$41:$C$42,0),MATCH(AE$3,D_Assumptions!$F$40:$J$40,0))/Constants!$D$5))</f>
        <v>1.0167000000000002</v>
      </c>
      <c r="AF7" s="53">
        <f>(((AF3&lt;&gt;AE3)*$D7+(AF3=AE3)*AE7+INDEX(D_Assumptions!$F$41:$J$42,MATCH($B$1,D_Assumptions!$C$41:$C$42,0),MATCH(AF$3,D_Assumptions!$F$40:$J$40,0))/Constants!$D$5))</f>
        <v>1.0222666666666669</v>
      </c>
      <c r="AG7" s="53">
        <f>(((AG3&lt;&gt;AF3)*$D7+(AG3=AF3)*AF7+INDEX(D_Assumptions!$F$41:$J$42,MATCH($B$1,D_Assumptions!$C$41:$C$42,0),MATCH(AG$3,D_Assumptions!$F$40:$J$40,0))/Constants!$D$5))</f>
        <v>1.0278333333333336</v>
      </c>
      <c r="AH7" s="53">
        <f>(((AH3&lt;&gt;AG3)*$D7+(AH3=AG3)*AG7+INDEX(D_Assumptions!$F$41:$J$42,MATCH($B$1,D_Assumptions!$C$41:$C$42,0),MATCH(AH$3,D_Assumptions!$F$40:$J$40,0))/Constants!$D$5))</f>
        <v>1.0334000000000003</v>
      </c>
      <c r="AI7" s="53">
        <f>(((AI3&lt;&gt;AH3)*$D7+(AI3=AH3)*AH7+INDEX(D_Assumptions!$F$41:$J$42,MATCH($B$1,D_Assumptions!$C$41:$C$42,0),MATCH(AI$3,D_Assumptions!$F$40:$J$40,0))/Constants!$D$5))</f>
        <v>1.038966666666667</v>
      </c>
      <c r="AJ7" s="53">
        <f>(((AJ3&lt;&gt;AI3)*$D7+(AJ3=AI3)*AI7+INDEX(D_Assumptions!$F$41:$J$42,MATCH($B$1,D_Assumptions!$C$41:$C$42,0),MATCH(AJ$3,D_Assumptions!$F$40:$J$40,0))/Constants!$D$5))</f>
        <v>1.0445333333333338</v>
      </c>
      <c r="AK7" s="53">
        <f>(((AK3&lt;&gt;AJ3)*$D7+(AK3=AJ3)*AJ7+INDEX(D_Assumptions!$F$41:$J$42,MATCH($B$1,D_Assumptions!$C$41:$C$42,0),MATCH(AK$3,D_Assumptions!$F$40:$J$40,0))/Constants!$D$5))</f>
        <v>1.0501000000000005</v>
      </c>
      <c r="AL7" s="53">
        <f>(((AL3&lt;&gt;AK3)*$D7+(AL3=AK3)*AK7+INDEX(D_Assumptions!$F$41:$J$42,MATCH($B$1,D_Assumptions!$C$41:$C$42,0),MATCH(AL$3,D_Assumptions!$F$40:$J$40,0))/Constants!$D$5))</f>
        <v>1.0556666666666672</v>
      </c>
      <c r="AM7" s="53">
        <f>(((AM3&lt;&gt;AL3)*$D7+(AM3=AL3)*AL7+INDEX(D_Assumptions!$F$41:$J$42,MATCH($B$1,D_Assumptions!$C$41:$C$42,0),MATCH(AM$3,D_Assumptions!$F$40:$J$40,0))/Constants!$D$5))</f>
        <v>1.0612333333333339</v>
      </c>
      <c r="AN7" s="53">
        <f>(((AN3&lt;&gt;AM3)*$D7+(AN3=AM3)*AM7+INDEX(D_Assumptions!$F$41:$J$42,MATCH($B$1,D_Assumptions!$C$41:$C$42,0),MATCH(AN$3,D_Assumptions!$F$40:$J$40,0))/Constants!$D$5))</f>
        <v>1.0668000000000006</v>
      </c>
      <c r="AO7" s="53">
        <f>(((AO3&lt;&gt;AN3)*$D7+(AO3=AN3)*AN7+INDEX(D_Assumptions!$F$41:$J$42,MATCH($B$1,D_Assumptions!$C$41:$C$42,0),MATCH(AO$3,D_Assumptions!$F$40:$J$40,0))/Constants!$D$5))</f>
        <v>1.002475</v>
      </c>
      <c r="AP7" s="53">
        <f>(((AP3&lt;&gt;AO3)*$D7+(AP3=AO3)*AO7+INDEX(D_Assumptions!$F$41:$J$42,MATCH($B$1,D_Assumptions!$C$41:$C$42,0),MATCH(AP$3,D_Assumptions!$F$40:$J$40,0))/Constants!$D$5))</f>
        <v>1.00495</v>
      </c>
      <c r="AQ7" s="53">
        <f>(((AQ3&lt;&gt;AP3)*$D7+(AQ3=AP3)*AP7+INDEX(D_Assumptions!$F$41:$J$42,MATCH($B$1,D_Assumptions!$C$41:$C$42,0),MATCH(AQ$3,D_Assumptions!$F$40:$J$40,0))/Constants!$D$5))</f>
        <v>1.007425</v>
      </c>
      <c r="AR7" s="53">
        <f>(((AR3&lt;&gt;AQ3)*$D7+(AR3=AQ3)*AQ7+INDEX(D_Assumptions!$F$41:$J$42,MATCH($B$1,D_Assumptions!$C$41:$C$42,0),MATCH(AR$3,D_Assumptions!$F$40:$J$40,0))/Constants!$D$5))</f>
        <v>1.0099</v>
      </c>
      <c r="AS7" s="53">
        <f>(((AS3&lt;&gt;AR3)*$D7+(AS3=AR3)*AR7+INDEX(D_Assumptions!$F$41:$J$42,MATCH($B$1,D_Assumptions!$C$41:$C$42,0),MATCH(AS$3,D_Assumptions!$F$40:$J$40,0))/Constants!$D$5))</f>
        <v>1.012375</v>
      </c>
      <c r="AT7" s="53">
        <f>(((AT3&lt;&gt;AS3)*$D7+(AT3=AS3)*AS7+INDEX(D_Assumptions!$F$41:$J$42,MATCH($B$1,D_Assumptions!$C$41:$C$42,0),MATCH(AT$3,D_Assumptions!$F$40:$J$40,0))/Constants!$D$5))</f>
        <v>1.01485</v>
      </c>
      <c r="AU7" s="53">
        <f>(((AU3&lt;&gt;AT3)*$D7+(AU3=AT3)*AT7+INDEX(D_Assumptions!$F$41:$J$42,MATCH($B$1,D_Assumptions!$C$41:$C$42,0),MATCH(AU$3,D_Assumptions!$F$40:$J$40,0))/Constants!$D$5))</f>
        <v>1.017325</v>
      </c>
      <c r="AV7" s="53">
        <f>(((AV3&lt;&gt;AU3)*$D7+(AV3=AU3)*AU7+INDEX(D_Assumptions!$F$41:$J$42,MATCH($B$1,D_Assumptions!$C$41:$C$42,0),MATCH(AV$3,D_Assumptions!$F$40:$J$40,0))/Constants!$D$5))</f>
        <v>1.0198</v>
      </c>
      <c r="AW7" s="53">
        <f>(((AW3&lt;&gt;AV3)*$D7+(AW3=AV3)*AV7+INDEX(D_Assumptions!$F$41:$J$42,MATCH($B$1,D_Assumptions!$C$41:$C$42,0),MATCH(AW$3,D_Assumptions!$F$40:$J$40,0))/Constants!$D$5))</f>
        <v>1.022275</v>
      </c>
      <c r="AX7" s="53">
        <f>(((AX3&lt;&gt;AW3)*$D7+(AX3=AW3)*AW7+INDEX(D_Assumptions!$F$41:$J$42,MATCH($B$1,D_Assumptions!$C$41:$C$42,0),MATCH(AX$3,D_Assumptions!$F$40:$J$40,0))/Constants!$D$5))</f>
        <v>1.02475</v>
      </c>
      <c r="AY7" s="53">
        <f>(((AY3&lt;&gt;AX3)*$D7+(AY3=AX3)*AX7+INDEX(D_Assumptions!$F$41:$J$42,MATCH($B$1,D_Assumptions!$C$41:$C$42,0),MATCH(AY$3,D_Assumptions!$F$40:$J$40,0))/Constants!$D$5))</f>
        <v>1.0272250000000001</v>
      </c>
      <c r="AZ7" s="53">
        <f>(((AZ3&lt;&gt;AY3)*$D7+(AZ3=AY3)*AY7+INDEX(D_Assumptions!$F$41:$J$42,MATCH($B$1,D_Assumptions!$C$41:$C$42,0),MATCH(AZ$3,D_Assumptions!$F$40:$J$40,0))/Constants!$D$5))</f>
        <v>1.0297000000000001</v>
      </c>
      <c r="BA7" s="53">
        <f>(((BA3&lt;&gt;AZ3)*$D7+(BA3=AZ3)*AZ7+INDEX(D_Assumptions!$F$41:$J$42,MATCH($B$1,D_Assumptions!$C$41:$C$42,0),MATCH(BA$3,D_Assumptions!$F$40:$J$40,0))/Constants!$D$5))</f>
        <v>1.0057083333333334</v>
      </c>
      <c r="BB7" s="53">
        <f>(((BB3&lt;&gt;BA3)*$D7+(BB3=BA3)*BA7+INDEX(D_Assumptions!$F$41:$J$42,MATCH($B$1,D_Assumptions!$C$41:$C$42,0),MATCH(BB$3,D_Assumptions!$F$40:$J$40,0))/Constants!$D$5))</f>
        <v>1.0114166666666669</v>
      </c>
      <c r="BC7" s="53">
        <f>(((BC3&lt;&gt;BB3)*$D7+(BC3=BB3)*BB7+INDEX(D_Assumptions!$F$41:$J$42,MATCH($B$1,D_Assumptions!$C$41:$C$42,0),MATCH(BC$3,D_Assumptions!$F$40:$J$40,0))/Constants!$D$5))</f>
        <v>1.0171250000000003</v>
      </c>
      <c r="BD7" s="53">
        <f>(((BD3&lt;&gt;BC3)*$D7+(BD3=BC3)*BC7+INDEX(D_Assumptions!$F$41:$J$42,MATCH($B$1,D_Assumptions!$C$41:$C$42,0),MATCH(BD$3,D_Assumptions!$F$40:$J$40,0))/Constants!$D$5))</f>
        <v>1.0228333333333337</v>
      </c>
      <c r="BE7" s="53">
        <f>(((BE3&lt;&gt;BD3)*$D7+(BE3=BD3)*BD7+INDEX(D_Assumptions!$F$41:$J$42,MATCH($B$1,D_Assumptions!$C$41:$C$42,0),MATCH(BE$3,D_Assumptions!$F$40:$J$40,0))/Constants!$D$5))</f>
        <v>1.0285416666666671</v>
      </c>
      <c r="BF7" s="53">
        <f>(((BF3&lt;&gt;BE3)*$D7+(BF3=BE3)*BE7+INDEX(D_Assumptions!$F$41:$J$42,MATCH($B$1,D_Assumptions!$C$41:$C$42,0),MATCH(BF$3,D_Assumptions!$F$40:$J$40,0))/Constants!$D$5))</f>
        <v>1.0342500000000006</v>
      </c>
      <c r="BG7" s="53">
        <f>(((BG3&lt;&gt;BF3)*$D7+(BG3=BF3)*BF7+INDEX(D_Assumptions!$F$41:$J$42,MATCH($B$1,D_Assumptions!$C$41:$C$42,0),MATCH(BG$3,D_Assumptions!$F$40:$J$40,0))/Constants!$D$5))</f>
        <v>1.039958333333334</v>
      </c>
      <c r="BH7" s="53">
        <f>(((BH3&lt;&gt;BG3)*$D7+(BH3=BG3)*BG7+INDEX(D_Assumptions!$F$41:$J$42,MATCH($B$1,D_Assumptions!$C$41:$C$42,0),MATCH(BH$3,D_Assumptions!$F$40:$J$40,0))/Constants!$D$5))</f>
        <v>1.0456666666666674</v>
      </c>
      <c r="BI7" s="53">
        <f>(((BI3&lt;&gt;BH3)*$D7+(BI3=BH3)*BH7+INDEX(D_Assumptions!$F$41:$J$42,MATCH($B$1,D_Assumptions!$C$41:$C$42,0),MATCH(BI$3,D_Assumptions!$F$40:$J$40,0))/Constants!$D$5))</f>
        <v>1.0513750000000008</v>
      </c>
      <c r="BJ7" s="53">
        <f>(((BJ3&lt;&gt;BI3)*$D7+(BJ3=BI3)*BI7+INDEX(D_Assumptions!$F$41:$J$42,MATCH($B$1,D_Assumptions!$C$41:$C$42,0),MATCH(BJ$3,D_Assumptions!$F$40:$J$40,0))/Constants!$D$5))</f>
        <v>1.0570833333333343</v>
      </c>
      <c r="BK7" s="53">
        <f>(((BK3&lt;&gt;BJ3)*$D7+(BK3=BJ3)*BJ7+INDEX(D_Assumptions!$F$41:$J$42,MATCH($B$1,D_Assumptions!$C$41:$C$42,0),MATCH(BK$3,D_Assumptions!$F$40:$J$40,0))/Constants!$D$5))</f>
        <v>1.0627916666666677</v>
      </c>
      <c r="BL7" s="53">
        <f>(((BL3&lt;&gt;BK3)*$D7+(BL3=BK3)*BK7+INDEX(D_Assumptions!$F$41:$J$42,MATCH($B$1,D_Assumptions!$C$41:$C$42,0),MATCH(BL$3,D_Assumptions!$F$40:$J$40,0))/Constants!$D$5))</f>
        <v>1.0685000000000011</v>
      </c>
    </row>
    <row r="9" spans="1:66">
      <c r="C9" s="46" t="s">
        <v>59</v>
      </c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</row>
    <row r="10" spans="1:66">
      <c r="E10" s="52">
        <f>1+((E7-$D7)/$D7)*(E3&lt;&gt;D3)+((E7-D7)/D7)*(E3=D3)</f>
        <v>1.003525</v>
      </c>
      <c r="F10" s="52">
        <f t="shared" ref="F10:BL10" si="0">1+((F7-$D7)/$D7)*(F3&lt;&gt;E3)+((F7-E7)/E7)*(F3=E3)</f>
        <v>1.0035126180214744</v>
      </c>
      <c r="G10" s="52">
        <f t="shared" si="0"/>
        <v>1.0035003227247903</v>
      </c>
      <c r="H10" s="52">
        <f t="shared" si="0"/>
        <v>1.0034881132028795</v>
      </c>
      <c r="I10" s="52">
        <f t="shared" si="0"/>
        <v>1.0034759885612858</v>
      </c>
      <c r="J10" s="52">
        <f t="shared" si="0"/>
        <v>1.0034639479179461</v>
      </c>
      <c r="K10" s="52">
        <f t="shared" si="0"/>
        <v>1.0034519904029771</v>
      </c>
      <c r="L10" s="52">
        <f t="shared" si="0"/>
        <v>1.0034401151584649</v>
      </c>
      <c r="M10" s="52">
        <f t="shared" si="0"/>
        <v>1.0034283213382611</v>
      </c>
      <c r="N10" s="52">
        <f t="shared" si="0"/>
        <v>1.0034166081077807</v>
      </c>
      <c r="O10" s="52">
        <f t="shared" si="0"/>
        <v>1.0034049746438058</v>
      </c>
      <c r="P10" s="52">
        <f t="shared" si="0"/>
        <v>1.0033934201342929</v>
      </c>
      <c r="Q10" s="52">
        <f t="shared" si="0"/>
        <v>1.0045416666666667</v>
      </c>
      <c r="R10" s="52">
        <f t="shared" si="0"/>
        <v>1.0045211331867767</v>
      </c>
      <c r="S10" s="52">
        <f t="shared" si="0"/>
        <v>1.0045007845404246</v>
      </c>
      <c r="T10" s="52">
        <f t="shared" si="0"/>
        <v>1.0044806182431043</v>
      </c>
      <c r="U10" s="52">
        <f t="shared" si="0"/>
        <v>1.0044606318546407</v>
      </c>
      <c r="V10" s="52">
        <f t="shared" si="0"/>
        <v>1.0044408229782034</v>
      </c>
      <c r="W10" s="52">
        <f t="shared" si="0"/>
        <v>1.0044211892593493</v>
      </c>
      <c r="X10" s="52">
        <f t="shared" si="0"/>
        <v>1.0044017283850906</v>
      </c>
      <c r="Y10" s="52">
        <f t="shared" si="0"/>
        <v>1.0043824380829849</v>
      </c>
      <c r="Z10" s="52">
        <f t="shared" si="0"/>
        <v>1.0043633161202514</v>
      </c>
      <c r="AA10" s="52">
        <f t="shared" si="0"/>
        <v>1.0043443603029096</v>
      </c>
      <c r="AB10" s="52">
        <f t="shared" si="0"/>
        <v>1.0043255684749395</v>
      </c>
      <c r="AC10" s="52">
        <f t="shared" si="0"/>
        <v>1.0055666666666667</v>
      </c>
      <c r="AD10" s="52">
        <f t="shared" si="0"/>
        <v>1.005535850432592</v>
      </c>
      <c r="AE10" s="52">
        <f t="shared" si="0"/>
        <v>1.0055053735082746</v>
      </c>
      <c r="AF10" s="52">
        <f t="shared" si="0"/>
        <v>1.0054752303203174</v>
      </c>
      <c r="AG10" s="52">
        <f t="shared" si="0"/>
        <v>1.0054454154167212</v>
      </c>
      <c r="AH10" s="52">
        <f t="shared" si="0"/>
        <v>1.0054159234635967</v>
      </c>
      <c r="AI10" s="52">
        <f t="shared" si="0"/>
        <v>1.0053867492419843</v>
      </c>
      <c r="AJ10" s="52">
        <f t="shared" si="0"/>
        <v>1.0053578876447753</v>
      </c>
      <c r="AK10" s="52">
        <f t="shared" si="0"/>
        <v>1.0053293336737299</v>
      </c>
      <c r="AL10" s="52">
        <f t="shared" si="0"/>
        <v>1.0053010824365933</v>
      </c>
      <c r="AM10" s="52">
        <f t="shared" si="0"/>
        <v>1.0052731291443007</v>
      </c>
      <c r="AN10" s="52">
        <f t="shared" si="0"/>
        <v>1.0052454691082704</v>
      </c>
      <c r="AO10" s="52">
        <f t="shared" si="0"/>
        <v>1.002475</v>
      </c>
      <c r="AP10" s="52">
        <f t="shared" si="0"/>
        <v>1.0024688894984912</v>
      </c>
      <c r="AQ10" s="52">
        <f t="shared" si="0"/>
        <v>1.0024628090949799</v>
      </c>
      <c r="AR10" s="52">
        <f t="shared" si="0"/>
        <v>1.0024567585676354</v>
      </c>
      <c r="AS10" s="52">
        <f t="shared" si="0"/>
        <v>1.0024507376968017</v>
      </c>
      <c r="AT10" s="52">
        <f t="shared" si="0"/>
        <v>1.002444746264971</v>
      </c>
      <c r="AU10" s="52">
        <f t="shared" si="0"/>
        <v>1.0024387840567572</v>
      </c>
      <c r="AV10" s="52">
        <f t="shared" si="0"/>
        <v>1.00243285085887</v>
      </c>
      <c r="AW10" s="52">
        <f t="shared" si="0"/>
        <v>1.0024269464600901</v>
      </c>
      <c r="AX10" s="52">
        <f t="shared" si="0"/>
        <v>1.0024210706512435</v>
      </c>
      <c r="AY10" s="52">
        <f t="shared" si="0"/>
        <v>1.0024152232251768</v>
      </c>
      <c r="AZ10" s="52">
        <f t="shared" si="0"/>
        <v>1.0024094039767335</v>
      </c>
      <c r="BA10" s="52">
        <f t="shared" si="0"/>
        <v>1.0057083333333334</v>
      </c>
      <c r="BB10" s="52">
        <f t="shared" si="0"/>
        <v>1.0056759332145668</v>
      </c>
      <c r="BC10" s="52">
        <f t="shared" si="0"/>
        <v>1.0056438988217846</v>
      </c>
      <c r="BD10" s="52">
        <f t="shared" si="0"/>
        <v>1.0056122239973784</v>
      </c>
      <c r="BE10" s="52">
        <f t="shared" si="0"/>
        <v>1.0055809027211993</v>
      </c>
      <c r="BF10" s="52">
        <f t="shared" si="0"/>
        <v>1.0055499291067451</v>
      </c>
      <c r="BG10" s="52">
        <f t="shared" si="0"/>
        <v>1.00551929739747</v>
      </c>
      <c r="BH10" s="52">
        <f t="shared" si="0"/>
        <v>1.0054890019632197</v>
      </c>
      <c r="BI10" s="52">
        <f t="shared" si="0"/>
        <v>1.0054590372967804</v>
      </c>
      <c r="BJ10" s="52">
        <f t="shared" si="0"/>
        <v>1.0054293980105418</v>
      </c>
      <c r="BK10" s="52">
        <f t="shared" si="0"/>
        <v>1.0054000788332678</v>
      </c>
      <c r="BL10" s="52">
        <f t="shared" si="0"/>
        <v>1.0053710746069706</v>
      </c>
    </row>
    <row r="12" spans="1:66">
      <c r="C12" s="46" t="s">
        <v>55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</row>
    <row r="13" spans="1:66">
      <c r="C13" t="s">
        <v>30</v>
      </c>
      <c r="E13" s="44">
        <f>C_Revenues_AUS!$D16*PRODUCT($E$10:E$10)</f>
        <v>15.042839750000001</v>
      </c>
      <c r="F13" s="44">
        <f>C_Revenues_AUS!$D16*PRODUCT($E$10:F$10)</f>
        <v>15.095679500000001</v>
      </c>
      <c r="G13" s="44">
        <f>C_Revenues_AUS!$D16*PRODUCT($E$10:G$10)</f>
        <v>15.14851925</v>
      </c>
      <c r="H13" s="44">
        <f>C_Revenues_AUS!$D16*PRODUCT($E$10:H$10)</f>
        <v>15.201359</v>
      </c>
      <c r="I13" s="44">
        <f>C_Revenues_AUS!$D16*PRODUCT($E$10:I$10)</f>
        <v>15.25419875</v>
      </c>
      <c r="J13" s="44">
        <f>C_Revenues_AUS!$D16*PRODUCT($E$10:J$10)</f>
        <v>15.307038500000001</v>
      </c>
      <c r="K13" s="44">
        <f>C_Revenues_AUS!$D16*PRODUCT($E$10:K$10)</f>
        <v>15.35987825</v>
      </c>
      <c r="L13" s="44">
        <f>C_Revenues_AUS!$D16*PRODUCT($E$10:L$10)</f>
        <v>15.412718</v>
      </c>
      <c r="M13" s="44">
        <f>C_Revenues_AUS!$D16*PRODUCT($E$10:M$10)</f>
        <v>15.46555775</v>
      </c>
      <c r="N13" s="44">
        <f>C_Revenues_AUS!$D16*PRODUCT($E$10:N$10)</f>
        <v>15.518397500000001</v>
      </c>
      <c r="O13" s="44">
        <f>C_Revenues_AUS!$D16*PRODUCT($E$10:O$10)</f>
        <v>15.571237250000001</v>
      </c>
      <c r="P13" s="44">
        <f>C_Revenues_AUS!$D16*PRODUCT($E$10:P$10)</f>
        <v>15.624077</v>
      </c>
      <c r="Q13" s="44">
        <f>C_Revenues_AUS!$D16*PRODUCT($E$10:Q$10)</f>
        <v>15.695036349708333</v>
      </c>
      <c r="R13" s="44">
        <f>C_Revenues_AUS!$D16*PRODUCT($E$10:R$10)</f>
        <v>15.765995699416665</v>
      </c>
      <c r="S13" s="44">
        <f>C_Revenues_AUS!$D16*PRODUCT($E$10:S$10)</f>
        <v>15.836955049125001</v>
      </c>
      <c r="T13" s="44">
        <f>C_Revenues_AUS!$D16*PRODUCT($E$10:T$10)</f>
        <v>15.907914398833334</v>
      </c>
      <c r="U13" s="44">
        <f>C_Revenues_AUS!$D16*PRODUCT($E$10:U$10)</f>
        <v>15.978873748541666</v>
      </c>
      <c r="V13" s="44">
        <f>C_Revenues_AUS!$D16*PRODUCT($E$10:V$10)</f>
        <v>16.049833098250001</v>
      </c>
      <c r="W13" s="44">
        <f>C_Revenues_AUS!$D16*PRODUCT($E$10:W$10)</f>
        <v>16.120792447958337</v>
      </c>
      <c r="X13" s="44">
        <f>C_Revenues_AUS!$D16*PRODUCT($E$10:X$10)</f>
        <v>16.191751797666669</v>
      </c>
      <c r="Y13" s="44">
        <f>C_Revenues_AUS!$D16*PRODUCT($E$10:Y$10)</f>
        <v>16.262711147375001</v>
      </c>
      <c r="Z13" s="44">
        <f>C_Revenues_AUS!$D16*PRODUCT($E$10:Z$10)</f>
        <v>16.333670497083332</v>
      </c>
      <c r="AA13" s="44">
        <f>C_Revenues_AUS!$D16*PRODUCT($E$10:AA$10)</f>
        <v>16.404629846791668</v>
      </c>
      <c r="AB13" s="44">
        <f>C_Revenues_AUS!$D16*PRODUCT($E$10:AB$10)</f>
        <v>16.475589196500003</v>
      </c>
      <c r="AC13" s="44">
        <f>C_Revenues_AUS!$D16*PRODUCT($E$10:AC$10)</f>
        <v>16.567303309693852</v>
      </c>
      <c r="AD13" s="44">
        <f>C_Revenues_AUS!$D16*PRODUCT($E$10:AD$10)</f>
        <v>16.6590174228877</v>
      </c>
      <c r="AE13" s="44">
        <f>C_Revenues_AUS!$D16*PRODUCT($E$10:AE$10)</f>
        <v>16.750731536081553</v>
      </c>
      <c r="AF13" s="44">
        <f>C_Revenues_AUS!$D16*PRODUCT($E$10:AF$10)</f>
        <v>16.842445649275405</v>
      </c>
      <c r="AG13" s="44">
        <f>C_Revenues_AUS!$D16*PRODUCT($E$10:AG$10)</f>
        <v>16.934159762469257</v>
      </c>
      <c r="AH13" s="44">
        <f>C_Revenues_AUS!$D16*PRODUCT($E$10:AH$10)</f>
        <v>17.025873875663109</v>
      </c>
      <c r="AI13" s="44">
        <f>C_Revenues_AUS!$D16*PRODUCT($E$10:AI$10)</f>
        <v>17.117587988856958</v>
      </c>
      <c r="AJ13" s="44">
        <f>C_Revenues_AUS!$D16*PRODUCT($E$10:AJ$10)</f>
        <v>17.20930210205081</v>
      </c>
      <c r="AK13" s="44">
        <f>C_Revenues_AUS!$D16*PRODUCT($E$10:AK$10)</f>
        <v>17.301016215244658</v>
      </c>
      <c r="AL13" s="44">
        <f>C_Revenues_AUS!$D16*PRODUCT($E$10:AL$10)</f>
        <v>17.392730328438507</v>
      </c>
      <c r="AM13" s="44">
        <f>C_Revenues_AUS!$D16*PRODUCT($E$10:AM$10)</f>
        <v>17.484444441632359</v>
      </c>
      <c r="AN13" s="44">
        <f>C_Revenues_AUS!$D16*PRODUCT($E$10:AN$10)</f>
        <v>17.576158554826211</v>
      </c>
      <c r="AO13" s="44">
        <f>C_Revenues_AUS!$D16*PRODUCT($E$10:AO$10)</f>
        <v>17.619659547249405</v>
      </c>
      <c r="AP13" s="44">
        <f>C_Revenues_AUS!$D16*PRODUCT($E$10:AP$10)</f>
        <v>17.663160539672599</v>
      </c>
      <c r="AQ13" s="44">
        <f>C_Revenues_AUS!$D16*PRODUCT($E$10:AQ$10)</f>
        <v>17.706661532095794</v>
      </c>
      <c r="AR13" s="44">
        <f>C_Revenues_AUS!$D16*PRODUCT($E$10:AR$10)</f>
        <v>17.750162524518991</v>
      </c>
      <c r="AS13" s="44">
        <f>C_Revenues_AUS!$D16*PRODUCT($E$10:AS$10)</f>
        <v>17.793663516942186</v>
      </c>
      <c r="AT13" s="44">
        <f>C_Revenues_AUS!$D16*PRODUCT($E$10:AT$10)</f>
        <v>17.83716450936538</v>
      </c>
      <c r="AU13" s="44">
        <f>C_Revenues_AUS!$D16*PRODUCT($E$10:AU$10)</f>
        <v>17.880665501788577</v>
      </c>
      <c r="AV13" s="44">
        <f>C_Revenues_AUS!$D16*PRODUCT($E$10:AV$10)</f>
        <v>17.924166494211772</v>
      </c>
      <c r="AW13" s="44">
        <f>C_Revenues_AUS!$D16*PRODUCT($E$10:AW$10)</f>
        <v>17.967667486634966</v>
      </c>
      <c r="AX13" s="44">
        <f>C_Revenues_AUS!$D16*PRODUCT($E$10:AX$10)</f>
        <v>18.01116847905816</v>
      </c>
      <c r="AY13" s="44">
        <f>C_Revenues_AUS!$D16*PRODUCT($E$10:AY$10)</f>
        <v>18.054669471481354</v>
      </c>
      <c r="AZ13" s="44">
        <f>C_Revenues_AUS!$D16*PRODUCT($E$10:AZ$10)</f>
        <v>18.098170463904552</v>
      </c>
      <c r="BA13" s="44">
        <f>C_Revenues_AUS!$D16*PRODUCT($E$10:BA$10)</f>
        <v>18.20148085363601</v>
      </c>
      <c r="BB13" s="44">
        <f>C_Revenues_AUS!$D16*PRODUCT($E$10:BB$10)</f>
        <v>18.304791243367461</v>
      </c>
      <c r="BC13" s="44">
        <f>C_Revenues_AUS!$D16*PRODUCT($E$10:BC$10)</f>
        <v>18.408101633098916</v>
      </c>
      <c r="BD13" s="44">
        <f>C_Revenues_AUS!$D16*PRODUCT($E$10:BD$10)</f>
        <v>18.511412022830374</v>
      </c>
      <c r="BE13" s="44">
        <f>C_Revenues_AUS!$D16*PRODUCT($E$10:BE$10)</f>
        <v>18.614722412561829</v>
      </c>
      <c r="BF13" s="44">
        <f>C_Revenues_AUS!$D16*PRODUCT($E$10:BF$10)</f>
        <v>18.718032802293283</v>
      </c>
      <c r="BG13" s="44">
        <f>C_Revenues_AUS!$D16*PRODUCT($E$10:BG$10)</f>
        <v>18.821343192024742</v>
      </c>
      <c r="BH13" s="44">
        <f>C_Revenues_AUS!$D16*PRODUCT($E$10:BH$10)</f>
        <v>18.924653581756196</v>
      </c>
      <c r="BI13" s="44">
        <f>C_Revenues_AUS!$D16*PRODUCT($E$10:BI$10)</f>
        <v>19.027963971487655</v>
      </c>
      <c r="BJ13" s="44">
        <f>C_Revenues_AUS!$D16*PRODUCT($E$10:BJ$10)</f>
        <v>19.131274361219106</v>
      </c>
      <c r="BK13" s="44">
        <f>C_Revenues_AUS!$D16*PRODUCT($E$10:BK$10)</f>
        <v>19.234584750950564</v>
      </c>
      <c r="BL13" s="44">
        <f>C_Revenues_AUS!$D16*PRODUCT($E$10:BL$10)</f>
        <v>19.337895140682019</v>
      </c>
      <c r="BN13" s="55"/>
    </row>
    <row r="14" spans="1:66">
      <c r="C14" t="s">
        <v>29</v>
      </c>
      <c r="E14" s="44">
        <f>C_Revenues_AUS!$D17*PRODUCT($E$10:E$10)</f>
        <v>30.095714749999999</v>
      </c>
      <c r="F14" s="44">
        <f>C_Revenues_AUS!$D17*PRODUCT($E$10:F$10)</f>
        <v>30.2014295</v>
      </c>
      <c r="G14" s="44">
        <f>C_Revenues_AUS!$D17*PRODUCT($E$10:G$10)</f>
        <v>30.307144249999997</v>
      </c>
      <c r="H14" s="44">
        <f>C_Revenues_AUS!$D17*PRODUCT($E$10:H$10)</f>
        <v>30.412858999999997</v>
      </c>
      <c r="I14" s="44">
        <f>C_Revenues_AUS!$D17*PRODUCT($E$10:I$10)</f>
        <v>30.518573749999998</v>
      </c>
      <c r="J14" s="44">
        <f>C_Revenues_AUS!$D17*PRODUCT($E$10:J$10)</f>
        <v>30.624288499999999</v>
      </c>
      <c r="K14" s="44">
        <f>C_Revenues_AUS!$D17*PRODUCT($E$10:K$10)</f>
        <v>30.730003249999999</v>
      </c>
      <c r="L14" s="44">
        <f>C_Revenues_AUS!$D17*PRODUCT($E$10:L$10)</f>
        <v>30.835718</v>
      </c>
      <c r="M14" s="44">
        <f>C_Revenues_AUS!$D17*PRODUCT($E$10:M$10)</f>
        <v>30.941432749999997</v>
      </c>
      <c r="N14" s="44">
        <f>C_Revenues_AUS!$D17*PRODUCT($E$10:N$10)</f>
        <v>31.047147499999998</v>
      </c>
      <c r="O14" s="44">
        <f>C_Revenues_AUS!$D17*PRODUCT($E$10:O$10)</f>
        <v>31.152862249999998</v>
      </c>
      <c r="P14" s="44">
        <f>C_Revenues_AUS!$D17*PRODUCT($E$10:P$10)</f>
        <v>31.258576999999999</v>
      </c>
      <c r="Q14" s="44">
        <f>C_Revenues_AUS!$D17*PRODUCT($E$10:Q$10)</f>
        <v>31.40054303720833</v>
      </c>
      <c r="R14" s="44">
        <f>C_Revenues_AUS!$D17*PRODUCT($E$10:R$10)</f>
        <v>31.542509074416664</v>
      </c>
      <c r="S14" s="44">
        <f>C_Revenues_AUS!$D17*PRODUCT($E$10:S$10)</f>
        <v>31.684475111625002</v>
      </c>
      <c r="T14" s="44">
        <f>C_Revenues_AUS!$D17*PRODUCT($E$10:T$10)</f>
        <v>31.826441148833332</v>
      </c>
      <c r="U14" s="44">
        <f>C_Revenues_AUS!$D17*PRODUCT($E$10:U$10)</f>
        <v>31.968407186041663</v>
      </c>
      <c r="V14" s="44">
        <f>C_Revenues_AUS!$D17*PRODUCT($E$10:V$10)</f>
        <v>32.110373223250001</v>
      </c>
      <c r="W14" s="44">
        <f>C_Revenues_AUS!$D17*PRODUCT($E$10:W$10)</f>
        <v>32.252339260458335</v>
      </c>
      <c r="X14" s="44">
        <f>C_Revenues_AUS!$D17*PRODUCT($E$10:X$10)</f>
        <v>32.394305297666669</v>
      </c>
      <c r="Y14" s="44">
        <f>C_Revenues_AUS!$D17*PRODUCT($E$10:Y$10)</f>
        <v>32.536271334874996</v>
      </c>
      <c r="Z14" s="44">
        <f>C_Revenues_AUS!$D17*PRODUCT($E$10:Z$10)</f>
        <v>32.678237372083331</v>
      </c>
      <c r="AA14" s="44">
        <f>C_Revenues_AUS!$D17*PRODUCT($E$10:AA$10)</f>
        <v>32.820203409291672</v>
      </c>
      <c r="AB14" s="44">
        <f>C_Revenues_AUS!$D17*PRODUCT($E$10:AB$10)</f>
        <v>32.962169446499999</v>
      </c>
      <c r="AC14" s="44">
        <f>C_Revenues_AUS!$D17*PRODUCT($E$10:AC$10)</f>
        <v>33.145658856418848</v>
      </c>
      <c r="AD14" s="44">
        <f>C_Revenues_AUS!$D17*PRODUCT($E$10:AD$10)</f>
        <v>33.329148266337697</v>
      </c>
      <c r="AE14" s="44">
        <f>C_Revenues_AUS!$D17*PRODUCT($E$10:AE$10)</f>
        <v>33.512637676256553</v>
      </c>
      <c r="AF14" s="44">
        <f>C_Revenues_AUS!$D17*PRODUCT($E$10:AF$10)</f>
        <v>33.696127086175402</v>
      </c>
      <c r="AG14" s="44">
        <f>C_Revenues_AUS!$D17*PRODUCT($E$10:AG$10)</f>
        <v>33.879616496094258</v>
      </c>
      <c r="AH14" s="44">
        <f>C_Revenues_AUS!$D17*PRODUCT($E$10:AH$10)</f>
        <v>34.063105906013114</v>
      </c>
      <c r="AI14" s="44">
        <f>C_Revenues_AUS!$D17*PRODUCT($E$10:AI$10)</f>
        <v>34.246595315931962</v>
      </c>
      <c r="AJ14" s="44">
        <f>C_Revenues_AUS!$D17*PRODUCT($E$10:AJ$10)</f>
        <v>34.430084725850811</v>
      </c>
      <c r="AK14" s="44">
        <f>C_Revenues_AUS!$D17*PRODUCT($E$10:AK$10)</f>
        <v>34.613574135769667</v>
      </c>
      <c r="AL14" s="44">
        <f>C_Revenues_AUS!$D17*PRODUCT($E$10:AL$10)</f>
        <v>34.797063545688516</v>
      </c>
      <c r="AM14" s="44">
        <f>C_Revenues_AUS!$D17*PRODUCT($E$10:AM$10)</f>
        <v>34.980552955607365</v>
      </c>
      <c r="AN14" s="44">
        <f>C_Revenues_AUS!$D17*PRODUCT($E$10:AN$10)</f>
        <v>35.164042365526221</v>
      </c>
      <c r="AO14" s="44">
        <f>C_Revenues_AUS!$D17*PRODUCT($E$10:AO$10)</f>
        <v>35.251073370380894</v>
      </c>
      <c r="AP14" s="44">
        <f>C_Revenues_AUS!$D17*PRODUCT($E$10:AP$10)</f>
        <v>35.338104375235574</v>
      </c>
      <c r="AQ14" s="44">
        <f>C_Revenues_AUS!$D17*PRODUCT($E$10:AQ$10)</f>
        <v>35.425135380090246</v>
      </c>
      <c r="AR14" s="44">
        <f>C_Revenues_AUS!$D17*PRODUCT($E$10:AR$10)</f>
        <v>35.512166384944926</v>
      </c>
      <c r="AS14" s="44">
        <f>C_Revenues_AUS!$D17*PRODUCT($E$10:AS$10)</f>
        <v>35.599197389799606</v>
      </c>
      <c r="AT14" s="44">
        <f>C_Revenues_AUS!$D17*PRODUCT($E$10:AT$10)</f>
        <v>35.686228394654279</v>
      </c>
      <c r="AU14" s="44">
        <f>C_Revenues_AUS!$D17*PRODUCT($E$10:AU$10)</f>
        <v>35.773259399508966</v>
      </c>
      <c r="AV14" s="44">
        <f>C_Revenues_AUS!$D17*PRODUCT($E$10:AV$10)</f>
        <v>35.860290404363639</v>
      </c>
      <c r="AW14" s="44">
        <f>C_Revenues_AUS!$D17*PRODUCT($E$10:AW$10)</f>
        <v>35.947321409218318</v>
      </c>
      <c r="AX14" s="44">
        <f>C_Revenues_AUS!$D17*PRODUCT($E$10:AX$10)</f>
        <v>36.034352414072991</v>
      </c>
      <c r="AY14" s="44">
        <f>C_Revenues_AUS!$D17*PRODUCT($E$10:AY$10)</f>
        <v>36.121383418927671</v>
      </c>
      <c r="AZ14" s="44">
        <f>C_Revenues_AUS!$D17*PRODUCT($E$10:AZ$10)</f>
        <v>36.208414423782351</v>
      </c>
      <c r="BA14" s="44">
        <f>C_Revenues_AUS!$D17*PRODUCT($E$10:BA$10)</f>
        <v>36.415104122784783</v>
      </c>
      <c r="BB14" s="44">
        <f>C_Revenues_AUS!$D17*PRODUCT($E$10:BB$10)</f>
        <v>36.6217938217872</v>
      </c>
      <c r="BC14" s="44">
        <f>C_Revenues_AUS!$D17*PRODUCT($E$10:BC$10)</f>
        <v>36.828483520789625</v>
      </c>
      <c r="BD14" s="44">
        <f>C_Revenues_AUS!$D17*PRODUCT($E$10:BD$10)</f>
        <v>37.03517321979205</v>
      </c>
      <c r="BE14" s="44">
        <f>C_Revenues_AUS!$D17*PRODUCT($E$10:BE$10)</f>
        <v>37.241862918794475</v>
      </c>
      <c r="BF14" s="44">
        <f>C_Revenues_AUS!$D17*PRODUCT($E$10:BF$10)</f>
        <v>37.448552617796899</v>
      </c>
      <c r="BG14" s="44">
        <f>C_Revenues_AUS!$D17*PRODUCT($E$10:BG$10)</f>
        <v>37.655242316799331</v>
      </c>
      <c r="BH14" s="44">
        <f>C_Revenues_AUS!$D17*PRODUCT($E$10:BH$10)</f>
        <v>37.861932015801756</v>
      </c>
      <c r="BI14" s="44">
        <f>C_Revenues_AUS!$D17*PRODUCT($E$10:BI$10)</f>
        <v>38.068621714804181</v>
      </c>
      <c r="BJ14" s="44">
        <f>C_Revenues_AUS!$D17*PRODUCT($E$10:BJ$10)</f>
        <v>38.275311413806605</v>
      </c>
      <c r="BK14" s="44">
        <f>C_Revenues_AUS!$D17*PRODUCT($E$10:BK$10)</f>
        <v>38.48200111280903</v>
      </c>
      <c r="BL14" s="44">
        <f>C_Revenues_AUS!$D17*PRODUCT($E$10:BL$10)</f>
        <v>38.688690811811455</v>
      </c>
    </row>
    <row r="15" spans="1:66">
      <c r="C15" t="s">
        <v>28</v>
      </c>
      <c r="D15" s="52"/>
      <c r="E15" s="44">
        <f>C_Revenues_AUS!$D18*PRODUCT($E$10:E$10)</f>
        <v>45.148589749999999</v>
      </c>
      <c r="F15" s="44">
        <f>C_Revenues_AUS!$D18*PRODUCT($E$10:F$10)</f>
        <v>45.307179500000004</v>
      </c>
      <c r="G15" s="44">
        <f>C_Revenues_AUS!$D18*PRODUCT($E$10:G$10)</f>
        <v>45.465769250000001</v>
      </c>
      <c r="H15" s="44">
        <f>C_Revenues_AUS!$D18*PRODUCT($E$10:H$10)</f>
        <v>45.624359000000005</v>
      </c>
      <c r="I15" s="44">
        <f>C_Revenues_AUS!$D18*PRODUCT($E$10:I$10)</f>
        <v>45.782948750000003</v>
      </c>
      <c r="J15" s="44">
        <f>C_Revenues_AUS!$D18*PRODUCT($E$10:J$10)</f>
        <v>45.9415385</v>
      </c>
      <c r="K15" s="44">
        <f>C_Revenues_AUS!$D18*PRODUCT($E$10:K$10)</f>
        <v>46.100128250000004</v>
      </c>
      <c r="L15" s="44">
        <f>C_Revenues_AUS!$D18*PRODUCT($E$10:L$10)</f>
        <v>46.258718000000002</v>
      </c>
      <c r="M15" s="44">
        <f>C_Revenues_AUS!$D18*PRODUCT($E$10:M$10)</f>
        <v>46.417307749999999</v>
      </c>
      <c r="N15" s="44">
        <f>C_Revenues_AUS!$D18*PRODUCT($E$10:N$10)</f>
        <v>46.575897500000004</v>
      </c>
      <c r="O15" s="44">
        <f>C_Revenues_AUS!$D18*PRODUCT($E$10:O$10)</f>
        <v>46.734487250000001</v>
      </c>
      <c r="P15" s="44">
        <f>C_Revenues_AUS!$D18*PRODUCT($E$10:P$10)</f>
        <v>46.893077000000005</v>
      </c>
      <c r="Q15" s="44">
        <f>C_Revenues_AUS!$D18*PRODUCT($E$10:Q$10)</f>
        <v>47.106049724708335</v>
      </c>
      <c r="R15" s="44">
        <f>C_Revenues_AUS!$D18*PRODUCT($E$10:R$10)</f>
        <v>47.319022449416664</v>
      </c>
      <c r="S15" s="44">
        <f>C_Revenues_AUS!$D18*PRODUCT($E$10:S$10)</f>
        <v>47.531995174125008</v>
      </c>
      <c r="T15" s="44">
        <f>C_Revenues_AUS!$D18*PRODUCT($E$10:T$10)</f>
        <v>47.744967898833337</v>
      </c>
      <c r="U15" s="44">
        <f>C_Revenues_AUS!$D18*PRODUCT($E$10:U$10)</f>
        <v>47.957940623541667</v>
      </c>
      <c r="V15" s="44">
        <f>C_Revenues_AUS!$D18*PRODUCT($E$10:V$10)</f>
        <v>48.170913348250011</v>
      </c>
      <c r="W15" s="44">
        <f>C_Revenues_AUS!$D18*PRODUCT($E$10:W$10)</f>
        <v>48.38388607295834</v>
      </c>
      <c r="X15" s="44">
        <f>C_Revenues_AUS!$D18*PRODUCT($E$10:X$10)</f>
        <v>48.59685879766667</v>
      </c>
      <c r="Y15" s="44">
        <f>C_Revenues_AUS!$D18*PRODUCT($E$10:Y$10)</f>
        <v>48.809831522375006</v>
      </c>
      <c r="Z15" s="44">
        <f>C_Revenues_AUS!$D18*PRODUCT($E$10:Z$10)</f>
        <v>49.022804247083336</v>
      </c>
      <c r="AA15" s="44">
        <f>C_Revenues_AUS!$D18*PRODUCT($E$10:AA$10)</f>
        <v>49.235776971791672</v>
      </c>
      <c r="AB15" s="44">
        <f>C_Revenues_AUS!$D18*PRODUCT($E$10:AB$10)</f>
        <v>49.448749696500009</v>
      </c>
      <c r="AC15" s="44">
        <f>C_Revenues_AUS!$D18*PRODUCT($E$10:AC$10)</f>
        <v>49.724014403143855</v>
      </c>
      <c r="AD15" s="44">
        <f>C_Revenues_AUS!$D18*PRODUCT($E$10:AD$10)</f>
        <v>49.999279109787707</v>
      </c>
      <c r="AE15" s="44">
        <f>C_Revenues_AUS!$D18*PRODUCT($E$10:AE$10)</f>
        <v>50.27454381643156</v>
      </c>
      <c r="AF15" s="44">
        <f>C_Revenues_AUS!$D18*PRODUCT($E$10:AF$10)</f>
        <v>50.549808523075413</v>
      </c>
      <c r="AG15" s="44">
        <f>C_Revenues_AUS!$D18*PRODUCT($E$10:AG$10)</f>
        <v>50.825073229719273</v>
      </c>
      <c r="AH15" s="44">
        <f>C_Revenues_AUS!$D18*PRODUCT($E$10:AH$10)</f>
        <v>51.100337936363132</v>
      </c>
      <c r="AI15" s="44">
        <f>C_Revenues_AUS!$D18*PRODUCT($E$10:AI$10)</f>
        <v>51.375602643006978</v>
      </c>
      <c r="AJ15" s="44">
        <f>C_Revenues_AUS!$D18*PRODUCT($E$10:AJ$10)</f>
        <v>51.650867349650831</v>
      </c>
      <c r="AK15" s="44">
        <f>C_Revenues_AUS!$D18*PRODUCT($E$10:AK$10)</f>
        <v>51.926132056294676</v>
      </c>
      <c r="AL15" s="44">
        <f>C_Revenues_AUS!$D18*PRODUCT($E$10:AL$10)</f>
        <v>52.201396762938522</v>
      </c>
      <c r="AM15" s="44">
        <f>C_Revenues_AUS!$D18*PRODUCT($E$10:AM$10)</f>
        <v>52.476661469582375</v>
      </c>
      <c r="AN15" s="44">
        <f>C_Revenues_AUS!$D18*PRODUCT($E$10:AN$10)</f>
        <v>52.751926176226235</v>
      </c>
      <c r="AO15" s="44">
        <f>C_Revenues_AUS!$D18*PRODUCT($E$10:AO$10)</f>
        <v>52.882487193512389</v>
      </c>
      <c r="AP15" s="44">
        <f>C_Revenues_AUS!$D18*PRODUCT($E$10:AP$10)</f>
        <v>53.013048210798551</v>
      </c>
      <c r="AQ15" s="44">
        <f>C_Revenues_AUS!$D18*PRODUCT($E$10:AQ$10)</f>
        <v>53.143609228084706</v>
      </c>
      <c r="AR15" s="44">
        <f>C_Revenues_AUS!$D18*PRODUCT($E$10:AR$10)</f>
        <v>53.274170245370875</v>
      </c>
      <c r="AS15" s="44">
        <f>C_Revenues_AUS!$D18*PRODUCT($E$10:AS$10)</f>
        <v>53.40473126265703</v>
      </c>
      <c r="AT15" s="44">
        <f>C_Revenues_AUS!$D18*PRODUCT($E$10:AT$10)</f>
        <v>53.535292279943192</v>
      </c>
      <c r="AU15" s="44">
        <f>C_Revenues_AUS!$D18*PRODUCT($E$10:AU$10)</f>
        <v>53.665853297229361</v>
      </c>
      <c r="AV15" s="44">
        <f>C_Revenues_AUS!$D18*PRODUCT($E$10:AV$10)</f>
        <v>53.796414314515516</v>
      </c>
      <c r="AW15" s="44">
        <f>C_Revenues_AUS!$D18*PRODUCT($E$10:AW$10)</f>
        <v>53.926975331801678</v>
      </c>
      <c r="AX15" s="44">
        <f>C_Revenues_AUS!$D18*PRODUCT($E$10:AX$10)</f>
        <v>54.057536349087833</v>
      </c>
      <c r="AY15" s="44">
        <f>C_Revenues_AUS!$D18*PRODUCT($E$10:AY$10)</f>
        <v>54.188097366373995</v>
      </c>
      <c r="AZ15" s="44">
        <f>C_Revenues_AUS!$D18*PRODUCT($E$10:AZ$10)</f>
        <v>54.318658383660157</v>
      </c>
      <c r="BA15" s="44">
        <f>C_Revenues_AUS!$D18*PRODUCT($E$10:BA$10)</f>
        <v>54.628727391933559</v>
      </c>
      <c r="BB15" s="44">
        <f>C_Revenues_AUS!$D18*PRODUCT($E$10:BB$10)</f>
        <v>54.938796400206947</v>
      </c>
      <c r="BC15" s="44">
        <f>C_Revenues_AUS!$D18*PRODUCT($E$10:BC$10)</f>
        <v>55.248865408480341</v>
      </c>
      <c r="BD15" s="44">
        <f>C_Revenues_AUS!$D18*PRODUCT($E$10:BD$10)</f>
        <v>55.558934416753736</v>
      </c>
      <c r="BE15" s="44">
        <f>C_Revenues_AUS!$D18*PRODUCT($E$10:BE$10)</f>
        <v>55.869003425027131</v>
      </c>
      <c r="BF15" s="44">
        <f>C_Revenues_AUS!$D18*PRODUCT($E$10:BF$10)</f>
        <v>56.179072433300526</v>
      </c>
      <c r="BG15" s="44">
        <f>C_Revenues_AUS!$D18*PRODUCT($E$10:BG$10)</f>
        <v>56.489141441573928</v>
      </c>
      <c r="BH15" s="44">
        <f>C_Revenues_AUS!$D18*PRODUCT($E$10:BH$10)</f>
        <v>56.799210449847315</v>
      </c>
      <c r="BI15" s="44">
        <f>C_Revenues_AUS!$D18*PRODUCT($E$10:BI$10)</f>
        <v>57.109279458120717</v>
      </c>
      <c r="BJ15" s="44">
        <f>C_Revenues_AUS!$D18*PRODUCT($E$10:BJ$10)</f>
        <v>57.419348466394105</v>
      </c>
      <c r="BK15" s="44">
        <f>C_Revenues_AUS!$D18*PRODUCT($E$10:BK$10)</f>
        <v>57.729417474667507</v>
      </c>
      <c r="BL15" s="44">
        <f>C_Revenues_AUS!$D18*PRODUCT($E$10:BL$10)</f>
        <v>58.039486482940895</v>
      </c>
    </row>
    <row r="16" spans="1:66">
      <c r="C16" t="s">
        <v>42</v>
      </c>
      <c r="E16" s="44">
        <f>C_Revenues_AUS!$D19*PRODUCT($E$10:E$10)</f>
        <v>75.25433975</v>
      </c>
      <c r="F16" s="44">
        <f>C_Revenues_AUS!$D19*PRODUCT($E$10:F$10)</f>
        <v>75.51867949999999</v>
      </c>
      <c r="G16" s="44">
        <f>C_Revenues_AUS!$D19*PRODUCT($E$10:G$10)</f>
        <v>75.783019249999995</v>
      </c>
      <c r="H16" s="44">
        <f>C_Revenues_AUS!$D19*PRODUCT($E$10:H$10)</f>
        <v>76.047359</v>
      </c>
      <c r="I16" s="44">
        <f>C_Revenues_AUS!$D19*PRODUCT($E$10:I$10)</f>
        <v>76.311698749999991</v>
      </c>
      <c r="J16" s="44">
        <f>C_Revenues_AUS!$D19*PRODUCT($E$10:J$10)</f>
        <v>76.576038499999996</v>
      </c>
      <c r="K16" s="44">
        <f>C_Revenues_AUS!$D19*PRODUCT($E$10:K$10)</f>
        <v>76.840378250000001</v>
      </c>
      <c r="L16" s="44">
        <f>C_Revenues_AUS!$D19*PRODUCT($E$10:L$10)</f>
        <v>77.104717999999991</v>
      </c>
      <c r="M16" s="44">
        <f>C_Revenues_AUS!$D19*PRODUCT($E$10:M$10)</f>
        <v>77.369057749999996</v>
      </c>
      <c r="N16" s="44">
        <f>C_Revenues_AUS!$D19*PRODUCT($E$10:N$10)</f>
        <v>77.633397500000001</v>
      </c>
      <c r="O16" s="44">
        <f>C_Revenues_AUS!$D19*PRODUCT($E$10:O$10)</f>
        <v>77.897737249999992</v>
      </c>
      <c r="P16" s="44">
        <f>C_Revenues_AUS!$D19*PRODUCT($E$10:P$10)</f>
        <v>78.162076999999996</v>
      </c>
      <c r="Q16" s="44">
        <f>C_Revenues_AUS!$D19*PRODUCT($E$10:Q$10)</f>
        <v>78.517063099708324</v>
      </c>
      <c r="R16" s="44">
        <f>C_Revenues_AUS!$D19*PRODUCT($E$10:R$10)</f>
        <v>78.872049199416651</v>
      </c>
      <c r="S16" s="44">
        <f>C_Revenues_AUS!$D19*PRODUCT($E$10:S$10)</f>
        <v>79.227035299125006</v>
      </c>
      <c r="T16" s="44">
        <f>C_Revenues_AUS!$D19*PRODUCT($E$10:T$10)</f>
        <v>79.582021398833334</v>
      </c>
      <c r="U16" s="44">
        <f>C_Revenues_AUS!$D19*PRODUCT($E$10:U$10)</f>
        <v>79.937007498541661</v>
      </c>
      <c r="V16" s="44">
        <f>C_Revenues_AUS!$D19*PRODUCT($E$10:V$10)</f>
        <v>80.291993598250002</v>
      </c>
      <c r="W16" s="44">
        <f>C_Revenues_AUS!$D19*PRODUCT($E$10:W$10)</f>
        <v>80.646979697958329</v>
      </c>
      <c r="X16" s="44">
        <f>C_Revenues_AUS!$D19*PRODUCT($E$10:X$10)</f>
        <v>81.001965797666671</v>
      </c>
      <c r="Y16" s="44">
        <f>C_Revenues_AUS!$D19*PRODUCT($E$10:Y$10)</f>
        <v>81.356951897374998</v>
      </c>
      <c r="Z16" s="44">
        <f>C_Revenues_AUS!$D19*PRODUCT($E$10:Z$10)</f>
        <v>81.711937997083325</v>
      </c>
      <c r="AA16" s="44">
        <f>C_Revenues_AUS!$D19*PRODUCT($E$10:AA$10)</f>
        <v>82.066924096791666</v>
      </c>
      <c r="AB16" s="44">
        <f>C_Revenues_AUS!$D19*PRODUCT($E$10:AB$10)</f>
        <v>82.421910196500008</v>
      </c>
      <c r="AC16" s="44">
        <f>C_Revenues_AUS!$D19*PRODUCT($E$10:AC$10)</f>
        <v>82.880725496593854</v>
      </c>
      <c r="AD16" s="44">
        <f>C_Revenues_AUS!$D19*PRODUCT($E$10:AD$10)</f>
        <v>83.3395407966877</v>
      </c>
      <c r="AE16" s="44">
        <f>C_Revenues_AUS!$D19*PRODUCT($E$10:AE$10)</f>
        <v>83.798356096781561</v>
      </c>
      <c r="AF16" s="44">
        <f>C_Revenues_AUS!$D19*PRODUCT($E$10:AF$10)</f>
        <v>84.257171396875407</v>
      </c>
      <c r="AG16" s="44">
        <f>C_Revenues_AUS!$D19*PRODUCT($E$10:AG$10)</f>
        <v>84.715986696969281</v>
      </c>
      <c r="AH16" s="44">
        <f>C_Revenues_AUS!$D19*PRODUCT($E$10:AH$10)</f>
        <v>85.174801997063142</v>
      </c>
      <c r="AI16" s="44">
        <f>C_Revenues_AUS!$D19*PRODUCT($E$10:AI$10)</f>
        <v>85.633617297156988</v>
      </c>
      <c r="AJ16" s="44">
        <f>C_Revenues_AUS!$D19*PRODUCT($E$10:AJ$10)</f>
        <v>86.092432597250834</v>
      </c>
      <c r="AK16" s="44">
        <f>C_Revenues_AUS!$D19*PRODUCT($E$10:AK$10)</f>
        <v>86.55124789734468</v>
      </c>
      <c r="AL16" s="44">
        <f>C_Revenues_AUS!$D19*PRODUCT($E$10:AL$10)</f>
        <v>87.010063197438527</v>
      </c>
      <c r="AM16" s="44">
        <f>C_Revenues_AUS!$D19*PRODUCT($E$10:AM$10)</f>
        <v>87.468878497532387</v>
      </c>
      <c r="AN16" s="44">
        <f>C_Revenues_AUS!$D19*PRODUCT($E$10:AN$10)</f>
        <v>87.927693797626247</v>
      </c>
      <c r="AO16" s="44">
        <f>C_Revenues_AUS!$D19*PRODUCT($E$10:AO$10)</f>
        <v>88.145314839775367</v>
      </c>
      <c r="AP16" s="44">
        <f>C_Revenues_AUS!$D19*PRODUCT($E$10:AP$10)</f>
        <v>88.362935881924486</v>
      </c>
      <c r="AQ16" s="44">
        <f>C_Revenues_AUS!$D19*PRODUCT($E$10:AQ$10)</f>
        <v>88.580556924073605</v>
      </c>
      <c r="AR16" s="44">
        <f>C_Revenues_AUS!$D19*PRODUCT($E$10:AR$10)</f>
        <v>88.798177966222752</v>
      </c>
      <c r="AS16" s="44">
        <f>C_Revenues_AUS!$D19*PRODUCT($E$10:AS$10)</f>
        <v>89.015799008371872</v>
      </c>
      <c r="AT16" s="44">
        <f>C_Revenues_AUS!$D19*PRODUCT($E$10:AT$10)</f>
        <v>89.233420050520991</v>
      </c>
      <c r="AU16" s="44">
        <f>C_Revenues_AUS!$D19*PRODUCT($E$10:AU$10)</f>
        <v>89.451041092670138</v>
      </c>
      <c r="AV16" s="44">
        <f>C_Revenues_AUS!$D19*PRODUCT($E$10:AV$10)</f>
        <v>89.668662134819257</v>
      </c>
      <c r="AW16" s="44">
        <f>C_Revenues_AUS!$D19*PRODUCT($E$10:AW$10)</f>
        <v>89.886283176968377</v>
      </c>
      <c r="AX16" s="44">
        <f>C_Revenues_AUS!$D19*PRODUCT($E$10:AX$10)</f>
        <v>90.103904219117496</v>
      </c>
      <c r="AY16" s="44">
        <f>C_Revenues_AUS!$D19*PRODUCT($E$10:AY$10)</f>
        <v>90.321525261266615</v>
      </c>
      <c r="AZ16" s="44">
        <f>C_Revenues_AUS!$D19*PRODUCT($E$10:AZ$10)</f>
        <v>90.539146303415762</v>
      </c>
      <c r="BA16" s="44">
        <f>C_Revenues_AUS!$D19*PRODUCT($E$10:BA$10)</f>
        <v>91.055973930231104</v>
      </c>
      <c r="BB16" s="44">
        <f>C_Revenues_AUS!$D19*PRODUCT($E$10:BB$10)</f>
        <v>91.572801557046418</v>
      </c>
      <c r="BC16" s="44">
        <f>C_Revenues_AUS!$D19*PRODUCT($E$10:BC$10)</f>
        <v>92.089629183861746</v>
      </c>
      <c r="BD16" s="44">
        <f>C_Revenues_AUS!$D19*PRODUCT($E$10:BD$10)</f>
        <v>92.606456810677088</v>
      </c>
      <c r="BE16" s="44">
        <f>C_Revenues_AUS!$D19*PRODUCT($E$10:BE$10)</f>
        <v>93.123284437492416</v>
      </c>
      <c r="BF16" s="44">
        <f>C_Revenues_AUS!$D19*PRODUCT($E$10:BF$10)</f>
        <v>93.640112064307758</v>
      </c>
      <c r="BG16" s="44">
        <f>C_Revenues_AUS!$D19*PRODUCT($E$10:BG$10)</f>
        <v>94.1569396911231</v>
      </c>
      <c r="BH16" s="44">
        <f>C_Revenues_AUS!$D19*PRODUCT($E$10:BH$10)</f>
        <v>94.673767317938427</v>
      </c>
      <c r="BI16" s="44">
        <f>C_Revenues_AUS!$D19*PRODUCT($E$10:BI$10)</f>
        <v>95.190594944753769</v>
      </c>
      <c r="BJ16" s="44">
        <f>C_Revenues_AUS!$D19*PRODUCT($E$10:BJ$10)</f>
        <v>95.707422571569097</v>
      </c>
      <c r="BK16" s="44">
        <f>C_Revenues_AUS!$D19*PRODUCT($E$10:BK$10)</f>
        <v>96.224250198384439</v>
      </c>
      <c r="BL16" s="44">
        <f>C_Revenues_AUS!$D19*PRODUCT($E$10:BL$10)</f>
        <v>96.741077825199753</v>
      </c>
    </row>
    <row r="17" spans="3:64">
      <c r="C17" t="s">
        <v>27</v>
      </c>
      <c r="E17" s="44">
        <f>C_Revenues_AUS!$D20*PRODUCT($E$10:E$10)</f>
        <v>150.51871475000002</v>
      </c>
      <c r="F17" s="44">
        <f>C_Revenues_AUS!$D20*PRODUCT($E$10:F$10)</f>
        <v>151.04742950000002</v>
      </c>
      <c r="G17" s="44">
        <f>C_Revenues_AUS!$D20*PRODUCT($E$10:G$10)</f>
        <v>151.57614425</v>
      </c>
      <c r="H17" s="44">
        <f>C_Revenues_AUS!$D20*PRODUCT($E$10:H$10)</f>
        <v>152.104859</v>
      </c>
      <c r="I17" s="44">
        <f>C_Revenues_AUS!$D20*PRODUCT($E$10:I$10)</f>
        <v>152.63357375000001</v>
      </c>
      <c r="J17" s="44">
        <f>C_Revenues_AUS!$D20*PRODUCT($E$10:J$10)</f>
        <v>153.16228850000002</v>
      </c>
      <c r="K17" s="44">
        <f>C_Revenues_AUS!$D20*PRODUCT($E$10:K$10)</f>
        <v>153.69100325000002</v>
      </c>
      <c r="L17" s="44">
        <f>C_Revenues_AUS!$D20*PRODUCT($E$10:L$10)</f>
        <v>154.219718</v>
      </c>
      <c r="M17" s="44">
        <f>C_Revenues_AUS!$D20*PRODUCT($E$10:M$10)</f>
        <v>154.74843275000001</v>
      </c>
      <c r="N17" s="44">
        <f>C_Revenues_AUS!$D20*PRODUCT($E$10:N$10)</f>
        <v>155.27714750000001</v>
      </c>
      <c r="O17" s="44">
        <f>C_Revenues_AUS!$D20*PRODUCT($E$10:O$10)</f>
        <v>155.80586225000002</v>
      </c>
      <c r="P17" s="44">
        <f>C_Revenues_AUS!$D20*PRODUCT($E$10:P$10)</f>
        <v>156.33457700000002</v>
      </c>
      <c r="Q17" s="44">
        <f>C_Revenues_AUS!$D20*PRODUCT($E$10:Q$10)</f>
        <v>157.04459653720835</v>
      </c>
      <c r="R17" s="44">
        <f>C_Revenues_AUS!$D20*PRODUCT($E$10:R$10)</f>
        <v>157.75461607441667</v>
      </c>
      <c r="S17" s="44">
        <f>C_Revenues_AUS!$D20*PRODUCT($E$10:S$10)</f>
        <v>158.46463561162503</v>
      </c>
      <c r="T17" s="44">
        <f>C_Revenues_AUS!$D20*PRODUCT($E$10:T$10)</f>
        <v>159.17465514883335</v>
      </c>
      <c r="U17" s="44">
        <f>C_Revenues_AUS!$D20*PRODUCT($E$10:U$10)</f>
        <v>159.88467468604168</v>
      </c>
      <c r="V17" s="44">
        <f>C_Revenues_AUS!$D20*PRODUCT($E$10:V$10)</f>
        <v>160.59469422325003</v>
      </c>
      <c r="W17" s="44">
        <f>C_Revenues_AUS!$D20*PRODUCT($E$10:W$10)</f>
        <v>161.30471376045836</v>
      </c>
      <c r="X17" s="44">
        <f>C_Revenues_AUS!$D20*PRODUCT($E$10:X$10)</f>
        <v>162.01473329766668</v>
      </c>
      <c r="Y17" s="44">
        <f>C_Revenues_AUS!$D20*PRODUCT($E$10:Y$10)</f>
        <v>162.72475283487501</v>
      </c>
      <c r="Z17" s="44">
        <f>C_Revenues_AUS!$D20*PRODUCT($E$10:Z$10)</f>
        <v>163.43477237208333</v>
      </c>
      <c r="AA17" s="44">
        <f>C_Revenues_AUS!$D20*PRODUCT($E$10:AA$10)</f>
        <v>164.14479190929171</v>
      </c>
      <c r="AB17" s="44">
        <f>C_Revenues_AUS!$D20*PRODUCT($E$10:AB$10)</f>
        <v>164.85481144650004</v>
      </c>
      <c r="AC17" s="44">
        <f>C_Revenues_AUS!$D20*PRODUCT($E$10:AC$10)</f>
        <v>165.77250323021886</v>
      </c>
      <c r="AD17" s="44">
        <f>C_Revenues_AUS!$D20*PRODUCT($E$10:AD$10)</f>
        <v>166.69019501393771</v>
      </c>
      <c r="AE17" s="44">
        <f>C_Revenues_AUS!$D20*PRODUCT($E$10:AE$10)</f>
        <v>167.60788679765659</v>
      </c>
      <c r="AF17" s="44">
        <f>C_Revenues_AUS!$D20*PRODUCT($E$10:AF$10)</f>
        <v>168.52557858137544</v>
      </c>
      <c r="AG17" s="44">
        <f>C_Revenues_AUS!$D20*PRODUCT($E$10:AG$10)</f>
        <v>169.44327036509432</v>
      </c>
      <c r="AH17" s="44">
        <f>C_Revenues_AUS!$D20*PRODUCT($E$10:AH$10)</f>
        <v>170.3609621488132</v>
      </c>
      <c r="AI17" s="44">
        <f>C_Revenues_AUS!$D20*PRODUCT($E$10:AI$10)</f>
        <v>171.27865393253205</v>
      </c>
      <c r="AJ17" s="44">
        <f>C_Revenues_AUS!$D20*PRODUCT($E$10:AJ$10)</f>
        <v>172.1963457162509</v>
      </c>
      <c r="AK17" s="44">
        <f>C_Revenues_AUS!$D20*PRODUCT($E$10:AK$10)</f>
        <v>173.11403749996975</v>
      </c>
      <c r="AL17" s="44">
        <f>C_Revenues_AUS!$D20*PRODUCT($E$10:AL$10)</f>
        <v>174.03172928368858</v>
      </c>
      <c r="AM17" s="44">
        <f>C_Revenues_AUS!$D20*PRODUCT($E$10:AM$10)</f>
        <v>174.94942106740743</v>
      </c>
      <c r="AN17" s="44">
        <f>C_Revenues_AUS!$D20*PRODUCT($E$10:AN$10)</f>
        <v>175.86711285112631</v>
      </c>
      <c r="AO17" s="44">
        <f>C_Revenues_AUS!$D20*PRODUCT($E$10:AO$10)</f>
        <v>176.30238395543284</v>
      </c>
      <c r="AP17" s="44">
        <f>C_Revenues_AUS!$D20*PRODUCT($E$10:AP$10)</f>
        <v>176.73765505973938</v>
      </c>
      <c r="AQ17" s="44">
        <f>C_Revenues_AUS!$D20*PRODUCT($E$10:AQ$10)</f>
        <v>177.17292616404592</v>
      </c>
      <c r="AR17" s="44">
        <f>C_Revenues_AUS!$D20*PRODUCT($E$10:AR$10)</f>
        <v>177.60819726835248</v>
      </c>
      <c r="AS17" s="44">
        <f>C_Revenues_AUS!$D20*PRODUCT($E$10:AS$10)</f>
        <v>178.04346837265899</v>
      </c>
      <c r="AT17" s="44">
        <f>C_Revenues_AUS!$D20*PRODUCT($E$10:AT$10)</f>
        <v>178.47873947696553</v>
      </c>
      <c r="AU17" s="44">
        <f>C_Revenues_AUS!$D20*PRODUCT($E$10:AU$10)</f>
        <v>178.91401058127209</v>
      </c>
      <c r="AV17" s="44">
        <f>C_Revenues_AUS!$D20*PRODUCT($E$10:AV$10)</f>
        <v>179.34928168557863</v>
      </c>
      <c r="AW17" s="44">
        <f>C_Revenues_AUS!$D20*PRODUCT($E$10:AW$10)</f>
        <v>179.78455278988517</v>
      </c>
      <c r="AX17" s="44">
        <f>C_Revenues_AUS!$D20*PRODUCT($E$10:AX$10)</f>
        <v>180.21982389419171</v>
      </c>
      <c r="AY17" s="44">
        <f>C_Revenues_AUS!$D20*PRODUCT($E$10:AY$10)</f>
        <v>180.65509499849821</v>
      </c>
      <c r="AZ17" s="44">
        <f>C_Revenues_AUS!$D20*PRODUCT($E$10:AZ$10)</f>
        <v>181.09036610280478</v>
      </c>
      <c r="BA17" s="44">
        <f>C_Revenues_AUS!$D20*PRODUCT($E$10:BA$10)</f>
        <v>182.12409027597499</v>
      </c>
      <c r="BB17" s="44">
        <f>C_Revenues_AUS!$D20*PRODUCT($E$10:BB$10)</f>
        <v>183.15781444914515</v>
      </c>
      <c r="BC17" s="44">
        <f>C_Revenues_AUS!$D20*PRODUCT($E$10:BC$10)</f>
        <v>184.19153862231531</v>
      </c>
      <c r="BD17" s="44">
        <f>C_Revenues_AUS!$D20*PRODUCT($E$10:BD$10)</f>
        <v>185.22526279548552</v>
      </c>
      <c r="BE17" s="44">
        <f>C_Revenues_AUS!$D20*PRODUCT($E$10:BE$10)</f>
        <v>186.25898696865568</v>
      </c>
      <c r="BF17" s="44">
        <f>C_Revenues_AUS!$D20*PRODUCT($E$10:BF$10)</f>
        <v>187.29271114182589</v>
      </c>
      <c r="BG17" s="44">
        <f>C_Revenues_AUS!$D20*PRODUCT($E$10:BG$10)</f>
        <v>188.32643531499608</v>
      </c>
      <c r="BH17" s="44">
        <f>C_Revenues_AUS!$D20*PRODUCT($E$10:BH$10)</f>
        <v>189.36015948816623</v>
      </c>
      <c r="BI17" s="44">
        <f>C_Revenues_AUS!$D20*PRODUCT($E$10:BI$10)</f>
        <v>190.39388366133645</v>
      </c>
      <c r="BJ17" s="44">
        <f>C_Revenues_AUS!$D20*PRODUCT($E$10:BJ$10)</f>
        <v>191.4276078345066</v>
      </c>
      <c r="BK17" s="44">
        <f>C_Revenues_AUS!$D20*PRODUCT($E$10:BK$10)</f>
        <v>192.46133200767679</v>
      </c>
      <c r="BL17" s="44">
        <f>C_Revenues_AUS!$D20*PRODUCT($E$10:BL$10)</f>
        <v>193.49505618084697</v>
      </c>
    </row>
    <row r="19" spans="3:64">
      <c r="C19" s="46" t="s">
        <v>62</v>
      </c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</row>
    <row r="20" spans="3:64">
      <c r="C20" t="s">
        <v>30</v>
      </c>
      <c r="E20" s="54">
        <f>QUOTIENT(E13-C_Revenues_AUS!$D16,$E$1/2)*$E$1+C_Revenues_AUS!D16</f>
        <v>14.99</v>
      </c>
      <c r="F20">
        <f>QUOTIENT(F13-E20,$E$1/2)*$E$1+E20</f>
        <v>14.99</v>
      </c>
      <c r="G20">
        <f t="shared" ref="G20:BL20" si="1">QUOTIENT(G13-F20,$E$1/2)*$E$1+F20</f>
        <v>14.99</v>
      </c>
      <c r="H20">
        <f t="shared" si="1"/>
        <v>14.99</v>
      </c>
      <c r="I20">
        <f t="shared" si="1"/>
        <v>14.99</v>
      </c>
      <c r="J20">
        <f t="shared" si="1"/>
        <v>14.99</v>
      </c>
      <c r="K20">
        <f t="shared" si="1"/>
        <v>14.99</v>
      </c>
      <c r="L20">
        <f t="shared" si="1"/>
        <v>14.99</v>
      </c>
      <c r="M20">
        <f t="shared" si="1"/>
        <v>14.99</v>
      </c>
      <c r="N20">
        <f t="shared" si="1"/>
        <v>14.99</v>
      </c>
      <c r="O20">
        <f t="shared" si="1"/>
        <v>14.99</v>
      </c>
      <c r="P20">
        <f t="shared" si="1"/>
        <v>14.99</v>
      </c>
      <c r="Q20">
        <f t="shared" si="1"/>
        <v>14.99</v>
      </c>
      <c r="R20">
        <f t="shared" si="1"/>
        <v>14.99</v>
      </c>
      <c r="S20">
        <f t="shared" si="1"/>
        <v>14.99</v>
      </c>
      <c r="T20">
        <f t="shared" si="1"/>
        <v>14.99</v>
      </c>
      <c r="U20">
        <f t="shared" si="1"/>
        <v>14.99</v>
      </c>
      <c r="V20">
        <f t="shared" si="1"/>
        <v>14.99</v>
      </c>
      <c r="W20">
        <f t="shared" si="1"/>
        <v>14.99</v>
      </c>
      <c r="X20">
        <f t="shared" si="1"/>
        <v>14.99</v>
      </c>
      <c r="Y20">
        <f t="shared" si="1"/>
        <v>14.99</v>
      </c>
      <c r="Z20">
        <f t="shared" si="1"/>
        <v>14.99</v>
      </c>
      <c r="AA20">
        <f t="shared" si="1"/>
        <v>14.99</v>
      </c>
      <c r="AB20">
        <f t="shared" si="1"/>
        <v>14.99</v>
      </c>
      <c r="AC20">
        <f t="shared" si="1"/>
        <v>14.99</v>
      </c>
      <c r="AD20">
        <f t="shared" si="1"/>
        <v>14.99</v>
      </c>
      <c r="AE20">
        <f t="shared" si="1"/>
        <v>14.99</v>
      </c>
      <c r="AF20">
        <f t="shared" si="1"/>
        <v>14.99</v>
      </c>
      <c r="AG20">
        <f t="shared" si="1"/>
        <v>14.99</v>
      </c>
      <c r="AH20">
        <f t="shared" si="1"/>
        <v>14.99</v>
      </c>
      <c r="AI20">
        <f t="shared" si="1"/>
        <v>14.99</v>
      </c>
      <c r="AJ20">
        <f t="shared" si="1"/>
        <v>14.99</v>
      </c>
      <c r="AK20">
        <f t="shared" si="1"/>
        <v>14.99</v>
      </c>
      <c r="AL20">
        <f t="shared" si="1"/>
        <v>14.99</v>
      </c>
      <c r="AM20">
        <f t="shared" si="1"/>
        <v>14.99</v>
      </c>
      <c r="AN20">
        <f t="shared" si="1"/>
        <v>19.990000000000002</v>
      </c>
      <c r="AO20">
        <f t="shared" si="1"/>
        <v>19.990000000000002</v>
      </c>
      <c r="AP20">
        <f t="shared" si="1"/>
        <v>19.990000000000002</v>
      </c>
      <c r="AQ20">
        <f t="shared" si="1"/>
        <v>19.990000000000002</v>
      </c>
      <c r="AR20">
        <f t="shared" si="1"/>
        <v>19.990000000000002</v>
      </c>
      <c r="AS20">
        <f t="shared" si="1"/>
        <v>19.990000000000002</v>
      </c>
      <c r="AT20">
        <f t="shared" si="1"/>
        <v>19.990000000000002</v>
      </c>
      <c r="AU20">
        <f t="shared" si="1"/>
        <v>19.990000000000002</v>
      </c>
      <c r="AV20">
        <f t="shared" si="1"/>
        <v>19.990000000000002</v>
      </c>
      <c r="AW20">
        <f t="shared" si="1"/>
        <v>19.990000000000002</v>
      </c>
      <c r="AX20">
        <f t="shared" si="1"/>
        <v>19.990000000000002</v>
      </c>
      <c r="AY20">
        <f t="shared" si="1"/>
        <v>19.990000000000002</v>
      </c>
      <c r="AZ20">
        <f t="shared" si="1"/>
        <v>19.990000000000002</v>
      </c>
      <c r="BA20">
        <f t="shared" si="1"/>
        <v>19.990000000000002</v>
      </c>
      <c r="BB20">
        <f t="shared" si="1"/>
        <v>19.990000000000002</v>
      </c>
      <c r="BC20">
        <f t="shared" si="1"/>
        <v>19.990000000000002</v>
      </c>
      <c r="BD20">
        <f t="shared" si="1"/>
        <v>19.990000000000002</v>
      </c>
      <c r="BE20">
        <f t="shared" si="1"/>
        <v>19.990000000000002</v>
      </c>
      <c r="BF20">
        <f t="shared" si="1"/>
        <v>19.990000000000002</v>
      </c>
      <c r="BG20">
        <f t="shared" si="1"/>
        <v>19.990000000000002</v>
      </c>
      <c r="BH20">
        <f t="shared" si="1"/>
        <v>19.990000000000002</v>
      </c>
      <c r="BI20">
        <f t="shared" si="1"/>
        <v>19.990000000000002</v>
      </c>
      <c r="BJ20">
        <f t="shared" si="1"/>
        <v>19.990000000000002</v>
      </c>
      <c r="BK20">
        <f t="shared" si="1"/>
        <v>19.990000000000002</v>
      </c>
      <c r="BL20">
        <f t="shared" si="1"/>
        <v>19.990000000000002</v>
      </c>
    </row>
    <row r="21" spans="3:64">
      <c r="C21" t="s">
        <v>29</v>
      </c>
      <c r="E21" s="54">
        <f>QUOTIENT(E14-C_Revenues_AUS!$D17,$E$1/2)*$E$1+C_Revenues_AUS!D17</f>
        <v>29.99</v>
      </c>
      <c r="F21">
        <f t="shared" ref="F21:BL21" si="2">QUOTIENT(F14-E21,$E$1/2)*$E$1+E21</f>
        <v>29.99</v>
      </c>
      <c r="G21">
        <f t="shared" si="2"/>
        <v>29.99</v>
      </c>
      <c r="H21">
        <f t="shared" si="2"/>
        <v>29.99</v>
      </c>
      <c r="I21">
        <f t="shared" si="2"/>
        <v>29.99</v>
      </c>
      <c r="J21">
        <f t="shared" si="2"/>
        <v>29.99</v>
      </c>
      <c r="K21">
        <f t="shared" si="2"/>
        <v>29.99</v>
      </c>
      <c r="L21">
        <f t="shared" si="2"/>
        <v>29.99</v>
      </c>
      <c r="M21">
        <f t="shared" si="2"/>
        <v>29.99</v>
      </c>
      <c r="N21">
        <f t="shared" si="2"/>
        <v>29.99</v>
      </c>
      <c r="O21">
        <f t="shared" si="2"/>
        <v>29.99</v>
      </c>
      <c r="P21">
        <f t="shared" si="2"/>
        <v>29.99</v>
      </c>
      <c r="Q21">
        <f t="shared" si="2"/>
        <v>29.99</v>
      </c>
      <c r="R21">
        <f t="shared" si="2"/>
        <v>29.99</v>
      </c>
      <c r="S21">
        <f t="shared" si="2"/>
        <v>29.99</v>
      </c>
      <c r="T21">
        <f t="shared" si="2"/>
        <v>29.99</v>
      </c>
      <c r="U21">
        <f t="shared" si="2"/>
        <v>29.99</v>
      </c>
      <c r="V21">
        <f t="shared" si="2"/>
        <v>29.99</v>
      </c>
      <c r="W21">
        <f t="shared" si="2"/>
        <v>29.99</v>
      </c>
      <c r="X21">
        <f t="shared" si="2"/>
        <v>29.99</v>
      </c>
      <c r="Y21">
        <f t="shared" si="2"/>
        <v>34.989999999999995</v>
      </c>
      <c r="Z21">
        <f t="shared" si="2"/>
        <v>34.989999999999995</v>
      </c>
      <c r="AA21">
        <f t="shared" si="2"/>
        <v>34.989999999999995</v>
      </c>
      <c r="AB21">
        <f t="shared" si="2"/>
        <v>34.989999999999995</v>
      </c>
      <c r="AC21">
        <f t="shared" si="2"/>
        <v>34.989999999999995</v>
      </c>
      <c r="AD21">
        <f t="shared" si="2"/>
        <v>34.989999999999995</v>
      </c>
      <c r="AE21">
        <f t="shared" si="2"/>
        <v>34.989999999999995</v>
      </c>
      <c r="AF21">
        <f t="shared" si="2"/>
        <v>34.989999999999995</v>
      </c>
      <c r="AG21">
        <f t="shared" si="2"/>
        <v>34.989999999999995</v>
      </c>
      <c r="AH21">
        <f t="shared" si="2"/>
        <v>34.989999999999995</v>
      </c>
      <c r="AI21">
        <f t="shared" si="2"/>
        <v>34.989999999999995</v>
      </c>
      <c r="AJ21">
        <f t="shared" si="2"/>
        <v>34.989999999999995</v>
      </c>
      <c r="AK21">
        <f t="shared" si="2"/>
        <v>34.989999999999995</v>
      </c>
      <c r="AL21">
        <f t="shared" si="2"/>
        <v>34.989999999999995</v>
      </c>
      <c r="AM21">
        <f t="shared" si="2"/>
        <v>34.989999999999995</v>
      </c>
      <c r="AN21">
        <f t="shared" si="2"/>
        <v>34.989999999999995</v>
      </c>
      <c r="AO21">
        <f t="shared" si="2"/>
        <v>34.989999999999995</v>
      </c>
      <c r="AP21">
        <f t="shared" si="2"/>
        <v>34.989999999999995</v>
      </c>
      <c r="AQ21">
        <f t="shared" si="2"/>
        <v>34.989999999999995</v>
      </c>
      <c r="AR21">
        <f t="shared" si="2"/>
        <v>34.989999999999995</v>
      </c>
      <c r="AS21">
        <f t="shared" si="2"/>
        <v>34.989999999999995</v>
      </c>
      <c r="AT21">
        <f t="shared" si="2"/>
        <v>34.989999999999995</v>
      </c>
      <c r="AU21">
        <f t="shared" si="2"/>
        <v>34.989999999999995</v>
      </c>
      <c r="AV21">
        <f t="shared" si="2"/>
        <v>34.989999999999995</v>
      </c>
      <c r="AW21">
        <f t="shared" si="2"/>
        <v>34.989999999999995</v>
      </c>
      <c r="AX21">
        <f t="shared" si="2"/>
        <v>34.989999999999995</v>
      </c>
      <c r="AY21">
        <f t="shared" si="2"/>
        <v>34.989999999999995</v>
      </c>
      <c r="AZ21">
        <f t="shared" si="2"/>
        <v>34.989999999999995</v>
      </c>
      <c r="BA21">
        <f t="shared" si="2"/>
        <v>34.989999999999995</v>
      </c>
      <c r="BB21">
        <f t="shared" si="2"/>
        <v>34.989999999999995</v>
      </c>
      <c r="BC21">
        <f t="shared" si="2"/>
        <v>34.989999999999995</v>
      </c>
      <c r="BD21">
        <f t="shared" si="2"/>
        <v>34.989999999999995</v>
      </c>
      <c r="BE21">
        <f t="shared" si="2"/>
        <v>34.989999999999995</v>
      </c>
      <c r="BF21">
        <f t="shared" si="2"/>
        <v>34.989999999999995</v>
      </c>
      <c r="BG21">
        <f t="shared" si="2"/>
        <v>39.989999999999995</v>
      </c>
      <c r="BH21">
        <f t="shared" si="2"/>
        <v>39.989999999999995</v>
      </c>
      <c r="BI21">
        <f t="shared" si="2"/>
        <v>39.989999999999995</v>
      </c>
      <c r="BJ21">
        <f t="shared" si="2"/>
        <v>39.989999999999995</v>
      </c>
      <c r="BK21">
        <f t="shared" si="2"/>
        <v>39.989999999999995</v>
      </c>
      <c r="BL21">
        <f t="shared" si="2"/>
        <v>39.989999999999995</v>
      </c>
    </row>
    <row r="22" spans="3:64">
      <c r="C22" t="s">
        <v>28</v>
      </c>
      <c r="E22" s="54">
        <f>QUOTIENT(E15-C_Revenues_AUS!$D18,$E$1/2)*$E$1+C_Revenues_AUS!D18</f>
        <v>44.99</v>
      </c>
      <c r="F22">
        <f t="shared" ref="F22:BL22" si="3">QUOTIENT(F15-E22,$E$1/2)*$E$1+E22</f>
        <v>44.99</v>
      </c>
      <c r="G22">
        <f t="shared" si="3"/>
        <v>44.99</v>
      </c>
      <c r="H22">
        <f t="shared" si="3"/>
        <v>44.99</v>
      </c>
      <c r="I22">
        <f t="shared" si="3"/>
        <v>44.99</v>
      </c>
      <c r="J22">
        <f t="shared" si="3"/>
        <v>44.99</v>
      </c>
      <c r="K22">
        <f t="shared" si="3"/>
        <v>44.99</v>
      </c>
      <c r="L22">
        <f t="shared" si="3"/>
        <v>44.99</v>
      </c>
      <c r="M22">
        <f t="shared" si="3"/>
        <v>44.99</v>
      </c>
      <c r="N22">
        <f t="shared" si="3"/>
        <v>44.99</v>
      </c>
      <c r="O22">
        <f t="shared" si="3"/>
        <v>44.99</v>
      </c>
      <c r="P22">
        <f t="shared" si="3"/>
        <v>44.99</v>
      </c>
      <c r="Q22">
        <f t="shared" si="3"/>
        <v>44.99</v>
      </c>
      <c r="R22">
        <f t="shared" si="3"/>
        <v>44.99</v>
      </c>
      <c r="S22">
        <f t="shared" si="3"/>
        <v>49.99</v>
      </c>
      <c r="T22">
        <f t="shared" si="3"/>
        <v>49.99</v>
      </c>
      <c r="U22">
        <f t="shared" si="3"/>
        <v>49.99</v>
      </c>
      <c r="V22">
        <f t="shared" si="3"/>
        <v>49.99</v>
      </c>
      <c r="W22">
        <f t="shared" si="3"/>
        <v>49.99</v>
      </c>
      <c r="X22">
        <f t="shared" si="3"/>
        <v>49.99</v>
      </c>
      <c r="Y22">
        <f t="shared" si="3"/>
        <v>49.99</v>
      </c>
      <c r="Z22">
        <f t="shared" si="3"/>
        <v>49.99</v>
      </c>
      <c r="AA22">
        <f t="shared" si="3"/>
        <v>49.99</v>
      </c>
      <c r="AB22">
        <f t="shared" si="3"/>
        <v>49.99</v>
      </c>
      <c r="AC22">
        <f t="shared" si="3"/>
        <v>49.99</v>
      </c>
      <c r="AD22">
        <f t="shared" si="3"/>
        <v>49.99</v>
      </c>
      <c r="AE22">
        <f t="shared" si="3"/>
        <v>49.99</v>
      </c>
      <c r="AF22">
        <f t="shared" si="3"/>
        <v>49.99</v>
      </c>
      <c r="AG22">
        <f t="shared" si="3"/>
        <v>49.99</v>
      </c>
      <c r="AH22">
        <f t="shared" si="3"/>
        <v>49.99</v>
      </c>
      <c r="AI22">
        <f t="shared" si="3"/>
        <v>49.99</v>
      </c>
      <c r="AJ22">
        <f t="shared" si="3"/>
        <v>49.99</v>
      </c>
      <c r="AK22">
        <f t="shared" si="3"/>
        <v>49.99</v>
      </c>
      <c r="AL22">
        <f t="shared" si="3"/>
        <v>49.99</v>
      </c>
      <c r="AM22">
        <f t="shared" si="3"/>
        <v>49.99</v>
      </c>
      <c r="AN22">
        <f t="shared" si="3"/>
        <v>54.99</v>
      </c>
      <c r="AO22">
        <f t="shared" si="3"/>
        <v>54.99</v>
      </c>
      <c r="AP22">
        <f t="shared" si="3"/>
        <v>54.99</v>
      </c>
      <c r="AQ22">
        <f t="shared" si="3"/>
        <v>54.99</v>
      </c>
      <c r="AR22">
        <f t="shared" si="3"/>
        <v>54.99</v>
      </c>
      <c r="AS22">
        <f t="shared" si="3"/>
        <v>54.99</v>
      </c>
      <c r="AT22">
        <f t="shared" si="3"/>
        <v>54.99</v>
      </c>
      <c r="AU22">
        <f t="shared" si="3"/>
        <v>54.99</v>
      </c>
      <c r="AV22">
        <f t="shared" si="3"/>
        <v>54.99</v>
      </c>
      <c r="AW22">
        <f t="shared" si="3"/>
        <v>54.99</v>
      </c>
      <c r="AX22">
        <f t="shared" si="3"/>
        <v>54.99</v>
      </c>
      <c r="AY22">
        <f t="shared" si="3"/>
        <v>54.99</v>
      </c>
      <c r="AZ22">
        <f t="shared" si="3"/>
        <v>54.99</v>
      </c>
      <c r="BA22">
        <f t="shared" si="3"/>
        <v>54.99</v>
      </c>
      <c r="BB22">
        <f t="shared" si="3"/>
        <v>54.99</v>
      </c>
      <c r="BC22">
        <f t="shared" si="3"/>
        <v>54.99</v>
      </c>
      <c r="BD22">
        <f t="shared" si="3"/>
        <v>54.99</v>
      </c>
      <c r="BE22">
        <f t="shared" si="3"/>
        <v>54.99</v>
      </c>
      <c r="BF22">
        <f t="shared" si="3"/>
        <v>54.99</v>
      </c>
      <c r="BG22">
        <f t="shared" si="3"/>
        <v>54.99</v>
      </c>
      <c r="BH22">
        <f t="shared" si="3"/>
        <v>54.99</v>
      </c>
      <c r="BI22">
        <f t="shared" si="3"/>
        <v>54.99</v>
      </c>
      <c r="BJ22">
        <f t="shared" si="3"/>
        <v>54.99</v>
      </c>
      <c r="BK22">
        <f t="shared" si="3"/>
        <v>59.99</v>
      </c>
      <c r="BL22">
        <f t="shared" si="3"/>
        <v>59.99</v>
      </c>
    </row>
    <row r="23" spans="3:64">
      <c r="C23" t="s">
        <v>42</v>
      </c>
      <c r="E23" s="54">
        <f>QUOTIENT(E16-C_Revenues_AUS!$D19,$E$1/2)*$E$1+C_Revenues_AUS!D19</f>
        <v>74.989999999999995</v>
      </c>
      <c r="F23">
        <f t="shared" ref="F23:BL23" si="4">QUOTIENT(F16-E23,$E$1/2)*$E$1+E23</f>
        <v>74.989999999999995</v>
      </c>
      <c r="G23">
        <f t="shared" si="4"/>
        <v>74.989999999999995</v>
      </c>
      <c r="H23">
        <f t="shared" si="4"/>
        <v>74.989999999999995</v>
      </c>
      <c r="I23">
        <f t="shared" si="4"/>
        <v>74.989999999999995</v>
      </c>
      <c r="J23">
        <f t="shared" si="4"/>
        <v>74.989999999999995</v>
      </c>
      <c r="K23">
        <f t="shared" si="4"/>
        <v>74.989999999999995</v>
      </c>
      <c r="L23">
        <f t="shared" si="4"/>
        <v>74.989999999999995</v>
      </c>
      <c r="M23">
        <f t="shared" si="4"/>
        <v>74.989999999999995</v>
      </c>
      <c r="N23">
        <f t="shared" si="4"/>
        <v>79.989999999999995</v>
      </c>
      <c r="O23">
        <f t="shared" si="4"/>
        <v>79.989999999999995</v>
      </c>
      <c r="P23">
        <f t="shared" si="4"/>
        <v>79.989999999999995</v>
      </c>
      <c r="Q23">
        <f t="shared" si="4"/>
        <v>79.989999999999995</v>
      </c>
      <c r="R23">
        <f t="shared" si="4"/>
        <v>79.989999999999995</v>
      </c>
      <c r="S23">
        <f t="shared" si="4"/>
        <v>79.989999999999995</v>
      </c>
      <c r="T23">
        <f t="shared" si="4"/>
        <v>79.989999999999995</v>
      </c>
      <c r="U23">
        <f t="shared" si="4"/>
        <v>79.989999999999995</v>
      </c>
      <c r="V23">
        <f t="shared" si="4"/>
        <v>79.989999999999995</v>
      </c>
      <c r="W23">
        <f t="shared" si="4"/>
        <v>79.989999999999995</v>
      </c>
      <c r="X23">
        <f t="shared" si="4"/>
        <v>79.989999999999995</v>
      </c>
      <c r="Y23">
        <f t="shared" si="4"/>
        <v>79.989999999999995</v>
      </c>
      <c r="Z23">
        <f t="shared" si="4"/>
        <v>79.989999999999995</v>
      </c>
      <c r="AA23">
        <f t="shared" si="4"/>
        <v>79.989999999999995</v>
      </c>
      <c r="AB23">
        <f t="shared" si="4"/>
        <v>79.989999999999995</v>
      </c>
      <c r="AC23">
        <f t="shared" si="4"/>
        <v>84.99</v>
      </c>
      <c r="AD23">
        <f t="shared" si="4"/>
        <v>84.99</v>
      </c>
      <c r="AE23">
        <f t="shared" si="4"/>
        <v>84.99</v>
      </c>
      <c r="AF23">
        <f t="shared" si="4"/>
        <v>84.99</v>
      </c>
      <c r="AG23">
        <f t="shared" si="4"/>
        <v>84.99</v>
      </c>
      <c r="AH23">
        <f t="shared" si="4"/>
        <v>84.99</v>
      </c>
      <c r="AI23">
        <f t="shared" si="4"/>
        <v>84.99</v>
      </c>
      <c r="AJ23">
        <f t="shared" si="4"/>
        <v>84.99</v>
      </c>
      <c r="AK23">
        <f t="shared" si="4"/>
        <v>84.99</v>
      </c>
      <c r="AL23">
        <f t="shared" si="4"/>
        <v>84.99</v>
      </c>
      <c r="AM23">
        <f t="shared" si="4"/>
        <v>84.99</v>
      </c>
      <c r="AN23">
        <f t="shared" si="4"/>
        <v>89.99</v>
      </c>
      <c r="AO23">
        <f t="shared" si="4"/>
        <v>89.99</v>
      </c>
      <c r="AP23">
        <f t="shared" si="4"/>
        <v>89.99</v>
      </c>
      <c r="AQ23">
        <f t="shared" si="4"/>
        <v>89.99</v>
      </c>
      <c r="AR23">
        <f t="shared" si="4"/>
        <v>89.99</v>
      </c>
      <c r="AS23">
        <f t="shared" si="4"/>
        <v>89.99</v>
      </c>
      <c r="AT23">
        <f t="shared" si="4"/>
        <v>89.99</v>
      </c>
      <c r="AU23">
        <f t="shared" si="4"/>
        <v>89.99</v>
      </c>
      <c r="AV23">
        <f t="shared" si="4"/>
        <v>89.99</v>
      </c>
      <c r="AW23">
        <f t="shared" si="4"/>
        <v>89.99</v>
      </c>
      <c r="AX23">
        <f t="shared" si="4"/>
        <v>89.99</v>
      </c>
      <c r="AY23">
        <f t="shared" si="4"/>
        <v>89.99</v>
      </c>
      <c r="AZ23">
        <f t="shared" si="4"/>
        <v>89.99</v>
      </c>
      <c r="BA23">
        <f t="shared" si="4"/>
        <v>89.99</v>
      </c>
      <c r="BB23">
        <f t="shared" si="4"/>
        <v>89.99</v>
      </c>
      <c r="BC23">
        <f t="shared" si="4"/>
        <v>89.99</v>
      </c>
      <c r="BD23">
        <f t="shared" si="4"/>
        <v>94.99</v>
      </c>
      <c r="BE23">
        <f t="shared" si="4"/>
        <v>94.99</v>
      </c>
      <c r="BF23">
        <f t="shared" si="4"/>
        <v>94.99</v>
      </c>
      <c r="BG23">
        <f t="shared" si="4"/>
        <v>94.99</v>
      </c>
      <c r="BH23">
        <f t="shared" si="4"/>
        <v>94.99</v>
      </c>
      <c r="BI23">
        <f t="shared" si="4"/>
        <v>94.99</v>
      </c>
      <c r="BJ23">
        <f t="shared" si="4"/>
        <v>94.99</v>
      </c>
      <c r="BK23">
        <f t="shared" si="4"/>
        <v>94.99</v>
      </c>
      <c r="BL23">
        <f t="shared" si="4"/>
        <v>94.99</v>
      </c>
    </row>
    <row r="24" spans="3:64">
      <c r="C24" t="s">
        <v>27</v>
      </c>
      <c r="E24" s="54">
        <f>QUOTIENT(E17-C_Revenues_AUS!$D20,$E$1/2)*$E$1+C_Revenues_AUS!D20</f>
        <v>149.99</v>
      </c>
      <c r="F24">
        <f t="shared" ref="F24:BL24" si="5">QUOTIENT(F17-E24,$E$1/2)*$E$1+E24</f>
        <v>149.99</v>
      </c>
      <c r="G24">
        <f t="shared" si="5"/>
        <v>149.99</v>
      </c>
      <c r="H24">
        <f t="shared" si="5"/>
        <v>149.99</v>
      </c>
      <c r="I24">
        <f t="shared" si="5"/>
        <v>154.99</v>
      </c>
      <c r="J24">
        <f t="shared" si="5"/>
        <v>154.99</v>
      </c>
      <c r="K24">
        <f t="shared" si="5"/>
        <v>154.99</v>
      </c>
      <c r="L24">
        <f t="shared" si="5"/>
        <v>154.99</v>
      </c>
      <c r="M24">
        <f t="shared" si="5"/>
        <v>154.99</v>
      </c>
      <c r="N24">
        <f t="shared" si="5"/>
        <v>154.99</v>
      </c>
      <c r="O24">
        <f t="shared" si="5"/>
        <v>154.99</v>
      </c>
      <c r="P24">
        <f t="shared" si="5"/>
        <v>154.99</v>
      </c>
      <c r="Q24">
        <f t="shared" si="5"/>
        <v>154.99</v>
      </c>
      <c r="R24">
        <f t="shared" si="5"/>
        <v>159.99</v>
      </c>
      <c r="S24">
        <f t="shared" si="5"/>
        <v>159.99</v>
      </c>
      <c r="T24">
        <f t="shared" si="5"/>
        <v>159.99</v>
      </c>
      <c r="U24">
        <f t="shared" si="5"/>
        <v>159.99</v>
      </c>
      <c r="V24">
        <f t="shared" si="5"/>
        <v>159.99</v>
      </c>
      <c r="W24">
        <f t="shared" si="5"/>
        <v>159.99</v>
      </c>
      <c r="X24">
        <f t="shared" si="5"/>
        <v>159.99</v>
      </c>
      <c r="Y24">
        <f t="shared" si="5"/>
        <v>164.99</v>
      </c>
      <c r="Z24">
        <f t="shared" si="5"/>
        <v>164.99</v>
      </c>
      <c r="AA24">
        <f t="shared" si="5"/>
        <v>164.99</v>
      </c>
      <c r="AB24">
        <f t="shared" si="5"/>
        <v>164.99</v>
      </c>
      <c r="AC24">
        <f t="shared" si="5"/>
        <v>164.99</v>
      </c>
      <c r="AD24">
        <f t="shared" si="5"/>
        <v>164.99</v>
      </c>
      <c r="AE24">
        <f t="shared" si="5"/>
        <v>169.99</v>
      </c>
      <c r="AF24">
        <f t="shared" si="5"/>
        <v>169.99</v>
      </c>
      <c r="AG24">
        <f t="shared" si="5"/>
        <v>169.99</v>
      </c>
      <c r="AH24">
        <f t="shared" si="5"/>
        <v>169.99</v>
      </c>
      <c r="AI24">
        <f t="shared" si="5"/>
        <v>169.99</v>
      </c>
      <c r="AJ24">
        <f t="shared" si="5"/>
        <v>169.99</v>
      </c>
      <c r="AK24">
        <f t="shared" si="5"/>
        <v>174.99</v>
      </c>
      <c r="AL24">
        <f t="shared" si="5"/>
        <v>174.99</v>
      </c>
      <c r="AM24">
        <f t="shared" si="5"/>
        <v>174.99</v>
      </c>
      <c r="AN24">
        <f t="shared" si="5"/>
        <v>174.99</v>
      </c>
      <c r="AO24">
        <f t="shared" si="5"/>
        <v>174.99</v>
      </c>
      <c r="AP24">
        <f t="shared" si="5"/>
        <v>174.99</v>
      </c>
      <c r="AQ24">
        <f t="shared" si="5"/>
        <v>174.99</v>
      </c>
      <c r="AR24">
        <f t="shared" si="5"/>
        <v>179.99</v>
      </c>
      <c r="AS24">
        <f t="shared" si="5"/>
        <v>179.99</v>
      </c>
      <c r="AT24">
        <f t="shared" si="5"/>
        <v>179.99</v>
      </c>
      <c r="AU24">
        <f t="shared" si="5"/>
        <v>179.99</v>
      </c>
      <c r="AV24">
        <f t="shared" si="5"/>
        <v>179.99</v>
      </c>
      <c r="AW24">
        <f t="shared" si="5"/>
        <v>179.99</v>
      </c>
      <c r="AX24">
        <f t="shared" si="5"/>
        <v>179.99</v>
      </c>
      <c r="AY24">
        <f t="shared" si="5"/>
        <v>179.99</v>
      </c>
      <c r="AZ24">
        <f t="shared" si="5"/>
        <v>179.99</v>
      </c>
      <c r="BA24">
        <f t="shared" si="5"/>
        <v>179.99</v>
      </c>
      <c r="BB24">
        <f t="shared" si="5"/>
        <v>184.99</v>
      </c>
      <c r="BC24">
        <f t="shared" si="5"/>
        <v>184.99</v>
      </c>
      <c r="BD24">
        <f t="shared" si="5"/>
        <v>184.99</v>
      </c>
      <c r="BE24">
        <f t="shared" si="5"/>
        <v>184.99</v>
      </c>
      <c r="BF24">
        <f t="shared" si="5"/>
        <v>184.99</v>
      </c>
      <c r="BG24">
        <f t="shared" si="5"/>
        <v>189.99</v>
      </c>
      <c r="BH24">
        <f t="shared" si="5"/>
        <v>189.99</v>
      </c>
      <c r="BI24">
        <f t="shared" si="5"/>
        <v>189.99</v>
      </c>
      <c r="BJ24">
        <f t="shared" si="5"/>
        <v>189.99</v>
      </c>
      <c r="BK24">
        <f t="shared" si="5"/>
        <v>189.99</v>
      </c>
      <c r="BL24">
        <f t="shared" si="5"/>
        <v>194.99</v>
      </c>
    </row>
    <row r="26" spans="3:64">
      <c r="C26" s="46" t="s">
        <v>63</v>
      </c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</row>
    <row r="27" spans="3:64">
      <c r="C27" t="s">
        <v>30</v>
      </c>
      <c r="E27">
        <f>E20-C_Revenues_AUS!D16</f>
        <v>0</v>
      </c>
      <c r="F27">
        <f>F20-E20</f>
        <v>0</v>
      </c>
      <c r="G27">
        <f t="shared" ref="G27:BL31" si="6">G20-F20</f>
        <v>0</v>
      </c>
      <c r="H27">
        <f t="shared" si="6"/>
        <v>0</v>
      </c>
      <c r="I27">
        <f t="shared" si="6"/>
        <v>0</v>
      </c>
      <c r="J27">
        <f t="shared" si="6"/>
        <v>0</v>
      </c>
      <c r="K27">
        <f t="shared" si="6"/>
        <v>0</v>
      </c>
      <c r="L27">
        <f t="shared" si="6"/>
        <v>0</v>
      </c>
      <c r="M27">
        <f t="shared" si="6"/>
        <v>0</v>
      </c>
      <c r="N27">
        <f t="shared" si="6"/>
        <v>0</v>
      </c>
      <c r="O27">
        <f t="shared" si="6"/>
        <v>0</v>
      </c>
      <c r="P27">
        <f t="shared" si="6"/>
        <v>0</v>
      </c>
      <c r="Q27">
        <f t="shared" si="6"/>
        <v>0</v>
      </c>
      <c r="R27">
        <f t="shared" si="6"/>
        <v>0</v>
      </c>
      <c r="S27">
        <f t="shared" si="6"/>
        <v>0</v>
      </c>
      <c r="T27">
        <f t="shared" si="6"/>
        <v>0</v>
      </c>
      <c r="U27">
        <f t="shared" si="6"/>
        <v>0</v>
      </c>
      <c r="V27">
        <f t="shared" si="6"/>
        <v>0</v>
      </c>
      <c r="W27">
        <f t="shared" si="6"/>
        <v>0</v>
      </c>
      <c r="X27">
        <f t="shared" si="6"/>
        <v>0</v>
      </c>
      <c r="Y27">
        <f t="shared" si="6"/>
        <v>0</v>
      </c>
      <c r="Z27">
        <f t="shared" si="6"/>
        <v>0</v>
      </c>
      <c r="AA27">
        <f t="shared" si="6"/>
        <v>0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M27">
        <f t="shared" si="6"/>
        <v>0</v>
      </c>
      <c r="AN27">
        <f t="shared" si="6"/>
        <v>5.0000000000000018</v>
      </c>
      <c r="AO27">
        <f t="shared" si="6"/>
        <v>0</v>
      </c>
      <c r="AP27">
        <f t="shared" si="6"/>
        <v>0</v>
      </c>
      <c r="AQ27">
        <f t="shared" si="6"/>
        <v>0</v>
      </c>
      <c r="AR27">
        <f t="shared" si="6"/>
        <v>0</v>
      </c>
      <c r="AS27">
        <f t="shared" si="6"/>
        <v>0</v>
      </c>
      <c r="AT27">
        <f t="shared" si="6"/>
        <v>0</v>
      </c>
      <c r="AU27">
        <f t="shared" si="6"/>
        <v>0</v>
      </c>
      <c r="AV27">
        <f t="shared" si="6"/>
        <v>0</v>
      </c>
      <c r="AW27">
        <f t="shared" si="6"/>
        <v>0</v>
      </c>
      <c r="AX27">
        <f t="shared" si="6"/>
        <v>0</v>
      </c>
      <c r="AY27">
        <f t="shared" si="6"/>
        <v>0</v>
      </c>
      <c r="AZ27">
        <f t="shared" si="6"/>
        <v>0</v>
      </c>
      <c r="BA27">
        <f t="shared" si="6"/>
        <v>0</v>
      </c>
      <c r="BB27">
        <f t="shared" si="6"/>
        <v>0</v>
      </c>
      <c r="BC27">
        <f t="shared" si="6"/>
        <v>0</v>
      </c>
      <c r="BD27">
        <f t="shared" si="6"/>
        <v>0</v>
      </c>
      <c r="BE27">
        <f t="shared" si="6"/>
        <v>0</v>
      </c>
      <c r="BF27">
        <f t="shared" si="6"/>
        <v>0</v>
      </c>
      <c r="BG27">
        <f t="shared" si="6"/>
        <v>0</v>
      </c>
      <c r="BH27">
        <f t="shared" si="6"/>
        <v>0</v>
      </c>
      <c r="BI27">
        <f t="shared" si="6"/>
        <v>0</v>
      </c>
      <c r="BJ27">
        <f t="shared" si="6"/>
        <v>0</v>
      </c>
      <c r="BK27">
        <f t="shared" si="6"/>
        <v>0</v>
      </c>
      <c r="BL27">
        <f t="shared" si="6"/>
        <v>0</v>
      </c>
    </row>
    <row r="28" spans="3:64">
      <c r="C28" t="s">
        <v>29</v>
      </c>
      <c r="E28">
        <f>E21-C_Revenues_AUS!D17</f>
        <v>0</v>
      </c>
      <c r="F28">
        <f t="shared" ref="F28:U31" si="7">F21-E21</f>
        <v>0</v>
      </c>
      <c r="G28">
        <f t="shared" si="7"/>
        <v>0</v>
      </c>
      <c r="H28">
        <f t="shared" si="7"/>
        <v>0</v>
      </c>
      <c r="I28">
        <f t="shared" si="7"/>
        <v>0</v>
      </c>
      <c r="J28">
        <f t="shared" si="7"/>
        <v>0</v>
      </c>
      <c r="K28">
        <f t="shared" si="7"/>
        <v>0</v>
      </c>
      <c r="L28">
        <f t="shared" si="7"/>
        <v>0</v>
      </c>
      <c r="M28">
        <f t="shared" si="7"/>
        <v>0</v>
      </c>
      <c r="N28">
        <f t="shared" si="7"/>
        <v>0</v>
      </c>
      <c r="O28">
        <f t="shared" si="7"/>
        <v>0</v>
      </c>
      <c r="P28">
        <f t="shared" si="7"/>
        <v>0</v>
      </c>
      <c r="Q28">
        <f t="shared" si="7"/>
        <v>0</v>
      </c>
      <c r="R28">
        <f t="shared" si="7"/>
        <v>0</v>
      </c>
      <c r="S28">
        <f t="shared" si="7"/>
        <v>0</v>
      </c>
      <c r="T28">
        <f t="shared" si="7"/>
        <v>0</v>
      </c>
      <c r="U28">
        <f t="shared" si="7"/>
        <v>0</v>
      </c>
      <c r="V28">
        <f t="shared" si="6"/>
        <v>0</v>
      </c>
      <c r="W28">
        <f t="shared" si="6"/>
        <v>0</v>
      </c>
      <c r="X28">
        <f t="shared" si="6"/>
        <v>0</v>
      </c>
      <c r="Y28">
        <f t="shared" si="6"/>
        <v>4.9999999999999964</v>
      </c>
      <c r="Z28">
        <f t="shared" si="6"/>
        <v>0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0</v>
      </c>
      <c r="AL28">
        <f t="shared" si="6"/>
        <v>0</v>
      </c>
      <c r="AM28">
        <f t="shared" si="6"/>
        <v>0</v>
      </c>
      <c r="AN28">
        <f t="shared" si="6"/>
        <v>0</v>
      </c>
      <c r="AO28">
        <f t="shared" si="6"/>
        <v>0</v>
      </c>
      <c r="AP28">
        <f t="shared" si="6"/>
        <v>0</v>
      </c>
      <c r="AQ28">
        <f t="shared" si="6"/>
        <v>0</v>
      </c>
      <c r="AR28">
        <f t="shared" si="6"/>
        <v>0</v>
      </c>
      <c r="AS28">
        <f t="shared" si="6"/>
        <v>0</v>
      </c>
      <c r="AT28">
        <f t="shared" si="6"/>
        <v>0</v>
      </c>
      <c r="AU28">
        <f t="shared" si="6"/>
        <v>0</v>
      </c>
      <c r="AV28">
        <f t="shared" si="6"/>
        <v>0</v>
      </c>
      <c r="AW28">
        <f t="shared" si="6"/>
        <v>0</v>
      </c>
      <c r="AX28">
        <f t="shared" si="6"/>
        <v>0</v>
      </c>
      <c r="AY28">
        <f t="shared" si="6"/>
        <v>0</v>
      </c>
      <c r="AZ28">
        <f t="shared" si="6"/>
        <v>0</v>
      </c>
      <c r="BA28">
        <f t="shared" si="6"/>
        <v>0</v>
      </c>
      <c r="BB28">
        <f t="shared" si="6"/>
        <v>0</v>
      </c>
      <c r="BC28">
        <f t="shared" si="6"/>
        <v>0</v>
      </c>
      <c r="BD28">
        <f t="shared" si="6"/>
        <v>0</v>
      </c>
      <c r="BE28">
        <f t="shared" si="6"/>
        <v>0</v>
      </c>
      <c r="BF28">
        <f t="shared" si="6"/>
        <v>0</v>
      </c>
      <c r="BG28">
        <f t="shared" si="6"/>
        <v>5</v>
      </c>
      <c r="BH28">
        <f t="shared" si="6"/>
        <v>0</v>
      </c>
      <c r="BI28">
        <f t="shared" si="6"/>
        <v>0</v>
      </c>
      <c r="BJ28">
        <f t="shared" si="6"/>
        <v>0</v>
      </c>
      <c r="BK28">
        <f t="shared" si="6"/>
        <v>0</v>
      </c>
      <c r="BL28">
        <f t="shared" si="6"/>
        <v>0</v>
      </c>
    </row>
    <row r="29" spans="3:64">
      <c r="C29" t="s">
        <v>28</v>
      </c>
      <c r="E29">
        <f>E22-C_Revenues_AUS!D18</f>
        <v>0</v>
      </c>
      <c r="F29">
        <f t="shared" si="7"/>
        <v>0</v>
      </c>
      <c r="G29">
        <f t="shared" si="6"/>
        <v>0</v>
      </c>
      <c r="H29">
        <f t="shared" si="6"/>
        <v>0</v>
      </c>
      <c r="I29">
        <f t="shared" si="6"/>
        <v>0</v>
      </c>
      <c r="J29">
        <f t="shared" si="6"/>
        <v>0</v>
      </c>
      <c r="K29">
        <f t="shared" si="6"/>
        <v>0</v>
      </c>
      <c r="L29">
        <f t="shared" si="6"/>
        <v>0</v>
      </c>
      <c r="M29">
        <f t="shared" si="6"/>
        <v>0</v>
      </c>
      <c r="N29">
        <f t="shared" si="6"/>
        <v>0</v>
      </c>
      <c r="O29">
        <f t="shared" si="6"/>
        <v>0</v>
      </c>
      <c r="P29">
        <f t="shared" si="6"/>
        <v>0</v>
      </c>
      <c r="Q29">
        <f t="shared" si="6"/>
        <v>0</v>
      </c>
      <c r="R29">
        <f t="shared" si="6"/>
        <v>0</v>
      </c>
      <c r="S29">
        <f t="shared" si="6"/>
        <v>5</v>
      </c>
      <c r="T29">
        <f t="shared" si="6"/>
        <v>0</v>
      </c>
      <c r="U29">
        <f t="shared" si="6"/>
        <v>0</v>
      </c>
      <c r="V29">
        <f t="shared" si="6"/>
        <v>0</v>
      </c>
      <c r="W29">
        <f t="shared" si="6"/>
        <v>0</v>
      </c>
      <c r="X29">
        <f t="shared" si="6"/>
        <v>0</v>
      </c>
      <c r="Y29">
        <f t="shared" si="6"/>
        <v>0</v>
      </c>
      <c r="Z29">
        <f t="shared" si="6"/>
        <v>0</v>
      </c>
      <c r="AA29">
        <f t="shared" si="6"/>
        <v>0</v>
      </c>
      <c r="AB29">
        <f t="shared" si="6"/>
        <v>0</v>
      </c>
      <c r="AC29">
        <f t="shared" si="6"/>
        <v>0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M29">
        <f t="shared" si="6"/>
        <v>0</v>
      </c>
      <c r="AN29">
        <f t="shared" si="6"/>
        <v>5</v>
      </c>
      <c r="AO29">
        <f t="shared" si="6"/>
        <v>0</v>
      </c>
      <c r="AP29">
        <f t="shared" si="6"/>
        <v>0</v>
      </c>
      <c r="AQ29">
        <f t="shared" si="6"/>
        <v>0</v>
      </c>
      <c r="AR29">
        <f t="shared" si="6"/>
        <v>0</v>
      </c>
      <c r="AS29">
        <f t="shared" si="6"/>
        <v>0</v>
      </c>
      <c r="AT29">
        <f t="shared" si="6"/>
        <v>0</v>
      </c>
      <c r="AU29">
        <f t="shared" si="6"/>
        <v>0</v>
      </c>
      <c r="AV29">
        <f t="shared" si="6"/>
        <v>0</v>
      </c>
      <c r="AW29">
        <f t="shared" si="6"/>
        <v>0</v>
      </c>
      <c r="AX29">
        <f t="shared" si="6"/>
        <v>0</v>
      </c>
      <c r="AY29">
        <f t="shared" si="6"/>
        <v>0</v>
      </c>
      <c r="AZ29">
        <f t="shared" si="6"/>
        <v>0</v>
      </c>
      <c r="BA29">
        <f t="shared" si="6"/>
        <v>0</v>
      </c>
      <c r="BB29">
        <f t="shared" si="6"/>
        <v>0</v>
      </c>
      <c r="BC29">
        <f t="shared" si="6"/>
        <v>0</v>
      </c>
      <c r="BD29">
        <f t="shared" si="6"/>
        <v>0</v>
      </c>
      <c r="BE29">
        <f t="shared" si="6"/>
        <v>0</v>
      </c>
      <c r="BF29">
        <f t="shared" si="6"/>
        <v>0</v>
      </c>
      <c r="BG29">
        <f t="shared" si="6"/>
        <v>0</v>
      </c>
      <c r="BH29">
        <f t="shared" si="6"/>
        <v>0</v>
      </c>
      <c r="BI29">
        <f t="shared" si="6"/>
        <v>0</v>
      </c>
      <c r="BJ29">
        <f t="shared" si="6"/>
        <v>0</v>
      </c>
      <c r="BK29">
        <f t="shared" si="6"/>
        <v>5</v>
      </c>
      <c r="BL29">
        <f t="shared" si="6"/>
        <v>0</v>
      </c>
    </row>
    <row r="30" spans="3:64">
      <c r="C30" t="s">
        <v>42</v>
      </c>
      <c r="E30">
        <f>E23-C_Revenues_AUS!D19</f>
        <v>0</v>
      </c>
      <c r="F30">
        <f t="shared" si="7"/>
        <v>0</v>
      </c>
      <c r="G30">
        <f t="shared" si="6"/>
        <v>0</v>
      </c>
      <c r="H30">
        <f t="shared" si="6"/>
        <v>0</v>
      </c>
      <c r="I30">
        <f t="shared" si="6"/>
        <v>0</v>
      </c>
      <c r="J30">
        <f t="shared" si="6"/>
        <v>0</v>
      </c>
      <c r="K30">
        <f t="shared" si="6"/>
        <v>0</v>
      </c>
      <c r="L30">
        <f t="shared" si="6"/>
        <v>0</v>
      </c>
      <c r="M30">
        <f t="shared" si="6"/>
        <v>0</v>
      </c>
      <c r="N30">
        <f t="shared" si="6"/>
        <v>5</v>
      </c>
      <c r="O30">
        <f t="shared" si="6"/>
        <v>0</v>
      </c>
      <c r="P30">
        <f t="shared" si="6"/>
        <v>0</v>
      </c>
      <c r="Q30">
        <f t="shared" si="6"/>
        <v>0</v>
      </c>
      <c r="R30">
        <f t="shared" si="6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5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M30">
        <f t="shared" si="6"/>
        <v>0</v>
      </c>
      <c r="AN30">
        <f t="shared" si="6"/>
        <v>5</v>
      </c>
      <c r="AO30">
        <f t="shared" si="6"/>
        <v>0</v>
      </c>
      <c r="AP30">
        <f t="shared" si="6"/>
        <v>0</v>
      </c>
      <c r="AQ30">
        <f t="shared" si="6"/>
        <v>0</v>
      </c>
      <c r="AR30">
        <f t="shared" si="6"/>
        <v>0</v>
      </c>
      <c r="AS30">
        <f t="shared" si="6"/>
        <v>0</v>
      </c>
      <c r="AT30">
        <f t="shared" si="6"/>
        <v>0</v>
      </c>
      <c r="AU30">
        <f t="shared" si="6"/>
        <v>0</v>
      </c>
      <c r="AV30">
        <f t="shared" si="6"/>
        <v>0</v>
      </c>
      <c r="AW30">
        <f t="shared" si="6"/>
        <v>0</v>
      </c>
      <c r="AX30">
        <f t="shared" si="6"/>
        <v>0</v>
      </c>
      <c r="AY30">
        <f t="shared" si="6"/>
        <v>0</v>
      </c>
      <c r="AZ30">
        <f t="shared" si="6"/>
        <v>0</v>
      </c>
      <c r="BA30">
        <f t="shared" si="6"/>
        <v>0</v>
      </c>
      <c r="BB30">
        <f t="shared" si="6"/>
        <v>0</v>
      </c>
      <c r="BC30">
        <f t="shared" si="6"/>
        <v>0</v>
      </c>
      <c r="BD30">
        <f t="shared" si="6"/>
        <v>5</v>
      </c>
      <c r="BE30">
        <f t="shared" si="6"/>
        <v>0</v>
      </c>
      <c r="BF30">
        <f t="shared" si="6"/>
        <v>0</v>
      </c>
      <c r="BG30">
        <f t="shared" si="6"/>
        <v>0</v>
      </c>
      <c r="BH30">
        <f t="shared" si="6"/>
        <v>0</v>
      </c>
      <c r="BI30">
        <f t="shared" si="6"/>
        <v>0</v>
      </c>
      <c r="BJ30">
        <f t="shared" si="6"/>
        <v>0</v>
      </c>
      <c r="BK30">
        <f t="shared" si="6"/>
        <v>0</v>
      </c>
      <c r="BL30">
        <f t="shared" si="6"/>
        <v>0</v>
      </c>
    </row>
    <row r="31" spans="3:64">
      <c r="C31" t="s">
        <v>27</v>
      </c>
      <c r="E31">
        <f>E24-C_Revenues_AUS!D20</f>
        <v>0</v>
      </c>
      <c r="F31">
        <f t="shared" si="7"/>
        <v>0</v>
      </c>
      <c r="G31">
        <f t="shared" si="6"/>
        <v>0</v>
      </c>
      <c r="H31">
        <f t="shared" si="6"/>
        <v>0</v>
      </c>
      <c r="I31">
        <f t="shared" si="6"/>
        <v>5</v>
      </c>
      <c r="J31">
        <f t="shared" si="6"/>
        <v>0</v>
      </c>
      <c r="K31">
        <f t="shared" si="6"/>
        <v>0</v>
      </c>
      <c r="L31">
        <f t="shared" si="6"/>
        <v>0</v>
      </c>
      <c r="M31">
        <f t="shared" si="6"/>
        <v>0</v>
      </c>
      <c r="N31">
        <f t="shared" si="6"/>
        <v>0</v>
      </c>
      <c r="O31">
        <f t="shared" si="6"/>
        <v>0</v>
      </c>
      <c r="P31">
        <f t="shared" si="6"/>
        <v>0</v>
      </c>
      <c r="Q31">
        <f t="shared" si="6"/>
        <v>0</v>
      </c>
      <c r="R31">
        <f t="shared" si="6"/>
        <v>5</v>
      </c>
      <c r="S31">
        <f t="shared" si="6"/>
        <v>0</v>
      </c>
      <c r="T31">
        <f t="shared" si="6"/>
        <v>0</v>
      </c>
      <c r="U31">
        <f t="shared" si="6"/>
        <v>0</v>
      </c>
      <c r="V31">
        <f t="shared" si="6"/>
        <v>0</v>
      </c>
      <c r="W31">
        <f t="shared" si="6"/>
        <v>0</v>
      </c>
      <c r="X31">
        <f t="shared" si="6"/>
        <v>0</v>
      </c>
      <c r="Y31">
        <f t="shared" si="6"/>
        <v>5</v>
      </c>
      <c r="Z31">
        <f t="shared" si="6"/>
        <v>0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5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5</v>
      </c>
      <c r="AL31">
        <f t="shared" si="6"/>
        <v>0</v>
      </c>
      <c r="AM31">
        <f t="shared" si="6"/>
        <v>0</v>
      </c>
      <c r="AN31">
        <f t="shared" si="6"/>
        <v>0</v>
      </c>
      <c r="AO31">
        <f t="shared" si="6"/>
        <v>0</v>
      </c>
      <c r="AP31">
        <f t="shared" si="6"/>
        <v>0</v>
      </c>
      <c r="AQ31">
        <f t="shared" si="6"/>
        <v>0</v>
      </c>
      <c r="AR31">
        <f t="shared" si="6"/>
        <v>5</v>
      </c>
      <c r="AS31">
        <f t="shared" ref="AS31:BL31" si="8">AS24-AR24</f>
        <v>0</v>
      </c>
      <c r="AT31">
        <f t="shared" si="8"/>
        <v>0</v>
      </c>
      <c r="AU31">
        <f t="shared" si="8"/>
        <v>0</v>
      </c>
      <c r="AV31">
        <f t="shared" si="8"/>
        <v>0</v>
      </c>
      <c r="AW31">
        <f t="shared" si="8"/>
        <v>0</v>
      </c>
      <c r="AX31">
        <f t="shared" si="8"/>
        <v>0</v>
      </c>
      <c r="AY31">
        <f t="shared" si="8"/>
        <v>0</v>
      </c>
      <c r="AZ31">
        <f t="shared" si="8"/>
        <v>0</v>
      </c>
      <c r="BA31">
        <f t="shared" si="8"/>
        <v>0</v>
      </c>
      <c r="BB31">
        <f t="shared" si="8"/>
        <v>5</v>
      </c>
      <c r="BC31">
        <f t="shared" si="8"/>
        <v>0</v>
      </c>
      <c r="BD31">
        <f t="shared" si="8"/>
        <v>0</v>
      </c>
      <c r="BE31">
        <f t="shared" si="8"/>
        <v>0</v>
      </c>
      <c r="BF31">
        <f t="shared" si="8"/>
        <v>0</v>
      </c>
      <c r="BG31">
        <f t="shared" si="8"/>
        <v>5</v>
      </c>
      <c r="BH31">
        <f t="shared" si="8"/>
        <v>0</v>
      </c>
      <c r="BI31">
        <f t="shared" si="8"/>
        <v>0</v>
      </c>
      <c r="BJ31">
        <f t="shared" si="8"/>
        <v>0</v>
      </c>
      <c r="BK31">
        <f t="shared" si="8"/>
        <v>0</v>
      </c>
      <c r="BL31">
        <f t="shared" si="8"/>
        <v>5</v>
      </c>
    </row>
    <row r="33" spans="3:64">
      <c r="C33" s="46" t="s">
        <v>65</v>
      </c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</row>
    <row r="34" spans="3:64">
      <c r="C34" t="s">
        <v>30</v>
      </c>
      <c r="E34">
        <f>IF(COUNTIF(D$34:D$38,"&lt;&gt;0")&gt;=$H$1,E27,D34+E27)</f>
        <v>0</v>
      </c>
      <c r="F34">
        <f t="shared" ref="F34:BL34" si="9">IF(COUNTIF(E$34:E$38,"&lt;&gt;0")&gt;=$H$1,F27,E34+F27)</f>
        <v>0</v>
      </c>
      <c r="G34">
        <f t="shared" si="9"/>
        <v>0</v>
      </c>
      <c r="H34">
        <f t="shared" si="9"/>
        <v>0</v>
      </c>
      <c r="I34">
        <f t="shared" si="9"/>
        <v>0</v>
      </c>
      <c r="J34">
        <f t="shared" si="9"/>
        <v>0</v>
      </c>
      <c r="K34">
        <f t="shared" si="9"/>
        <v>0</v>
      </c>
      <c r="L34">
        <f t="shared" si="9"/>
        <v>0</v>
      </c>
      <c r="M34">
        <f t="shared" si="9"/>
        <v>0</v>
      </c>
      <c r="N34">
        <f t="shared" si="9"/>
        <v>0</v>
      </c>
      <c r="O34">
        <f t="shared" si="9"/>
        <v>0</v>
      </c>
      <c r="P34">
        <f t="shared" si="9"/>
        <v>0</v>
      </c>
      <c r="Q34">
        <f t="shared" si="9"/>
        <v>0</v>
      </c>
      <c r="R34">
        <f t="shared" si="9"/>
        <v>0</v>
      </c>
      <c r="S34">
        <f t="shared" si="9"/>
        <v>0</v>
      </c>
      <c r="T34">
        <f t="shared" si="9"/>
        <v>0</v>
      </c>
      <c r="U34">
        <f t="shared" si="9"/>
        <v>0</v>
      </c>
      <c r="V34">
        <f t="shared" si="9"/>
        <v>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>
        <f t="shared" si="9"/>
        <v>0</v>
      </c>
      <c r="AE34">
        <f t="shared" si="9"/>
        <v>0</v>
      </c>
      <c r="AF34">
        <f t="shared" si="9"/>
        <v>0</v>
      </c>
      <c r="AG34">
        <f t="shared" si="9"/>
        <v>0</v>
      </c>
      <c r="AH34">
        <f t="shared" si="9"/>
        <v>0</v>
      </c>
      <c r="AI34">
        <f t="shared" si="9"/>
        <v>0</v>
      </c>
      <c r="AJ34">
        <f t="shared" si="9"/>
        <v>0</v>
      </c>
      <c r="AK34">
        <f t="shared" si="9"/>
        <v>0</v>
      </c>
      <c r="AL34">
        <f t="shared" si="9"/>
        <v>0</v>
      </c>
      <c r="AM34">
        <f t="shared" si="9"/>
        <v>0</v>
      </c>
      <c r="AN34">
        <f t="shared" si="9"/>
        <v>5.0000000000000018</v>
      </c>
      <c r="AO34">
        <f t="shared" si="9"/>
        <v>0</v>
      </c>
      <c r="AP34">
        <f t="shared" si="9"/>
        <v>0</v>
      </c>
      <c r="AQ34">
        <f t="shared" si="9"/>
        <v>0</v>
      </c>
      <c r="AR34">
        <f t="shared" si="9"/>
        <v>0</v>
      </c>
      <c r="AS34">
        <f t="shared" si="9"/>
        <v>0</v>
      </c>
      <c r="AT34">
        <f t="shared" si="9"/>
        <v>0</v>
      </c>
      <c r="AU34">
        <f t="shared" si="9"/>
        <v>0</v>
      </c>
      <c r="AV34">
        <f t="shared" si="9"/>
        <v>0</v>
      </c>
      <c r="AW34">
        <f t="shared" si="9"/>
        <v>0</v>
      </c>
      <c r="AX34">
        <f t="shared" si="9"/>
        <v>0</v>
      </c>
      <c r="AY34">
        <f t="shared" si="9"/>
        <v>0</v>
      </c>
      <c r="AZ34">
        <f t="shared" si="9"/>
        <v>0</v>
      </c>
      <c r="BA34">
        <f t="shared" si="9"/>
        <v>0</v>
      </c>
      <c r="BB34">
        <f t="shared" si="9"/>
        <v>0</v>
      </c>
      <c r="BC34">
        <f t="shared" si="9"/>
        <v>0</v>
      </c>
      <c r="BD34">
        <f t="shared" si="9"/>
        <v>0</v>
      </c>
      <c r="BE34">
        <f t="shared" si="9"/>
        <v>0</v>
      </c>
      <c r="BF34">
        <f t="shared" si="9"/>
        <v>0</v>
      </c>
      <c r="BG34">
        <f t="shared" si="9"/>
        <v>0</v>
      </c>
      <c r="BH34">
        <f t="shared" si="9"/>
        <v>0</v>
      </c>
      <c r="BI34">
        <f t="shared" si="9"/>
        <v>0</v>
      </c>
      <c r="BJ34">
        <f t="shared" si="9"/>
        <v>0</v>
      </c>
      <c r="BK34">
        <f t="shared" si="9"/>
        <v>0</v>
      </c>
      <c r="BL34">
        <f t="shared" si="9"/>
        <v>0</v>
      </c>
    </row>
    <row r="35" spans="3:64">
      <c r="C35" t="s">
        <v>29</v>
      </c>
      <c r="E35">
        <f t="shared" ref="E35:BL35" si="10">IF(COUNTIF(D$34:D$38,"&lt;&gt;0")&gt;=$H$1,E28,D35+E28)</f>
        <v>0</v>
      </c>
      <c r="F35">
        <f t="shared" si="10"/>
        <v>0</v>
      </c>
      <c r="G35">
        <f t="shared" si="10"/>
        <v>0</v>
      </c>
      <c r="H35">
        <f t="shared" si="10"/>
        <v>0</v>
      </c>
      <c r="I35">
        <f t="shared" si="10"/>
        <v>0</v>
      </c>
      <c r="J35">
        <f t="shared" si="10"/>
        <v>0</v>
      </c>
      <c r="K35">
        <f t="shared" si="10"/>
        <v>0</v>
      </c>
      <c r="L35">
        <f t="shared" si="10"/>
        <v>0</v>
      </c>
      <c r="M35">
        <f t="shared" si="10"/>
        <v>0</v>
      </c>
      <c r="N35">
        <f t="shared" si="10"/>
        <v>0</v>
      </c>
      <c r="O35">
        <f t="shared" si="10"/>
        <v>0</v>
      </c>
      <c r="P35">
        <f t="shared" si="10"/>
        <v>0</v>
      </c>
      <c r="Q35">
        <f t="shared" si="10"/>
        <v>0</v>
      </c>
      <c r="R35">
        <f t="shared" si="10"/>
        <v>0</v>
      </c>
      <c r="S35">
        <f t="shared" si="10"/>
        <v>0</v>
      </c>
      <c r="T35">
        <f t="shared" si="10"/>
        <v>0</v>
      </c>
      <c r="U35">
        <f t="shared" si="10"/>
        <v>0</v>
      </c>
      <c r="V35">
        <f t="shared" si="10"/>
        <v>0</v>
      </c>
      <c r="W35">
        <f t="shared" si="10"/>
        <v>0</v>
      </c>
      <c r="X35">
        <f t="shared" si="10"/>
        <v>0</v>
      </c>
      <c r="Y35">
        <f t="shared" si="10"/>
        <v>4.9999999999999964</v>
      </c>
      <c r="Z35">
        <f t="shared" si="10"/>
        <v>4.9999999999999964</v>
      </c>
      <c r="AA35">
        <f t="shared" si="10"/>
        <v>4.9999999999999964</v>
      </c>
      <c r="AB35">
        <f t="shared" si="10"/>
        <v>4.9999999999999964</v>
      </c>
      <c r="AC35">
        <f t="shared" si="10"/>
        <v>4.9999999999999964</v>
      </c>
      <c r="AD35">
        <f t="shared" si="10"/>
        <v>0</v>
      </c>
      <c r="AE35">
        <f t="shared" si="10"/>
        <v>0</v>
      </c>
      <c r="AF35">
        <f t="shared" si="10"/>
        <v>0</v>
      </c>
      <c r="AG35">
        <f t="shared" si="10"/>
        <v>0</v>
      </c>
      <c r="AH35">
        <f t="shared" si="10"/>
        <v>0</v>
      </c>
      <c r="AI35">
        <f t="shared" si="10"/>
        <v>0</v>
      </c>
      <c r="AJ35">
        <f t="shared" si="10"/>
        <v>0</v>
      </c>
      <c r="AK35">
        <f t="shared" si="10"/>
        <v>0</v>
      </c>
      <c r="AL35">
        <f t="shared" si="10"/>
        <v>0</v>
      </c>
      <c r="AM35">
        <f t="shared" si="10"/>
        <v>0</v>
      </c>
      <c r="AN35">
        <f t="shared" si="10"/>
        <v>0</v>
      </c>
      <c r="AO35">
        <f t="shared" si="10"/>
        <v>0</v>
      </c>
      <c r="AP35">
        <f t="shared" si="10"/>
        <v>0</v>
      </c>
      <c r="AQ35">
        <f t="shared" si="10"/>
        <v>0</v>
      </c>
      <c r="AR35">
        <f t="shared" si="10"/>
        <v>0</v>
      </c>
      <c r="AS35">
        <f t="shared" si="10"/>
        <v>0</v>
      </c>
      <c r="AT35">
        <f t="shared" si="10"/>
        <v>0</v>
      </c>
      <c r="AU35">
        <f t="shared" si="10"/>
        <v>0</v>
      </c>
      <c r="AV35">
        <f t="shared" si="10"/>
        <v>0</v>
      </c>
      <c r="AW35">
        <f t="shared" si="10"/>
        <v>0</v>
      </c>
      <c r="AX35">
        <f t="shared" si="10"/>
        <v>0</v>
      </c>
      <c r="AY35">
        <f t="shared" si="10"/>
        <v>0</v>
      </c>
      <c r="AZ35">
        <f t="shared" si="10"/>
        <v>0</v>
      </c>
      <c r="BA35">
        <f t="shared" si="10"/>
        <v>0</v>
      </c>
      <c r="BB35">
        <f t="shared" si="10"/>
        <v>0</v>
      </c>
      <c r="BC35">
        <f t="shared" si="10"/>
        <v>0</v>
      </c>
      <c r="BD35">
        <f t="shared" si="10"/>
        <v>0</v>
      </c>
      <c r="BE35">
        <f t="shared" si="10"/>
        <v>0</v>
      </c>
      <c r="BF35">
        <f t="shared" si="10"/>
        <v>0</v>
      </c>
      <c r="BG35">
        <f t="shared" si="10"/>
        <v>5</v>
      </c>
      <c r="BH35">
        <f t="shared" si="10"/>
        <v>0</v>
      </c>
      <c r="BI35">
        <f t="shared" si="10"/>
        <v>0</v>
      </c>
      <c r="BJ35">
        <f t="shared" si="10"/>
        <v>0</v>
      </c>
      <c r="BK35">
        <f t="shared" si="10"/>
        <v>0</v>
      </c>
      <c r="BL35">
        <f t="shared" si="10"/>
        <v>0</v>
      </c>
    </row>
    <row r="36" spans="3:64">
      <c r="C36" t="s">
        <v>28</v>
      </c>
      <c r="E36">
        <f t="shared" ref="E36:BL36" si="11">IF(COUNTIF(D$34:D$38,"&lt;&gt;0")&gt;=$H$1,E29,D36+E29)</f>
        <v>0</v>
      </c>
      <c r="F36">
        <f t="shared" si="11"/>
        <v>0</v>
      </c>
      <c r="G36">
        <f t="shared" si="11"/>
        <v>0</v>
      </c>
      <c r="H36">
        <f t="shared" si="11"/>
        <v>0</v>
      </c>
      <c r="I36">
        <f t="shared" si="11"/>
        <v>0</v>
      </c>
      <c r="J36">
        <f t="shared" si="11"/>
        <v>0</v>
      </c>
      <c r="K36">
        <f t="shared" si="11"/>
        <v>0</v>
      </c>
      <c r="L36">
        <f t="shared" si="11"/>
        <v>0</v>
      </c>
      <c r="M36">
        <f t="shared" si="11"/>
        <v>0</v>
      </c>
      <c r="N36">
        <f t="shared" si="11"/>
        <v>0</v>
      </c>
      <c r="O36">
        <f t="shared" si="11"/>
        <v>0</v>
      </c>
      <c r="P36">
        <f t="shared" si="11"/>
        <v>0</v>
      </c>
      <c r="Q36">
        <f t="shared" si="11"/>
        <v>0</v>
      </c>
      <c r="R36">
        <f t="shared" si="11"/>
        <v>0</v>
      </c>
      <c r="S36">
        <f t="shared" si="11"/>
        <v>5</v>
      </c>
      <c r="T36">
        <f t="shared" si="11"/>
        <v>0</v>
      </c>
      <c r="U36">
        <f t="shared" si="11"/>
        <v>0</v>
      </c>
      <c r="V36">
        <f t="shared" si="11"/>
        <v>0</v>
      </c>
      <c r="W36">
        <f t="shared" si="11"/>
        <v>0</v>
      </c>
      <c r="X36">
        <f t="shared" si="11"/>
        <v>0</v>
      </c>
      <c r="Y36">
        <f t="shared" si="11"/>
        <v>0</v>
      </c>
      <c r="Z36">
        <f t="shared" si="11"/>
        <v>0</v>
      </c>
      <c r="AA36">
        <f t="shared" si="11"/>
        <v>0</v>
      </c>
      <c r="AB36">
        <f t="shared" si="11"/>
        <v>0</v>
      </c>
      <c r="AC36">
        <f t="shared" si="11"/>
        <v>0</v>
      </c>
      <c r="AD36">
        <f t="shared" si="11"/>
        <v>0</v>
      </c>
      <c r="AE36">
        <f t="shared" si="11"/>
        <v>0</v>
      </c>
      <c r="AF36">
        <f t="shared" si="11"/>
        <v>0</v>
      </c>
      <c r="AG36">
        <f t="shared" si="11"/>
        <v>0</v>
      </c>
      <c r="AH36">
        <f t="shared" si="11"/>
        <v>0</v>
      </c>
      <c r="AI36">
        <f t="shared" si="11"/>
        <v>0</v>
      </c>
      <c r="AJ36">
        <f t="shared" si="11"/>
        <v>0</v>
      </c>
      <c r="AK36">
        <f t="shared" si="11"/>
        <v>0</v>
      </c>
      <c r="AL36">
        <f t="shared" si="11"/>
        <v>0</v>
      </c>
      <c r="AM36">
        <f t="shared" si="11"/>
        <v>0</v>
      </c>
      <c r="AN36">
        <f t="shared" si="11"/>
        <v>5</v>
      </c>
      <c r="AO36">
        <f t="shared" si="11"/>
        <v>0</v>
      </c>
      <c r="AP36">
        <f t="shared" si="11"/>
        <v>0</v>
      </c>
      <c r="AQ36">
        <f t="shared" si="11"/>
        <v>0</v>
      </c>
      <c r="AR36">
        <f t="shared" si="11"/>
        <v>0</v>
      </c>
      <c r="AS36">
        <f t="shared" si="11"/>
        <v>0</v>
      </c>
      <c r="AT36">
        <f t="shared" si="11"/>
        <v>0</v>
      </c>
      <c r="AU36">
        <f t="shared" si="11"/>
        <v>0</v>
      </c>
      <c r="AV36">
        <f t="shared" si="11"/>
        <v>0</v>
      </c>
      <c r="AW36">
        <f t="shared" si="11"/>
        <v>0</v>
      </c>
      <c r="AX36">
        <f t="shared" si="11"/>
        <v>0</v>
      </c>
      <c r="AY36">
        <f t="shared" si="11"/>
        <v>0</v>
      </c>
      <c r="AZ36">
        <f t="shared" si="11"/>
        <v>0</v>
      </c>
      <c r="BA36">
        <f t="shared" si="11"/>
        <v>0</v>
      </c>
      <c r="BB36">
        <f t="shared" si="11"/>
        <v>0</v>
      </c>
      <c r="BC36">
        <f t="shared" si="11"/>
        <v>0</v>
      </c>
      <c r="BD36">
        <f t="shared" si="11"/>
        <v>0</v>
      </c>
      <c r="BE36">
        <f t="shared" si="11"/>
        <v>0</v>
      </c>
      <c r="BF36">
        <f t="shared" si="11"/>
        <v>0</v>
      </c>
      <c r="BG36">
        <f t="shared" si="11"/>
        <v>0</v>
      </c>
      <c r="BH36">
        <f t="shared" si="11"/>
        <v>0</v>
      </c>
      <c r="BI36">
        <f t="shared" si="11"/>
        <v>0</v>
      </c>
      <c r="BJ36">
        <f t="shared" si="11"/>
        <v>0</v>
      </c>
      <c r="BK36">
        <f t="shared" si="11"/>
        <v>5</v>
      </c>
      <c r="BL36">
        <f t="shared" si="11"/>
        <v>5</v>
      </c>
    </row>
    <row r="37" spans="3:64">
      <c r="C37" t="s">
        <v>42</v>
      </c>
      <c r="E37">
        <f t="shared" ref="E37:BL37" si="12">IF(COUNTIF(D$34:D$38,"&lt;&gt;0")&gt;=$H$1,E30,D37+E30)</f>
        <v>0</v>
      </c>
      <c r="F37">
        <f t="shared" si="12"/>
        <v>0</v>
      </c>
      <c r="G37">
        <f t="shared" si="12"/>
        <v>0</v>
      </c>
      <c r="H37">
        <f t="shared" si="12"/>
        <v>0</v>
      </c>
      <c r="I37">
        <f t="shared" si="12"/>
        <v>0</v>
      </c>
      <c r="J37">
        <f t="shared" si="12"/>
        <v>0</v>
      </c>
      <c r="K37">
        <f t="shared" si="12"/>
        <v>0</v>
      </c>
      <c r="L37">
        <f t="shared" si="12"/>
        <v>0</v>
      </c>
      <c r="M37">
        <f t="shared" si="12"/>
        <v>0</v>
      </c>
      <c r="N37">
        <f t="shared" si="12"/>
        <v>5</v>
      </c>
      <c r="O37">
        <f t="shared" si="12"/>
        <v>5</v>
      </c>
      <c r="P37">
        <f t="shared" si="12"/>
        <v>5</v>
      </c>
      <c r="Q37">
        <f t="shared" si="12"/>
        <v>5</v>
      </c>
      <c r="R37">
        <f t="shared" si="12"/>
        <v>5</v>
      </c>
      <c r="S37">
        <f t="shared" si="12"/>
        <v>5</v>
      </c>
      <c r="T37">
        <f t="shared" si="12"/>
        <v>0</v>
      </c>
      <c r="U37">
        <f t="shared" si="12"/>
        <v>0</v>
      </c>
      <c r="V37">
        <f t="shared" si="12"/>
        <v>0</v>
      </c>
      <c r="W37">
        <f t="shared" si="12"/>
        <v>0</v>
      </c>
      <c r="X37">
        <f t="shared" si="12"/>
        <v>0</v>
      </c>
      <c r="Y37">
        <f t="shared" si="12"/>
        <v>0</v>
      </c>
      <c r="Z37">
        <f t="shared" si="12"/>
        <v>0</v>
      </c>
      <c r="AA37">
        <f t="shared" si="12"/>
        <v>0</v>
      </c>
      <c r="AB37">
        <f t="shared" si="12"/>
        <v>0</v>
      </c>
      <c r="AC37">
        <f t="shared" si="12"/>
        <v>5</v>
      </c>
      <c r="AD37">
        <f t="shared" si="12"/>
        <v>0</v>
      </c>
      <c r="AE37">
        <f t="shared" si="12"/>
        <v>0</v>
      </c>
      <c r="AF37">
        <f t="shared" si="12"/>
        <v>0</v>
      </c>
      <c r="AG37">
        <f t="shared" si="12"/>
        <v>0</v>
      </c>
      <c r="AH37">
        <f t="shared" si="12"/>
        <v>0</v>
      </c>
      <c r="AI37">
        <f t="shared" si="12"/>
        <v>0</v>
      </c>
      <c r="AJ37">
        <f t="shared" si="12"/>
        <v>0</v>
      </c>
      <c r="AK37">
        <f t="shared" si="12"/>
        <v>0</v>
      </c>
      <c r="AL37">
        <f t="shared" si="12"/>
        <v>0</v>
      </c>
      <c r="AM37">
        <f t="shared" si="12"/>
        <v>0</v>
      </c>
      <c r="AN37">
        <f t="shared" si="12"/>
        <v>5</v>
      </c>
      <c r="AO37">
        <f t="shared" si="12"/>
        <v>0</v>
      </c>
      <c r="AP37">
        <f t="shared" si="12"/>
        <v>0</v>
      </c>
      <c r="AQ37">
        <f t="shared" si="12"/>
        <v>0</v>
      </c>
      <c r="AR37">
        <f t="shared" si="12"/>
        <v>0</v>
      </c>
      <c r="AS37">
        <f t="shared" si="12"/>
        <v>0</v>
      </c>
      <c r="AT37">
        <f t="shared" si="12"/>
        <v>0</v>
      </c>
      <c r="AU37">
        <f t="shared" si="12"/>
        <v>0</v>
      </c>
      <c r="AV37">
        <f t="shared" si="12"/>
        <v>0</v>
      </c>
      <c r="AW37">
        <f t="shared" si="12"/>
        <v>0</v>
      </c>
      <c r="AX37">
        <f t="shared" si="12"/>
        <v>0</v>
      </c>
      <c r="AY37">
        <f t="shared" si="12"/>
        <v>0</v>
      </c>
      <c r="AZ37">
        <f t="shared" si="12"/>
        <v>0</v>
      </c>
      <c r="BA37">
        <f t="shared" si="12"/>
        <v>0</v>
      </c>
      <c r="BB37">
        <f t="shared" si="12"/>
        <v>0</v>
      </c>
      <c r="BC37">
        <f t="shared" si="12"/>
        <v>0</v>
      </c>
      <c r="BD37">
        <f t="shared" si="12"/>
        <v>5</v>
      </c>
      <c r="BE37">
        <f t="shared" si="12"/>
        <v>5</v>
      </c>
      <c r="BF37">
        <f t="shared" si="12"/>
        <v>5</v>
      </c>
      <c r="BG37">
        <f t="shared" si="12"/>
        <v>5</v>
      </c>
      <c r="BH37">
        <f t="shared" si="12"/>
        <v>0</v>
      </c>
      <c r="BI37">
        <f t="shared" si="12"/>
        <v>0</v>
      </c>
      <c r="BJ37">
        <f t="shared" si="12"/>
        <v>0</v>
      </c>
      <c r="BK37">
        <f t="shared" si="12"/>
        <v>0</v>
      </c>
      <c r="BL37">
        <f t="shared" si="12"/>
        <v>0</v>
      </c>
    </row>
    <row r="38" spans="3:64">
      <c r="C38" t="s">
        <v>27</v>
      </c>
      <c r="E38">
        <f t="shared" ref="E38:BL38" si="13">IF(COUNTIF(D$34:D$38,"&lt;&gt;0")&gt;=$H$1,E31,D38+E31)</f>
        <v>0</v>
      </c>
      <c r="F38">
        <f t="shared" si="13"/>
        <v>0</v>
      </c>
      <c r="G38">
        <f t="shared" si="13"/>
        <v>0</v>
      </c>
      <c r="H38">
        <f t="shared" si="13"/>
        <v>0</v>
      </c>
      <c r="I38">
        <f t="shared" si="13"/>
        <v>5</v>
      </c>
      <c r="J38">
        <f t="shared" si="13"/>
        <v>5</v>
      </c>
      <c r="K38">
        <f t="shared" si="13"/>
        <v>5</v>
      </c>
      <c r="L38">
        <f t="shared" si="13"/>
        <v>5</v>
      </c>
      <c r="M38">
        <f t="shared" si="13"/>
        <v>5</v>
      </c>
      <c r="N38">
        <f t="shared" si="13"/>
        <v>5</v>
      </c>
      <c r="O38">
        <f t="shared" si="13"/>
        <v>5</v>
      </c>
      <c r="P38">
        <f t="shared" si="13"/>
        <v>5</v>
      </c>
      <c r="Q38">
        <f t="shared" si="13"/>
        <v>5</v>
      </c>
      <c r="R38">
        <f t="shared" si="13"/>
        <v>10</v>
      </c>
      <c r="S38">
        <f t="shared" si="13"/>
        <v>10</v>
      </c>
      <c r="T38">
        <f t="shared" si="13"/>
        <v>0</v>
      </c>
      <c r="U38">
        <f t="shared" si="13"/>
        <v>0</v>
      </c>
      <c r="V38">
        <f t="shared" si="13"/>
        <v>0</v>
      </c>
      <c r="W38">
        <f t="shared" si="13"/>
        <v>0</v>
      </c>
      <c r="X38">
        <f t="shared" si="13"/>
        <v>0</v>
      </c>
      <c r="Y38">
        <f t="shared" si="13"/>
        <v>5</v>
      </c>
      <c r="Z38">
        <f t="shared" si="13"/>
        <v>5</v>
      </c>
      <c r="AA38">
        <f t="shared" si="13"/>
        <v>5</v>
      </c>
      <c r="AB38">
        <f t="shared" si="13"/>
        <v>5</v>
      </c>
      <c r="AC38">
        <f t="shared" si="13"/>
        <v>5</v>
      </c>
      <c r="AD38">
        <f t="shared" si="13"/>
        <v>0</v>
      </c>
      <c r="AE38">
        <f t="shared" si="13"/>
        <v>5</v>
      </c>
      <c r="AF38">
        <f t="shared" si="13"/>
        <v>5</v>
      </c>
      <c r="AG38">
        <f t="shared" si="13"/>
        <v>5</v>
      </c>
      <c r="AH38">
        <f t="shared" si="13"/>
        <v>5</v>
      </c>
      <c r="AI38">
        <f t="shared" si="13"/>
        <v>5</v>
      </c>
      <c r="AJ38">
        <f t="shared" si="13"/>
        <v>5</v>
      </c>
      <c r="AK38">
        <f t="shared" si="13"/>
        <v>10</v>
      </c>
      <c r="AL38">
        <f t="shared" si="13"/>
        <v>10</v>
      </c>
      <c r="AM38">
        <f t="shared" si="13"/>
        <v>10</v>
      </c>
      <c r="AN38">
        <f t="shared" si="13"/>
        <v>10</v>
      </c>
      <c r="AO38">
        <f t="shared" si="13"/>
        <v>0</v>
      </c>
      <c r="AP38">
        <f t="shared" si="13"/>
        <v>0</v>
      </c>
      <c r="AQ38">
        <f t="shared" si="13"/>
        <v>0</v>
      </c>
      <c r="AR38">
        <f t="shared" si="13"/>
        <v>5</v>
      </c>
      <c r="AS38">
        <f t="shared" si="13"/>
        <v>5</v>
      </c>
      <c r="AT38">
        <f t="shared" si="13"/>
        <v>5</v>
      </c>
      <c r="AU38">
        <f t="shared" si="13"/>
        <v>5</v>
      </c>
      <c r="AV38">
        <f t="shared" si="13"/>
        <v>5</v>
      </c>
      <c r="AW38">
        <f t="shared" si="13"/>
        <v>5</v>
      </c>
      <c r="AX38">
        <f t="shared" si="13"/>
        <v>5</v>
      </c>
      <c r="AY38">
        <f t="shared" si="13"/>
        <v>5</v>
      </c>
      <c r="AZ38">
        <f t="shared" si="13"/>
        <v>5</v>
      </c>
      <c r="BA38">
        <f t="shared" si="13"/>
        <v>5</v>
      </c>
      <c r="BB38">
        <f t="shared" si="13"/>
        <v>10</v>
      </c>
      <c r="BC38">
        <f t="shared" si="13"/>
        <v>10</v>
      </c>
      <c r="BD38">
        <f t="shared" si="13"/>
        <v>10</v>
      </c>
      <c r="BE38">
        <f t="shared" si="13"/>
        <v>10</v>
      </c>
      <c r="BF38">
        <f t="shared" si="13"/>
        <v>10</v>
      </c>
      <c r="BG38">
        <f t="shared" si="13"/>
        <v>15</v>
      </c>
      <c r="BH38">
        <f t="shared" si="13"/>
        <v>0</v>
      </c>
      <c r="BI38">
        <f t="shared" si="13"/>
        <v>0</v>
      </c>
      <c r="BJ38">
        <f t="shared" si="13"/>
        <v>0</v>
      </c>
      <c r="BK38">
        <f t="shared" si="13"/>
        <v>0</v>
      </c>
      <c r="BL38">
        <f t="shared" si="13"/>
        <v>5</v>
      </c>
    </row>
    <row r="40" spans="3:64">
      <c r="C40" s="46" t="s">
        <v>64</v>
      </c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</row>
    <row r="41" spans="3:64">
      <c r="E41">
        <f>COUNTIF(E34:E38,"&lt;&gt;0")</f>
        <v>0</v>
      </c>
      <c r="F41">
        <f t="shared" ref="F41:BL41" si="14">COUNTIF(F34:F38,"&lt;&gt;0")</f>
        <v>0</v>
      </c>
      <c r="G41">
        <f t="shared" si="14"/>
        <v>0</v>
      </c>
      <c r="H41">
        <f t="shared" si="14"/>
        <v>0</v>
      </c>
      <c r="I41">
        <f t="shared" si="14"/>
        <v>1</v>
      </c>
      <c r="J41">
        <f t="shared" si="14"/>
        <v>1</v>
      </c>
      <c r="K41">
        <f t="shared" si="14"/>
        <v>1</v>
      </c>
      <c r="L41">
        <f t="shared" si="14"/>
        <v>1</v>
      </c>
      <c r="M41">
        <f t="shared" si="14"/>
        <v>1</v>
      </c>
      <c r="N41">
        <f t="shared" si="14"/>
        <v>2</v>
      </c>
      <c r="O41">
        <f t="shared" si="14"/>
        <v>2</v>
      </c>
      <c r="P41">
        <f t="shared" si="14"/>
        <v>2</v>
      </c>
      <c r="Q41">
        <f t="shared" si="14"/>
        <v>2</v>
      </c>
      <c r="R41">
        <f t="shared" si="14"/>
        <v>2</v>
      </c>
      <c r="S41">
        <f t="shared" si="14"/>
        <v>3</v>
      </c>
      <c r="T41">
        <f t="shared" si="14"/>
        <v>0</v>
      </c>
      <c r="U41">
        <f t="shared" si="14"/>
        <v>0</v>
      </c>
      <c r="V41">
        <f t="shared" si="14"/>
        <v>0</v>
      </c>
      <c r="W41">
        <f t="shared" si="14"/>
        <v>0</v>
      </c>
      <c r="X41">
        <f t="shared" si="14"/>
        <v>0</v>
      </c>
      <c r="Y41">
        <f t="shared" si="14"/>
        <v>2</v>
      </c>
      <c r="Z41">
        <f t="shared" si="14"/>
        <v>2</v>
      </c>
      <c r="AA41">
        <f t="shared" si="14"/>
        <v>2</v>
      </c>
      <c r="AB41">
        <f t="shared" si="14"/>
        <v>2</v>
      </c>
      <c r="AC41">
        <f t="shared" si="14"/>
        <v>3</v>
      </c>
      <c r="AD41">
        <f t="shared" si="14"/>
        <v>0</v>
      </c>
      <c r="AE41">
        <f t="shared" si="14"/>
        <v>1</v>
      </c>
      <c r="AF41">
        <f t="shared" si="14"/>
        <v>1</v>
      </c>
      <c r="AG41">
        <f t="shared" si="14"/>
        <v>1</v>
      </c>
      <c r="AH41">
        <f t="shared" si="14"/>
        <v>1</v>
      </c>
      <c r="AI41">
        <f t="shared" si="14"/>
        <v>1</v>
      </c>
      <c r="AJ41">
        <f t="shared" si="14"/>
        <v>1</v>
      </c>
      <c r="AK41">
        <f t="shared" si="14"/>
        <v>1</v>
      </c>
      <c r="AL41">
        <f t="shared" si="14"/>
        <v>1</v>
      </c>
      <c r="AM41">
        <f t="shared" si="14"/>
        <v>1</v>
      </c>
      <c r="AN41">
        <f t="shared" si="14"/>
        <v>4</v>
      </c>
      <c r="AO41">
        <f t="shared" si="14"/>
        <v>0</v>
      </c>
      <c r="AP41">
        <f t="shared" si="14"/>
        <v>0</v>
      </c>
      <c r="AQ41">
        <f t="shared" si="14"/>
        <v>0</v>
      </c>
      <c r="AR41">
        <f t="shared" si="14"/>
        <v>1</v>
      </c>
      <c r="AS41">
        <f t="shared" si="14"/>
        <v>1</v>
      </c>
      <c r="AT41">
        <f t="shared" si="14"/>
        <v>1</v>
      </c>
      <c r="AU41">
        <f t="shared" si="14"/>
        <v>1</v>
      </c>
      <c r="AV41">
        <f t="shared" si="14"/>
        <v>1</v>
      </c>
      <c r="AW41">
        <f t="shared" si="14"/>
        <v>1</v>
      </c>
      <c r="AX41">
        <f t="shared" si="14"/>
        <v>1</v>
      </c>
      <c r="AY41">
        <f t="shared" si="14"/>
        <v>1</v>
      </c>
      <c r="AZ41">
        <f t="shared" si="14"/>
        <v>1</v>
      </c>
      <c r="BA41">
        <f t="shared" si="14"/>
        <v>1</v>
      </c>
      <c r="BB41">
        <f t="shared" si="14"/>
        <v>1</v>
      </c>
      <c r="BC41">
        <f t="shared" si="14"/>
        <v>1</v>
      </c>
      <c r="BD41">
        <f t="shared" si="14"/>
        <v>2</v>
      </c>
      <c r="BE41">
        <f t="shared" si="14"/>
        <v>2</v>
      </c>
      <c r="BF41">
        <f t="shared" si="14"/>
        <v>2</v>
      </c>
      <c r="BG41">
        <f t="shared" si="14"/>
        <v>3</v>
      </c>
      <c r="BH41">
        <f t="shared" si="14"/>
        <v>0</v>
      </c>
      <c r="BI41">
        <f t="shared" si="14"/>
        <v>0</v>
      </c>
      <c r="BJ41">
        <f t="shared" si="14"/>
        <v>0</v>
      </c>
      <c r="BK41">
        <f t="shared" si="14"/>
        <v>1</v>
      </c>
      <c r="BL41">
        <f t="shared" si="14"/>
        <v>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29C78-A903-4483-8647-DB4C6D32004E}">
  <sheetPr codeName="Feuil14">
    <tabColor theme="9"/>
  </sheetPr>
  <dimension ref="A1:BL27"/>
  <sheetViews>
    <sheetView workbookViewId="0">
      <selection activeCell="C2" sqref="C2:BL4"/>
    </sheetView>
  </sheetViews>
  <sheetFormatPr baseColWidth="10" defaultRowHeight="14.5"/>
  <cols>
    <col min="4" max="47" width="11.1796875" bestFit="1" customWidth="1"/>
    <col min="48" max="57" width="12.1796875" bestFit="1" customWidth="1"/>
    <col min="58" max="59" width="11.1796875" bestFit="1" customWidth="1"/>
    <col min="60" max="64" width="12.1796875" bestFit="1" customWidth="1"/>
  </cols>
  <sheetData>
    <row r="1" spans="1:64">
      <c r="A1" t="s">
        <v>61</v>
      </c>
      <c r="B1" t="s">
        <v>25</v>
      </c>
    </row>
    <row r="2" spans="1:64">
      <c r="C2" s="62" t="s">
        <v>45</v>
      </c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</row>
    <row r="3" spans="1:64">
      <c r="C3" s="62" t="s">
        <v>46</v>
      </c>
      <c r="D3" s="62">
        <v>2021</v>
      </c>
      <c r="E3" s="63">
        <v>2022</v>
      </c>
      <c r="F3" s="63">
        <v>2022</v>
      </c>
      <c r="G3" s="63">
        <v>2022</v>
      </c>
      <c r="H3" s="63">
        <v>2022</v>
      </c>
      <c r="I3" s="63">
        <v>2022</v>
      </c>
      <c r="J3" s="63">
        <v>2022</v>
      </c>
      <c r="K3" s="63">
        <v>2022</v>
      </c>
      <c r="L3" s="63">
        <v>2022</v>
      </c>
      <c r="M3" s="63">
        <v>2022</v>
      </c>
      <c r="N3" s="63">
        <v>2022</v>
      </c>
      <c r="O3" s="63">
        <v>2022</v>
      </c>
      <c r="P3" s="63">
        <v>2022</v>
      </c>
      <c r="Q3" s="63">
        <v>2023</v>
      </c>
      <c r="R3" s="63">
        <v>2023</v>
      </c>
      <c r="S3" s="63">
        <v>2023</v>
      </c>
      <c r="T3" s="63">
        <v>2023</v>
      </c>
      <c r="U3" s="63">
        <v>2023</v>
      </c>
      <c r="V3" s="63">
        <v>2023</v>
      </c>
      <c r="W3" s="63">
        <v>2023</v>
      </c>
      <c r="X3" s="63">
        <v>2023</v>
      </c>
      <c r="Y3" s="63">
        <v>2023</v>
      </c>
      <c r="Z3" s="63">
        <v>2023</v>
      </c>
      <c r="AA3" s="63">
        <v>2023</v>
      </c>
      <c r="AB3" s="63">
        <v>2023</v>
      </c>
      <c r="AC3" s="63">
        <v>2024</v>
      </c>
      <c r="AD3" s="63">
        <v>2024</v>
      </c>
      <c r="AE3" s="63">
        <v>2024</v>
      </c>
      <c r="AF3" s="63">
        <v>2024</v>
      </c>
      <c r="AG3" s="63">
        <v>2024</v>
      </c>
      <c r="AH3" s="63">
        <v>2024</v>
      </c>
      <c r="AI3" s="63">
        <v>2024</v>
      </c>
      <c r="AJ3" s="63">
        <v>2024</v>
      </c>
      <c r="AK3" s="63">
        <v>2024</v>
      </c>
      <c r="AL3" s="63">
        <v>2024</v>
      </c>
      <c r="AM3" s="63">
        <v>2024</v>
      </c>
      <c r="AN3" s="63">
        <v>2024</v>
      </c>
      <c r="AO3" s="63">
        <v>2025</v>
      </c>
      <c r="AP3" s="63">
        <v>2025</v>
      </c>
      <c r="AQ3" s="63">
        <v>2025</v>
      </c>
      <c r="AR3" s="63">
        <v>2025</v>
      </c>
      <c r="AS3" s="63">
        <v>2025</v>
      </c>
      <c r="AT3" s="63">
        <v>2025</v>
      </c>
      <c r="AU3" s="63">
        <v>2025</v>
      </c>
      <c r="AV3" s="63">
        <v>2025</v>
      </c>
      <c r="AW3" s="63">
        <v>2025</v>
      </c>
      <c r="AX3" s="63">
        <v>2025</v>
      </c>
      <c r="AY3" s="63">
        <v>2025</v>
      </c>
      <c r="AZ3" s="63">
        <v>2025</v>
      </c>
      <c r="BA3" s="63">
        <v>2026</v>
      </c>
      <c r="BB3" s="63">
        <v>2026</v>
      </c>
      <c r="BC3" s="63">
        <v>2026</v>
      </c>
      <c r="BD3" s="63">
        <v>2026</v>
      </c>
      <c r="BE3" s="63">
        <v>2026</v>
      </c>
      <c r="BF3" s="63">
        <v>2026</v>
      </c>
      <c r="BG3" s="63">
        <v>2026</v>
      </c>
      <c r="BH3" s="63">
        <v>2026</v>
      </c>
      <c r="BI3" s="63">
        <v>2026</v>
      </c>
      <c r="BJ3" s="63">
        <v>2026</v>
      </c>
      <c r="BK3" s="63">
        <v>2026</v>
      </c>
      <c r="BL3" s="63">
        <v>2026</v>
      </c>
    </row>
    <row r="4" spans="1:64">
      <c r="C4" s="62" t="s">
        <v>47</v>
      </c>
      <c r="D4" s="62" t="s">
        <v>53</v>
      </c>
      <c r="E4" s="62" t="s">
        <v>12</v>
      </c>
      <c r="F4" s="62" t="s">
        <v>13</v>
      </c>
      <c r="G4" s="62" t="s">
        <v>14</v>
      </c>
      <c r="H4" s="62" t="s">
        <v>15</v>
      </c>
      <c r="I4" s="62" t="s">
        <v>16</v>
      </c>
      <c r="J4" s="62" t="s">
        <v>17</v>
      </c>
      <c r="K4" s="62" t="s">
        <v>18</v>
      </c>
      <c r="L4" s="62" t="s">
        <v>19</v>
      </c>
      <c r="M4" s="62" t="s">
        <v>20</v>
      </c>
      <c r="N4" s="62" t="s">
        <v>21</v>
      </c>
      <c r="O4" s="62" t="s">
        <v>22</v>
      </c>
      <c r="P4" s="62" t="s">
        <v>23</v>
      </c>
      <c r="Q4" s="62" t="s">
        <v>12</v>
      </c>
      <c r="R4" s="62" t="s">
        <v>13</v>
      </c>
      <c r="S4" s="62" t="s">
        <v>14</v>
      </c>
      <c r="T4" s="62" t="s">
        <v>15</v>
      </c>
      <c r="U4" s="62" t="s">
        <v>16</v>
      </c>
      <c r="V4" s="62" t="s">
        <v>17</v>
      </c>
      <c r="W4" s="62" t="s">
        <v>18</v>
      </c>
      <c r="X4" s="62" t="s">
        <v>19</v>
      </c>
      <c r="Y4" s="62" t="s">
        <v>20</v>
      </c>
      <c r="Z4" s="62" t="s">
        <v>21</v>
      </c>
      <c r="AA4" s="62" t="s">
        <v>22</v>
      </c>
      <c r="AB4" s="62" t="s">
        <v>23</v>
      </c>
      <c r="AC4" s="62" t="s">
        <v>12</v>
      </c>
      <c r="AD4" s="62" t="s">
        <v>13</v>
      </c>
      <c r="AE4" s="62" t="s">
        <v>14</v>
      </c>
      <c r="AF4" s="62" t="s">
        <v>15</v>
      </c>
      <c r="AG4" s="62" t="s">
        <v>16</v>
      </c>
      <c r="AH4" s="62" t="s">
        <v>17</v>
      </c>
      <c r="AI4" s="62" t="s">
        <v>18</v>
      </c>
      <c r="AJ4" s="62" t="s">
        <v>19</v>
      </c>
      <c r="AK4" s="62" t="s">
        <v>20</v>
      </c>
      <c r="AL4" s="62" t="s">
        <v>21</v>
      </c>
      <c r="AM4" s="62" t="s">
        <v>22</v>
      </c>
      <c r="AN4" s="62" t="s">
        <v>23</v>
      </c>
      <c r="AO4" s="62" t="s">
        <v>12</v>
      </c>
      <c r="AP4" s="62" t="s">
        <v>13</v>
      </c>
      <c r="AQ4" s="62" t="s">
        <v>14</v>
      </c>
      <c r="AR4" s="62" t="s">
        <v>15</v>
      </c>
      <c r="AS4" s="62" t="s">
        <v>16</v>
      </c>
      <c r="AT4" s="62" t="s">
        <v>17</v>
      </c>
      <c r="AU4" s="62" t="s">
        <v>18</v>
      </c>
      <c r="AV4" s="62" t="s">
        <v>19</v>
      </c>
      <c r="AW4" s="62" t="s">
        <v>20</v>
      </c>
      <c r="AX4" s="62" t="s">
        <v>21</v>
      </c>
      <c r="AY4" s="62" t="s">
        <v>22</v>
      </c>
      <c r="AZ4" s="62" t="s">
        <v>23</v>
      </c>
      <c r="BA4" s="62" t="s">
        <v>12</v>
      </c>
      <c r="BB4" s="62" t="s">
        <v>13</v>
      </c>
      <c r="BC4" s="62" t="s">
        <v>14</v>
      </c>
      <c r="BD4" s="62" t="s">
        <v>15</v>
      </c>
      <c r="BE4" s="62" t="s">
        <v>16</v>
      </c>
      <c r="BF4" s="62" t="s">
        <v>17</v>
      </c>
      <c r="BG4" s="62" t="s">
        <v>18</v>
      </c>
      <c r="BH4" s="62" t="s">
        <v>19</v>
      </c>
      <c r="BI4" s="62" t="s">
        <v>20</v>
      </c>
      <c r="BJ4" s="62" t="s">
        <v>21</v>
      </c>
      <c r="BK4" s="62" t="s">
        <v>22</v>
      </c>
      <c r="BL4" s="62" t="s">
        <v>23</v>
      </c>
    </row>
    <row r="6" spans="1:64">
      <c r="C6" s="46" t="s">
        <v>54</v>
      </c>
      <c r="D6" s="51"/>
      <c r="E6" s="49">
        <f>INDEX(D_Assumptions!$J$14:$J$25,MATCH(E4,D_Assumptions!$H$14:$H$25,0))</f>
        <v>0.05</v>
      </c>
      <c r="F6" s="49">
        <f>INDEX(D_Assumptions!$J$14:$J$25,MATCH(F4,D_Assumptions!$H$14:$H$25,0))</f>
        <v>-0.03</v>
      </c>
      <c r="G6" s="49">
        <f>INDEX(D_Assumptions!$J$14:$J$25,MATCH(G4,D_Assumptions!$H$14:$H$25,0))</f>
        <v>-0.03</v>
      </c>
      <c r="H6" s="49">
        <f>INDEX(D_Assumptions!$J$14:$J$25,MATCH(H4,D_Assumptions!$H$14:$H$25,0))</f>
        <v>-0.03</v>
      </c>
      <c r="I6" s="49">
        <f>INDEX(D_Assumptions!$J$14:$J$25,MATCH(I4,D_Assumptions!$H$14:$H$25,0))</f>
        <v>-0.03</v>
      </c>
      <c r="J6" s="49">
        <f>INDEX(D_Assumptions!$J$14:$J$25,MATCH(J4,D_Assumptions!$H$14:$H$25,0))</f>
        <v>-0.2</v>
      </c>
      <c r="K6" s="49">
        <f>INDEX(D_Assumptions!$J$14:$J$25,MATCH(K4,D_Assumptions!$H$14:$H$25,0))</f>
        <v>0</v>
      </c>
      <c r="L6" s="49">
        <f>INDEX(D_Assumptions!$J$14:$J$25,MATCH(L4,D_Assumptions!$H$14:$H$25,0))</f>
        <v>1.5</v>
      </c>
      <c r="M6" s="49">
        <f>INDEX(D_Assumptions!$J$14:$J$25,MATCH(M4,D_Assumptions!$H$14:$H$25,0))</f>
        <v>-0.2</v>
      </c>
      <c r="N6" s="49">
        <f>INDEX(D_Assumptions!$J$14:$J$25,MATCH(N4,D_Assumptions!$H$14:$H$25,0))</f>
        <v>-0.03</v>
      </c>
      <c r="O6" s="49">
        <f>INDEX(D_Assumptions!$J$14:$J$25,MATCH(O4,D_Assumptions!$H$14:$H$25,0))</f>
        <v>-0.03</v>
      </c>
      <c r="P6" s="49">
        <f>INDEX(D_Assumptions!$J$14:$J$25,MATCH(P4,D_Assumptions!$H$14:$H$25,0))</f>
        <v>-0.03</v>
      </c>
      <c r="Q6" s="49">
        <f>INDEX(D_Assumptions!$J$14:$J$25,MATCH(Q4,D_Assumptions!$H$14:$H$25,0))</f>
        <v>0.05</v>
      </c>
      <c r="R6" s="49">
        <f>INDEX(D_Assumptions!$J$14:$J$25,MATCH(R4,D_Assumptions!$H$14:$H$25,0))</f>
        <v>-0.03</v>
      </c>
      <c r="S6" s="49">
        <f>INDEX(D_Assumptions!$J$14:$J$25,MATCH(S4,D_Assumptions!$H$14:$H$25,0))</f>
        <v>-0.03</v>
      </c>
      <c r="T6" s="49">
        <f>INDEX(D_Assumptions!$J$14:$J$25,MATCH(T4,D_Assumptions!$H$14:$H$25,0))</f>
        <v>-0.03</v>
      </c>
      <c r="U6" s="49">
        <f>INDEX(D_Assumptions!$J$14:$J$25,MATCH(U4,D_Assumptions!$H$14:$H$25,0))</f>
        <v>-0.03</v>
      </c>
      <c r="V6" s="49">
        <f>INDEX(D_Assumptions!$J$14:$J$25,MATCH(V4,D_Assumptions!$H$14:$H$25,0))</f>
        <v>-0.2</v>
      </c>
      <c r="W6" s="49">
        <f>INDEX(D_Assumptions!$J$14:$J$25,MATCH(W4,D_Assumptions!$H$14:$H$25,0))</f>
        <v>0</v>
      </c>
      <c r="X6" s="49">
        <f>INDEX(D_Assumptions!$J$14:$J$25,MATCH(X4,D_Assumptions!$H$14:$H$25,0))</f>
        <v>1.5</v>
      </c>
      <c r="Y6" s="49">
        <f>INDEX(D_Assumptions!$J$14:$J$25,MATCH(Y4,D_Assumptions!$H$14:$H$25,0))</f>
        <v>-0.2</v>
      </c>
      <c r="Z6" s="49">
        <f>INDEX(D_Assumptions!$J$14:$J$25,MATCH(Z4,D_Assumptions!$H$14:$H$25,0))</f>
        <v>-0.03</v>
      </c>
      <c r="AA6" s="49">
        <f>INDEX(D_Assumptions!$J$14:$J$25,MATCH(AA4,D_Assumptions!$H$14:$H$25,0))</f>
        <v>-0.03</v>
      </c>
      <c r="AB6" s="49">
        <f>INDEX(D_Assumptions!$J$14:$J$25,MATCH(AB4,D_Assumptions!$H$14:$H$25,0))</f>
        <v>-0.03</v>
      </c>
      <c r="AC6" s="49">
        <f>INDEX(D_Assumptions!$J$14:$J$25,MATCH(AC4,D_Assumptions!$H$14:$H$25,0))</f>
        <v>0.05</v>
      </c>
      <c r="AD6" s="49">
        <f>INDEX(D_Assumptions!$J$14:$J$25,MATCH(AD4,D_Assumptions!$H$14:$H$25,0))</f>
        <v>-0.03</v>
      </c>
      <c r="AE6" s="49">
        <f>INDEX(D_Assumptions!$J$14:$J$25,MATCH(AE4,D_Assumptions!$H$14:$H$25,0))</f>
        <v>-0.03</v>
      </c>
      <c r="AF6" s="49">
        <f>INDEX(D_Assumptions!$J$14:$J$25,MATCH(AF4,D_Assumptions!$H$14:$H$25,0))</f>
        <v>-0.03</v>
      </c>
      <c r="AG6" s="49">
        <f>INDEX(D_Assumptions!$J$14:$J$25,MATCH(AG4,D_Assumptions!$H$14:$H$25,0))</f>
        <v>-0.03</v>
      </c>
      <c r="AH6" s="49">
        <f>INDEX(D_Assumptions!$J$14:$J$25,MATCH(AH4,D_Assumptions!$H$14:$H$25,0))</f>
        <v>-0.2</v>
      </c>
      <c r="AI6" s="49">
        <f>INDEX(D_Assumptions!$J$14:$J$25,MATCH(AI4,D_Assumptions!$H$14:$H$25,0))</f>
        <v>0</v>
      </c>
      <c r="AJ6" s="49">
        <f>INDEX(D_Assumptions!$J$14:$J$25,MATCH(AJ4,D_Assumptions!$H$14:$H$25,0))</f>
        <v>1.5</v>
      </c>
      <c r="AK6" s="49">
        <f>INDEX(D_Assumptions!$J$14:$J$25,MATCH(AK4,D_Assumptions!$H$14:$H$25,0))</f>
        <v>-0.2</v>
      </c>
      <c r="AL6" s="49">
        <f>INDEX(D_Assumptions!$J$14:$J$25,MATCH(AL4,D_Assumptions!$H$14:$H$25,0))</f>
        <v>-0.03</v>
      </c>
      <c r="AM6" s="49">
        <f>INDEX(D_Assumptions!$J$14:$J$25,MATCH(AM4,D_Assumptions!$H$14:$H$25,0))</f>
        <v>-0.03</v>
      </c>
      <c r="AN6" s="49">
        <f>INDEX(D_Assumptions!$J$14:$J$25,MATCH(AN4,D_Assumptions!$H$14:$H$25,0))</f>
        <v>-0.03</v>
      </c>
      <c r="AO6" s="49">
        <f>INDEX(D_Assumptions!$J$14:$J$25,MATCH(AO4,D_Assumptions!$H$14:$H$25,0))</f>
        <v>0.05</v>
      </c>
      <c r="AP6" s="49">
        <f>INDEX(D_Assumptions!$J$14:$J$25,MATCH(AP4,D_Assumptions!$H$14:$H$25,0))</f>
        <v>-0.03</v>
      </c>
      <c r="AQ6" s="49">
        <f>INDEX(D_Assumptions!$J$14:$J$25,MATCH(AQ4,D_Assumptions!$H$14:$H$25,0))</f>
        <v>-0.03</v>
      </c>
      <c r="AR6" s="49">
        <f>INDEX(D_Assumptions!$J$14:$J$25,MATCH(AR4,D_Assumptions!$H$14:$H$25,0))</f>
        <v>-0.03</v>
      </c>
      <c r="AS6" s="49">
        <f>INDEX(D_Assumptions!$J$14:$J$25,MATCH(AS4,D_Assumptions!$H$14:$H$25,0))</f>
        <v>-0.03</v>
      </c>
      <c r="AT6" s="49">
        <f>INDEX(D_Assumptions!$J$14:$J$25,MATCH(AT4,D_Assumptions!$H$14:$H$25,0))</f>
        <v>-0.2</v>
      </c>
      <c r="AU6" s="49">
        <f>INDEX(D_Assumptions!$J$14:$J$25,MATCH(AU4,D_Assumptions!$H$14:$H$25,0))</f>
        <v>0</v>
      </c>
      <c r="AV6" s="49">
        <f>INDEX(D_Assumptions!$J$14:$J$25,MATCH(AV4,D_Assumptions!$H$14:$H$25,0))</f>
        <v>1.5</v>
      </c>
      <c r="AW6" s="49">
        <f>INDEX(D_Assumptions!$J$14:$J$25,MATCH(AW4,D_Assumptions!$H$14:$H$25,0))</f>
        <v>-0.2</v>
      </c>
      <c r="AX6" s="49">
        <f>INDEX(D_Assumptions!$J$14:$J$25,MATCH(AX4,D_Assumptions!$H$14:$H$25,0))</f>
        <v>-0.03</v>
      </c>
      <c r="AY6" s="49">
        <f>INDEX(D_Assumptions!$J$14:$J$25,MATCH(AY4,D_Assumptions!$H$14:$H$25,0))</f>
        <v>-0.03</v>
      </c>
      <c r="AZ6" s="49">
        <f>INDEX(D_Assumptions!$J$14:$J$25,MATCH(AZ4,D_Assumptions!$H$14:$H$25,0))</f>
        <v>-0.03</v>
      </c>
      <c r="BA6" s="49">
        <f>INDEX(D_Assumptions!$J$14:$J$25,MATCH(BA4,D_Assumptions!$H$14:$H$25,0))</f>
        <v>0.05</v>
      </c>
      <c r="BB6" s="49">
        <f>INDEX(D_Assumptions!$J$14:$J$25,MATCH(BB4,D_Assumptions!$H$14:$H$25,0))</f>
        <v>-0.03</v>
      </c>
      <c r="BC6" s="49">
        <f>INDEX(D_Assumptions!$J$14:$J$25,MATCH(BC4,D_Assumptions!$H$14:$H$25,0))</f>
        <v>-0.03</v>
      </c>
      <c r="BD6" s="49">
        <f>INDEX(D_Assumptions!$J$14:$J$25,MATCH(BD4,D_Assumptions!$H$14:$H$25,0))</f>
        <v>-0.03</v>
      </c>
      <c r="BE6" s="49">
        <f>INDEX(D_Assumptions!$J$14:$J$25,MATCH(BE4,D_Assumptions!$H$14:$H$25,0))</f>
        <v>-0.03</v>
      </c>
      <c r="BF6" s="49">
        <f>INDEX(D_Assumptions!$J$14:$J$25,MATCH(BF4,D_Assumptions!$H$14:$H$25,0))</f>
        <v>-0.2</v>
      </c>
      <c r="BG6" s="49">
        <f>INDEX(D_Assumptions!$J$14:$J$25,MATCH(BG4,D_Assumptions!$H$14:$H$25,0))</f>
        <v>0</v>
      </c>
      <c r="BH6" s="49">
        <f>INDEX(D_Assumptions!$J$14:$J$25,MATCH(BH4,D_Assumptions!$H$14:$H$25,0))</f>
        <v>1.5</v>
      </c>
      <c r="BI6" s="49">
        <f>INDEX(D_Assumptions!$J$14:$J$25,MATCH(BI4,D_Assumptions!$H$14:$H$25,0))</f>
        <v>-0.2</v>
      </c>
      <c r="BJ6" s="49">
        <f>INDEX(D_Assumptions!$J$14:$J$25,MATCH(BJ4,D_Assumptions!$H$14:$H$25,0))</f>
        <v>-0.03</v>
      </c>
      <c r="BK6" s="49">
        <f>INDEX(D_Assumptions!$J$14:$J$25,MATCH(BK4,D_Assumptions!$H$14:$H$25,0))</f>
        <v>-0.03</v>
      </c>
      <c r="BL6" s="49">
        <f>INDEX(D_Assumptions!$J$14:$J$25,MATCH(BL4,D_Assumptions!$H$14:$H$25,0))</f>
        <v>-0.03</v>
      </c>
    </row>
    <row r="8" spans="1:64">
      <c r="C8" s="46" t="s">
        <v>50</v>
      </c>
      <c r="D8" s="46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  <c r="BF8" s="47"/>
      <c r="BG8" s="47"/>
      <c r="BH8" s="47"/>
      <c r="BI8" s="47"/>
      <c r="BJ8" s="47"/>
      <c r="BK8" s="47"/>
      <c r="BL8" s="47"/>
    </row>
    <row r="9" spans="1:64">
      <c r="C9" t="s">
        <v>30</v>
      </c>
      <c r="D9" s="58">
        <f>INDEX(D_Assumptions!$E$16:$F$20,MATCH($C9,D_Assumptions!$C$16:$C$20,0),MATCH($B$1,D_Assumptions!$E$15:$F$15,0))</f>
        <v>96430</v>
      </c>
      <c r="E9" s="45">
        <f>D9*(1+E$6)</f>
        <v>101251.5</v>
      </c>
      <c r="F9" s="45">
        <f t="shared" ref="F9:BL9" si="0">E9*(1+F$6)</f>
        <v>98213.955000000002</v>
      </c>
      <c r="G9" s="45">
        <f t="shared" si="0"/>
        <v>95267.536349999995</v>
      </c>
      <c r="H9" s="45">
        <f t="shared" si="0"/>
        <v>92409.510259499992</v>
      </c>
      <c r="I9" s="45">
        <f t="shared" si="0"/>
        <v>89637.22495171499</v>
      </c>
      <c r="J9" s="45">
        <f t="shared" si="0"/>
        <v>71709.779961371998</v>
      </c>
      <c r="K9" s="45">
        <f t="shared" si="0"/>
        <v>71709.779961371998</v>
      </c>
      <c r="L9" s="45">
        <f t="shared" si="0"/>
        <v>179274.44990343001</v>
      </c>
      <c r="M9" s="45">
        <f t="shared" si="0"/>
        <v>143419.55992274403</v>
      </c>
      <c r="N9" s="45">
        <f t="shared" si="0"/>
        <v>139116.97312506169</v>
      </c>
      <c r="O9" s="45">
        <f t="shared" si="0"/>
        <v>134943.46393130985</v>
      </c>
      <c r="P9" s="45">
        <f t="shared" si="0"/>
        <v>130895.16001337055</v>
      </c>
      <c r="Q9" s="45">
        <f t="shared" si="0"/>
        <v>137439.91801403908</v>
      </c>
      <c r="R9" s="45">
        <f t="shared" si="0"/>
        <v>133316.7204736179</v>
      </c>
      <c r="S9" s="45">
        <f t="shared" si="0"/>
        <v>129317.21885940936</v>
      </c>
      <c r="T9" s="45">
        <f t="shared" si="0"/>
        <v>125437.70229362708</v>
      </c>
      <c r="U9" s="45">
        <f t="shared" si="0"/>
        <v>121674.57122481827</v>
      </c>
      <c r="V9" s="45">
        <f t="shared" si="0"/>
        <v>97339.656979854626</v>
      </c>
      <c r="W9" s="45">
        <f t="shared" si="0"/>
        <v>97339.656979854626</v>
      </c>
      <c r="X9" s="45">
        <f t="shared" si="0"/>
        <v>243349.14244963657</v>
      </c>
      <c r="Y9" s="45">
        <f t="shared" si="0"/>
        <v>194679.31395970925</v>
      </c>
      <c r="Z9" s="45">
        <f t="shared" si="0"/>
        <v>188838.93454091798</v>
      </c>
      <c r="AA9" s="45">
        <f t="shared" si="0"/>
        <v>183173.76650469043</v>
      </c>
      <c r="AB9" s="45">
        <f t="shared" si="0"/>
        <v>177678.5535095497</v>
      </c>
      <c r="AC9" s="45">
        <f t="shared" si="0"/>
        <v>186562.48118502719</v>
      </c>
      <c r="AD9" s="45">
        <f t="shared" si="0"/>
        <v>180965.60674947637</v>
      </c>
      <c r="AE9" s="45">
        <f t="shared" si="0"/>
        <v>175536.63854699206</v>
      </c>
      <c r="AF9" s="45">
        <f t="shared" si="0"/>
        <v>170270.5393905823</v>
      </c>
      <c r="AG9" s="45">
        <f t="shared" si="0"/>
        <v>165162.42320886481</v>
      </c>
      <c r="AH9" s="45">
        <f t="shared" si="0"/>
        <v>132129.93856709186</v>
      </c>
      <c r="AI9" s="45">
        <f t="shared" si="0"/>
        <v>132129.93856709186</v>
      </c>
      <c r="AJ9" s="45">
        <f t="shared" si="0"/>
        <v>330324.84641772963</v>
      </c>
      <c r="AK9" s="45">
        <f t="shared" si="0"/>
        <v>264259.87713418371</v>
      </c>
      <c r="AL9" s="45">
        <f t="shared" si="0"/>
        <v>256332.08082015818</v>
      </c>
      <c r="AM9" s="45">
        <f t="shared" si="0"/>
        <v>248642.11839555344</v>
      </c>
      <c r="AN9" s="45">
        <f t="shared" si="0"/>
        <v>241182.85484368683</v>
      </c>
      <c r="AO9" s="45">
        <f t="shared" si="0"/>
        <v>253241.99758587117</v>
      </c>
      <c r="AP9" s="45">
        <f t="shared" si="0"/>
        <v>245644.73765829502</v>
      </c>
      <c r="AQ9" s="45">
        <f t="shared" si="0"/>
        <v>238275.39552854616</v>
      </c>
      <c r="AR9" s="45">
        <f t="shared" si="0"/>
        <v>231127.13366268977</v>
      </c>
      <c r="AS9" s="45">
        <f t="shared" si="0"/>
        <v>224193.31965280906</v>
      </c>
      <c r="AT9" s="45">
        <f t="shared" si="0"/>
        <v>179354.65572224726</v>
      </c>
      <c r="AU9" s="45">
        <f t="shared" si="0"/>
        <v>179354.65572224726</v>
      </c>
      <c r="AV9" s="45">
        <f t="shared" si="0"/>
        <v>448386.63930561813</v>
      </c>
      <c r="AW9" s="45">
        <f t="shared" si="0"/>
        <v>358709.31144449452</v>
      </c>
      <c r="AX9" s="45">
        <f t="shared" si="0"/>
        <v>347948.03210115968</v>
      </c>
      <c r="AY9" s="45">
        <f t="shared" si="0"/>
        <v>337509.59113812487</v>
      </c>
      <c r="AZ9" s="45">
        <f t="shared" si="0"/>
        <v>327384.30340398115</v>
      </c>
      <c r="BA9" s="45">
        <f t="shared" si="0"/>
        <v>343753.5185741802</v>
      </c>
      <c r="BB9" s="45">
        <f t="shared" si="0"/>
        <v>333440.91301695479</v>
      </c>
      <c r="BC9" s="45">
        <f t="shared" si="0"/>
        <v>323437.68562644615</v>
      </c>
      <c r="BD9" s="45">
        <f t="shared" si="0"/>
        <v>313734.55505765276</v>
      </c>
      <c r="BE9" s="45">
        <f t="shared" si="0"/>
        <v>304322.51840592315</v>
      </c>
      <c r="BF9" s="45">
        <f t="shared" si="0"/>
        <v>243458.01472473855</v>
      </c>
      <c r="BG9" s="45">
        <f t="shared" si="0"/>
        <v>243458.01472473855</v>
      </c>
      <c r="BH9" s="45">
        <f t="shared" si="0"/>
        <v>608645.03681184631</v>
      </c>
      <c r="BI9" s="45">
        <f t="shared" si="0"/>
        <v>486916.02944947709</v>
      </c>
      <c r="BJ9" s="45">
        <f t="shared" si="0"/>
        <v>472308.54856599279</v>
      </c>
      <c r="BK9" s="45">
        <f t="shared" si="0"/>
        <v>458139.29210901301</v>
      </c>
      <c r="BL9" s="45">
        <f t="shared" si="0"/>
        <v>444395.11334574263</v>
      </c>
    </row>
    <row r="10" spans="1:64">
      <c r="C10" t="s">
        <v>29</v>
      </c>
      <c r="D10" s="58">
        <f>INDEX(D_Assumptions!$E$16:$F$20,MATCH($C10,D_Assumptions!$C$16:$C$20,0),MATCH($B$1,D_Assumptions!$E$15:$F$15,0))</f>
        <v>137435</v>
      </c>
      <c r="E10" s="45">
        <f t="shared" ref="E10:BL10" si="1">D10*(1+E$6)</f>
        <v>144306.75</v>
      </c>
      <c r="F10" s="45">
        <f t="shared" si="1"/>
        <v>139977.54749999999</v>
      </c>
      <c r="G10" s="45">
        <f t="shared" si="1"/>
        <v>135778.22107499998</v>
      </c>
      <c r="H10" s="45">
        <f t="shared" si="1"/>
        <v>131704.87444274998</v>
      </c>
      <c r="I10" s="45">
        <f t="shared" si="1"/>
        <v>127753.72820946747</v>
      </c>
      <c r="J10" s="45">
        <f t="shared" si="1"/>
        <v>102202.98256757398</v>
      </c>
      <c r="K10" s="45">
        <f t="shared" si="1"/>
        <v>102202.98256757398</v>
      </c>
      <c r="L10" s="45">
        <f t="shared" si="1"/>
        <v>255507.45641893498</v>
      </c>
      <c r="M10" s="45">
        <f t="shared" si="1"/>
        <v>204405.965135148</v>
      </c>
      <c r="N10" s="45">
        <f t="shared" si="1"/>
        <v>198273.78618109354</v>
      </c>
      <c r="O10" s="45">
        <f t="shared" si="1"/>
        <v>192325.57259566072</v>
      </c>
      <c r="P10" s="45">
        <f t="shared" si="1"/>
        <v>186555.80541779089</v>
      </c>
      <c r="Q10" s="45">
        <f t="shared" si="1"/>
        <v>195883.59568868045</v>
      </c>
      <c r="R10" s="45">
        <f t="shared" si="1"/>
        <v>190007.08781802002</v>
      </c>
      <c r="S10" s="45">
        <f t="shared" si="1"/>
        <v>184306.87518347942</v>
      </c>
      <c r="T10" s="45">
        <f t="shared" si="1"/>
        <v>178777.66892797503</v>
      </c>
      <c r="U10" s="45">
        <f t="shared" si="1"/>
        <v>173414.33886013576</v>
      </c>
      <c r="V10" s="45">
        <f t="shared" si="1"/>
        <v>138731.47108810861</v>
      </c>
      <c r="W10" s="45">
        <f t="shared" si="1"/>
        <v>138731.47108810861</v>
      </c>
      <c r="X10" s="45">
        <f t="shared" si="1"/>
        <v>346828.67772027152</v>
      </c>
      <c r="Y10" s="45">
        <f t="shared" si="1"/>
        <v>277462.94217621721</v>
      </c>
      <c r="Z10" s="45">
        <f t="shared" si="1"/>
        <v>269139.0539109307</v>
      </c>
      <c r="AA10" s="45">
        <f t="shared" si="1"/>
        <v>261064.88229360277</v>
      </c>
      <c r="AB10" s="45">
        <f t="shared" si="1"/>
        <v>253232.93582479469</v>
      </c>
      <c r="AC10" s="45">
        <f t="shared" si="1"/>
        <v>265894.58261603443</v>
      </c>
      <c r="AD10" s="45">
        <f t="shared" si="1"/>
        <v>257917.7451375534</v>
      </c>
      <c r="AE10" s="45">
        <f t="shared" si="1"/>
        <v>250180.2127834268</v>
      </c>
      <c r="AF10" s="45">
        <f t="shared" si="1"/>
        <v>242674.80639992398</v>
      </c>
      <c r="AG10" s="45">
        <f t="shared" si="1"/>
        <v>235394.56220792627</v>
      </c>
      <c r="AH10" s="45">
        <f t="shared" si="1"/>
        <v>188315.64976634103</v>
      </c>
      <c r="AI10" s="45">
        <f t="shared" si="1"/>
        <v>188315.64976634103</v>
      </c>
      <c r="AJ10" s="45">
        <f t="shared" si="1"/>
        <v>470789.1244158526</v>
      </c>
      <c r="AK10" s="45">
        <f t="shared" si="1"/>
        <v>376631.29953268211</v>
      </c>
      <c r="AL10" s="45">
        <f t="shared" si="1"/>
        <v>365332.36054670165</v>
      </c>
      <c r="AM10" s="45">
        <f t="shared" si="1"/>
        <v>354372.38973030058</v>
      </c>
      <c r="AN10" s="45">
        <f t="shared" si="1"/>
        <v>343741.21803839155</v>
      </c>
      <c r="AO10" s="45">
        <f t="shared" si="1"/>
        <v>360928.27894031117</v>
      </c>
      <c r="AP10" s="45">
        <f t="shared" si="1"/>
        <v>350100.43057210185</v>
      </c>
      <c r="AQ10" s="45">
        <f t="shared" si="1"/>
        <v>339597.41765493876</v>
      </c>
      <c r="AR10" s="45">
        <f t="shared" si="1"/>
        <v>329409.49512529059</v>
      </c>
      <c r="AS10" s="45">
        <f t="shared" si="1"/>
        <v>319527.21027153189</v>
      </c>
      <c r="AT10" s="45">
        <f t="shared" si="1"/>
        <v>255621.76821722553</v>
      </c>
      <c r="AU10" s="45">
        <f t="shared" si="1"/>
        <v>255621.76821722553</v>
      </c>
      <c r="AV10" s="45">
        <f t="shared" si="1"/>
        <v>639054.42054306378</v>
      </c>
      <c r="AW10" s="45">
        <f t="shared" si="1"/>
        <v>511243.53643445106</v>
      </c>
      <c r="AX10" s="45">
        <f t="shared" si="1"/>
        <v>495906.23034141754</v>
      </c>
      <c r="AY10" s="45">
        <f t="shared" si="1"/>
        <v>481029.043431175</v>
      </c>
      <c r="AZ10" s="45">
        <f t="shared" si="1"/>
        <v>466598.17212823976</v>
      </c>
      <c r="BA10" s="45">
        <f t="shared" si="1"/>
        <v>489928.08073465177</v>
      </c>
      <c r="BB10" s="45">
        <f t="shared" si="1"/>
        <v>475230.23831261223</v>
      </c>
      <c r="BC10" s="45">
        <f t="shared" si="1"/>
        <v>460973.33116323384</v>
      </c>
      <c r="BD10" s="45">
        <f t="shared" si="1"/>
        <v>447144.13122833683</v>
      </c>
      <c r="BE10" s="45">
        <f t="shared" si="1"/>
        <v>433729.80729148671</v>
      </c>
      <c r="BF10" s="45">
        <f t="shared" si="1"/>
        <v>346983.84583318938</v>
      </c>
      <c r="BG10" s="45">
        <f t="shared" si="1"/>
        <v>346983.84583318938</v>
      </c>
      <c r="BH10" s="45">
        <f t="shared" si="1"/>
        <v>867459.61458297342</v>
      </c>
      <c r="BI10" s="45">
        <f t="shared" si="1"/>
        <v>693967.69166637876</v>
      </c>
      <c r="BJ10" s="45">
        <f t="shared" si="1"/>
        <v>673148.66091638734</v>
      </c>
      <c r="BK10" s="45">
        <f t="shared" si="1"/>
        <v>652954.20108889567</v>
      </c>
      <c r="BL10" s="45">
        <f t="shared" si="1"/>
        <v>633365.57505622879</v>
      </c>
    </row>
    <row r="11" spans="1:64">
      <c r="C11" t="s">
        <v>28</v>
      </c>
      <c r="D11" s="58">
        <f>INDEX(D_Assumptions!$E$16:$F$20,MATCH($C11,D_Assumptions!$C$16:$C$20,0),MATCH($B$1,D_Assumptions!$E$15:$F$15,0))</f>
        <v>63735</v>
      </c>
      <c r="E11" s="45">
        <f t="shared" ref="E11:BL11" si="2">D11*(1+E$6)</f>
        <v>66921.75</v>
      </c>
      <c r="F11" s="45">
        <f t="shared" si="2"/>
        <v>64914.097499999996</v>
      </c>
      <c r="G11" s="45">
        <f t="shared" si="2"/>
        <v>62966.674574999997</v>
      </c>
      <c r="H11" s="45">
        <f t="shared" si="2"/>
        <v>61077.674337749995</v>
      </c>
      <c r="I11" s="45">
        <f t="shared" si="2"/>
        <v>59245.344107617493</v>
      </c>
      <c r="J11" s="45">
        <f t="shared" si="2"/>
        <v>47396.275286093995</v>
      </c>
      <c r="K11" s="45">
        <f t="shared" si="2"/>
        <v>47396.275286093995</v>
      </c>
      <c r="L11" s="45">
        <f t="shared" si="2"/>
        <v>118490.68821523499</v>
      </c>
      <c r="M11" s="45">
        <f t="shared" si="2"/>
        <v>94792.550572187989</v>
      </c>
      <c r="N11" s="45">
        <f t="shared" si="2"/>
        <v>91948.774055022353</v>
      </c>
      <c r="O11" s="45">
        <f t="shared" si="2"/>
        <v>89190.310833371681</v>
      </c>
      <c r="P11" s="45">
        <f t="shared" si="2"/>
        <v>86514.601508370528</v>
      </c>
      <c r="Q11" s="45">
        <f t="shared" si="2"/>
        <v>90840.331583789055</v>
      </c>
      <c r="R11" s="45">
        <f t="shared" si="2"/>
        <v>88115.121636275377</v>
      </c>
      <c r="S11" s="45">
        <f t="shared" si="2"/>
        <v>85471.667987187117</v>
      </c>
      <c r="T11" s="45">
        <f t="shared" si="2"/>
        <v>82907.517947571498</v>
      </c>
      <c r="U11" s="45">
        <f t="shared" si="2"/>
        <v>80420.292409144356</v>
      </c>
      <c r="V11" s="45">
        <f t="shared" si="2"/>
        <v>64336.233927315487</v>
      </c>
      <c r="W11" s="45">
        <f t="shared" si="2"/>
        <v>64336.233927315487</v>
      </c>
      <c r="X11" s="45">
        <f t="shared" si="2"/>
        <v>160840.58481828871</v>
      </c>
      <c r="Y11" s="45">
        <f t="shared" si="2"/>
        <v>128672.46785463097</v>
      </c>
      <c r="Z11" s="45">
        <f t="shared" si="2"/>
        <v>124812.29381899204</v>
      </c>
      <c r="AA11" s="45">
        <f t="shared" si="2"/>
        <v>121067.92500442227</v>
      </c>
      <c r="AB11" s="45">
        <f t="shared" si="2"/>
        <v>117435.8872542896</v>
      </c>
      <c r="AC11" s="45">
        <f t="shared" si="2"/>
        <v>123307.68161700408</v>
      </c>
      <c r="AD11" s="45">
        <f t="shared" si="2"/>
        <v>119608.45116849396</v>
      </c>
      <c r="AE11" s="45">
        <f t="shared" si="2"/>
        <v>116020.19763343914</v>
      </c>
      <c r="AF11" s="45">
        <f t="shared" si="2"/>
        <v>112539.59170443595</v>
      </c>
      <c r="AG11" s="45">
        <f t="shared" si="2"/>
        <v>109163.40395330287</v>
      </c>
      <c r="AH11" s="45">
        <f t="shared" si="2"/>
        <v>87330.723162642302</v>
      </c>
      <c r="AI11" s="45">
        <f t="shared" si="2"/>
        <v>87330.723162642302</v>
      </c>
      <c r="AJ11" s="45">
        <f t="shared" si="2"/>
        <v>218326.80790660577</v>
      </c>
      <c r="AK11" s="45">
        <f t="shared" si="2"/>
        <v>174661.44632528463</v>
      </c>
      <c r="AL11" s="45">
        <f t="shared" si="2"/>
        <v>169421.60293552608</v>
      </c>
      <c r="AM11" s="45">
        <f t="shared" si="2"/>
        <v>164338.95484746029</v>
      </c>
      <c r="AN11" s="45">
        <f t="shared" si="2"/>
        <v>159408.78620203648</v>
      </c>
      <c r="AO11" s="45">
        <f t="shared" si="2"/>
        <v>167379.22551213831</v>
      </c>
      <c r="AP11" s="45">
        <f t="shared" si="2"/>
        <v>162357.84874677417</v>
      </c>
      <c r="AQ11" s="45">
        <f t="shared" si="2"/>
        <v>157487.11328437095</v>
      </c>
      <c r="AR11" s="45">
        <f t="shared" si="2"/>
        <v>152762.49988583982</v>
      </c>
      <c r="AS11" s="45">
        <f t="shared" si="2"/>
        <v>148179.62488926461</v>
      </c>
      <c r="AT11" s="45">
        <f t="shared" si="2"/>
        <v>118543.69991141169</v>
      </c>
      <c r="AU11" s="45">
        <f t="shared" si="2"/>
        <v>118543.69991141169</v>
      </c>
      <c r="AV11" s="45">
        <f t="shared" si="2"/>
        <v>296359.24977852922</v>
      </c>
      <c r="AW11" s="45">
        <f t="shared" si="2"/>
        <v>237087.39982282338</v>
      </c>
      <c r="AX11" s="45">
        <f t="shared" si="2"/>
        <v>229974.77782813867</v>
      </c>
      <c r="AY11" s="45">
        <f t="shared" si="2"/>
        <v>223075.53449329452</v>
      </c>
      <c r="AZ11" s="45">
        <f t="shared" si="2"/>
        <v>216383.26845849567</v>
      </c>
      <c r="BA11" s="45">
        <f t="shared" si="2"/>
        <v>227202.43188142046</v>
      </c>
      <c r="BB11" s="45">
        <f t="shared" si="2"/>
        <v>220386.35892497783</v>
      </c>
      <c r="BC11" s="45">
        <f t="shared" si="2"/>
        <v>213774.76815722848</v>
      </c>
      <c r="BD11" s="45">
        <f t="shared" si="2"/>
        <v>207361.52511251162</v>
      </c>
      <c r="BE11" s="45">
        <f t="shared" si="2"/>
        <v>201140.67935913627</v>
      </c>
      <c r="BF11" s="45">
        <f t="shared" si="2"/>
        <v>160912.54348730901</v>
      </c>
      <c r="BG11" s="45">
        <f t="shared" si="2"/>
        <v>160912.54348730901</v>
      </c>
      <c r="BH11" s="45">
        <f t="shared" si="2"/>
        <v>402281.35871827253</v>
      </c>
      <c r="BI11" s="45">
        <f t="shared" si="2"/>
        <v>321825.08697461803</v>
      </c>
      <c r="BJ11" s="45">
        <f t="shared" si="2"/>
        <v>312170.33436537947</v>
      </c>
      <c r="BK11" s="45">
        <f t="shared" si="2"/>
        <v>302805.22433441808</v>
      </c>
      <c r="BL11" s="45">
        <f t="shared" si="2"/>
        <v>293721.06760438555</v>
      </c>
    </row>
    <row r="12" spans="1:64">
      <c r="C12" t="s">
        <v>42</v>
      </c>
      <c r="D12" s="58">
        <f>INDEX(D_Assumptions!$E$16:$F$20,MATCH($C12,D_Assumptions!$C$16:$C$20,0),MATCH($B$1,D_Assumptions!$E$15:$F$15,0))</f>
        <v>35340</v>
      </c>
      <c r="E12" s="45">
        <f t="shared" ref="E12:BL12" si="3">D12*(1+E$6)</f>
        <v>37107</v>
      </c>
      <c r="F12" s="45">
        <f t="shared" si="3"/>
        <v>35993.79</v>
      </c>
      <c r="G12" s="45">
        <f t="shared" si="3"/>
        <v>34913.976300000002</v>
      </c>
      <c r="H12" s="45">
        <f t="shared" si="3"/>
        <v>33866.557011000004</v>
      </c>
      <c r="I12" s="45">
        <f t="shared" si="3"/>
        <v>32850.560300670004</v>
      </c>
      <c r="J12" s="45">
        <f t="shared" si="3"/>
        <v>26280.448240536003</v>
      </c>
      <c r="K12" s="45">
        <f t="shared" si="3"/>
        <v>26280.448240536003</v>
      </c>
      <c r="L12" s="45">
        <f t="shared" si="3"/>
        <v>65701.120601340008</v>
      </c>
      <c r="M12" s="45">
        <f t="shared" si="3"/>
        <v>52560.896481072006</v>
      </c>
      <c r="N12" s="45">
        <f t="shared" si="3"/>
        <v>50984.069586639846</v>
      </c>
      <c r="O12" s="45">
        <f t="shared" si="3"/>
        <v>49454.547499040651</v>
      </c>
      <c r="P12" s="45">
        <f t="shared" si="3"/>
        <v>47970.91107406943</v>
      </c>
      <c r="Q12" s="45">
        <f t="shared" si="3"/>
        <v>50369.456627772903</v>
      </c>
      <c r="R12" s="45">
        <f t="shared" si="3"/>
        <v>48858.372928939716</v>
      </c>
      <c r="S12" s="45">
        <f t="shared" si="3"/>
        <v>47392.621741071525</v>
      </c>
      <c r="T12" s="45">
        <f t="shared" si="3"/>
        <v>45970.843088839378</v>
      </c>
      <c r="U12" s="45">
        <f t="shared" si="3"/>
        <v>44591.717796174198</v>
      </c>
      <c r="V12" s="45">
        <f t="shared" si="3"/>
        <v>35673.374236939359</v>
      </c>
      <c r="W12" s="45">
        <f t="shared" si="3"/>
        <v>35673.374236939359</v>
      </c>
      <c r="X12" s="45">
        <f t="shared" si="3"/>
        <v>89183.435592348396</v>
      </c>
      <c r="Y12" s="45">
        <f t="shared" si="3"/>
        <v>71346.748473878717</v>
      </c>
      <c r="Z12" s="45">
        <f t="shared" si="3"/>
        <v>69206.346019662349</v>
      </c>
      <c r="AA12" s="45">
        <f t="shared" si="3"/>
        <v>67130.155639072473</v>
      </c>
      <c r="AB12" s="45">
        <f t="shared" si="3"/>
        <v>65116.250969900299</v>
      </c>
      <c r="AC12" s="45">
        <f t="shared" si="3"/>
        <v>68372.063518395313</v>
      </c>
      <c r="AD12" s="45">
        <f t="shared" si="3"/>
        <v>66320.901612843445</v>
      </c>
      <c r="AE12" s="45">
        <f t="shared" si="3"/>
        <v>64331.274564458137</v>
      </c>
      <c r="AF12" s="45">
        <f t="shared" si="3"/>
        <v>62401.33632752439</v>
      </c>
      <c r="AG12" s="45">
        <f t="shared" si="3"/>
        <v>60529.296237698654</v>
      </c>
      <c r="AH12" s="45">
        <f t="shared" si="3"/>
        <v>48423.436990158923</v>
      </c>
      <c r="AI12" s="45">
        <f t="shared" si="3"/>
        <v>48423.436990158923</v>
      </c>
      <c r="AJ12" s="45">
        <f t="shared" si="3"/>
        <v>121058.59247539731</v>
      </c>
      <c r="AK12" s="45">
        <f t="shared" si="3"/>
        <v>96846.873980317847</v>
      </c>
      <c r="AL12" s="45">
        <f t="shared" si="3"/>
        <v>93941.467760908316</v>
      </c>
      <c r="AM12" s="45">
        <f t="shared" si="3"/>
        <v>91123.223728081066</v>
      </c>
      <c r="AN12" s="45">
        <f t="shared" si="3"/>
        <v>88389.52701623863</v>
      </c>
      <c r="AO12" s="45">
        <f t="shared" si="3"/>
        <v>92809.003367050565</v>
      </c>
      <c r="AP12" s="45">
        <f t="shared" si="3"/>
        <v>90024.733266039053</v>
      </c>
      <c r="AQ12" s="45">
        <f t="shared" si="3"/>
        <v>87323.991268057885</v>
      </c>
      <c r="AR12" s="45">
        <f t="shared" si="3"/>
        <v>84704.271530016151</v>
      </c>
      <c r="AS12" s="45">
        <f t="shared" si="3"/>
        <v>82163.143384115669</v>
      </c>
      <c r="AT12" s="45">
        <f t="shared" si="3"/>
        <v>65730.514707292532</v>
      </c>
      <c r="AU12" s="45">
        <f t="shared" si="3"/>
        <v>65730.514707292532</v>
      </c>
      <c r="AV12" s="45">
        <f t="shared" si="3"/>
        <v>164326.28676823134</v>
      </c>
      <c r="AW12" s="45">
        <f t="shared" si="3"/>
        <v>131461.02941458506</v>
      </c>
      <c r="AX12" s="45">
        <f t="shared" si="3"/>
        <v>127517.19853214751</v>
      </c>
      <c r="AY12" s="45">
        <f t="shared" si="3"/>
        <v>123691.68257618308</v>
      </c>
      <c r="AZ12" s="45">
        <f t="shared" si="3"/>
        <v>119980.93209889758</v>
      </c>
      <c r="BA12" s="45">
        <f t="shared" si="3"/>
        <v>125979.97870384247</v>
      </c>
      <c r="BB12" s="45">
        <f t="shared" si="3"/>
        <v>122200.57934272719</v>
      </c>
      <c r="BC12" s="45">
        <f t="shared" si="3"/>
        <v>118534.56196244537</v>
      </c>
      <c r="BD12" s="45">
        <f t="shared" si="3"/>
        <v>114978.525103572</v>
      </c>
      <c r="BE12" s="45">
        <f t="shared" si="3"/>
        <v>111529.16935046484</v>
      </c>
      <c r="BF12" s="45">
        <f t="shared" si="3"/>
        <v>89223.335480371883</v>
      </c>
      <c r="BG12" s="45">
        <f t="shared" si="3"/>
        <v>89223.335480371883</v>
      </c>
      <c r="BH12" s="45">
        <f t="shared" si="3"/>
        <v>223058.33870092971</v>
      </c>
      <c r="BI12" s="45">
        <f t="shared" si="3"/>
        <v>178446.6709607438</v>
      </c>
      <c r="BJ12" s="45">
        <f t="shared" si="3"/>
        <v>173093.27083192149</v>
      </c>
      <c r="BK12" s="45">
        <f t="shared" si="3"/>
        <v>167900.47270696383</v>
      </c>
      <c r="BL12" s="45">
        <f t="shared" si="3"/>
        <v>162863.45852575492</v>
      </c>
    </row>
    <row r="13" spans="1:64">
      <c r="C13" t="s">
        <v>27</v>
      </c>
      <c r="D13" s="58">
        <f>INDEX(D_Assumptions!$E$16:$F$20,MATCH($C13,D_Assumptions!$C$16:$C$20,0),MATCH($B$1,D_Assumptions!$E$15:$F$15,0))</f>
        <v>7237</v>
      </c>
      <c r="E13" s="45">
        <f t="shared" ref="E13:BL13" si="4">D13*(1+E$6)</f>
        <v>7598.85</v>
      </c>
      <c r="F13" s="45">
        <f t="shared" si="4"/>
        <v>7370.8845000000001</v>
      </c>
      <c r="G13" s="45">
        <f t="shared" si="4"/>
        <v>7149.7579649999998</v>
      </c>
      <c r="H13" s="45">
        <f t="shared" si="4"/>
        <v>6935.2652260499999</v>
      </c>
      <c r="I13" s="45">
        <f t="shared" si="4"/>
        <v>6727.2072692684997</v>
      </c>
      <c r="J13" s="45">
        <f t="shared" si="4"/>
        <v>5381.7658154148003</v>
      </c>
      <c r="K13" s="45">
        <f t="shared" si="4"/>
        <v>5381.7658154148003</v>
      </c>
      <c r="L13" s="45">
        <f t="shared" si="4"/>
        <v>13454.414538537001</v>
      </c>
      <c r="M13" s="45">
        <f t="shared" si="4"/>
        <v>10763.531630829602</v>
      </c>
      <c r="N13" s="45">
        <f t="shared" si="4"/>
        <v>10440.625681904714</v>
      </c>
      <c r="O13" s="45">
        <f t="shared" si="4"/>
        <v>10127.406911447571</v>
      </c>
      <c r="P13" s="45">
        <f t="shared" si="4"/>
        <v>9823.5847041041434</v>
      </c>
      <c r="Q13" s="45">
        <f t="shared" si="4"/>
        <v>10314.76393930935</v>
      </c>
      <c r="R13" s="45">
        <f t="shared" si="4"/>
        <v>10005.32102113007</v>
      </c>
      <c r="S13" s="45">
        <f t="shared" si="4"/>
        <v>9705.1613904961687</v>
      </c>
      <c r="T13" s="45">
        <f t="shared" si="4"/>
        <v>9414.0065487812826</v>
      </c>
      <c r="U13" s="45">
        <f t="shared" si="4"/>
        <v>9131.5863523178432</v>
      </c>
      <c r="V13" s="45">
        <f t="shared" si="4"/>
        <v>7305.2690818542751</v>
      </c>
      <c r="W13" s="45">
        <f t="shared" si="4"/>
        <v>7305.2690818542751</v>
      </c>
      <c r="X13" s="45">
        <f t="shared" si="4"/>
        <v>18263.172704635686</v>
      </c>
      <c r="Y13" s="45">
        <f t="shared" si="4"/>
        <v>14610.53816370855</v>
      </c>
      <c r="Z13" s="45">
        <f t="shared" si="4"/>
        <v>14172.222018797293</v>
      </c>
      <c r="AA13" s="45">
        <f t="shared" si="4"/>
        <v>13747.055358233374</v>
      </c>
      <c r="AB13" s="45">
        <f t="shared" si="4"/>
        <v>13334.643697486372</v>
      </c>
      <c r="AC13" s="45">
        <f t="shared" si="4"/>
        <v>14001.375882360691</v>
      </c>
      <c r="AD13" s="45">
        <f t="shared" si="4"/>
        <v>13581.33460588987</v>
      </c>
      <c r="AE13" s="45">
        <f t="shared" si="4"/>
        <v>13173.894567713172</v>
      </c>
      <c r="AF13" s="45">
        <f t="shared" si="4"/>
        <v>12778.677730681777</v>
      </c>
      <c r="AG13" s="45">
        <f t="shared" si="4"/>
        <v>12395.317398761323</v>
      </c>
      <c r="AH13" s="45">
        <f t="shared" si="4"/>
        <v>9916.2539190090592</v>
      </c>
      <c r="AI13" s="45">
        <f t="shared" si="4"/>
        <v>9916.2539190090592</v>
      </c>
      <c r="AJ13" s="45">
        <f t="shared" si="4"/>
        <v>24790.634797522649</v>
      </c>
      <c r="AK13" s="45">
        <f t="shared" si="4"/>
        <v>19832.507838018122</v>
      </c>
      <c r="AL13" s="45">
        <f t="shared" si="4"/>
        <v>19237.532602877578</v>
      </c>
      <c r="AM13" s="45">
        <f t="shared" si="4"/>
        <v>18660.406624791249</v>
      </c>
      <c r="AN13" s="45">
        <f t="shared" si="4"/>
        <v>18100.594426047512</v>
      </c>
      <c r="AO13" s="45">
        <f t="shared" si="4"/>
        <v>19005.624147349889</v>
      </c>
      <c r="AP13" s="45">
        <f t="shared" si="4"/>
        <v>18435.45542292939</v>
      </c>
      <c r="AQ13" s="45">
        <f t="shared" si="4"/>
        <v>17882.391760241509</v>
      </c>
      <c r="AR13" s="45">
        <f t="shared" si="4"/>
        <v>17345.920007434263</v>
      </c>
      <c r="AS13" s="45">
        <f t="shared" si="4"/>
        <v>16825.542407211233</v>
      </c>
      <c r="AT13" s="45">
        <f t="shared" si="4"/>
        <v>13460.433925768986</v>
      </c>
      <c r="AU13" s="45">
        <f t="shared" si="4"/>
        <v>13460.433925768986</v>
      </c>
      <c r="AV13" s="45">
        <f t="shared" si="4"/>
        <v>33651.084814422466</v>
      </c>
      <c r="AW13" s="45">
        <f t="shared" si="4"/>
        <v>26920.867851537972</v>
      </c>
      <c r="AX13" s="45">
        <f t="shared" si="4"/>
        <v>26113.241815991834</v>
      </c>
      <c r="AY13" s="45">
        <f t="shared" si="4"/>
        <v>25329.84456151208</v>
      </c>
      <c r="AZ13" s="45">
        <f t="shared" si="4"/>
        <v>24569.949224666718</v>
      </c>
      <c r="BA13" s="45">
        <f t="shared" si="4"/>
        <v>25798.446685900053</v>
      </c>
      <c r="BB13" s="45">
        <f t="shared" si="4"/>
        <v>25024.493285323049</v>
      </c>
      <c r="BC13" s="45">
        <f t="shared" si="4"/>
        <v>24273.758486763356</v>
      </c>
      <c r="BD13" s="45">
        <f t="shared" si="4"/>
        <v>23545.545732160455</v>
      </c>
      <c r="BE13" s="45">
        <f t="shared" si="4"/>
        <v>22839.179360195641</v>
      </c>
      <c r="BF13" s="45">
        <f t="shared" si="4"/>
        <v>18271.343488156515</v>
      </c>
      <c r="BG13" s="45">
        <f t="shared" si="4"/>
        <v>18271.343488156515</v>
      </c>
      <c r="BH13" s="45">
        <f t="shared" si="4"/>
        <v>45678.35872039129</v>
      </c>
      <c r="BI13" s="45">
        <f t="shared" si="4"/>
        <v>36542.686976313031</v>
      </c>
      <c r="BJ13" s="45">
        <f t="shared" si="4"/>
        <v>35446.406367023636</v>
      </c>
      <c r="BK13" s="45">
        <f t="shared" si="4"/>
        <v>34383.014176012926</v>
      </c>
      <c r="BL13" s="45">
        <f t="shared" si="4"/>
        <v>33351.523750732536</v>
      </c>
    </row>
    <row r="15" spans="1:64">
      <c r="C15" s="46" t="s">
        <v>51</v>
      </c>
      <c r="D15" s="46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  <c r="BF15" s="47"/>
      <c r="BG15" s="47"/>
      <c r="BH15" s="47"/>
      <c r="BI15" s="47"/>
      <c r="BJ15" s="47"/>
      <c r="BK15" s="47"/>
      <c r="BL15" s="47"/>
    </row>
    <row r="16" spans="1:64">
      <c r="C16" t="s">
        <v>30</v>
      </c>
      <c r="D16" s="48">
        <f>INDEX(D_Assumptions!$E$25:$F$29,MATCH($C16,D_Assumptions!$C$25:$C$29,0),MATCH($B$1,D_Assumptions!$E$24:$F$24,0))</f>
        <v>9.99</v>
      </c>
      <c r="E16" s="44">
        <f>IF(C_Price_change_flags_US!E$41&gt;=C_Price_change_flags_US!$H$1,D16+C_Price_change_flags_US!E34,D16)</f>
        <v>9.99</v>
      </c>
      <c r="F16" s="44">
        <f>IF(C_Price_change_flags_US!F$41&gt;=C_Price_change_flags_US!$H$1,E16+C_Price_change_flags_US!F34,E16)</f>
        <v>9.99</v>
      </c>
      <c r="G16" s="44">
        <f>IF(C_Price_change_flags_US!G$41&gt;=C_Price_change_flags_US!$H$1,F16+C_Price_change_flags_US!G34,F16)</f>
        <v>9.99</v>
      </c>
      <c r="H16" s="44">
        <f>IF(C_Price_change_flags_US!H$41&gt;=C_Price_change_flags_US!$H$1,G16+C_Price_change_flags_US!H34,G16)</f>
        <v>9.99</v>
      </c>
      <c r="I16" s="44">
        <f>IF(C_Price_change_flags_US!I$41&gt;=C_Price_change_flags_US!$H$1,H16+C_Price_change_flags_US!I34,H16)</f>
        <v>9.99</v>
      </c>
      <c r="J16" s="44">
        <f>IF(C_Price_change_flags_US!J$41&gt;=C_Price_change_flags_US!$H$1,I16+C_Price_change_flags_US!J34,I16)</f>
        <v>9.99</v>
      </c>
      <c r="K16" s="44">
        <f>IF(C_Price_change_flags_US!K$41&gt;=C_Price_change_flags_US!$H$1,J16+C_Price_change_flags_US!K34,J16)</f>
        <v>9.99</v>
      </c>
      <c r="L16" s="44">
        <f>IF(C_Price_change_flags_US!L$41&gt;=C_Price_change_flags_US!$H$1,K16+C_Price_change_flags_US!L34,K16)</f>
        <v>9.99</v>
      </c>
      <c r="M16" s="44">
        <f>IF(C_Price_change_flags_US!M$41&gt;=C_Price_change_flags_US!$H$1,L16+C_Price_change_flags_US!M34,L16)</f>
        <v>9.99</v>
      </c>
      <c r="N16" s="44">
        <f>IF(C_Price_change_flags_US!N$41&gt;=C_Price_change_flags_US!$H$1,M16+C_Price_change_flags_US!N34,M16)</f>
        <v>9.99</v>
      </c>
      <c r="O16" s="44">
        <f>IF(C_Price_change_flags_US!O$41&gt;=C_Price_change_flags_US!$H$1,N16+C_Price_change_flags_US!O34,N16)</f>
        <v>9.99</v>
      </c>
      <c r="P16" s="44">
        <f>IF(C_Price_change_flags_US!P$41&gt;=C_Price_change_flags_US!$H$1,O16+C_Price_change_flags_US!P34,O16)</f>
        <v>9.99</v>
      </c>
      <c r="Q16" s="44">
        <f>IF(C_Price_change_flags_US!Q$41&gt;=C_Price_change_flags_US!$H$1,P16+C_Price_change_flags_US!Q34,P16)</f>
        <v>9.99</v>
      </c>
      <c r="R16" s="44">
        <f>IF(C_Price_change_flags_US!R$41&gt;=C_Price_change_flags_US!$H$1,Q16+C_Price_change_flags_US!R34,Q16)</f>
        <v>9.99</v>
      </c>
      <c r="S16" s="44">
        <f>IF(C_Price_change_flags_US!S$41&gt;=C_Price_change_flags_US!$H$1,R16+C_Price_change_flags_US!S34,R16)</f>
        <v>9.99</v>
      </c>
      <c r="T16" s="44">
        <f>IF(C_Price_change_flags_US!T$41&gt;=C_Price_change_flags_US!$H$1,S16+C_Price_change_flags_US!T34,S16)</f>
        <v>9.99</v>
      </c>
      <c r="U16" s="44">
        <f>IF(C_Price_change_flags_US!U$41&gt;=C_Price_change_flags_US!$H$1,T16+C_Price_change_flags_US!U34,T16)</f>
        <v>9.99</v>
      </c>
      <c r="V16" s="44">
        <f>IF(C_Price_change_flags_US!V$41&gt;=C_Price_change_flags_US!$H$1,U16+C_Price_change_flags_US!V34,U16)</f>
        <v>9.99</v>
      </c>
      <c r="W16" s="44">
        <f>IF(C_Price_change_flags_US!W$41&gt;=C_Price_change_flags_US!$H$1,V16+C_Price_change_flags_US!W34,V16)</f>
        <v>9.99</v>
      </c>
      <c r="X16" s="44">
        <f>IF(C_Price_change_flags_US!X$41&gt;=C_Price_change_flags_US!$H$1,W16+C_Price_change_flags_US!X34,W16)</f>
        <v>9.99</v>
      </c>
      <c r="Y16" s="44">
        <f>IF(C_Price_change_flags_US!Y$41&gt;=C_Price_change_flags_US!$H$1,X16+C_Price_change_flags_US!Y34,X16)</f>
        <v>9.99</v>
      </c>
      <c r="Z16" s="44">
        <f>IF(C_Price_change_flags_US!Z$41&gt;=C_Price_change_flags_US!$H$1,Y16+C_Price_change_flags_US!Z34,Y16)</f>
        <v>9.99</v>
      </c>
      <c r="AA16" s="44">
        <f>IF(C_Price_change_flags_US!AA$41&gt;=C_Price_change_flags_US!$H$1,Z16+C_Price_change_flags_US!AA34,Z16)</f>
        <v>9.99</v>
      </c>
      <c r="AB16" s="44">
        <f>IF(C_Price_change_flags_US!AB$41&gt;=C_Price_change_flags_US!$H$1,AA16+C_Price_change_flags_US!AB34,AA16)</f>
        <v>9.99</v>
      </c>
      <c r="AC16" s="44">
        <f>IF(C_Price_change_flags_US!AC$41&gt;=C_Price_change_flags_US!$H$1,AB16+C_Price_change_flags_US!AC34,AB16)</f>
        <v>9.99</v>
      </c>
      <c r="AD16" s="44">
        <f>IF(C_Price_change_flags_US!AD$41&gt;=C_Price_change_flags_US!$H$1,AC16+C_Price_change_flags_US!AD34,AC16)</f>
        <v>9.99</v>
      </c>
      <c r="AE16" s="44">
        <f>IF(C_Price_change_flags_US!AE$41&gt;=C_Price_change_flags_US!$H$1,AD16+C_Price_change_flags_US!AE34,AD16)</f>
        <v>9.99</v>
      </c>
      <c r="AF16" s="44">
        <f>IF(C_Price_change_flags_US!AF$41&gt;=C_Price_change_flags_US!$H$1,AE16+C_Price_change_flags_US!AF34,AE16)</f>
        <v>9.99</v>
      </c>
      <c r="AG16" s="44">
        <f>IF(C_Price_change_flags_US!AG$41&gt;=C_Price_change_flags_US!$H$1,AF16+C_Price_change_flags_US!AG34,AF16)</f>
        <v>9.99</v>
      </c>
      <c r="AH16" s="44">
        <f>IF(C_Price_change_flags_US!AH$41&gt;=C_Price_change_flags_US!$H$1,AG16+C_Price_change_flags_US!AH34,AG16)</f>
        <v>9.99</v>
      </c>
      <c r="AI16" s="44">
        <f>IF(C_Price_change_flags_US!AI$41&gt;=C_Price_change_flags_US!$H$1,AH16+C_Price_change_flags_US!AI34,AH16)</f>
        <v>9.99</v>
      </c>
      <c r="AJ16" s="44">
        <f>IF(C_Price_change_flags_US!AJ$41&gt;=C_Price_change_flags_US!$H$1,AI16+C_Price_change_flags_US!AJ34,AI16)</f>
        <v>9.99</v>
      </c>
      <c r="AK16" s="44">
        <f>IF(C_Price_change_flags_US!AK$41&gt;=C_Price_change_flags_US!$H$1,AJ16+C_Price_change_flags_US!AK34,AJ16)</f>
        <v>9.99</v>
      </c>
      <c r="AL16" s="44">
        <f>IF(C_Price_change_flags_US!AL$41&gt;=C_Price_change_flags_US!$H$1,AK16+C_Price_change_flags_US!AL34,AK16)</f>
        <v>9.99</v>
      </c>
      <c r="AM16" s="44">
        <f>IF(C_Price_change_flags_US!AM$41&gt;=C_Price_change_flags_US!$H$1,AL16+C_Price_change_flags_US!AM34,AL16)</f>
        <v>9.99</v>
      </c>
      <c r="AN16" s="44">
        <f>IF(C_Price_change_flags_US!AN$41&gt;=C_Price_change_flags_US!$H$1,AM16+C_Price_change_flags_US!AN34,AM16)</f>
        <v>9.99</v>
      </c>
      <c r="AO16" s="44">
        <f>IF(C_Price_change_flags_US!AO$41&gt;=C_Price_change_flags_US!$H$1,AN16+C_Price_change_flags_US!AO34,AN16)</f>
        <v>9.99</v>
      </c>
      <c r="AP16" s="44">
        <f>IF(C_Price_change_flags_US!AP$41&gt;=C_Price_change_flags_US!$H$1,AO16+C_Price_change_flags_US!AP34,AO16)</f>
        <v>9.99</v>
      </c>
      <c r="AQ16" s="44">
        <f>IF(C_Price_change_flags_US!AQ$41&gt;=C_Price_change_flags_US!$H$1,AP16+C_Price_change_flags_US!AQ34,AP16)</f>
        <v>9.99</v>
      </c>
      <c r="AR16" s="44">
        <f>IF(C_Price_change_flags_US!AR$41&gt;=C_Price_change_flags_US!$H$1,AQ16+C_Price_change_flags_US!AR34,AQ16)</f>
        <v>9.99</v>
      </c>
      <c r="AS16" s="44">
        <f>IF(C_Price_change_flags_US!AS$41&gt;=C_Price_change_flags_US!$H$1,AR16+C_Price_change_flags_US!AS34,AR16)</f>
        <v>9.99</v>
      </c>
      <c r="AT16" s="44">
        <f>IF(C_Price_change_flags_US!AT$41&gt;=C_Price_change_flags_US!$H$1,AS16+C_Price_change_flags_US!AT34,AS16)</f>
        <v>9.99</v>
      </c>
      <c r="AU16" s="44">
        <f>IF(C_Price_change_flags_US!AU$41&gt;=C_Price_change_flags_US!$H$1,AT16+C_Price_change_flags_US!AU34,AT16)</f>
        <v>9.99</v>
      </c>
      <c r="AV16" s="44">
        <f>IF(C_Price_change_flags_US!AV$41&gt;=C_Price_change_flags_US!$H$1,AU16+C_Price_change_flags_US!AV34,AU16)</f>
        <v>9.99</v>
      </c>
      <c r="AW16" s="44">
        <f>IF(C_Price_change_flags_US!AW$41&gt;=C_Price_change_flags_US!$H$1,AV16+C_Price_change_flags_US!AW34,AV16)</f>
        <v>9.99</v>
      </c>
      <c r="AX16" s="44">
        <f>IF(C_Price_change_flags_US!AX$41&gt;=C_Price_change_flags_US!$H$1,AW16+C_Price_change_flags_US!AX34,AW16)</f>
        <v>9.99</v>
      </c>
      <c r="AY16" s="44">
        <f>IF(C_Price_change_flags_US!AY$41&gt;=C_Price_change_flags_US!$H$1,AX16+C_Price_change_flags_US!AY34,AX16)</f>
        <v>9.99</v>
      </c>
      <c r="AZ16" s="44">
        <f>IF(C_Price_change_flags_US!AZ$41&gt;=C_Price_change_flags_US!$H$1,AY16+C_Price_change_flags_US!AZ34,AY16)</f>
        <v>9.99</v>
      </c>
      <c r="BA16" s="44">
        <f>IF(C_Price_change_flags_US!BA$41&gt;=C_Price_change_flags_US!$H$1,AZ16+C_Price_change_flags_US!BA34,AZ16)</f>
        <v>9.99</v>
      </c>
      <c r="BB16" s="44">
        <f>IF(C_Price_change_flags_US!BB$41&gt;=C_Price_change_flags_US!$H$1,BA16+C_Price_change_flags_US!BB34,BA16)</f>
        <v>9.99</v>
      </c>
      <c r="BC16" s="44">
        <f>IF(C_Price_change_flags_US!BC$41&gt;=C_Price_change_flags_US!$H$1,BB16+C_Price_change_flags_US!BC34,BB16)</f>
        <v>9.99</v>
      </c>
      <c r="BD16" s="44">
        <f>IF(C_Price_change_flags_US!BD$41&gt;=C_Price_change_flags_US!$H$1,BC16+C_Price_change_flags_US!BD34,BC16)</f>
        <v>9.99</v>
      </c>
      <c r="BE16" s="44">
        <f>IF(C_Price_change_flags_US!BE$41&gt;=C_Price_change_flags_US!$H$1,BD16+C_Price_change_flags_US!BE34,BD16)</f>
        <v>9.99</v>
      </c>
      <c r="BF16" s="44">
        <f>IF(C_Price_change_flags_US!BF$41&gt;=C_Price_change_flags_US!$H$1,BE16+C_Price_change_flags_US!BF34,BE16)</f>
        <v>9.99</v>
      </c>
      <c r="BG16" s="44">
        <f>IF(C_Price_change_flags_US!BG$41&gt;=C_Price_change_flags_US!$H$1,BF16+C_Price_change_flags_US!BG34,BF16)</f>
        <v>9.99</v>
      </c>
      <c r="BH16" s="44">
        <f>IF(C_Price_change_flags_US!BH$41&gt;=C_Price_change_flags_US!$H$1,BG16+C_Price_change_flags_US!BH34,BG16)</f>
        <v>9.99</v>
      </c>
      <c r="BI16" s="44">
        <f>IF(C_Price_change_flags_US!BI$41&gt;=C_Price_change_flags_US!$H$1,BH16+C_Price_change_flags_US!BI34,BH16)</f>
        <v>9.99</v>
      </c>
      <c r="BJ16" s="44">
        <f>IF(C_Price_change_flags_US!BJ$41&gt;=C_Price_change_flags_US!$H$1,BI16+C_Price_change_flags_US!BJ34,BI16)</f>
        <v>9.99</v>
      </c>
      <c r="BK16" s="44">
        <f>IF(C_Price_change_flags_US!BK$41&gt;=C_Price_change_flags_US!$H$1,BJ16+C_Price_change_flags_US!BK34,BJ16)</f>
        <v>14.99</v>
      </c>
      <c r="BL16" s="44">
        <f>IF(C_Price_change_flags_US!BL$41&gt;=C_Price_change_flags_US!$H$1,BK16+C_Price_change_flags_US!BL34,BK16)</f>
        <v>14.99</v>
      </c>
    </row>
    <row r="17" spans="3:64">
      <c r="C17" t="s">
        <v>29</v>
      </c>
      <c r="D17" s="48">
        <f>INDEX(D_Assumptions!$E$25:$F$29,MATCH($C17,D_Assumptions!$C$25:$C$29,0),MATCH($B$1,D_Assumptions!$E$24:$F$24,0))</f>
        <v>19.989999999999998</v>
      </c>
      <c r="E17">
        <f>IF(C_Price_change_flags_US!E$41&gt;=C_Price_change_flags_US!$H$1,D17+C_Price_change_flags_US!E35,D17)</f>
        <v>19.989999999999998</v>
      </c>
      <c r="F17">
        <f>IF(C_Price_change_flags_US!F$41&gt;=C_Price_change_flags_US!$H$1,E17+C_Price_change_flags_US!F35,E17)</f>
        <v>19.989999999999998</v>
      </c>
      <c r="G17">
        <f>IF(C_Price_change_flags_US!G$41&gt;=C_Price_change_flags_US!$H$1,F17+C_Price_change_flags_US!G35,F17)</f>
        <v>19.989999999999998</v>
      </c>
      <c r="H17">
        <f>IF(C_Price_change_flags_US!H$41&gt;=C_Price_change_flags_US!$H$1,G17+C_Price_change_flags_US!H35,G17)</f>
        <v>19.989999999999998</v>
      </c>
      <c r="I17">
        <f>IF(C_Price_change_flags_US!I$41&gt;=C_Price_change_flags_US!$H$1,H17+C_Price_change_flags_US!I35,H17)</f>
        <v>19.989999999999998</v>
      </c>
      <c r="J17">
        <f>IF(C_Price_change_flags_US!J$41&gt;=C_Price_change_flags_US!$H$1,I17+C_Price_change_flags_US!J35,I17)</f>
        <v>19.989999999999998</v>
      </c>
      <c r="K17">
        <f>IF(C_Price_change_flags_US!K$41&gt;=C_Price_change_flags_US!$H$1,J17+C_Price_change_flags_US!K35,J17)</f>
        <v>19.989999999999998</v>
      </c>
      <c r="L17">
        <f>IF(C_Price_change_flags_US!L$41&gt;=C_Price_change_flags_US!$H$1,K17+C_Price_change_flags_US!L35,K17)</f>
        <v>19.989999999999998</v>
      </c>
      <c r="M17">
        <f>IF(C_Price_change_flags_US!M$41&gt;=C_Price_change_flags_US!$H$1,L17+C_Price_change_flags_US!M35,L17)</f>
        <v>19.989999999999998</v>
      </c>
      <c r="N17">
        <f>IF(C_Price_change_flags_US!N$41&gt;=C_Price_change_flags_US!$H$1,M17+C_Price_change_flags_US!N35,M17)</f>
        <v>19.989999999999998</v>
      </c>
      <c r="O17">
        <f>IF(C_Price_change_flags_US!O$41&gt;=C_Price_change_flags_US!$H$1,N17+C_Price_change_flags_US!O35,N17)</f>
        <v>19.989999999999998</v>
      </c>
      <c r="P17">
        <f>IF(C_Price_change_flags_US!P$41&gt;=C_Price_change_flags_US!$H$1,O17+C_Price_change_flags_US!P35,O17)</f>
        <v>19.989999999999998</v>
      </c>
      <c r="Q17">
        <f>IF(C_Price_change_flags_US!Q$41&gt;=C_Price_change_flags_US!$H$1,P17+C_Price_change_flags_US!Q35,P17)</f>
        <v>19.989999999999998</v>
      </c>
      <c r="R17">
        <f>IF(C_Price_change_flags_US!R$41&gt;=C_Price_change_flags_US!$H$1,Q17+C_Price_change_flags_US!R35,Q17)</f>
        <v>19.989999999999998</v>
      </c>
      <c r="S17">
        <f>IF(C_Price_change_flags_US!S$41&gt;=C_Price_change_flags_US!$H$1,R17+C_Price_change_flags_US!S35,R17)</f>
        <v>19.989999999999998</v>
      </c>
      <c r="T17">
        <f>IF(C_Price_change_flags_US!T$41&gt;=C_Price_change_flags_US!$H$1,S17+C_Price_change_flags_US!T35,S17)</f>
        <v>19.989999999999998</v>
      </c>
      <c r="U17">
        <f>IF(C_Price_change_flags_US!U$41&gt;=C_Price_change_flags_US!$H$1,T17+C_Price_change_flags_US!U35,T17)</f>
        <v>19.989999999999998</v>
      </c>
      <c r="V17">
        <f>IF(C_Price_change_flags_US!V$41&gt;=C_Price_change_flags_US!$H$1,U17+C_Price_change_flags_US!V35,U17)</f>
        <v>19.989999999999998</v>
      </c>
      <c r="W17">
        <f>IF(C_Price_change_flags_US!W$41&gt;=C_Price_change_flags_US!$H$1,V17+C_Price_change_flags_US!W35,V17)</f>
        <v>19.989999999999998</v>
      </c>
      <c r="X17">
        <f>IF(C_Price_change_flags_US!X$41&gt;=C_Price_change_flags_US!$H$1,W17+C_Price_change_flags_US!X35,W17)</f>
        <v>19.989999999999998</v>
      </c>
      <c r="Y17">
        <f>IF(C_Price_change_flags_US!Y$41&gt;=C_Price_change_flags_US!$H$1,X17+C_Price_change_flags_US!Y35,X17)</f>
        <v>19.989999999999998</v>
      </c>
      <c r="Z17">
        <f>IF(C_Price_change_flags_US!Z$41&gt;=C_Price_change_flags_US!$H$1,Y17+C_Price_change_flags_US!Z35,Y17)</f>
        <v>19.989999999999998</v>
      </c>
      <c r="AA17">
        <f>IF(C_Price_change_flags_US!AA$41&gt;=C_Price_change_flags_US!$H$1,Z17+C_Price_change_flags_US!AA35,Z17)</f>
        <v>19.989999999999998</v>
      </c>
      <c r="AB17">
        <f>IF(C_Price_change_flags_US!AB$41&gt;=C_Price_change_flags_US!$H$1,AA17+C_Price_change_flags_US!AB35,AA17)</f>
        <v>19.989999999999998</v>
      </c>
      <c r="AC17">
        <f>IF(C_Price_change_flags_US!AC$41&gt;=C_Price_change_flags_US!$H$1,AB17+C_Price_change_flags_US!AC35,AB17)</f>
        <v>19.989999999999998</v>
      </c>
      <c r="AD17">
        <f>IF(C_Price_change_flags_US!AD$41&gt;=C_Price_change_flags_US!$H$1,AC17+C_Price_change_flags_US!AD35,AC17)</f>
        <v>19.989999999999998</v>
      </c>
      <c r="AE17">
        <f>IF(C_Price_change_flags_US!AE$41&gt;=C_Price_change_flags_US!$H$1,AD17+C_Price_change_flags_US!AE35,AD17)</f>
        <v>19.989999999999998</v>
      </c>
      <c r="AF17">
        <f>IF(C_Price_change_flags_US!AF$41&gt;=C_Price_change_flags_US!$H$1,AE17+C_Price_change_flags_US!AF35,AE17)</f>
        <v>19.989999999999998</v>
      </c>
      <c r="AG17">
        <f>IF(C_Price_change_flags_US!AG$41&gt;=C_Price_change_flags_US!$H$1,AF17+C_Price_change_flags_US!AG35,AF17)</f>
        <v>19.989999999999998</v>
      </c>
      <c r="AH17">
        <f>IF(C_Price_change_flags_US!AH$41&gt;=C_Price_change_flags_US!$H$1,AG17+C_Price_change_flags_US!AH35,AG17)</f>
        <v>19.989999999999998</v>
      </c>
      <c r="AI17">
        <f>IF(C_Price_change_flags_US!AI$41&gt;=C_Price_change_flags_US!$H$1,AH17+C_Price_change_flags_US!AI35,AH17)</f>
        <v>19.989999999999998</v>
      </c>
      <c r="AJ17">
        <f>IF(C_Price_change_flags_US!AJ$41&gt;=C_Price_change_flags_US!$H$1,AI17+C_Price_change_flags_US!AJ35,AI17)</f>
        <v>19.989999999999998</v>
      </c>
      <c r="AK17">
        <f>IF(C_Price_change_flags_US!AK$41&gt;=C_Price_change_flags_US!$H$1,AJ17+C_Price_change_flags_US!AK35,AJ17)</f>
        <v>19.989999999999998</v>
      </c>
      <c r="AL17">
        <f>IF(C_Price_change_flags_US!AL$41&gt;=C_Price_change_flags_US!$H$1,AK17+C_Price_change_flags_US!AL35,AK17)</f>
        <v>19.989999999999998</v>
      </c>
      <c r="AM17">
        <f>IF(C_Price_change_flags_US!AM$41&gt;=C_Price_change_flags_US!$H$1,AL17+C_Price_change_flags_US!AM35,AL17)</f>
        <v>19.989999999999998</v>
      </c>
      <c r="AN17">
        <f>IF(C_Price_change_flags_US!AN$41&gt;=C_Price_change_flags_US!$H$1,AM17+C_Price_change_flags_US!AN35,AM17)</f>
        <v>19.989999999999998</v>
      </c>
      <c r="AO17">
        <f>IF(C_Price_change_flags_US!AO$41&gt;=C_Price_change_flags_US!$H$1,AN17+C_Price_change_flags_US!AO35,AN17)</f>
        <v>19.989999999999998</v>
      </c>
      <c r="AP17">
        <f>IF(C_Price_change_flags_US!AP$41&gt;=C_Price_change_flags_US!$H$1,AO17+C_Price_change_flags_US!AP35,AO17)</f>
        <v>19.989999999999998</v>
      </c>
      <c r="AQ17">
        <f>IF(C_Price_change_flags_US!AQ$41&gt;=C_Price_change_flags_US!$H$1,AP17+C_Price_change_flags_US!AQ35,AP17)</f>
        <v>24.99</v>
      </c>
      <c r="AR17">
        <f>IF(C_Price_change_flags_US!AR$41&gt;=C_Price_change_flags_US!$H$1,AQ17+C_Price_change_flags_US!AR35,AQ17)</f>
        <v>24.99</v>
      </c>
      <c r="AS17">
        <f>IF(C_Price_change_flags_US!AS$41&gt;=C_Price_change_flags_US!$H$1,AR17+C_Price_change_flags_US!AS35,AR17)</f>
        <v>24.99</v>
      </c>
      <c r="AT17">
        <f>IF(C_Price_change_flags_US!AT$41&gt;=C_Price_change_flags_US!$H$1,AS17+C_Price_change_flags_US!AT35,AS17)</f>
        <v>24.99</v>
      </c>
      <c r="AU17">
        <f>IF(C_Price_change_flags_US!AU$41&gt;=C_Price_change_flags_US!$H$1,AT17+C_Price_change_flags_US!AU35,AT17)</f>
        <v>24.99</v>
      </c>
      <c r="AV17">
        <f>IF(C_Price_change_flags_US!AV$41&gt;=C_Price_change_flags_US!$H$1,AU17+C_Price_change_flags_US!AV35,AU17)</f>
        <v>24.99</v>
      </c>
      <c r="AW17">
        <f>IF(C_Price_change_flags_US!AW$41&gt;=C_Price_change_flags_US!$H$1,AV17+C_Price_change_flags_US!AW35,AV17)</f>
        <v>24.99</v>
      </c>
      <c r="AX17">
        <f>IF(C_Price_change_flags_US!AX$41&gt;=C_Price_change_flags_US!$H$1,AW17+C_Price_change_flags_US!AX35,AW17)</f>
        <v>24.99</v>
      </c>
      <c r="AY17">
        <f>IF(C_Price_change_flags_US!AY$41&gt;=C_Price_change_flags_US!$H$1,AX17+C_Price_change_flags_US!AY35,AX17)</f>
        <v>24.99</v>
      </c>
      <c r="AZ17">
        <f>IF(C_Price_change_flags_US!AZ$41&gt;=C_Price_change_flags_US!$H$1,AY17+C_Price_change_flags_US!AZ35,AY17)</f>
        <v>24.99</v>
      </c>
      <c r="BA17">
        <f>IF(C_Price_change_flags_US!BA$41&gt;=C_Price_change_flags_US!$H$1,AZ17+C_Price_change_flags_US!BA35,AZ17)</f>
        <v>24.99</v>
      </c>
      <c r="BB17">
        <f>IF(C_Price_change_flags_US!BB$41&gt;=C_Price_change_flags_US!$H$1,BA17+C_Price_change_flags_US!BB35,BA17)</f>
        <v>24.99</v>
      </c>
      <c r="BC17">
        <f>IF(C_Price_change_flags_US!BC$41&gt;=C_Price_change_flags_US!$H$1,BB17+C_Price_change_flags_US!BC35,BB17)</f>
        <v>24.99</v>
      </c>
      <c r="BD17">
        <f>IF(C_Price_change_flags_US!BD$41&gt;=C_Price_change_flags_US!$H$1,BC17+C_Price_change_flags_US!BD35,BC17)</f>
        <v>24.99</v>
      </c>
      <c r="BE17">
        <f>IF(C_Price_change_flags_US!BE$41&gt;=C_Price_change_flags_US!$H$1,BD17+C_Price_change_flags_US!BE35,BD17)</f>
        <v>24.99</v>
      </c>
      <c r="BF17">
        <f>IF(C_Price_change_flags_US!BF$41&gt;=C_Price_change_flags_US!$H$1,BE17+C_Price_change_flags_US!BF35,BE17)</f>
        <v>24.99</v>
      </c>
      <c r="BG17">
        <f>IF(C_Price_change_flags_US!BG$41&gt;=C_Price_change_flags_US!$H$1,BF17+C_Price_change_flags_US!BG35,BF17)</f>
        <v>24.99</v>
      </c>
      <c r="BH17">
        <f>IF(C_Price_change_flags_US!BH$41&gt;=C_Price_change_flags_US!$H$1,BG17+C_Price_change_flags_US!BH35,BG17)</f>
        <v>24.99</v>
      </c>
      <c r="BI17">
        <f>IF(C_Price_change_flags_US!BI$41&gt;=C_Price_change_flags_US!$H$1,BH17+C_Price_change_flags_US!BI35,BH17)</f>
        <v>24.99</v>
      </c>
      <c r="BJ17">
        <f>IF(C_Price_change_flags_US!BJ$41&gt;=C_Price_change_flags_US!$H$1,BI17+C_Price_change_flags_US!BJ35,BI17)</f>
        <v>24.99</v>
      </c>
      <c r="BK17">
        <f>IF(C_Price_change_flags_US!BK$41&gt;=C_Price_change_flags_US!$H$1,BJ17+C_Price_change_flags_US!BK35,BJ17)</f>
        <v>24.99</v>
      </c>
      <c r="BL17">
        <f>IF(C_Price_change_flags_US!BL$41&gt;=C_Price_change_flags_US!$H$1,BK17+C_Price_change_flags_US!BL35,BK17)</f>
        <v>24.99</v>
      </c>
    </row>
    <row r="18" spans="3:64">
      <c r="C18" t="s">
        <v>28</v>
      </c>
      <c r="D18" s="48">
        <f>INDEX(D_Assumptions!$E$25:$F$29,MATCH($C18,D_Assumptions!$C$25:$C$29,0),MATCH($B$1,D_Assumptions!$E$24:$F$24,0))</f>
        <v>29.99</v>
      </c>
      <c r="E18">
        <f>IF(C_Price_change_flags_US!E$41&gt;=C_Price_change_flags_US!$H$1,D18+C_Price_change_flags_US!E36,D18)</f>
        <v>29.99</v>
      </c>
      <c r="F18">
        <f>IF(C_Price_change_flags_US!F$41&gt;=C_Price_change_flags_US!$H$1,E18+C_Price_change_flags_US!F36,E18)</f>
        <v>29.99</v>
      </c>
      <c r="G18">
        <f>IF(C_Price_change_flags_US!G$41&gt;=C_Price_change_flags_US!$H$1,F18+C_Price_change_flags_US!G36,F18)</f>
        <v>29.99</v>
      </c>
      <c r="H18">
        <f>IF(C_Price_change_flags_US!H$41&gt;=C_Price_change_flags_US!$H$1,G18+C_Price_change_flags_US!H36,G18)</f>
        <v>29.99</v>
      </c>
      <c r="I18">
        <f>IF(C_Price_change_flags_US!I$41&gt;=C_Price_change_flags_US!$H$1,H18+C_Price_change_flags_US!I36,H18)</f>
        <v>29.99</v>
      </c>
      <c r="J18">
        <f>IF(C_Price_change_flags_US!J$41&gt;=C_Price_change_flags_US!$H$1,I18+C_Price_change_flags_US!J36,I18)</f>
        <v>29.99</v>
      </c>
      <c r="K18">
        <f>IF(C_Price_change_flags_US!K$41&gt;=C_Price_change_flags_US!$H$1,J18+C_Price_change_flags_US!K36,J18)</f>
        <v>29.99</v>
      </c>
      <c r="L18">
        <f>IF(C_Price_change_flags_US!L$41&gt;=C_Price_change_flags_US!$H$1,K18+C_Price_change_flags_US!L36,K18)</f>
        <v>29.99</v>
      </c>
      <c r="M18">
        <f>IF(C_Price_change_flags_US!M$41&gt;=C_Price_change_flags_US!$H$1,L18+C_Price_change_flags_US!M36,L18)</f>
        <v>29.99</v>
      </c>
      <c r="N18">
        <f>IF(C_Price_change_flags_US!N$41&gt;=C_Price_change_flags_US!$H$1,M18+C_Price_change_flags_US!N36,M18)</f>
        <v>29.99</v>
      </c>
      <c r="O18">
        <f>IF(C_Price_change_flags_US!O$41&gt;=C_Price_change_flags_US!$H$1,N18+C_Price_change_flags_US!O36,N18)</f>
        <v>29.99</v>
      </c>
      <c r="P18">
        <f>IF(C_Price_change_flags_US!P$41&gt;=C_Price_change_flags_US!$H$1,O18+C_Price_change_flags_US!P36,O18)</f>
        <v>29.99</v>
      </c>
      <c r="Q18">
        <f>IF(C_Price_change_flags_US!Q$41&gt;=C_Price_change_flags_US!$H$1,P18+C_Price_change_flags_US!Q36,P18)</f>
        <v>29.99</v>
      </c>
      <c r="R18">
        <f>IF(C_Price_change_flags_US!R$41&gt;=C_Price_change_flags_US!$H$1,Q18+C_Price_change_flags_US!R36,Q18)</f>
        <v>29.99</v>
      </c>
      <c r="S18">
        <f>IF(C_Price_change_flags_US!S$41&gt;=C_Price_change_flags_US!$H$1,R18+C_Price_change_flags_US!S36,R18)</f>
        <v>29.99</v>
      </c>
      <c r="T18">
        <f>IF(C_Price_change_flags_US!T$41&gt;=C_Price_change_flags_US!$H$1,S18+C_Price_change_flags_US!T36,S18)</f>
        <v>29.99</v>
      </c>
      <c r="U18">
        <f>IF(C_Price_change_flags_US!U$41&gt;=C_Price_change_flags_US!$H$1,T18+C_Price_change_flags_US!U36,T18)</f>
        <v>29.99</v>
      </c>
      <c r="V18">
        <f>IF(C_Price_change_flags_US!V$41&gt;=C_Price_change_flags_US!$H$1,U18+C_Price_change_flags_US!V36,U18)</f>
        <v>29.99</v>
      </c>
      <c r="W18">
        <f>IF(C_Price_change_flags_US!W$41&gt;=C_Price_change_flags_US!$H$1,V18+C_Price_change_flags_US!W36,V18)</f>
        <v>29.99</v>
      </c>
      <c r="X18">
        <f>IF(C_Price_change_flags_US!X$41&gt;=C_Price_change_flags_US!$H$1,W18+C_Price_change_flags_US!X36,W18)</f>
        <v>29.99</v>
      </c>
      <c r="Y18">
        <f>IF(C_Price_change_flags_US!Y$41&gt;=C_Price_change_flags_US!$H$1,X18+C_Price_change_flags_US!Y36,X18)</f>
        <v>29.99</v>
      </c>
      <c r="Z18">
        <f>IF(C_Price_change_flags_US!Z$41&gt;=C_Price_change_flags_US!$H$1,Y18+C_Price_change_flags_US!Z36,Y18)</f>
        <v>29.99</v>
      </c>
      <c r="AA18">
        <f>IF(C_Price_change_flags_US!AA$41&gt;=C_Price_change_flags_US!$H$1,Z18+C_Price_change_flags_US!AA36,Z18)</f>
        <v>29.99</v>
      </c>
      <c r="AB18">
        <f>IF(C_Price_change_flags_US!AB$41&gt;=C_Price_change_flags_US!$H$1,AA18+C_Price_change_flags_US!AB36,AA18)</f>
        <v>29.99</v>
      </c>
      <c r="AC18">
        <f>IF(C_Price_change_flags_US!AC$41&gt;=C_Price_change_flags_US!$H$1,AB18+C_Price_change_flags_US!AC36,AB18)</f>
        <v>34.989999999999995</v>
      </c>
      <c r="AD18">
        <f>IF(C_Price_change_flags_US!AD$41&gt;=C_Price_change_flags_US!$H$1,AC18+C_Price_change_flags_US!AD36,AC18)</f>
        <v>34.989999999999995</v>
      </c>
      <c r="AE18">
        <f>IF(C_Price_change_flags_US!AE$41&gt;=C_Price_change_flags_US!$H$1,AD18+C_Price_change_flags_US!AE36,AD18)</f>
        <v>34.989999999999995</v>
      </c>
      <c r="AF18">
        <f>IF(C_Price_change_flags_US!AF$41&gt;=C_Price_change_flags_US!$H$1,AE18+C_Price_change_flags_US!AF36,AE18)</f>
        <v>34.989999999999995</v>
      </c>
      <c r="AG18">
        <f>IF(C_Price_change_flags_US!AG$41&gt;=C_Price_change_flags_US!$H$1,AF18+C_Price_change_flags_US!AG36,AF18)</f>
        <v>34.989999999999995</v>
      </c>
      <c r="AH18">
        <f>IF(C_Price_change_flags_US!AH$41&gt;=C_Price_change_flags_US!$H$1,AG18+C_Price_change_flags_US!AH36,AG18)</f>
        <v>34.989999999999995</v>
      </c>
      <c r="AI18">
        <f>IF(C_Price_change_flags_US!AI$41&gt;=C_Price_change_flags_US!$H$1,AH18+C_Price_change_flags_US!AI36,AH18)</f>
        <v>34.989999999999995</v>
      </c>
      <c r="AJ18">
        <f>IF(C_Price_change_flags_US!AJ$41&gt;=C_Price_change_flags_US!$H$1,AI18+C_Price_change_flags_US!AJ36,AI18)</f>
        <v>34.989999999999995</v>
      </c>
      <c r="AK18">
        <f>IF(C_Price_change_flags_US!AK$41&gt;=C_Price_change_flags_US!$H$1,AJ18+C_Price_change_flags_US!AK36,AJ18)</f>
        <v>34.989999999999995</v>
      </c>
      <c r="AL18">
        <f>IF(C_Price_change_flags_US!AL$41&gt;=C_Price_change_flags_US!$H$1,AK18+C_Price_change_flags_US!AL36,AK18)</f>
        <v>34.989999999999995</v>
      </c>
      <c r="AM18">
        <f>IF(C_Price_change_flags_US!AM$41&gt;=C_Price_change_flags_US!$H$1,AL18+C_Price_change_flags_US!AM36,AL18)</f>
        <v>34.989999999999995</v>
      </c>
      <c r="AN18">
        <f>IF(C_Price_change_flags_US!AN$41&gt;=C_Price_change_flags_US!$H$1,AM18+C_Price_change_flags_US!AN36,AM18)</f>
        <v>34.989999999999995</v>
      </c>
      <c r="AO18">
        <f>IF(C_Price_change_flags_US!AO$41&gt;=C_Price_change_flags_US!$H$1,AN18+C_Price_change_flags_US!AO36,AN18)</f>
        <v>34.989999999999995</v>
      </c>
      <c r="AP18">
        <f>IF(C_Price_change_flags_US!AP$41&gt;=C_Price_change_flags_US!$H$1,AO18+C_Price_change_flags_US!AP36,AO18)</f>
        <v>34.989999999999995</v>
      </c>
      <c r="AQ18">
        <f>IF(C_Price_change_flags_US!AQ$41&gt;=C_Price_change_flags_US!$H$1,AP18+C_Price_change_flags_US!AQ36,AP18)</f>
        <v>34.989999999999995</v>
      </c>
      <c r="AR18">
        <f>IF(C_Price_change_flags_US!AR$41&gt;=C_Price_change_flags_US!$H$1,AQ18+C_Price_change_flags_US!AR36,AQ18)</f>
        <v>34.989999999999995</v>
      </c>
      <c r="AS18">
        <f>IF(C_Price_change_flags_US!AS$41&gt;=C_Price_change_flags_US!$H$1,AR18+C_Price_change_flags_US!AS36,AR18)</f>
        <v>34.989999999999995</v>
      </c>
      <c r="AT18">
        <f>IF(C_Price_change_flags_US!AT$41&gt;=C_Price_change_flags_US!$H$1,AS18+C_Price_change_flags_US!AT36,AS18)</f>
        <v>34.989999999999995</v>
      </c>
      <c r="AU18">
        <f>IF(C_Price_change_flags_US!AU$41&gt;=C_Price_change_flags_US!$H$1,AT18+C_Price_change_flags_US!AU36,AT18)</f>
        <v>34.989999999999995</v>
      </c>
      <c r="AV18">
        <f>IF(C_Price_change_flags_US!AV$41&gt;=C_Price_change_flags_US!$H$1,AU18+C_Price_change_flags_US!AV36,AU18)</f>
        <v>34.989999999999995</v>
      </c>
      <c r="AW18">
        <f>IF(C_Price_change_flags_US!AW$41&gt;=C_Price_change_flags_US!$H$1,AV18+C_Price_change_flags_US!AW36,AV18)</f>
        <v>34.989999999999995</v>
      </c>
      <c r="AX18">
        <f>IF(C_Price_change_flags_US!AX$41&gt;=C_Price_change_flags_US!$H$1,AW18+C_Price_change_flags_US!AX36,AW18)</f>
        <v>34.989999999999995</v>
      </c>
      <c r="AY18">
        <f>IF(C_Price_change_flags_US!AY$41&gt;=C_Price_change_flags_US!$H$1,AX18+C_Price_change_flags_US!AY36,AX18)</f>
        <v>34.989999999999995</v>
      </c>
      <c r="AZ18">
        <f>IF(C_Price_change_flags_US!AZ$41&gt;=C_Price_change_flags_US!$H$1,AY18+C_Price_change_flags_US!AZ36,AY18)</f>
        <v>34.989999999999995</v>
      </c>
      <c r="BA18">
        <f>IF(C_Price_change_flags_US!BA$41&gt;=C_Price_change_flags_US!$H$1,AZ18+C_Price_change_flags_US!BA36,AZ18)</f>
        <v>34.989999999999995</v>
      </c>
      <c r="BB18">
        <f>IF(C_Price_change_flags_US!BB$41&gt;=C_Price_change_flags_US!$H$1,BA18+C_Price_change_flags_US!BB36,BA18)</f>
        <v>34.989999999999995</v>
      </c>
      <c r="BC18">
        <f>IF(C_Price_change_flags_US!BC$41&gt;=C_Price_change_flags_US!$H$1,BB18+C_Price_change_flags_US!BC36,BB18)</f>
        <v>34.989999999999995</v>
      </c>
      <c r="BD18">
        <f>IF(C_Price_change_flags_US!BD$41&gt;=C_Price_change_flags_US!$H$1,BC18+C_Price_change_flags_US!BD36,BC18)</f>
        <v>34.989999999999995</v>
      </c>
      <c r="BE18">
        <f>IF(C_Price_change_flags_US!BE$41&gt;=C_Price_change_flags_US!$H$1,BD18+C_Price_change_flags_US!BE36,BD18)</f>
        <v>34.989999999999995</v>
      </c>
      <c r="BF18">
        <f>IF(C_Price_change_flags_US!BF$41&gt;=C_Price_change_flags_US!$H$1,BE18+C_Price_change_flags_US!BF36,BE18)</f>
        <v>34.989999999999995</v>
      </c>
      <c r="BG18">
        <f>IF(C_Price_change_flags_US!BG$41&gt;=C_Price_change_flags_US!$H$1,BF18+C_Price_change_flags_US!BG36,BF18)</f>
        <v>34.989999999999995</v>
      </c>
      <c r="BH18">
        <f>IF(C_Price_change_flags_US!BH$41&gt;=C_Price_change_flags_US!$H$1,BG18+C_Price_change_flags_US!BH36,BG18)</f>
        <v>34.989999999999995</v>
      </c>
      <c r="BI18">
        <f>IF(C_Price_change_flags_US!BI$41&gt;=C_Price_change_flags_US!$H$1,BH18+C_Price_change_flags_US!BI36,BH18)</f>
        <v>34.989999999999995</v>
      </c>
      <c r="BJ18">
        <f>IF(C_Price_change_flags_US!BJ$41&gt;=C_Price_change_flags_US!$H$1,BI18+C_Price_change_flags_US!BJ36,BI18)</f>
        <v>34.989999999999995</v>
      </c>
      <c r="BK18">
        <f>IF(C_Price_change_flags_US!BK$41&gt;=C_Price_change_flags_US!$H$1,BJ18+C_Price_change_flags_US!BK36,BJ18)</f>
        <v>39.989999999999995</v>
      </c>
      <c r="BL18">
        <f>IF(C_Price_change_flags_US!BL$41&gt;=C_Price_change_flags_US!$H$1,BK18+C_Price_change_flags_US!BL36,BK18)</f>
        <v>39.989999999999995</v>
      </c>
    </row>
    <row r="19" spans="3:64">
      <c r="C19" t="s">
        <v>42</v>
      </c>
      <c r="D19" s="48">
        <f>INDEX(D_Assumptions!$E$25:$F$29,MATCH($C19,D_Assumptions!$C$25:$C$29,0),MATCH($B$1,D_Assumptions!$E$24:$F$24,0))</f>
        <v>49.99</v>
      </c>
      <c r="E19">
        <f>IF(C_Price_change_flags_US!E$41&gt;=C_Price_change_flags_US!$H$1,D19+C_Price_change_flags_US!E37,D19)</f>
        <v>49.99</v>
      </c>
      <c r="F19">
        <f>IF(C_Price_change_flags_US!F$41&gt;=C_Price_change_flags_US!$H$1,E19+C_Price_change_flags_US!F37,E19)</f>
        <v>49.99</v>
      </c>
      <c r="G19">
        <f>IF(C_Price_change_flags_US!G$41&gt;=C_Price_change_flags_US!$H$1,F19+C_Price_change_flags_US!G37,F19)</f>
        <v>49.99</v>
      </c>
      <c r="H19">
        <f>IF(C_Price_change_flags_US!H$41&gt;=C_Price_change_flags_US!$H$1,G19+C_Price_change_flags_US!H37,G19)</f>
        <v>49.99</v>
      </c>
      <c r="I19">
        <f>IF(C_Price_change_flags_US!I$41&gt;=C_Price_change_flags_US!$H$1,H19+C_Price_change_flags_US!I37,H19)</f>
        <v>49.99</v>
      </c>
      <c r="J19">
        <f>IF(C_Price_change_flags_US!J$41&gt;=C_Price_change_flags_US!$H$1,I19+C_Price_change_flags_US!J37,I19)</f>
        <v>49.99</v>
      </c>
      <c r="K19">
        <f>IF(C_Price_change_flags_US!K$41&gt;=C_Price_change_flags_US!$H$1,J19+C_Price_change_flags_US!K37,J19)</f>
        <v>49.99</v>
      </c>
      <c r="L19">
        <f>IF(C_Price_change_flags_US!L$41&gt;=C_Price_change_flags_US!$H$1,K19+C_Price_change_flags_US!L37,K19)</f>
        <v>49.99</v>
      </c>
      <c r="M19">
        <f>IF(C_Price_change_flags_US!M$41&gt;=C_Price_change_flags_US!$H$1,L19+C_Price_change_flags_US!M37,L19)</f>
        <v>49.99</v>
      </c>
      <c r="N19">
        <f>IF(C_Price_change_flags_US!N$41&gt;=C_Price_change_flags_US!$H$1,M19+C_Price_change_flags_US!N37,M19)</f>
        <v>49.99</v>
      </c>
      <c r="O19">
        <f>IF(C_Price_change_flags_US!O$41&gt;=C_Price_change_flags_US!$H$1,N19+C_Price_change_flags_US!O37,N19)</f>
        <v>49.99</v>
      </c>
      <c r="P19">
        <f>IF(C_Price_change_flags_US!P$41&gt;=C_Price_change_flags_US!$H$1,O19+C_Price_change_flags_US!P37,O19)</f>
        <v>49.99</v>
      </c>
      <c r="Q19">
        <f>IF(C_Price_change_flags_US!Q$41&gt;=C_Price_change_flags_US!$H$1,P19+C_Price_change_flags_US!Q37,P19)</f>
        <v>49.99</v>
      </c>
      <c r="R19">
        <f>IF(C_Price_change_flags_US!R$41&gt;=C_Price_change_flags_US!$H$1,Q19+C_Price_change_flags_US!R37,Q19)</f>
        <v>49.99</v>
      </c>
      <c r="S19">
        <f>IF(C_Price_change_flags_US!S$41&gt;=C_Price_change_flags_US!$H$1,R19+C_Price_change_flags_US!S37,R19)</f>
        <v>49.99</v>
      </c>
      <c r="T19">
        <f>IF(C_Price_change_flags_US!T$41&gt;=C_Price_change_flags_US!$H$1,S19+C_Price_change_flags_US!T37,S19)</f>
        <v>49.99</v>
      </c>
      <c r="U19">
        <f>IF(C_Price_change_flags_US!U$41&gt;=C_Price_change_flags_US!$H$1,T19+C_Price_change_flags_US!U37,T19)</f>
        <v>49.99</v>
      </c>
      <c r="V19">
        <f>IF(C_Price_change_flags_US!V$41&gt;=C_Price_change_flags_US!$H$1,U19+C_Price_change_flags_US!V37,U19)</f>
        <v>49.99</v>
      </c>
      <c r="W19">
        <f>IF(C_Price_change_flags_US!W$41&gt;=C_Price_change_flags_US!$H$1,V19+C_Price_change_flags_US!W37,V19)</f>
        <v>49.99</v>
      </c>
      <c r="X19">
        <f>IF(C_Price_change_flags_US!X$41&gt;=C_Price_change_flags_US!$H$1,W19+C_Price_change_flags_US!X37,W19)</f>
        <v>49.99</v>
      </c>
      <c r="Y19">
        <f>IF(C_Price_change_flags_US!Y$41&gt;=C_Price_change_flags_US!$H$1,X19+C_Price_change_flags_US!Y37,X19)</f>
        <v>49.99</v>
      </c>
      <c r="Z19">
        <f>IF(C_Price_change_flags_US!Z$41&gt;=C_Price_change_flags_US!$H$1,Y19+C_Price_change_flags_US!Z37,Y19)</f>
        <v>49.99</v>
      </c>
      <c r="AA19">
        <f>IF(C_Price_change_flags_US!AA$41&gt;=C_Price_change_flags_US!$H$1,Z19+C_Price_change_flags_US!AA37,Z19)</f>
        <v>49.99</v>
      </c>
      <c r="AB19">
        <f>IF(C_Price_change_flags_US!AB$41&gt;=C_Price_change_flags_US!$H$1,AA19+C_Price_change_flags_US!AB37,AA19)</f>
        <v>49.99</v>
      </c>
      <c r="AC19">
        <f>IF(C_Price_change_flags_US!AC$41&gt;=C_Price_change_flags_US!$H$1,AB19+C_Price_change_flags_US!AC37,AB19)</f>
        <v>54.99</v>
      </c>
      <c r="AD19">
        <f>IF(C_Price_change_flags_US!AD$41&gt;=C_Price_change_flags_US!$H$1,AC19+C_Price_change_flags_US!AD37,AC19)</f>
        <v>54.99</v>
      </c>
      <c r="AE19">
        <f>IF(C_Price_change_flags_US!AE$41&gt;=C_Price_change_flags_US!$H$1,AD19+C_Price_change_flags_US!AE37,AD19)</f>
        <v>54.99</v>
      </c>
      <c r="AF19">
        <f>IF(C_Price_change_flags_US!AF$41&gt;=C_Price_change_flags_US!$H$1,AE19+C_Price_change_flags_US!AF37,AE19)</f>
        <v>54.99</v>
      </c>
      <c r="AG19">
        <f>IF(C_Price_change_flags_US!AG$41&gt;=C_Price_change_flags_US!$H$1,AF19+C_Price_change_flags_US!AG37,AF19)</f>
        <v>54.99</v>
      </c>
      <c r="AH19">
        <f>IF(C_Price_change_flags_US!AH$41&gt;=C_Price_change_flags_US!$H$1,AG19+C_Price_change_flags_US!AH37,AG19)</f>
        <v>54.99</v>
      </c>
      <c r="AI19">
        <f>IF(C_Price_change_flags_US!AI$41&gt;=C_Price_change_flags_US!$H$1,AH19+C_Price_change_flags_US!AI37,AH19)</f>
        <v>54.99</v>
      </c>
      <c r="AJ19">
        <f>IF(C_Price_change_flags_US!AJ$41&gt;=C_Price_change_flags_US!$H$1,AI19+C_Price_change_flags_US!AJ37,AI19)</f>
        <v>54.99</v>
      </c>
      <c r="AK19">
        <f>IF(C_Price_change_flags_US!AK$41&gt;=C_Price_change_flags_US!$H$1,AJ19+C_Price_change_flags_US!AK37,AJ19)</f>
        <v>54.99</v>
      </c>
      <c r="AL19">
        <f>IF(C_Price_change_flags_US!AL$41&gt;=C_Price_change_flags_US!$H$1,AK19+C_Price_change_flags_US!AL37,AK19)</f>
        <v>54.99</v>
      </c>
      <c r="AM19">
        <f>IF(C_Price_change_flags_US!AM$41&gt;=C_Price_change_flags_US!$H$1,AL19+C_Price_change_flags_US!AM37,AL19)</f>
        <v>54.99</v>
      </c>
      <c r="AN19">
        <f>IF(C_Price_change_flags_US!AN$41&gt;=C_Price_change_flags_US!$H$1,AM19+C_Price_change_flags_US!AN37,AM19)</f>
        <v>54.99</v>
      </c>
      <c r="AO19">
        <f>IF(C_Price_change_flags_US!AO$41&gt;=C_Price_change_flags_US!$H$1,AN19+C_Price_change_flags_US!AO37,AN19)</f>
        <v>54.99</v>
      </c>
      <c r="AP19">
        <f>IF(C_Price_change_flags_US!AP$41&gt;=C_Price_change_flags_US!$H$1,AO19+C_Price_change_flags_US!AP37,AO19)</f>
        <v>54.99</v>
      </c>
      <c r="AQ19">
        <f>IF(C_Price_change_flags_US!AQ$41&gt;=C_Price_change_flags_US!$H$1,AP19+C_Price_change_flags_US!AQ37,AP19)</f>
        <v>59.99</v>
      </c>
      <c r="AR19">
        <f>IF(C_Price_change_flags_US!AR$41&gt;=C_Price_change_flags_US!$H$1,AQ19+C_Price_change_flags_US!AR37,AQ19)</f>
        <v>59.99</v>
      </c>
      <c r="AS19">
        <f>IF(C_Price_change_flags_US!AS$41&gt;=C_Price_change_flags_US!$H$1,AR19+C_Price_change_flags_US!AS37,AR19)</f>
        <v>59.99</v>
      </c>
      <c r="AT19">
        <f>IF(C_Price_change_flags_US!AT$41&gt;=C_Price_change_flags_US!$H$1,AS19+C_Price_change_flags_US!AT37,AS19)</f>
        <v>59.99</v>
      </c>
      <c r="AU19">
        <f>IF(C_Price_change_flags_US!AU$41&gt;=C_Price_change_flags_US!$H$1,AT19+C_Price_change_flags_US!AU37,AT19)</f>
        <v>59.99</v>
      </c>
      <c r="AV19">
        <f>IF(C_Price_change_flags_US!AV$41&gt;=C_Price_change_flags_US!$H$1,AU19+C_Price_change_flags_US!AV37,AU19)</f>
        <v>59.99</v>
      </c>
      <c r="AW19">
        <f>IF(C_Price_change_flags_US!AW$41&gt;=C_Price_change_flags_US!$H$1,AV19+C_Price_change_flags_US!AW37,AV19)</f>
        <v>59.99</v>
      </c>
      <c r="AX19">
        <f>IF(C_Price_change_flags_US!AX$41&gt;=C_Price_change_flags_US!$H$1,AW19+C_Price_change_flags_US!AX37,AW19)</f>
        <v>59.99</v>
      </c>
      <c r="AY19">
        <f>IF(C_Price_change_flags_US!AY$41&gt;=C_Price_change_flags_US!$H$1,AX19+C_Price_change_flags_US!AY37,AX19)</f>
        <v>59.99</v>
      </c>
      <c r="AZ19">
        <f>IF(C_Price_change_flags_US!AZ$41&gt;=C_Price_change_flags_US!$H$1,AY19+C_Price_change_flags_US!AZ37,AY19)</f>
        <v>59.99</v>
      </c>
      <c r="BA19">
        <f>IF(C_Price_change_flags_US!BA$41&gt;=C_Price_change_flags_US!$H$1,AZ19+C_Price_change_flags_US!BA37,AZ19)</f>
        <v>59.99</v>
      </c>
      <c r="BB19">
        <f>IF(C_Price_change_flags_US!BB$41&gt;=C_Price_change_flags_US!$H$1,BA19+C_Price_change_flags_US!BB37,BA19)</f>
        <v>59.99</v>
      </c>
      <c r="BC19">
        <f>IF(C_Price_change_flags_US!BC$41&gt;=C_Price_change_flags_US!$H$1,BB19+C_Price_change_flags_US!BC37,BB19)</f>
        <v>59.99</v>
      </c>
      <c r="BD19">
        <f>IF(C_Price_change_flags_US!BD$41&gt;=C_Price_change_flags_US!$H$1,BC19+C_Price_change_flags_US!BD37,BC19)</f>
        <v>59.99</v>
      </c>
      <c r="BE19">
        <f>IF(C_Price_change_flags_US!BE$41&gt;=C_Price_change_flags_US!$H$1,BD19+C_Price_change_flags_US!BE37,BD19)</f>
        <v>59.99</v>
      </c>
      <c r="BF19">
        <f>IF(C_Price_change_flags_US!BF$41&gt;=C_Price_change_flags_US!$H$1,BE19+C_Price_change_flags_US!BF37,BE19)</f>
        <v>59.99</v>
      </c>
      <c r="BG19">
        <f>IF(C_Price_change_flags_US!BG$41&gt;=C_Price_change_flags_US!$H$1,BF19+C_Price_change_flags_US!BG37,BF19)</f>
        <v>59.99</v>
      </c>
      <c r="BH19">
        <f>IF(C_Price_change_flags_US!BH$41&gt;=C_Price_change_flags_US!$H$1,BG19+C_Price_change_flags_US!BH37,BG19)</f>
        <v>59.99</v>
      </c>
      <c r="BI19">
        <f>IF(C_Price_change_flags_US!BI$41&gt;=C_Price_change_flags_US!$H$1,BH19+C_Price_change_flags_US!BI37,BH19)</f>
        <v>59.99</v>
      </c>
      <c r="BJ19">
        <f>IF(C_Price_change_flags_US!BJ$41&gt;=C_Price_change_flags_US!$H$1,BI19+C_Price_change_flags_US!BJ37,BI19)</f>
        <v>59.99</v>
      </c>
      <c r="BK19">
        <f>IF(C_Price_change_flags_US!BK$41&gt;=C_Price_change_flags_US!$H$1,BJ19+C_Price_change_flags_US!BK37,BJ19)</f>
        <v>64.990000000000009</v>
      </c>
      <c r="BL19">
        <f>IF(C_Price_change_flags_US!BL$41&gt;=C_Price_change_flags_US!$H$1,BK19+C_Price_change_flags_US!BL37,BK19)</f>
        <v>64.990000000000009</v>
      </c>
    </row>
    <row r="20" spans="3:64">
      <c r="C20" t="s">
        <v>27</v>
      </c>
      <c r="D20" s="48">
        <f>INDEX(D_Assumptions!$E$25:$F$29,MATCH($C20,D_Assumptions!$C$25:$C$29,0),MATCH($B$1,D_Assumptions!$E$24:$F$24,0))</f>
        <v>99.99</v>
      </c>
      <c r="E20">
        <f>IF(C_Price_change_flags_US!E$41&gt;=C_Price_change_flags_US!$H$1,D20+C_Price_change_flags_US!E38,D20)</f>
        <v>99.99</v>
      </c>
      <c r="F20">
        <f>IF(C_Price_change_flags_US!F$41&gt;=C_Price_change_flags_US!$H$1,E20+C_Price_change_flags_US!F38,E20)</f>
        <v>99.99</v>
      </c>
      <c r="G20">
        <f>IF(C_Price_change_flags_US!G$41&gt;=C_Price_change_flags_US!$H$1,F20+C_Price_change_flags_US!G38,F20)</f>
        <v>99.99</v>
      </c>
      <c r="H20">
        <f>IF(C_Price_change_flags_US!H$41&gt;=C_Price_change_flags_US!$H$1,G20+C_Price_change_flags_US!H38,G20)</f>
        <v>99.99</v>
      </c>
      <c r="I20">
        <f>IF(C_Price_change_flags_US!I$41&gt;=C_Price_change_flags_US!$H$1,H20+C_Price_change_flags_US!I38,H20)</f>
        <v>99.99</v>
      </c>
      <c r="J20">
        <f>IF(C_Price_change_flags_US!J$41&gt;=C_Price_change_flags_US!$H$1,I20+C_Price_change_flags_US!J38,I20)</f>
        <v>99.99</v>
      </c>
      <c r="K20">
        <f>IF(C_Price_change_flags_US!K$41&gt;=C_Price_change_flags_US!$H$1,J20+C_Price_change_flags_US!K38,J20)</f>
        <v>99.99</v>
      </c>
      <c r="L20">
        <f>IF(C_Price_change_flags_US!L$41&gt;=C_Price_change_flags_US!$H$1,K20+C_Price_change_flags_US!L38,K20)</f>
        <v>99.99</v>
      </c>
      <c r="M20">
        <f>IF(C_Price_change_flags_US!M$41&gt;=C_Price_change_flags_US!$H$1,L20+C_Price_change_flags_US!M38,L20)</f>
        <v>99.99</v>
      </c>
      <c r="N20">
        <f>IF(C_Price_change_flags_US!N$41&gt;=C_Price_change_flags_US!$H$1,M20+C_Price_change_flags_US!N38,M20)</f>
        <v>99.99</v>
      </c>
      <c r="O20">
        <f>IF(C_Price_change_flags_US!O$41&gt;=C_Price_change_flags_US!$H$1,N20+C_Price_change_flags_US!O38,N20)</f>
        <v>99.99</v>
      </c>
      <c r="P20">
        <f>IF(C_Price_change_flags_US!P$41&gt;=C_Price_change_flags_US!$H$1,O20+C_Price_change_flags_US!P38,O20)</f>
        <v>99.99</v>
      </c>
      <c r="Q20">
        <f>IF(C_Price_change_flags_US!Q$41&gt;=C_Price_change_flags_US!$H$1,P20+C_Price_change_flags_US!Q38,P20)</f>
        <v>99.99</v>
      </c>
      <c r="R20">
        <f>IF(C_Price_change_flags_US!R$41&gt;=C_Price_change_flags_US!$H$1,Q20+C_Price_change_flags_US!R38,Q20)</f>
        <v>99.99</v>
      </c>
      <c r="S20">
        <f>IF(C_Price_change_flags_US!S$41&gt;=C_Price_change_flags_US!$H$1,R20+C_Price_change_flags_US!S38,R20)</f>
        <v>99.99</v>
      </c>
      <c r="T20">
        <f>IF(C_Price_change_flags_US!T$41&gt;=C_Price_change_flags_US!$H$1,S20+C_Price_change_flags_US!T38,S20)</f>
        <v>99.99</v>
      </c>
      <c r="U20">
        <f>IF(C_Price_change_flags_US!U$41&gt;=C_Price_change_flags_US!$H$1,T20+C_Price_change_flags_US!U38,T20)</f>
        <v>99.99</v>
      </c>
      <c r="V20">
        <f>IF(C_Price_change_flags_US!V$41&gt;=C_Price_change_flags_US!$H$1,U20+C_Price_change_flags_US!V38,U20)</f>
        <v>99.99</v>
      </c>
      <c r="W20">
        <f>IF(C_Price_change_flags_US!W$41&gt;=C_Price_change_flags_US!$H$1,V20+C_Price_change_flags_US!W38,V20)</f>
        <v>99.99</v>
      </c>
      <c r="X20">
        <f>IF(C_Price_change_flags_US!X$41&gt;=C_Price_change_flags_US!$H$1,W20+C_Price_change_flags_US!X38,W20)</f>
        <v>99.99</v>
      </c>
      <c r="Y20">
        <f>IF(C_Price_change_flags_US!Y$41&gt;=C_Price_change_flags_US!$H$1,X20+C_Price_change_flags_US!Y38,X20)</f>
        <v>99.99</v>
      </c>
      <c r="Z20">
        <f>IF(C_Price_change_flags_US!Z$41&gt;=C_Price_change_flags_US!$H$1,Y20+C_Price_change_flags_US!Z38,Y20)</f>
        <v>99.99</v>
      </c>
      <c r="AA20">
        <f>IF(C_Price_change_flags_US!AA$41&gt;=C_Price_change_flags_US!$H$1,Z20+C_Price_change_flags_US!AA38,Z20)</f>
        <v>99.99</v>
      </c>
      <c r="AB20">
        <f>IF(C_Price_change_flags_US!AB$41&gt;=C_Price_change_flags_US!$H$1,AA20+C_Price_change_flags_US!AB38,AA20)</f>
        <v>99.99</v>
      </c>
      <c r="AC20">
        <f>IF(C_Price_change_flags_US!AC$41&gt;=C_Price_change_flags_US!$H$1,AB20+C_Price_change_flags_US!AC38,AB20)</f>
        <v>109.99</v>
      </c>
      <c r="AD20">
        <f>IF(C_Price_change_flags_US!AD$41&gt;=C_Price_change_flags_US!$H$1,AC20+C_Price_change_flags_US!AD38,AC20)</f>
        <v>109.99</v>
      </c>
      <c r="AE20">
        <f>IF(C_Price_change_flags_US!AE$41&gt;=C_Price_change_flags_US!$H$1,AD20+C_Price_change_flags_US!AE38,AD20)</f>
        <v>109.99</v>
      </c>
      <c r="AF20">
        <f>IF(C_Price_change_flags_US!AF$41&gt;=C_Price_change_flags_US!$H$1,AE20+C_Price_change_flags_US!AF38,AE20)</f>
        <v>109.99</v>
      </c>
      <c r="AG20">
        <f>IF(C_Price_change_flags_US!AG$41&gt;=C_Price_change_flags_US!$H$1,AF20+C_Price_change_flags_US!AG38,AF20)</f>
        <v>109.99</v>
      </c>
      <c r="AH20">
        <f>IF(C_Price_change_flags_US!AH$41&gt;=C_Price_change_flags_US!$H$1,AG20+C_Price_change_flags_US!AH38,AG20)</f>
        <v>109.99</v>
      </c>
      <c r="AI20">
        <f>IF(C_Price_change_flags_US!AI$41&gt;=C_Price_change_flags_US!$H$1,AH20+C_Price_change_flags_US!AI38,AH20)</f>
        <v>109.99</v>
      </c>
      <c r="AJ20">
        <f>IF(C_Price_change_flags_US!AJ$41&gt;=C_Price_change_flags_US!$H$1,AI20+C_Price_change_flags_US!AJ38,AI20)</f>
        <v>109.99</v>
      </c>
      <c r="AK20">
        <f>IF(C_Price_change_flags_US!AK$41&gt;=C_Price_change_flags_US!$H$1,AJ20+C_Price_change_flags_US!AK38,AJ20)</f>
        <v>109.99</v>
      </c>
      <c r="AL20">
        <f>IF(C_Price_change_flags_US!AL$41&gt;=C_Price_change_flags_US!$H$1,AK20+C_Price_change_flags_US!AL38,AK20)</f>
        <v>109.99</v>
      </c>
      <c r="AM20">
        <f>IF(C_Price_change_flags_US!AM$41&gt;=C_Price_change_flags_US!$H$1,AL20+C_Price_change_flags_US!AM38,AL20)</f>
        <v>109.99</v>
      </c>
      <c r="AN20">
        <f>IF(C_Price_change_flags_US!AN$41&gt;=C_Price_change_flags_US!$H$1,AM20+C_Price_change_flags_US!AN38,AM20)</f>
        <v>109.99</v>
      </c>
      <c r="AO20">
        <f>IF(C_Price_change_flags_US!AO$41&gt;=C_Price_change_flags_US!$H$1,AN20+C_Price_change_flags_US!AO38,AN20)</f>
        <v>109.99</v>
      </c>
      <c r="AP20">
        <f>IF(C_Price_change_flags_US!AP$41&gt;=C_Price_change_flags_US!$H$1,AO20+C_Price_change_flags_US!AP38,AO20)</f>
        <v>109.99</v>
      </c>
      <c r="AQ20">
        <f>IF(C_Price_change_flags_US!AQ$41&gt;=C_Price_change_flags_US!$H$1,AP20+C_Price_change_flags_US!AQ38,AP20)</f>
        <v>114.99</v>
      </c>
      <c r="AR20">
        <f>IF(C_Price_change_flags_US!AR$41&gt;=C_Price_change_flags_US!$H$1,AQ20+C_Price_change_flags_US!AR38,AQ20)</f>
        <v>114.99</v>
      </c>
      <c r="AS20">
        <f>IF(C_Price_change_flags_US!AS$41&gt;=C_Price_change_flags_US!$H$1,AR20+C_Price_change_flags_US!AS38,AR20)</f>
        <v>114.99</v>
      </c>
      <c r="AT20">
        <f>IF(C_Price_change_flags_US!AT$41&gt;=C_Price_change_flags_US!$H$1,AS20+C_Price_change_flags_US!AT38,AS20)</f>
        <v>114.99</v>
      </c>
      <c r="AU20">
        <f>IF(C_Price_change_flags_US!AU$41&gt;=C_Price_change_flags_US!$H$1,AT20+C_Price_change_flags_US!AU38,AT20)</f>
        <v>114.99</v>
      </c>
      <c r="AV20">
        <f>IF(C_Price_change_flags_US!AV$41&gt;=C_Price_change_flags_US!$H$1,AU20+C_Price_change_flags_US!AV38,AU20)</f>
        <v>114.99</v>
      </c>
      <c r="AW20">
        <f>IF(C_Price_change_flags_US!AW$41&gt;=C_Price_change_flags_US!$H$1,AV20+C_Price_change_flags_US!AW38,AV20)</f>
        <v>114.99</v>
      </c>
      <c r="AX20">
        <f>IF(C_Price_change_flags_US!AX$41&gt;=C_Price_change_flags_US!$H$1,AW20+C_Price_change_flags_US!AX38,AW20)</f>
        <v>114.99</v>
      </c>
      <c r="AY20">
        <f>IF(C_Price_change_flags_US!AY$41&gt;=C_Price_change_flags_US!$H$1,AX20+C_Price_change_flags_US!AY38,AX20)</f>
        <v>114.99</v>
      </c>
      <c r="AZ20">
        <f>IF(C_Price_change_flags_US!AZ$41&gt;=C_Price_change_flags_US!$H$1,AY20+C_Price_change_flags_US!AZ38,AY20)</f>
        <v>114.99</v>
      </c>
      <c r="BA20">
        <f>IF(C_Price_change_flags_US!BA$41&gt;=C_Price_change_flags_US!$H$1,AZ20+C_Price_change_flags_US!BA38,AZ20)</f>
        <v>114.99</v>
      </c>
      <c r="BB20">
        <f>IF(C_Price_change_flags_US!BB$41&gt;=C_Price_change_flags_US!$H$1,BA20+C_Price_change_flags_US!BB38,BA20)</f>
        <v>114.99</v>
      </c>
      <c r="BC20">
        <f>IF(C_Price_change_flags_US!BC$41&gt;=C_Price_change_flags_US!$H$1,BB20+C_Price_change_flags_US!BC38,BB20)</f>
        <v>114.99</v>
      </c>
      <c r="BD20">
        <f>IF(C_Price_change_flags_US!BD$41&gt;=C_Price_change_flags_US!$H$1,BC20+C_Price_change_flags_US!BD38,BC20)</f>
        <v>114.99</v>
      </c>
      <c r="BE20">
        <f>IF(C_Price_change_flags_US!BE$41&gt;=C_Price_change_flags_US!$H$1,BD20+C_Price_change_flags_US!BE38,BD20)</f>
        <v>114.99</v>
      </c>
      <c r="BF20">
        <f>IF(C_Price_change_flags_US!BF$41&gt;=C_Price_change_flags_US!$H$1,BE20+C_Price_change_flags_US!BF38,BE20)</f>
        <v>114.99</v>
      </c>
      <c r="BG20">
        <f>IF(C_Price_change_flags_US!BG$41&gt;=C_Price_change_flags_US!$H$1,BF20+C_Price_change_flags_US!BG38,BF20)</f>
        <v>114.99</v>
      </c>
      <c r="BH20">
        <f>IF(C_Price_change_flags_US!BH$41&gt;=C_Price_change_flags_US!$H$1,BG20+C_Price_change_flags_US!BH38,BG20)</f>
        <v>114.99</v>
      </c>
      <c r="BI20">
        <f>IF(C_Price_change_flags_US!BI$41&gt;=C_Price_change_flags_US!$H$1,BH20+C_Price_change_flags_US!BI38,BH20)</f>
        <v>114.99</v>
      </c>
      <c r="BJ20">
        <f>IF(C_Price_change_flags_US!BJ$41&gt;=C_Price_change_flags_US!$H$1,BI20+C_Price_change_flags_US!BJ38,BI20)</f>
        <v>114.99</v>
      </c>
      <c r="BK20">
        <f>IF(C_Price_change_flags_US!BK$41&gt;=C_Price_change_flags_US!$H$1,BJ20+C_Price_change_flags_US!BK38,BJ20)</f>
        <v>124.99</v>
      </c>
      <c r="BL20">
        <f>IF(C_Price_change_flags_US!BL$41&gt;=C_Price_change_flags_US!$H$1,BK20+C_Price_change_flags_US!BL38,BK20)</f>
        <v>124.99</v>
      </c>
    </row>
    <row r="22" spans="3:64">
      <c r="C22" s="46" t="s">
        <v>52</v>
      </c>
      <c r="D22" s="46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  <c r="BF22" s="47"/>
      <c r="BG22" s="47"/>
      <c r="BH22" s="47"/>
      <c r="BI22" s="47"/>
      <c r="BJ22" s="47"/>
      <c r="BK22" s="47"/>
      <c r="BL22" s="47"/>
    </row>
    <row r="23" spans="3:64">
      <c r="C23" t="s">
        <v>30</v>
      </c>
      <c r="D23" s="44"/>
      <c r="E23" s="44">
        <f t="shared" ref="E23:BL23" si="5">E9*E16</f>
        <v>1011502.485</v>
      </c>
      <c r="F23" s="44">
        <f t="shared" si="5"/>
        <v>981157.41045000008</v>
      </c>
      <c r="G23" s="44">
        <f t="shared" si="5"/>
        <v>951722.68813649996</v>
      </c>
      <c r="H23" s="44">
        <f t="shared" si="5"/>
        <v>923171.0074924049</v>
      </c>
      <c r="I23" s="44">
        <f t="shared" si="5"/>
        <v>895475.87726763275</v>
      </c>
      <c r="J23" s="44">
        <f t="shared" si="5"/>
        <v>716380.70181410632</v>
      </c>
      <c r="K23" s="44">
        <f t="shared" si="5"/>
        <v>716380.70181410632</v>
      </c>
      <c r="L23" s="44">
        <f t="shared" si="5"/>
        <v>1790951.7545352657</v>
      </c>
      <c r="M23" s="44">
        <f t="shared" si="5"/>
        <v>1432761.4036282129</v>
      </c>
      <c r="N23" s="44">
        <f t="shared" si="5"/>
        <v>1389778.5615193662</v>
      </c>
      <c r="O23" s="44">
        <f t="shared" si="5"/>
        <v>1348085.2046737855</v>
      </c>
      <c r="P23" s="44">
        <f t="shared" si="5"/>
        <v>1307642.6485335717</v>
      </c>
      <c r="Q23" s="44">
        <f t="shared" si="5"/>
        <v>1373024.7809602504</v>
      </c>
      <c r="R23" s="44">
        <f t="shared" si="5"/>
        <v>1331834.0375314427</v>
      </c>
      <c r="S23" s="44">
        <f t="shared" si="5"/>
        <v>1291879.0164054995</v>
      </c>
      <c r="T23" s="44">
        <f t="shared" si="5"/>
        <v>1253122.6459133346</v>
      </c>
      <c r="U23" s="44">
        <f t="shared" si="5"/>
        <v>1215528.9665359345</v>
      </c>
      <c r="V23" s="44">
        <f t="shared" si="5"/>
        <v>972423.17322874779</v>
      </c>
      <c r="W23" s="44">
        <f t="shared" si="5"/>
        <v>972423.17322874779</v>
      </c>
      <c r="X23" s="44">
        <f t="shared" si="5"/>
        <v>2431057.9330718694</v>
      </c>
      <c r="Y23" s="44">
        <f t="shared" si="5"/>
        <v>1944846.3464574956</v>
      </c>
      <c r="Z23" s="44">
        <f t="shared" si="5"/>
        <v>1886500.9560637707</v>
      </c>
      <c r="AA23" s="44">
        <f t="shared" si="5"/>
        <v>1829905.9273818575</v>
      </c>
      <c r="AB23" s="44">
        <f t="shared" si="5"/>
        <v>1775008.7495604015</v>
      </c>
      <c r="AC23" s="44">
        <f t="shared" si="5"/>
        <v>1863759.1870384216</v>
      </c>
      <c r="AD23" s="44">
        <f t="shared" si="5"/>
        <v>1807846.411427269</v>
      </c>
      <c r="AE23" s="44">
        <f t="shared" si="5"/>
        <v>1753611.0190844508</v>
      </c>
      <c r="AF23" s="44">
        <f t="shared" si="5"/>
        <v>1701002.6885119171</v>
      </c>
      <c r="AG23" s="44">
        <f t="shared" si="5"/>
        <v>1649972.6078565596</v>
      </c>
      <c r="AH23" s="44">
        <f t="shared" si="5"/>
        <v>1319978.0862852477</v>
      </c>
      <c r="AI23" s="44">
        <f t="shared" si="5"/>
        <v>1319978.0862852477</v>
      </c>
      <c r="AJ23" s="44">
        <f t="shared" si="5"/>
        <v>3299945.2157131191</v>
      </c>
      <c r="AK23" s="44">
        <f t="shared" si="5"/>
        <v>2639956.1725704954</v>
      </c>
      <c r="AL23" s="44">
        <f t="shared" si="5"/>
        <v>2560757.4873933801</v>
      </c>
      <c r="AM23" s="44">
        <f t="shared" si="5"/>
        <v>2483934.762771579</v>
      </c>
      <c r="AN23" s="44">
        <f t="shared" si="5"/>
        <v>2409416.7198884315</v>
      </c>
      <c r="AO23" s="44">
        <f t="shared" si="5"/>
        <v>2529887.555882853</v>
      </c>
      <c r="AP23" s="44">
        <f t="shared" si="5"/>
        <v>2453990.9292063671</v>
      </c>
      <c r="AQ23" s="44">
        <f t="shared" si="5"/>
        <v>2380371.2013301761</v>
      </c>
      <c r="AR23" s="44">
        <f t="shared" si="5"/>
        <v>2308960.0652902708</v>
      </c>
      <c r="AS23" s="44">
        <f t="shared" si="5"/>
        <v>2239691.2633315627</v>
      </c>
      <c r="AT23" s="44">
        <f t="shared" si="5"/>
        <v>1791753.0106652502</v>
      </c>
      <c r="AU23" s="44">
        <f t="shared" si="5"/>
        <v>1791753.0106652502</v>
      </c>
      <c r="AV23" s="44">
        <f t="shared" si="5"/>
        <v>4479382.5266631255</v>
      </c>
      <c r="AW23" s="44">
        <f t="shared" si="5"/>
        <v>3583506.0213305005</v>
      </c>
      <c r="AX23" s="44">
        <f t="shared" si="5"/>
        <v>3476000.8406905853</v>
      </c>
      <c r="AY23" s="44">
        <f t="shared" si="5"/>
        <v>3371720.8154698675</v>
      </c>
      <c r="AZ23" s="44">
        <f t="shared" si="5"/>
        <v>3270569.1910057715</v>
      </c>
      <c r="BA23" s="44">
        <f t="shared" si="5"/>
        <v>3434097.65055606</v>
      </c>
      <c r="BB23" s="44">
        <f t="shared" si="5"/>
        <v>3331074.7210393785</v>
      </c>
      <c r="BC23" s="44">
        <f t="shared" si="5"/>
        <v>3231142.4794081971</v>
      </c>
      <c r="BD23" s="44">
        <f t="shared" si="5"/>
        <v>3134208.2050259509</v>
      </c>
      <c r="BE23" s="44">
        <f t="shared" si="5"/>
        <v>3040181.9588751723</v>
      </c>
      <c r="BF23" s="44">
        <f t="shared" si="5"/>
        <v>2432145.5671001379</v>
      </c>
      <c r="BG23" s="44">
        <f t="shared" si="5"/>
        <v>2432145.5671001379</v>
      </c>
      <c r="BH23" s="44">
        <f t="shared" si="5"/>
        <v>6080363.9177503446</v>
      </c>
      <c r="BI23" s="44">
        <f t="shared" si="5"/>
        <v>4864291.1342002759</v>
      </c>
      <c r="BJ23" s="44">
        <f t="shared" si="5"/>
        <v>4718362.4001742685</v>
      </c>
      <c r="BK23" s="44">
        <f t="shared" si="5"/>
        <v>6867507.9887141054</v>
      </c>
      <c r="BL23" s="44">
        <f t="shared" si="5"/>
        <v>6661482.749052682</v>
      </c>
    </row>
    <row r="24" spans="3:64">
      <c r="C24" t="s">
        <v>29</v>
      </c>
      <c r="D24" s="44"/>
      <c r="E24" s="44">
        <f t="shared" ref="E24:BL27" si="6">E10*E17</f>
        <v>2884691.9324999996</v>
      </c>
      <c r="F24" s="44">
        <f t="shared" si="6"/>
        <v>2798151.1745249997</v>
      </c>
      <c r="G24" s="44">
        <f t="shared" si="6"/>
        <v>2714206.6392892492</v>
      </c>
      <c r="H24" s="44">
        <f t="shared" si="6"/>
        <v>2632780.4401105717</v>
      </c>
      <c r="I24" s="44">
        <f t="shared" si="6"/>
        <v>2553797.0269072545</v>
      </c>
      <c r="J24" s="44">
        <f t="shared" si="6"/>
        <v>2043037.6215258038</v>
      </c>
      <c r="K24" s="44">
        <f t="shared" si="6"/>
        <v>2043037.6215258038</v>
      </c>
      <c r="L24" s="44">
        <f t="shared" si="6"/>
        <v>5107594.0538145099</v>
      </c>
      <c r="M24" s="44">
        <f t="shared" si="6"/>
        <v>4086075.2430516081</v>
      </c>
      <c r="N24" s="44">
        <f t="shared" si="6"/>
        <v>3963492.9857600597</v>
      </c>
      <c r="O24" s="44">
        <f t="shared" si="6"/>
        <v>3844588.1961872573</v>
      </c>
      <c r="P24" s="44">
        <f t="shared" si="6"/>
        <v>3729250.5503016398</v>
      </c>
      <c r="Q24" s="44">
        <f t="shared" si="6"/>
        <v>3915713.077816722</v>
      </c>
      <c r="R24" s="44">
        <f t="shared" si="6"/>
        <v>3798241.6854822198</v>
      </c>
      <c r="S24" s="44">
        <f t="shared" si="6"/>
        <v>3684294.4349177536</v>
      </c>
      <c r="T24" s="44">
        <f t="shared" si="6"/>
        <v>3573765.6018702206</v>
      </c>
      <c r="U24" s="44">
        <f t="shared" si="6"/>
        <v>3466552.6338141137</v>
      </c>
      <c r="V24" s="44">
        <f t="shared" si="6"/>
        <v>2773242.107051291</v>
      </c>
      <c r="W24" s="44">
        <f t="shared" si="6"/>
        <v>2773242.107051291</v>
      </c>
      <c r="X24" s="44">
        <f t="shared" si="6"/>
        <v>6933105.2676282274</v>
      </c>
      <c r="Y24" s="44">
        <f t="shared" si="6"/>
        <v>5546484.2141025821</v>
      </c>
      <c r="Z24" s="44">
        <f t="shared" si="6"/>
        <v>5380089.687679504</v>
      </c>
      <c r="AA24" s="44">
        <f t="shared" si="6"/>
        <v>5218686.9970491193</v>
      </c>
      <c r="AB24" s="44">
        <f t="shared" si="6"/>
        <v>5062126.3871376459</v>
      </c>
      <c r="AC24" s="44">
        <f t="shared" si="6"/>
        <v>5315232.7064945279</v>
      </c>
      <c r="AD24" s="44">
        <f t="shared" si="6"/>
        <v>5155775.7252996918</v>
      </c>
      <c r="AE24" s="44">
        <f t="shared" si="6"/>
        <v>5001102.4535407014</v>
      </c>
      <c r="AF24" s="44">
        <f t="shared" si="6"/>
        <v>4851069.3799344804</v>
      </c>
      <c r="AG24" s="44">
        <f t="shared" si="6"/>
        <v>4705537.2985364459</v>
      </c>
      <c r="AH24" s="44">
        <f t="shared" si="6"/>
        <v>3764429.8388291569</v>
      </c>
      <c r="AI24" s="44">
        <f t="shared" si="6"/>
        <v>3764429.8388291569</v>
      </c>
      <c r="AJ24" s="44">
        <f t="shared" si="6"/>
        <v>9411074.5970728919</v>
      </c>
      <c r="AK24" s="44">
        <f t="shared" si="6"/>
        <v>7528859.6776583148</v>
      </c>
      <c r="AL24" s="44">
        <f t="shared" si="6"/>
        <v>7302993.8873285651</v>
      </c>
      <c r="AM24" s="44">
        <f t="shared" si="6"/>
        <v>7083904.0707087079</v>
      </c>
      <c r="AN24" s="44">
        <f t="shared" si="6"/>
        <v>6871386.9485874465</v>
      </c>
      <c r="AO24" s="44">
        <f t="shared" si="6"/>
        <v>7214956.2960168198</v>
      </c>
      <c r="AP24" s="44">
        <f t="shared" si="6"/>
        <v>6998507.6071363157</v>
      </c>
      <c r="AQ24" s="44">
        <f t="shared" si="6"/>
        <v>8486539.467196919</v>
      </c>
      <c r="AR24" s="44">
        <f t="shared" si="6"/>
        <v>8231943.2831810117</v>
      </c>
      <c r="AS24" s="44">
        <f t="shared" si="6"/>
        <v>7984984.9846855812</v>
      </c>
      <c r="AT24" s="44">
        <f t="shared" si="6"/>
        <v>6387987.9877484655</v>
      </c>
      <c r="AU24" s="44">
        <f t="shared" si="6"/>
        <v>6387987.9877484655</v>
      </c>
      <c r="AV24" s="44">
        <f t="shared" si="6"/>
        <v>15969969.969371162</v>
      </c>
      <c r="AW24" s="44">
        <f t="shared" si="6"/>
        <v>12775975.975496931</v>
      </c>
      <c r="AX24" s="44">
        <f t="shared" si="6"/>
        <v>12392696.696232023</v>
      </c>
      <c r="AY24" s="44">
        <f t="shared" si="6"/>
        <v>12020915.795345062</v>
      </c>
      <c r="AZ24" s="44">
        <f t="shared" si="6"/>
        <v>11660288.321484711</v>
      </c>
      <c r="BA24" s="44">
        <f t="shared" si="6"/>
        <v>12243302.737558946</v>
      </c>
      <c r="BB24" s="44">
        <f t="shared" si="6"/>
        <v>11876003.65543218</v>
      </c>
      <c r="BC24" s="44">
        <f t="shared" si="6"/>
        <v>11519723.545769213</v>
      </c>
      <c r="BD24" s="44">
        <f t="shared" si="6"/>
        <v>11174131.839396136</v>
      </c>
      <c r="BE24" s="44">
        <f t="shared" si="6"/>
        <v>10838907.884214252</v>
      </c>
      <c r="BF24" s="44">
        <f t="shared" si="6"/>
        <v>8671126.3073714022</v>
      </c>
      <c r="BG24" s="44">
        <f t="shared" si="6"/>
        <v>8671126.3073714022</v>
      </c>
      <c r="BH24" s="44">
        <f t="shared" si="6"/>
        <v>21677815.768428504</v>
      </c>
      <c r="BI24" s="44">
        <f t="shared" si="6"/>
        <v>17342252.614742804</v>
      </c>
      <c r="BJ24" s="44">
        <f t="shared" si="6"/>
        <v>16821985.036300518</v>
      </c>
      <c r="BK24" s="44">
        <f t="shared" si="6"/>
        <v>16317325.485211501</v>
      </c>
      <c r="BL24" s="44">
        <f t="shared" si="6"/>
        <v>15827805.720655156</v>
      </c>
    </row>
    <row r="25" spans="3:64">
      <c r="C25" t="s">
        <v>28</v>
      </c>
      <c r="D25" s="44"/>
      <c r="E25" s="44">
        <f t="shared" si="6"/>
        <v>2006983.2825</v>
      </c>
      <c r="F25" s="44">
        <f t="shared" si="6"/>
        <v>1946773.7840249997</v>
      </c>
      <c r="G25" s="44">
        <f t="shared" si="6"/>
        <v>1888370.5705042498</v>
      </c>
      <c r="H25" s="44">
        <f t="shared" si="6"/>
        <v>1831719.4533891222</v>
      </c>
      <c r="I25" s="44">
        <f t="shared" si="6"/>
        <v>1776767.8697874486</v>
      </c>
      <c r="J25" s="44">
        <f t="shared" si="6"/>
        <v>1421414.2958299587</v>
      </c>
      <c r="K25" s="44">
        <f t="shared" si="6"/>
        <v>1421414.2958299587</v>
      </c>
      <c r="L25" s="44">
        <f t="shared" si="6"/>
        <v>3553535.7395748971</v>
      </c>
      <c r="M25" s="44">
        <f t="shared" si="6"/>
        <v>2842828.5916599175</v>
      </c>
      <c r="N25" s="44">
        <f t="shared" si="6"/>
        <v>2757543.7339101201</v>
      </c>
      <c r="O25" s="44">
        <f t="shared" si="6"/>
        <v>2674817.4218928167</v>
      </c>
      <c r="P25" s="44">
        <f t="shared" si="6"/>
        <v>2594572.8992360318</v>
      </c>
      <c r="Q25" s="44">
        <f t="shared" si="6"/>
        <v>2724301.5441978336</v>
      </c>
      <c r="R25" s="44">
        <f t="shared" si="6"/>
        <v>2642572.4978718986</v>
      </c>
      <c r="S25" s="44">
        <f t="shared" si="6"/>
        <v>2563295.3229357414</v>
      </c>
      <c r="T25" s="44">
        <f t="shared" si="6"/>
        <v>2486396.4632476689</v>
      </c>
      <c r="U25" s="44">
        <f t="shared" si="6"/>
        <v>2411804.5693502394</v>
      </c>
      <c r="V25" s="44">
        <f t="shared" si="6"/>
        <v>1929443.6554801913</v>
      </c>
      <c r="W25" s="44">
        <f t="shared" si="6"/>
        <v>1929443.6554801913</v>
      </c>
      <c r="X25" s="44">
        <f t="shared" si="6"/>
        <v>4823609.1387004787</v>
      </c>
      <c r="Y25" s="44">
        <f t="shared" si="6"/>
        <v>3858887.3109603827</v>
      </c>
      <c r="Z25" s="44">
        <f t="shared" si="6"/>
        <v>3743120.6916315709</v>
      </c>
      <c r="AA25" s="44">
        <f t="shared" si="6"/>
        <v>3630827.0708826235</v>
      </c>
      <c r="AB25" s="44">
        <f t="shared" si="6"/>
        <v>3521902.2587561449</v>
      </c>
      <c r="AC25" s="44">
        <f t="shared" si="6"/>
        <v>4314535.7797789723</v>
      </c>
      <c r="AD25" s="44">
        <f t="shared" si="6"/>
        <v>4185099.7063856032</v>
      </c>
      <c r="AE25" s="44">
        <f t="shared" si="6"/>
        <v>4059546.7151940349</v>
      </c>
      <c r="AF25" s="44">
        <f t="shared" si="6"/>
        <v>3937760.3137382134</v>
      </c>
      <c r="AG25" s="44">
        <f t="shared" si="6"/>
        <v>3819627.5043260669</v>
      </c>
      <c r="AH25" s="44">
        <f t="shared" si="6"/>
        <v>3055702.0034608538</v>
      </c>
      <c r="AI25" s="44">
        <f t="shared" si="6"/>
        <v>3055702.0034608538</v>
      </c>
      <c r="AJ25" s="44">
        <f t="shared" si="6"/>
        <v>7639255.0086521348</v>
      </c>
      <c r="AK25" s="44">
        <f t="shared" si="6"/>
        <v>6111404.0069217086</v>
      </c>
      <c r="AL25" s="44">
        <f t="shared" si="6"/>
        <v>5928061.8867140571</v>
      </c>
      <c r="AM25" s="44">
        <f t="shared" si="6"/>
        <v>5750220.0301126344</v>
      </c>
      <c r="AN25" s="44">
        <f t="shared" si="6"/>
        <v>5577713.4292092556</v>
      </c>
      <c r="AO25" s="44">
        <f t="shared" si="6"/>
        <v>5856599.1006697183</v>
      </c>
      <c r="AP25" s="44">
        <f t="shared" si="6"/>
        <v>5680901.1276496276</v>
      </c>
      <c r="AQ25" s="44">
        <f t="shared" si="6"/>
        <v>5510474.0938201388</v>
      </c>
      <c r="AR25" s="44">
        <f t="shared" si="6"/>
        <v>5345159.8710055342</v>
      </c>
      <c r="AS25" s="44">
        <f t="shared" si="6"/>
        <v>5184805.0748753678</v>
      </c>
      <c r="AT25" s="44">
        <f t="shared" si="6"/>
        <v>4147844.0599002945</v>
      </c>
      <c r="AU25" s="44">
        <f t="shared" si="6"/>
        <v>4147844.0599002945</v>
      </c>
      <c r="AV25" s="44">
        <f t="shared" si="6"/>
        <v>10369610.149750736</v>
      </c>
      <c r="AW25" s="44">
        <f t="shared" si="6"/>
        <v>8295688.119800589</v>
      </c>
      <c r="AX25" s="44">
        <f t="shared" si="6"/>
        <v>8046817.4762065709</v>
      </c>
      <c r="AY25" s="44">
        <f t="shared" si="6"/>
        <v>7805412.9519203743</v>
      </c>
      <c r="AZ25" s="44">
        <f t="shared" si="6"/>
        <v>7571250.5633627623</v>
      </c>
      <c r="BA25" s="44">
        <f t="shared" si="6"/>
        <v>7949813.0915309004</v>
      </c>
      <c r="BB25" s="44">
        <f t="shared" si="6"/>
        <v>7711318.6987849735</v>
      </c>
      <c r="BC25" s="44">
        <f t="shared" si="6"/>
        <v>7479979.1378214238</v>
      </c>
      <c r="BD25" s="44">
        <f t="shared" si="6"/>
        <v>7255579.7636867808</v>
      </c>
      <c r="BE25" s="44">
        <f t="shared" si="6"/>
        <v>7037912.3707761765</v>
      </c>
      <c r="BF25" s="44">
        <f t="shared" si="6"/>
        <v>5630329.8966209413</v>
      </c>
      <c r="BG25" s="44">
        <f t="shared" si="6"/>
        <v>5630329.8966209413</v>
      </c>
      <c r="BH25" s="44">
        <f t="shared" si="6"/>
        <v>14075824.741552353</v>
      </c>
      <c r="BI25" s="44">
        <f t="shared" si="6"/>
        <v>11260659.793241883</v>
      </c>
      <c r="BJ25" s="44">
        <f t="shared" si="6"/>
        <v>10922839.999444626</v>
      </c>
      <c r="BK25" s="44">
        <f t="shared" si="6"/>
        <v>12109180.921133377</v>
      </c>
      <c r="BL25" s="44">
        <f t="shared" si="6"/>
        <v>11745905.493499376</v>
      </c>
    </row>
    <row r="26" spans="3:64">
      <c r="C26" t="s">
        <v>42</v>
      </c>
      <c r="D26" s="44"/>
      <c r="E26" s="44">
        <f t="shared" si="6"/>
        <v>1854978.9300000002</v>
      </c>
      <c r="F26" s="44">
        <f t="shared" si="6"/>
        <v>1799329.5621000002</v>
      </c>
      <c r="G26" s="44">
        <f t="shared" si="6"/>
        <v>1745349.6752370002</v>
      </c>
      <c r="H26" s="44">
        <f t="shared" si="6"/>
        <v>1692989.1849798902</v>
      </c>
      <c r="I26" s="44">
        <f t="shared" si="6"/>
        <v>1642199.5094304935</v>
      </c>
      <c r="J26" s="44">
        <f t="shared" si="6"/>
        <v>1313759.6075443949</v>
      </c>
      <c r="K26" s="44">
        <f t="shared" si="6"/>
        <v>1313759.6075443949</v>
      </c>
      <c r="L26" s="44">
        <f t="shared" si="6"/>
        <v>3284399.0188609869</v>
      </c>
      <c r="M26" s="44">
        <f t="shared" si="6"/>
        <v>2627519.2150887898</v>
      </c>
      <c r="N26" s="44">
        <f t="shared" si="6"/>
        <v>2548693.6386361262</v>
      </c>
      <c r="O26" s="44">
        <f t="shared" si="6"/>
        <v>2472232.8294770424</v>
      </c>
      <c r="P26" s="44">
        <f t="shared" si="6"/>
        <v>2398065.844592731</v>
      </c>
      <c r="Q26" s="44">
        <f t="shared" si="6"/>
        <v>2517969.1368223676</v>
      </c>
      <c r="R26" s="44">
        <f t="shared" si="6"/>
        <v>2442430.0627176967</v>
      </c>
      <c r="S26" s="44">
        <f t="shared" si="6"/>
        <v>2369157.1608361658</v>
      </c>
      <c r="T26" s="44">
        <f t="shared" si="6"/>
        <v>2298082.4460110804</v>
      </c>
      <c r="U26" s="44">
        <f t="shared" si="6"/>
        <v>2229139.9726307481</v>
      </c>
      <c r="V26" s="44">
        <f t="shared" si="6"/>
        <v>1783311.9781045986</v>
      </c>
      <c r="W26" s="44">
        <f t="shared" si="6"/>
        <v>1783311.9781045986</v>
      </c>
      <c r="X26" s="44">
        <f t="shared" si="6"/>
        <v>4458279.9452614961</v>
      </c>
      <c r="Y26" s="44">
        <f t="shared" si="6"/>
        <v>3566623.9562091972</v>
      </c>
      <c r="Z26" s="44">
        <f t="shared" si="6"/>
        <v>3459625.2375229211</v>
      </c>
      <c r="AA26" s="44">
        <f t="shared" si="6"/>
        <v>3355836.4803972333</v>
      </c>
      <c r="AB26" s="44">
        <f t="shared" si="6"/>
        <v>3255161.3859853162</v>
      </c>
      <c r="AC26" s="44">
        <f t="shared" si="6"/>
        <v>3759779.7728765584</v>
      </c>
      <c r="AD26" s="44">
        <f t="shared" si="6"/>
        <v>3646986.3796902611</v>
      </c>
      <c r="AE26" s="44">
        <f t="shared" si="6"/>
        <v>3537576.7882995531</v>
      </c>
      <c r="AF26" s="44">
        <f t="shared" si="6"/>
        <v>3431449.4846505662</v>
      </c>
      <c r="AG26" s="44">
        <f t="shared" si="6"/>
        <v>3328506.000111049</v>
      </c>
      <c r="AH26" s="44">
        <f t="shared" si="6"/>
        <v>2662804.8000888391</v>
      </c>
      <c r="AI26" s="44">
        <f t="shared" si="6"/>
        <v>2662804.8000888391</v>
      </c>
      <c r="AJ26" s="44">
        <f t="shared" si="6"/>
        <v>6657012.0002220981</v>
      </c>
      <c r="AK26" s="44">
        <f t="shared" si="6"/>
        <v>5325609.6001776783</v>
      </c>
      <c r="AL26" s="44">
        <f t="shared" si="6"/>
        <v>5165841.3121723486</v>
      </c>
      <c r="AM26" s="44">
        <f t="shared" si="6"/>
        <v>5010866.0728071779</v>
      </c>
      <c r="AN26" s="44">
        <f t="shared" si="6"/>
        <v>4860540.0906229625</v>
      </c>
      <c r="AO26" s="44">
        <f t="shared" si="6"/>
        <v>5103567.0951541103</v>
      </c>
      <c r="AP26" s="44">
        <f t="shared" si="6"/>
        <v>4950460.0822994877</v>
      </c>
      <c r="AQ26" s="44">
        <f t="shared" si="6"/>
        <v>5238566.236170793</v>
      </c>
      <c r="AR26" s="44">
        <f t="shared" si="6"/>
        <v>5081409.2490856694</v>
      </c>
      <c r="AS26" s="44">
        <f t="shared" si="6"/>
        <v>4928966.9716130989</v>
      </c>
      <c r="AT26" s="44">
        <f t="shared" si="6"/>
        <v>3943173.5772904791</v>
      </c>
      <c r="AU26" s="44">
        <f t="shared" si="6"/>
        <v>3943173.5772904791</v>
      </c>
      <c r="AV26" s="44">
        <f t="shared" si="6"/>
        <v>9857933.9432261977</v>
      </c>
      <c r="AW26" s="44">
        <f t="shared" si="6"/>
        <v>7886347.1545809582</v>
      </c>
      <c r="AX26" s="44">
        <f t="shared" si="6"/>
        <v>7649756.7399435295</v>
      </c>
      <c r="AY26" s="44">
        <f t="shared" si="6"/>
        <v>7420264.0377452234</v>
      </c>
      <c r="AZ26" s="44">
        <f t="shared" si="6"/>
        <v>7197656.1166128665</v>
      </c>
      <c r="BA26" s="44">
        <f t="shared" si="6"/>
        <v>7557538.92244351</v>
      </c>
      <c r="BB26" s="44">
        <f t="shared" si="6"/>
        <v>7330812.7547702044</v>
      </c>
      <c r="BC26" s="44">
        <f t="shared" si="6"/>
        <v>7110888.372127098</v>
      </c>
      <c r="BD26" s="44">
        <f t="shared" si="6"/>
        <v>6897561.7209632844</v>
      </c>
      <c r="BE26" s="44">
        <f t="shared" si="6"/>
        <v>6690634.8693343857</v>
      </c>
      <c r="BF26" s="44">
        <f t="shared" si="6"/>
        <v>5352507.8954675095</v>
      </c>
      <c r="BG26" s="44">
        <f t="shared" si="6"/>
        <v>5352507.8954675095</v>
      </c>
      <c r="BH26" s="44">
        <f t="shared" si="6"/>
        <v>13381269.738668773</v>
      </c>
      <c r="BI26" s="44">
        <f t="shared" si="6"/>
        <v>10705015.790935021</v>
      </c>
      <c r="BJ26" s="44">
        <f t="shared" si="6"/>
        <v>10383865.317206969</v>
      </c>
      <c r="BK26" s="44">
        <f t="shared" si="6"/>
        <v>10911851.72122558</v>
      </c>
      <c r="BL26" s="44">
        <f t="shared" si="6"/>
        <v>10584496.169588814</v>
      </c>
    </row>
    <row r="27" spans="3:64">
      <c r="C27" t="s">
        <v>27</v>
      </c>
      <c r="D27" s="44"/>
      <c r="E27" s="44">
        <f t="shared" si="6"/>
        <v>759809.01150000002</v>
      </c>
      <c r="F27" s="44">
        <f t="shared" si="6"/>
        <v>737014.74115499994</v>
      </c>
      <c r="G27" s="44">
        <f t="shared" si="6"/>
        <v>714904.29892034992</v>
      </c>
      <c r="H27" s="44">
        <f t="shared" si="6"/>
        <v>693457.1699527395</v>
      </c>
      <c r="I27" s="44">
        <f t="shared" si="6"/>
        <v>672653.45485415729</v>
      </c>
      <c r="J27" s="44">
        <f t="shared" si="6"/>
        <v>538122.76388332585</v>
      </c>
      <c r="K27" s="44">
        <f t="shared" si="6"/>
        <v>538122.76388332585</v>
      </c>
      <c r="L27" s="44">
        <f t="shared" si="6"/>
        <v>1345306.9097083146</v>
      </c>
      <c r="M27" s="44">
        <f t="shared" si="6"/>
        <v>1076245.5277666519</v>
      </c>
      <c r="N27" s="44">
        <f t="shared" si="6"/>
        <v>1043958.1619336522</v>
      </c>
      <c r="O27" s="44">
        <f t="shared" si="6"/>
        <v>1012639.4170756426</v>
      </c>
      <c r="P27" s="44">
        <f t="shared" si="6"/>
        <v>982260.23456337326</v>
      </c>
      <c r="Q27" s="44">
        <f t="shared" si="6"/>
        <v>1031373.2462915418</v>
      </c>
      <c r="R27" s="44">
        <f t="shared" si="6"/>
        <v>1000432.0489027957</v>
      </c>
      <c r="S27" s="44">
        <f t="shared" si="6"/>
        <v>970419.08743571187</v>
      </c>
      <c r="T27" s="44">
        <f t="shared" si="6"/>
        <v>941306.51481264038</v>
      </c>
      <c r="U27" s="44">
        <f t="shared" si="6"/>
        <v>913067.31936826115</v>
      </c>
      <c r="V27" s="44">
        <f t="shared" si="6"/>
        <v>730453.85549460899</v>
      </c>
      <c r="W27" s="44">
        <f t="shared" si="6"/>
        <v>730453.85549460899</v>
      </c>
      <c r="X27" s="44">
        <f t="shared" si="6"/>
        <v>1826134.6387365223</v>
      </c>
      <c r="Y27" s="44">
        <f t="shared" si="6"/>
        <v>1460907.710989218</v>
      </c>
      <c r="Z27" s="44">
        <f t="shared" si="6"/>
        <v>1417080.4796595413</v>
      </c>
      <c r="AA27" s="44">
        <f t="shared" si="6"/>
        <v>1374568.065269755</v>
      </c>
      <c r="AB27" s="44">
        <f t="shared" si="6"/>
        <v>1333331.0233116623</v>
      </c>
      <c r="AC27" s="44">
        <f t="shared" si="6"/>
        <v>1540011.3333008524</v>
      </c>
      <c r="AD27" s="44">
        <f t="shared" si="6"/>
        <v>1493810.9933018268</v>
      </c>
      <c r="AE27" s="44">
        <f t="shared" si="6"/>
        <v>1448996.6635027719</v>
      </c>
      <c r="AF27" s="44">
        <f t="shared" si="6"/>
        <v>1405526.7635976886</v>
      </c>
      <c r="AG27" s="44">
        <f t="shared" si="6"/>
        <v>1363360.9606897577</v>
      </c>
      <c r="AH27" s="44">
        <f t="shared" si="6"/>
        <v>1090688.7685518065</v>
      </c>
      <c r="AI27" s="44">
        <f t="shared" si="6"/>
        <v>1090688.7685518065</v>
      </c>
      <c r="AJ27" s="44">
        <f t="shared" si="6"/>
        <v>2726721.9213795159</v>
      </c>
      <c r="AK27" s="44">
        <f t="shared" si="6"/>
        <v>2181377.5371036134</v>
      </c>
      <c r="AL27" s="44">
        <f t="shared" si="6"/>
        <v>2115936.2109905048</v>
      </c>
      <c r="AM27" s="44">
        <f t="shared" si="6"/>
        <v>2052458.1246607893</v>
      </c>
      <c r="AN27" s="44">
        <f t="shared" si="6"/>
        <v>1990884.3809209657</v>
      </c>
      <c r="AO27" s="44">
        <f t="shared" si="6"/>
        <v>2090428.599967014</v>
      </c>
      <c r="AP27" s="44">
        <f t="shared" si="6"/>
        <v>2027715.7419680036</v>
      </c>
      <c r="AQ27" s="44">
        <f t="shared" si="6"/>
        <v>2056296.2285101712</v>
      </c>
      <c r="AR27" s="44">
        <f t="shared" si="6"/>
        <v>1994607.3416548658</v>
      </c>
      <c r="AS27" s="44">
        <f t="shared" si="6"/>
        <v>1934769.1214052197</v>
      </c>
      <c r="AT27" s="44">
        <f t="shared" si="6"/>
        <v>1547815.2971241756</v>
      </c>
      <c r="AU27" s="44">
        <f t="shared" si="6"/>
        <v>1547815.2971241756</v>
      </c>
      <c r="AV27" s="44">
        <f t="shared" si="6"/>
        <v>3869538.2428104393</v>
      </c>
      <c r="AW27" s="44">
        <f t="shared" si="6"/>
        <v>3095630.5942483512</v>
      </c>
      <c r="AX27" s="44">
        <f t="shared" si="6"/>
        <v>3002761.676420901</v>
      </c>
      <c r="AY27" s="44">
        <f t="shared" si="6"/>
        <v>2912678.8261282737</v>
      </c>
      <c r="AZ27" s="44">
        <f t="shared" si="6"/>
        <v>2825298.4613444256</v>
      </c>
      <c r="BA27" s="44">
        <f t="shared" si="6"/>
        <v>2966563.384411647</v>
      </c>
      <c r="BB27" s="44">
        <f t="shared" si="6"/>
        <v>2877566.4828792973</v>
      </c>
      <c r="BC27" s="44">
        <f t="shared" si="6"/>
        <v>2791239.4883929184</v>
      </c>
      <c r="BD27" s="44">
        <f t="shared" si="6"/>
        <v>2707502.3037411305</v>
      </c>
      <c r="BE27" s="44">
        <f t="shared" si="6"/>
        <v>2626277.2346288967</v>
      </c>
      <c r="BF27" s="44">
        <f t="shared" si="6"/>
        <v>2101021.7877031178</v>
      </c>
      <c r="BG27" s="44">
        <f t="shared" si="6"/>
        <v>2101021.7877031178</v>
      </c>
      <c r="BH27" s="44">
        <f t="shared" si="6"/>
        <v>5252554.4692577943</v>
      </c>
      <c r="BI27" s="44">
        <f t="shared" si="6"/>
        <v>4202043.5754062356</v>
      </c>
      <c r="BJ27" s="44">
        <f t="shared" si="6"/>
        <v>4075982.2681440478</v>
      </c>
      <c r="BK27" s="44">
        <f t="shared" si="6"/>
        <v>4297532.9418598553</v>
      </c>
      <c r="BL27" s="44">
        <f t="shared" si="6"/>
        <v>4168606.9536040598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D137F-BB0B-4CF5-A474-CE1CE88861C7}">
  <sheetPr codeName="Feuil15">
    <tabColor theme="9"/>
  </sheetPr>
  <dimension ref="A1:BN41"/>
  <sheetViews>
    <sheetView zoomScale="85" zoomScaleNormal="85" workbookViewId="0">
      <selection activeCell="B5" sqref="B5"/>
    </sheetView>
  </sheetViews>
  <sheetFormatPr baseColWidth="10" defaultRowHeight="14.5"/>
  <sheetData>
    <row r="1" spans="1:66">
      <c r="A1" t="s">
        <v>61</v>
      </c>
      <c r="B1" t="s">
        <v>25</v>
      </c>
      <c r="D1" t="s">
        <v>66</v>
      </c>
      <c r="E1">
        <f>INDEX(D_Assumptions!$E$30:$F$30,1,MATCH(B1,D_Assumptions!$E$24:$F$24,0))</f>
        <v>5</v>
      </c>
      <c r="G1" t="s">
        <v>67</v>
      </c>
      <c r="H1">
        <f>INDEX(D_Assumptions!$E$31:$F$31,1,MATCH(B1,D_Assumptions!$E$24:$F$24,0))</f>
        <v>3</v>
      </c>
    </row>
    <row r="2" spans="1:66">
      <c r="C2" s="62" t="s">
        <v>45</v>
      </c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</row>
    <row r="3" spans="1:66">
      <c r="C3" s="62" t="s">
        <v>46</v>
      </c>
      <c r="D3" s="62">
        <v>2021</v>
      </c>
      <c r="E3" s="63">
        <v>2022</v>
      </c>
      <c r="F3" s="63">
        <v>2022</v>
      </c>
      <c r="G3" s="63">
        <v>2022</v>
      </c>
      <c r="H3" s="63">
        <v>2022</v>
      </c>
      <c r="I3" s="63">
        <v>2022</v>
      </c>
      <c r="J3" s="63">
        <v>2022</v>
      </c>
      <c r="K3" s="63">
        <v>2022</v>
      </c>
      <c r="L3" s="63">
        <v>2022</v>
      </c>
      <c r="M3" s="63">
        <v>2022</v>
      </c>
      <c r="N3" s="63">
        <v>2022</v>
      </c>
      <c r="O3" s="63">
        <v>2022</v>
      </c>
      <c r="P3" s="63">
        <v>2022</v>
      </c>
      <c r="Q3" s="63">
        <v>2023</v>
      </c>
      <c r="R3" s="63">
        <v>2023</v>
      </c>
      <c r="S3" s="63">
        <v>2023</v>
      </c>
      <c r="T3" s="63">
        <v>2023</v>
      </c>
      <c r="U3" s="63">
        <v>2023</v>
      </c>
      <c r="V3" s="63">
        <v>2023</v>
      </c>
      <c r="W3" s="63">
        <v>2023</v>
      </c>
      <c r="X3" s="63">
        <v>2023</v>
      </c>
      <c r="Y3" s="63">
        <v>2023</v>
      </c>
      <c r="Z3" s="63">
        <v>2023</v>
      </c>
      <c r="AA3" s="63">
        <v>2023</v>
      </c>
      <c r="AB3" s="63">
        <v>2023</v>
      </c>
      <c r="AC3" s="63">
        <v>2024</v>
      </c>
      <c r="AD3" s="63">
        <v>2024</v>
      </c>
      <c r="AE3" s="63">
        <v>2024</v>
      </c>
      <c r="AF3" s="63">
        <v>2024</v>
      </c>
      <c r="AG3" s="63">
        <v>2024</v>
      </c>
      <c r="AH3" s="63">
        <v>2024</v>
      </c>
      <c r="AI3" s="63">
        <v>2024</v>
      </c>
      <c r="AJ3" s="63">
        <v>2024</v>
      </c>
      <c r="AK3" s="63">
        <v>2024</v>
      </c>
      <c r="AL3" s="63">
        <v>2024</v>
      </c>
      <c r="AM3" s="63">
        <v>2024</v>
      </c>
      <c r="AN3" s="63">
        <v>2024</v>
      </c>
      <c r="AO3" s="63">
        <v>2025</v>
      </c>
      <c r="AP3" s="63">
        <v>2025</v>
      </c>
      <c r="AQ3" s="63">
        <v>2025</v>
      </c>
      <c r="AR3" s="63">
        <v>2025</v>
      </c>
      <c r="AS3" s="63">
        <v>2025</v>
      </c>
      <c r="AT3" s="63">
        <v>2025</v>
      </c>
      <c r="AU3" s="63">
        <v>2025</v>
      </c>
      <c r="AV3" s="63">
        <v>2025</v>
      </c>
      <c r="AW3" s="63">
        <v>2025</v>
      </c>
      <c r="AX3" s="63">
        <v>2025</v>
      </c>
      <c r="AY3" s="63">
        <v>2025</v>
      </c>
      <c r="AZ3" s="63">
        <v>2025</v>
      </c>
      <c r="BA3" s="63">
        <v>2026</v>
      </c>
      <c r="BB3" s="63">
        <v>2026</v>
      </c>
      <c r="BC3" s="63">
        <v>2026</v>
      </c>
      <c r="BD3" s="63">
        <v>2026</v>
      </c>
      <c r="BE3" s="63">
        <v>2026</v>
      </c>
      <c r="BF3" s="63">
        <v>2026</v>
      </c>
      <c r="BG3" s="63">
        <v>2026</v>
      </c>
      <c r="BH3" s="63">
        <v>2026</v>
      </c>
      <c r="BI3" s="63">
        <v>2026</v>
      </c>
      <c r="BJ3" s="63">
        <v>2026</v>
      </c>
      <c r="BK3" s="63">
        <v>2026</v>
      </c>
      <c r="BL3" s="63">
        <v>2026</v>
      </c>
    </row>
    <row r="4" spans="1:66">
      <c r="C4" s="62" t="s">
        <v>47</v>
      </c>
      <c r="D4" s="62" t="s">
        <v>53</v>
      </c>
      <c r="E4" s="62" t="s">
        <v>12</v>
      </c>
      <c r="F4" s="62" t="s">
        <v>13</v>
      </c>
      <c r="G4" s="62" t="s">
        <v>14</v>
      </c>
      <c r="H4" s="62" t="s">
        <v>15</v>
      </c>
      <c r="I4" s="62" t="s">
        <v>16</v>
      </c>
      <c r="J4" s="62" t="s">
        <v>17</v>
      </c>
      <c r="K4" s="62" t="s">
        <v>18</v>
      </c>
      <c r="L4" s="62" t="s">
        <v>19</v>
      </c>
      <c r="M4" s="62" t="s">
        <v>20</v>
      </c>
      <c r="N4" s="62" t="s">
        <v>21</v>
      </c>
      <c r="O4" s="62" t="s">
        <v>22</v>
      </c>
      <c r="P4" s="62" t="s">
        <v>23</v>
      </c>
      <c r="Q4" s="62" t="s">
        <v>12</v>
      </c>
      <c r="R4" s="62" t="s">
        <v>13</v>
      </c>
      <c r="S4" s="62" t="s">
        <v>14</v>
      </c>
      <c r="T4" s="62" t="s">
        <v>15</v>
      </c>
      <c r="U4" s="62" t="s">
        <v>16</v>
      </c>
      <c r="V4" s="62" t="s">
        <v>17</v>
      </c>
      <c r="W4" s="62" t="s">
        <v>18</v>
      </c>
      <c r="X4" s="62" t="s">
        <v>19</v>
      </c>
      <c r="Y4" s="62" t="s">
        <v>20</v>
      </c>
      <c r="Z4" s="62" t="s">
        <v>21</v>
      </c>
      <c r="AA4" s="62" t="s">
        <v>22</v>
      </c>
      <c r="AB4" s="62" t="s">
        <v>23</v>
      </c>
      <c r="AC4" s="62" t="s">
        <v>12</v>
      </c>
      <c r="AD4" s="62" t="s">
        <v>13</v>
      </c>
      <c r="AE4" s="62" t="s">
        <v>14</v>
      </c>
      <c r="AF4" s="62" t="s">
        <v>15</v>
      </c>
      <c r="AG4" s="62" t="s">
        <v>16</v>
      </c>
      <c r="AH4" s="62" t="s">
        <v>17</v>
      </c>
      <c r="AI4" s="62" t="s">
        <v>18</v>
      </c>
      <c r="AJ4" s="62" t="s">
        <v>19</v>
      </c>
      <c r="AK4" s="62" t="s">
        <v>20</v>
      </c>
      <c r="AL4" s="62" t="s">
        <v>21</v>
      </c>
      <c r="AM4" s="62" t="s">
        <v>22</v>
      </c>
      <c r="AN4" s="62" t="s">
        <v>23</v>
      </c>
      <c r="AO4" s="62" t="s">
        <v>12</v>
      </c>
      <c r="AP4" s="62" t="s">
        <v>13</v>
      </c>
      <c r="AQ4" s="62" t="s">
        <v>14</v>
      </c>
      <c r="AR4" s="62" t="s">
        <v>15</v>
      </c>
      <c r="AS4" s="62" t="s">
        <v>16</v>
      </c>
      <c r="AT4" s="62" t="s">
        <v>17</v>
      </c>
      <c r="AU4" s="62" t="s">
        <v>18</v>
      </c>
      <c r="AV4" s="62" t="s">
        <v>19</v>
      </c>
      <c r="AW4" s="62" t="s">
        <v>20</v>
      </c>
      <c r="AX4" s="62" t="s">
        <v>21</v>
      </c>
      <c r="AY4" s="62" t="s">
        <v>22</v>
      </c>
      <c r="AZ4" s="62" t="s">
        <v>23</v>
      </c>
      <c r="BA4" s="62" t="s">
        <v>12</v>
      </c>
      <c r="BB4" s="62" t="s">
        <v>13</v>
      </c>
      <c r="BC4" s="62" t="s">
        <v>14</v>
      </c>
      <c r="BD4" s="62" t="s">
        <v>15</v>
      </c>
      <c r="BE4" s="62" t="s">
        <v>16</v>
      </c>
      <c r="BF4" s="62" t="s">
        <v>17</v>
      </c>
      <c r="BG4" s="62" t="s">
        <v>18</v>
      </c>
      <c r="BH4" s="62" t="s">
        <v>19</v>
      </c>
      <c r="BI4" s="62" t="s">
        <v>20</v>
      </c>
      <c r="BJ4" s="62" t="s">
        <v>21</v>
      </c>
      <c r="BK4" s="62" t="s">
        <v>22</v>
      </c>
      <c r="BL4" s="62" t="s">
        <v>23</v>
      </c>
    </row>
    <row r="6" spans="1:66">
      <c r="C6" s="46" t="s">
        <v>60</v>
      </c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</row>
    <row r="7" spans="1:66">
      <c r="D7" s="50">
        <v>1</v>
      </c>
      <c r="E7" s="53">
        <f>(((E3&lt;&gt;D3)*$D7+(E3=D3)*D7+INDEX(D_Assumptions!$F$41:$J$42,MATCH($B$1,D_Assumptions!$C$41:$C$42,0),MATCH(E$3,D_Assumptions!$F$40:$J$40,0))/Constants!$D$5))</f>
        <v>1.0035583333333333</v>
      </c>
      <c r="F7" s="53">
        <f>(((F3&lt;&gt;E3)*$D7+(F3=E3)*E7+INDEX(D_Assumptions!$F$41:$J$42,MATCH($B$1,D_Assumptions!$C$41:$C$42,0),MATCH(F$3,D_Assumptions!$F$40:$J$40,0))/Constants!$D$5))</f>
        <v>1.0071166666666667</v>
      </c>
      <c r="G7" s="53">
        <f>(((G3&lt;&gt;F3)*$D7+(G3=F3)*F7+INDEX(D_Assumptions!$F$41:$J$42,MATCH($B$1,D_Assumptions!$C$41:$C$42,0),MATCH(G$3,D_Assumptions!$F$40:$J$40,0))/Constants!$D$5))</f>
        <v>1.010675</v>
      </c>
      <c r="H7" s="53">
        <f>(((H3&lt;&gt;G3)*$D7+(H3=G3)*G7+INDEX(D_Assumptions!$F$41:$J$42,MATCH($B$1,D_Assumptions!$C$41:$C$42,0),MATCH(H$3,D_Assumptions!$F$40:$J$40,0))/Constants!$D$5))</f>
        <v>1.0142333333333333</v>
      </c>
      <c r="I7" s="53">
        <f>(((I3&lt;&gt;H3)*$D7+(I3=H3)*H7+INDEX(D_Assumptions!$F$41:$J$42,MATCH($B$1,D_Assumptions!$C$41:$C$42,0),MATCH(I$3,D_Assumptions!$F$40:$J$40,0))/Constants!$D$5))</f>
        <v>1.0177916666666667</v>
      </c>
      <c r="J7" s="53">
        <f>(((J3&lt;&gt;I3)*$D7+(J3=I3)*I7+INDEX(D_Assumptions!$F$41:$J$42,MATCH($B$1,D_Assumptions!$C$41:$C$42,0),MATCH(J$3,D_Assumptions!$F$40:$J$40,0))/Constants!$D$5))</f>
        <v>1.02135</v>
      </c>
      <c r="K7" s="53">
        <f>(((K3&lt;&gt;J3)*$D7+(K3=J3)*J7+INDEX(D_Assumptions!$F$41:$J$42,MATCH($B$1,D_Assumptions!$C$41:$C$42,0),MATCH(K$3,D_Assumptions!$F$40:$J$40,0))/Constants!$D$5))</f>
        <v>1.0249083333333333</v>
      </c>
      <c r="L7" s="53">
        <f>(((L3&lt;&gt;K3)*$D7+(L3=K3)*K7+INDEX(D_Assumptions!$F$41:$J$42,MATCH($B$1,D_Assumptions!$C$41:$C$42,0),MATCH(L$3,D_Assumptions!$F$40:$J$40,0))/Constants!$D$5))</f>
        <v>1.0284666666666666</v>
      </c>
      <c r="M7" s="53">
        <f>(((M3&lt;&gt;L3)*$D7+(M3=L3)*L7+INDEX(D_Assumptions!$F$41:$J$42,MATCH($B$1,D_Assumptions!$C$41:$C$42,0),MATCH(M$3,D_Assumptions!$F$40:$J$40,0))/Constants!$D$5))</f>
        <v>1.032025</v>
      </c>
      <c r="N7" s="53">
        <f>(((N3&lt;&gt;M3)*$D7+(N3=M3)*M7+INDEX(D_Assumptions!$F$41:$J$42,MATCH($B$1,D_Assumptions!$C$41:$C$42,0),MATCH(N$3,D_Assumptions!$F$40:$J$40,0))/Constants!$D$5))</f>
        <v>1.0355833333333333</v>
      </c>
      <c r="O7" s="53">
        <f>(((O3&lt;&gt;N3)*$D7+(O3=N3)*N7+INDEX(D_Assumptions!$F$41:$J$42,MATCH($B$1,D_Assumptions!$C$41:$C$42,0),MATCH(O$3,D_Assumptions!$F$40:$J$40,0))/Constants!$D$5))</f>
        <v>1.0391416666666666</v>
      </c>
      <c r="P7" s="53">
        <f>(((P3&lt;&gt;O3)*$D7+(P3=O3)*O7+INDEX(D_Assumptions!$F$41:$J$42,MATCH($B$1,D_Assumptions!$C$41:$C$42,0),MATCH(P$3,D_Assumptions!$F$40:$J$40,0))/Constants!$D$5))</f>
        <v>1.0427</v>
      </c>
      <c r="Q7" s="53">
        <f>(((Q3&lt;&gt;P3)*$D7+(Q3=P3)*P7+INDEX(D_Assumptions!$F$41:$J$42,MATCH($B$1,D_Assumptions!$C$41:$C$42,0),MATCH(Q$3,D_Assumptions!$F$40:$J$40,0))/Constants!$D$5))</f>
        <v>1.0031416666666666</v>
      </c>
      <c r="R7" s="53">
        <f>(((R3&lt;&gt;Q3)*$D7+(R3=Q3)*Q7+INDEX(D_Assumptions!$F$41:$J$42,MATCH($B$1,D_Assumptions!$C$41:$C$42,0),MATCH(R$3,D_Assumptions!$F$40:$J$40,0))/Constants!$D$5))</f>
        <v>1.0062833333333332</v>
      </c>
      <c r="S7" s="53">
        <f>(((S3&lt;&gt;R3)*$D7+(S3=R3)*R7+INDEX(D_Assumptions!$F$41:$J$42,MATCH($B$1,D_Assumptions!$C$41:$C$42,0),MATCH(S$3,D_Assumptions!$F$40:$J$40,0))/Constants!$D$5))</f>
        <v>1.0094249999999998</v>
      </c>
      <c r="T7" s="53">
        <f>(((T3&lt;&gt;S3)*$D7+(T3=S3)*S7+INDEX(D_Assumptions!$F$41:$J$42,MATCH($B$1,D_Assumptions!$C$41:$C$42,0),MATCH(T$3,D_Assumptions!$F$40:$J$40,0))/Constants!$D$5))</f>
        <v>1.0125666666666664</v>
      </c>
      <c r="U7" s="53">
        <f>(((U3&lt;&gt;T3)*$D7+(U3=T3)*T7+INDEX(D_Assumptions!$F$41:$J$42,MATCH($B$1,D_Assumptions!$C$41:$C$42,0),MATCH(U$3,D_Assumptions!$F$40:$J$40,0))/Constants!$D$5))</f>
        <v>1.015708333333333</v>
      </c>
      <c r="V7" s="53">
        <f>(((V3&lt;&gt;U3)*$D7+(V3=U3)*U7+INDEX(D_Assumptions!$F$41:$J$42,MATCH($B$1,D_Assumptions!$C$41:$C$42,0),MATCH(V$3,D_Assumptions!$F$40:$J$40,0))/Constants!$D$5))</f>
        <v>1.0188499999999996</v>
      </c>
      <c r="W7" s="53">
        <f>(((W3&lt;&gt;V3)*$D7+(W3=V3)*V7+INDEX(D_Assumptions!$F$41:$J$42,MATCH($B$1,D_Assumptions!$C$41:$C$42,0),MATCH(W$3,D_Assumptions!$F$40:$J$40,0))/Constants!$D$5))</f>
        <v>1.0219916666666662</v>
      </c>
      <c r="X7" s="53">
        <f>(((X3&lt;&gt;W3)*$D7+(X3=W3)*W7+INDEX(D_Assumptions!$F$41:$J$42,MATCH($B$1,D_Assumptions!$C$41:$C$42,0),MATCH(X$3,D_Assumptions!$F$40:$J$40,0))/Constants!$D$5))</f>
        <v>1.0251333333333328</v>
      </c>
      <c r="Y7" s="53">
        <f>(((Y3&lt;&gt;X3)*$D7+(Y3=X3)*X7+INDEX(D_Assumptions!$F$41:$J$42,MATCH($B$1,D_Assumptions!$C$41:$C$42,0),MATCH(Y$3,D_Assumptions!$F$40:$J$40,0))/Constants!$D$5))</f>
        <v>1.0282749999999994</v>
      </c>
      <c r="Z7" s="53">
        <f>(((Z3&lt;&gt;Y3)*$D7+(Z3=Y3)*Y7+INDEX(D_Assumptions!$F$41:$J$42,MATCH($B$1,D_Assumptions!$C$41:$C$42,0),MATCH(Z$3,D_Assumptions!$F$40:$J$40,0))/Constants!$D$5))</f>
        <v>1.031416666666666</v>
      </c>
      <c r="AA7" s="53">
        <f>(((AA3&lt;&gt;Z3)*$D7+(AA3=Z3)*Z7+INDEX(D_Assumptions!$F$41:$J$42,MATCH($B$1,D_Assumptions!$C$41:$C$42,0),MATCH(AA$3,D_Assumptions!$F$40:$J$40,0))/Constants!$D$5))</f>
        <v>1.0345583333333326</v>
      </c>
      <c r="AB7" s="53">
        <f>(((AB3&lt;&gt;AA3)*$D7+(AB3=AA3)*AA7+INDEX(D_Assumptions!$F$41:$J$42,MATCH($B$1,D_Assumptions!$C$41:$C$42,0),MATCH(AB$3,D_Assumptions!$F$40:$J$40,0))/Constants!$D$5))</f>
        <v>1.0376999999999992</v>
      </c>
      <c r="AC7" s="53">
        <f>(((AC3&lt;&gt;AB3)*$D7+(AC3=AB3)*AB7+INDEX(D_Assumptions!$F$41:$J$42,MATCH($B$1,D_Assumptions!$C$41:$C$42,0),MATCH(AC$3,D_Assumptions!$F$40:$J$40,0))/Constants!$D$5))</f>
        <v>1.004475</v>
      </c>
      <c r="AD7" s="53">
        <f>(((AD3&lt;&gt;AC3)*$D7+(AD3=AC3)*AC7+INDEX(D_Assumptions!$F$41:$J$42,MATCH($B$1,D_Assumptions!$C$41:$C$42,0),MATCH(AD$3,D_Assumptions!$F$40:$J$40,0))/Constants!$D$5))</f>
        <v>1.00895</v>
      </c>
      <c r="AE7" s="53">
        <f>(((AE3&lt;&gt;AD3)*$D7+(AE3=AD3)*AD7+INDEX(D_Assumptions!$F$41:$J$42,MATCH($B$1,D_Assumptions!$C$41:$C$42,0),MATCH(AE$3,D_Assumptions!$F$40:$J$40,0))/Constants!$D$5))</f>
        <v>1.013425</v>
      </c>
      <c r="AF7" s="53">
        <f>(((AF3&lt;&gt;AE3)*$D7+(AF3=AE3)*AE7+INDEX(D_Assumptions!$F$41:$J$42,MATCH($B$1,D_Assumptions!$C$41:$C$42,0),MATCH(AF$3,D_Assumptions!$F$40:$J$40,0))/Constants!$D$5))</f>
        <v>1.0179</v>
      </c>
      <c r="AG7" s="53">
        <f>(((AG3&lt;&gt;AF3)*$D7+(AG3=AF3)*AF7+INDEX(D_Assumptions!$F$41:$J$42,MATCH($B$1,D_Assumptions!$C$41:$C$42,0),MATCH(AG$3,D_Assumptions!$F$40:$J$40,0))/Constants!$D$5))</f>
        <v>1.022375</v>
      </c>
      <c r="AH7" s="53">
        <f>(((AH3&lt;&gt;AG3)*$D7+(AH3=AG3)*AG7+INDEX(D_Assumptions!$F$41:$J$42,MATCH($B$1,D_Assumptions!$C$41:$C$42,0),MATCH(AH$3,D_Assumptions!$F$40:$J$40,0))/Constants!$D$5))</f>
        <v>1.02685</v>
      </c>
      <c r="AI7" s="53">
        <f>(((AI3&lt;&gt;AH3)*$D7+(AI3=AH3)*AH7+INDEX(D_Assumptions!$F$41:$J$42,MATCH($B$1,D_Assumptions!$C$41:$C$42,0),MATCH(AI$3,D_Assumptions!$F$40:$J$40,0))/Constants!$D$5))</f>
        <v>1.031325</v>
      </c>
      <c r="AJ7" s="53">
        <f>(((AJ3&lt;&gt;AI3)*$D7+(AJ3=AI3)*AI7+INDEX(D_Assumptions!$F$41:$J$42,MATCH($B$1,D_Assumptions!$C$41:$C$42,0),MATCH(AJ$3,D_Assumptions!$F$40:$J$40,0))/Constants!$D$5))</f>
        <v>1.0358000000000001</v>
      </c>
      <c r="AK7" s="53">
        <f>(((AK3&lt;&gt;AJ3)*$D7+(AK3=AJ3)*AJ7+INDEX(D_Assumptions!$F$41:$J$42,MATCH($B$1,D_Assumptions!$C$41:$C$42,0),MATCH(AK$3,D_Assumptions!$F$40:$J$40,0))/Constants!$D$5))</f>
        <v>1.0402750000000001</v>
      </c>
      <c r="AL7" s="53">
        <f>(((AL3&lt;&gt;AK3)*$D7+(AL3=AK3)*AK7+INDEX(D_Assumptions!$F$41:$J$42,MATCH($B$1,D_Assumptions!$C$41:$C$42,0),MATCH(AL$3,D_Assumptions!$F$40:$J$40,0))/Constants!$D$5))</f>
        <v>1.0447500000000001</v>
      </c>
      <c r="AM7" s="53">
        <f>(((AM3&lt;&gt;AL3)*$D7+(AM3=AL3)*AL7+INDEX(D_Assumptions!$F$41:$J$42,MATCH($B$1,D_Assumptions!$C$41:$C$42,0),MATCH(AM$3,D_Assumptions!$F$40:$J$40,0))/Constants!$D$5))</f>
        <v>1.0492250000000001</v>
      </c>
      <c r="AN7" s="53">
        <f>(((AN3&lt;&gt;AM3)*$D7+(AN3=AM3)*AM7+INDEX(D_Assumptions!$F$41:$J$42,MATCH($B$1,D_Assumptions!$C$41:$C$42,0),MATCH(AN$3,D_Assumptions!$F$40:$J$40,0))/Constants!$D$5))</f>
        <v>1.0537000000000001</v>
      </c>
      <c r="AO7" s="53">
        <f>(((AO3&lt;&gt;AN3)*$D7+(AO3=AN3)*AN7+INDEX(D_Assumptions!$F$41:$J$42,MATCH($B$1,D_Assumptions!$C$41:$C$42,0),MATCH(AO$3,D_Assumptions!$F$40:$J$40,0))/Constants!$D$5))</f>
        <v>1.0030666666666668</v>
      </c>
      <c r="AP7" s="53">
        <f>(((AP3&lt;&gt;AO3)*$D7+(AP3=AO3)*AO7+INDEX(D_Assumptions!$F$41:$J$42,MATCH($B$1,D_Assumptions!$C$41:$C$42,0),MATCH(AP$3,D_Assumptions!$F$40:$J$40,0))/Constants!$D$5))</f>
        <v>1.0061333333333335</v>
      </c>
      <c r="AQ7" s="53">
        <f>(((AQ3&lt;&gt;AP3)*$D7+(AQ3=AP3)*AP7+INDEX(D_Assumptions!$F$41:$J$42,MATCH($B$1,D_Assumptions!$C$41:$C$42,0),MATCH(AQ$3,D_Assumptions!$F$40:$J$40,0))/Constants!$D$5))</f>
        <v>1.0092000000000003</v>
      </c>
      <c r="AR7" s="53">
        <f>(((AR3&lt;&gt;AQ3)*$D7+(AR3=AQ3)*AQ7+INDEX(D_Assumptions!$F$41:$J$42,MATCH($B$1,D_Assumptions!$C$41:$C$42,0),MATCH(AR$3,D_Assumptions!$F$40:$J$40,0))/Constants!$D$5))</f>
        <v>1.0122666666666671</v>
      </c>
      <c r="AS7" s="53">
        <f>(((AS3&lt;&gt;AR3)*$D7+(AS3=AR3)*AR7+INDEX(D_Assumptions!$F$41:$J$42,MATCH($B$1,D_Assumptions!$C$41:$C$42,0),MATCH(AS$3,D_Assumptions!$F$40:$J$40,0))/Constants!$D$5))</f>
        <v>1.0153333333333339</v>
      </c>
      <c r="AT7" s="53">
        <f>(((AT3&lt;&gt;AS3)*$D7+(AT3=AS3)*AS7+INDEX(D_Assumptions!$F$41:$J$42,MATCH($B$1,D_Assumptions!$C$41:$C$42,0),MATCH(AT$3,D_Assumptions!$F$40:$J$40,0))/Constants!$D$5))</f>
        <v>1.0184000000000006</v>
      </c>
      <c r="AU7" s="53">
        <f>(((AU3&lt;&gt;AT3)*$D7+(AU3=AT3)*AT7+INDEX(D_Assumptions!$F$41:$J$42,MATCH($B$1,D_Assumptions!$C$41:$C$42,0),MATCH(AU$3,D_Assumptions!$F$40:$J$40,0))/Constants!$D$5))</f>
        <v>1.0214666666666674</v>
      </c>
      <c r="AV7" s="53">
        <f>(((AV3&lt;&gt;AU3)*$D7+(AV3=AU3)*AU7+INDEX(D_Assumptions!$F$41:$J$42,MATCH($B$1,D_Assumptions!$C$41:$C$42,0),MATCH(AV$3,D_Assumptions!$F$40:$J$40,0))/Constants!$D$5))</f>
        <v>1.0245333333333342</v>
      </c>
      <c r="AW7" s="53">
        <f>(((AW3&lt;&gt;AV3)*$D7+(AW3=AV3)*AV7+INDEX(D_Assumptions!$F$41:$J$42,MATCH($B$1,D_Assumptions!$C$41:$C$42,0),MATCH(AW$3,D_Assumptions!$F$40:$J$40,0))/Constants!$D$5))</f>
        <v>1.027600000000001</v>
      </c>
      <c r="AX7" s="53">
        <f>(((AX3&lt;&gt;AW3)*$D7+(AX3=AW3)*AW7+INDEX(D_Assumptions!$F$41:$J$42,MATCH($B$1,D_Assumptions!$C$41:$C$42,0),MATCH(AX$3,D_Assumptions!$F$40:$J$40,0))/Constants!$D$5))</f>
        <v>1.0306666666666677</v>
      </c>
      <c r="AY7" s="53">
        <f>(((AY3&lt;&gt;AX3)*$D7+(AY3=AX3)*AX7+INDEX(D_Assumptions!$F$41:$J$42,MATCH($B$1,D_Assumptions!$C$41:$C$42,0),MATCH(AY$3,D_Assumptions!$F$40:$J$40,0))/Constants!$D$5))</f>
        <v>1.0337333333333345</v>
      </c>
      <c r="AZ7" s="53">
        <f>(((AZ3&lt;&gt;AY3)*$D7+(AZ3=AY3)*AY7+INDEX(D_Assumptions!$F$41:$J$42,MATCH($B$1,D_Assumptions!$C$41:$C$42,0),MATCH(AZ$3,D_Assumptions!$F$40:$J$40,0))/Constants!$D$5))</f>
        <v>1.0368000000000013</v>
      </c>
      <c r="BA7" s="53">
        <f>(((BA3&lt;&gt;AZ3)*$D7+(BA3=AZ3)*AZ7+INDEX(D_Assumptions!$F$41:$J$42,MATCH($B$1,D_Assumptions!$C$41:$C$42,0),MATCH(BA$3,D_Assumptions!$F$40:$J$40,0))/Constants!$D$5))</f>
        <v>1.0055499999999999</v>
      </c>
      <c r="BB7" s="53">
        <f>(((BB3&lt;&gt;BA3)*$D7+(BB3=BA3)*BA7+INDEX(D_Assumptions!$F$41:$J$42,MATCH($B$1,D_Assumptions!$C$41:$C$42,0),MATCH(BB$3,D_Assumptions!$F$40:$J$40,0))/Constants!$D$5))</f>
        <v>1.0110999999999999</v>
      </c>
      <c r="BC7" s="53">
        <f>(((BC3&lt;&gt;BB3)*$D7+(BC3=BB3)*BB7+INDEX(D_Assumptions!$F$41:$J$42,MATCH($B$1,D_Assumptions!$C$41:$C$42,0),MATCH(BC$3,D_Assumptions!$F$40:$J$40,0))/Constants!$D$5))</f>
        <v>1.0166499999999998</v>
      </c>
      <c r="BD7" s="53">
        <f>(((BD3&lt;&gt;BC3)*$D7+(BD3=BC3)*BC7+INDEX(D_Assumptions!$F$41:$J$42,MATCH($B$1,D_Assumptions!$C$41:$C$42,0),MATCH(BD$3,D_Assumptions!$F$40:$J$40,0))/Constants!$D$5))</f>
        <v>1.0221999999999998</v>
      </c>
      <c r="BE7" s="53">
        <f>(((BE3&lt;&gt;BD3)*$D7+(BE3=BD3)*BD7+INDEX(D_Assumptions!$F$41:$J$42,MATCH($B$1,D_Assumptions!$C$41:$C$42,0),MATCH(BE$3,D_Assumptions!$F$40:$J$40,0))/Constants!$D$5))</f>
        <v>1.0277499999999997</v>
      </c>
      <c r="BF7" s="53">
        <f>(((BF3&lt;&gt;BE3)*$D7+(BF3=BE3)*BE7+INDEX(D_Assumptions!$F$41:$J$42,MATCH($B$1,D_Assumptions!$C$41:$C$42,0),MATCH(BF$3,D_Assumptions!$F$40:$J$40,0))/Constants!$D$5))</f>
        <v>1.0332999999999997</v>
      </c>
      <c r="BG7" s="53">
        <f>(((BG3&lt;&gt;BF3)*$D7+(BG3=BF3)*BF7+INDEX(D_Assumptions!$F$41:$J$42,MATCH($B$1,D_Assumptions!$C$41:$C$42,0),MATCH(BG$3,D_Assumptions!$F$40:$J$40,0))/Constants!$D$5))</f>
        <v>1.0388499999999996</v>
      </c>
      <c r="BH7" s="53">
        <f>(((BH3&lt;&gt;BG3)*$D7+(BH3=BG3)*BG7+INDEX(D_Assumptions!$F$41:$J$42,MATCH($B$1,D_Assumptions!$C$41:$C$42,0),MATCH(BH$3,D_Assumptions!$F$40:$J$40,0))/Constants!$D$5))</f>
        <v>1.0443999999999996</v>
      </c>
      <c r="BI7" s="53">
        <f>(((BI3&lt;&gt;BH3)*$D7+(BI3=BH3)*BH7+INDEX(D_Assumptions!$F$41:$J$42,MATCH($B$1,D_Assumptions!$C$41:$C$42,0),MATCH(BI$3,D_Assumptions!$F$40:$J$40,0))/Constants!$D$5))</f>
        <v>1.0499499999999995</v>
      </c>
      <c r="BJ7" s="53">
        <f>(((BJ3&lt;&gt;BI3)*$D7+(BJ3=BI3)*BI7+INDEX(D_Assumptions!$F$41:$J$42,MATCH($B$1,D_Assumptions!$C$41:$C$42,0),MATCH(BJ$3,D_Assumptions!$F$40:$J$40,0))/Constants!$D$5))</f>
        <v>1.0554999999999994</v>
      </c>
      <c r="BK7" s="53">
        <f>(((BK3&lt;&gt;BJ3)*$D7+(BK3=BJ3)*BJ7+INDEX(D_Assumptions!$F$41:$J$42,MATCH($B$1,D_Assumptions!$C$41:$C$42,0),MATCH(BK$3,D_Assumptions!$F$40:$J$40,0))/Constants!$D$5))</f>
        <v>1.0610499999999994</v>
      </c>
      <c r="BL7" s="53">
        <f>(((BL3&lt;&gt;BK3)*$D7+(BL3=BK3)*BK7+INDEX(D_Assumptions!$F$41:$J$42,MATCH($B$1,D_Assumptions!$C$41:$C$42,0),MATCH(BL$3,D_Assumptions!$F$40:$J$40,0))/Constants!$D$5))</f>
        <v>1.0665999999999993</v>
      </c>
    </row>
    <row r="9" spans="1:66">
      <c r="C9" s="46" t="s">
        <v>59</v>
      </c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  <c r="BF9" s="47"/>
      <c r="BG9" s="47"/>
      <c r="BH9" s="47"/>
      <c r="BI9" s="47"/>
      <c r="BJ9" s="47"/>
      <c r="BK9" s="47"/>
      <c r="BL9" s="47"/>
    </row>
    <row r="10" spans="1:66">
      <c r="E10" s="52">
        <f>1+((E7-$D7)/$D7)*(E3&lt;&gt;D3)+((E7-D7)/D7)*(E3=D3)</f>
        <v>1.0035583333333333</v>
      </c>
      <c r="F10" s="52">
        <f t="shared" ref="F10:BL10" si="0">1+((F7-$D7)/$D7)*(F3&lt;&gt;E3)+((F7-E7)/E7)*(F3=E3)</f>
        <v>1.0035457164921489</v>
      </c>
      <c r="G10" s="52">
        <f t="shared" si="0"/>
        <v>1.0035331888063284</v>
      </c>
      <c r="H10" s="52">
        <f t="shared" si="0"/>
        <v>1.0035207493341909</v>
      </c>
      <c r="I10" s="52">
        <f t="shared" si="0"/>
        <v>1.0035083971472705</v>
      </c>
      <c r="J10" s="52">
        <f t="shared" si="0"/>
        <v>1.0034961313300856</v>
      </c>
      <c r="K10" s="52">
        <f t="shared" si="0"/>
        <v>1.0034839509799123</v>
      </c>
      <c r="L10" s="52">
        <f t="shared" si="0"/>
        <v>1.0034718552065631</v>
      </c>
      <c r="M10" s="52">
        <f t="shared" si="0"/>
        <v>1.0034598431321708</v>
      </c>
      <c r="N10" s="52">
        <f t="shared" si="0"/>
        <v>1.0034479138909749</v>
      </c>
      <c r="O10" s="52">
        <f t="shared" si="0"/>
        <v>1.003436066629114</v>
      </c>
      <c r="P10" s="52">
        <f t="shared" si="0"/>
        <v>1.0034243005044228</v>
      </c>
      <c r="Q10" s="52">
        <f t="shared" si="0"/>
        <v>1.0031416666666666</v>
      </c>
      <c r="R10" s="52">
        <f t="shared" si="0"/>
        <v>1.0031318275085772</v>
      </c>
      <c r="S10" s="52">
        <f t="shared" si="0"/>
        <v>1.0031220497871705</v>
      </c>
      <c r="T10" s="52">
        <f t="shared" si="0"/>
        <v>1.0031123329288125</v>
      </c>
      <c r="U10" s="52">
        <f t="shared" si="0"/>
        <v>1.0031026763669881</v>
      </c>
      <c r="V10" s="52">
        <f t="shared" si="0"/>
        <v>1.0030930795421913</v>
      </c>
      <c r="W10" s="52">
        <f t="shared" si="0"/>
        <v>1.0030835419018174</v>
      </c>
      <c r="X10" s="52">
        <f t="shared" si="0"/>
        <v>1.0030740629000563</v>
      </c>
      <c r="Y10" s="52">
        <f t="shared" si="0"/>
        <v>1.0030646419977889</v>
      </c>
      <c r="Z10" s="52">
        <f t="shared" si="0"/>
        <v>1.0030552786624849</v>
      </c>
      <c r="AA10" s="52">
        <f t="shared" si="0"/>
        <v>1.003045972368102</v>
      </c>
      <c r="AB10" s="52">
        <f t="shared" si="0"/>
        <v>1.0030367225949881</v>
      </c>
      <c r="AC10" s="52">
        <f t="shared" si="0"/>
        <v>1.004475</v>
      </c>
      <c r="AD10" s="52">
        <f t="shared" si="0"/>
        <v>1.0044550635904328</v>
      </c>
      <c r="AE10" s="52">
        <f t="shared" si="0"/>
        <v>1.0044353040289409</v>
      </c>
      <c r="AF10" s="52">
        <f t="shared" si="0"/>
        <v>1.0044157189727903</v>
      </c>
      <c r="AG10" s="52">
        <f t="shared" si="0"/>
        <v>1.0043963061204439</v>
      </c>
      <c r="AH10" s="52">
        <f t="shared" si="0"/>
        <v>1.0043770632106614</v>
      </c>
      <c r="AI10" s="52">
        <f t="shared" si="0"/>
        <v>1.0043579880216196</v>
      </c>
      <c r="AJ10" s="52">
        <f t="shared" si="0"/>
        <v>1.0043390783700579</v>
      </c>
      <c r="AK10" s="52">
        <f t="shared" si="0"/>
        <v>1.0043203321104461</v>
      </c>
      <c r="AL10" s="52">
        <f t="shared" si="0"/>
        <v>1.0043017471341713</v>
      </c>
      <c r="AM10" s="52">
        <f t="shared" si="0"/>
        <v>1.0042833213687485</v>
      </c>
      <c r="AN10" s="52">
        <f t="shared" si="0"/>
        <v>1.0042650527770498</v>
      </c>
      <c r="AO10" s="52">
        <f t="shared" si="0"/>
        <v>1.0030666666666668</v>
      </c>
      <c r="AP10" s="52">
        <f t="shared" si="0"/>
        <v>1.0030572909743454</v>
      </c>
      <c r="AQ10" s="52">
        <f t="shared" si="0"/>
        <v>1.0030479724357277</v>
      </c>
      <c r="AR10" s="52">
        <f t="shared" si="0"/>
        <v>1.0030387105297927</v>
      </c>
      <c r="AS10" s="52">
        <f t="shared" si="0"/>
        <v>1.0030295047418336</v>
      </c>
      <c r="AT10" s="52">
        <f t="shared" si="0"/>
        <v>1.0030203545633618</v>
      </c>
      <c r="AU10" s="52">
        <f t="shared" si="0"/>
        <v>1.0030112594920138</v>
      </c>
      <c r="AV10" s="52">
        <f t="shared" si="0"/>
        <v>1.003002219031458</v>
      </c>
      <c r="AW10" s="52">
        <f t="shared" si="0"/>
        <v>1.0029932326913067</v>
      </c>
      <c r="AX10" s="52">
        <f t="shared" si="0"/>
        <v>1.0029842999870249</v>
      </c>
      <c r="AY10" s="52">
        <f t="shared" si="0"/>
        <v>1.0029754204398449</v>
      </c>
      <c r="AZ10" s="52">
        <f t="shared" si="0"/>
        <v>1.0029665935766801</v>
      </c>
      <c r="BA10" s="52">
        <f t="shared" si="0"/>
        <v>1.0055499999999999</v>
      </c>
      <c r="BB10" s="52">
        <f t="shared" si="0"/>
        <v>1.0055193675103178</v>
      </c>
      <c r="BC10" s="52">
        <f t="shared" si="0"/>
        <v>1.0054890713084759</v>
      </c>
      <c r="BD10" s="52">
        <f t="shared" si="0"/>
        <v>1.0054591058869817</v>
      </c>
      <c r="BE10" s="52">
        <f t="shared" si="0"/>
        <v>1.0054294658579535</v>
      </c>
      <c r="BF10" s="52">
        <f t="shared" si="0"/>
        <v>1.0054001459498905</v>
      </c>
      <c r="BG10" s="52">
        <f t="shared" si="0"/>
        <v>1.0053711410045485</v>
      </c>
      <c r="BH10" s="52">
        <f t="shared" si="0"/>
        <v>1.0053424459739133</v>
      </c>
      <c r="BI10" s="52">
        <f t="shared" si="0"/>
        <v>1.0053140559172731</v>
      </c>
      <c r="BJ10" s="52">
        <f t="shared" si="0"/>
        <v>1.0052859659983808</v>
      </c>
      <c r="BK10" s="52">
        <f t="shared" si="0"/>
        <v>1.0052581714827096</v>
      </c>
      <c r="BL10" s="52">
        <f t="shared" si="0"/>
        <v>1.0052306677347909</v>
      </c>
    </row>
    <row r="12" spans="1:66">
      <c r="C12" s="46" t="s">
        <v>55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</row>
    <row r="13" spans="1:66">
      <c r="C13" t="s">
        <v>30</v>
      </c>
      <c r="E13" s="44">
        <f>C_Revenues_US!$D16*PRODUCT($E$10:E$10)</f>
        <v>10.025547749999999</v>
      </c>
      <c r="F13" s="44">
        <f>C_Revenues_US!$D16*PRODUCT($E$10:F$10)</f>
        <v>10.0610955</v>
      </c>
      <c r="G13" s="44">
        <f>C_Revenues_US!$D16*PRODUCT($E$10:G$10)</f>
        <v>10.09664325</v>
      </c>
      <c r="H13" s="44">
        <f>C_Revenues_US!$D16*PRODUCT($E$10:H$10)</f>
        <v>10.132191000000001</v>
      </c>
      <c r="I13" s="44">
        <f>C_Revenues_US!$D16*PRODUCT($E$10:I$10)</f>
        <v>10.16773875</v>
      </c>
      <c r="J13" s="44">
        <f>C_Revenues_US!$D16*PRODUCT($E$10:J$10)</f>
        <v>10.203286500000001</v>
      </c>
      <c r="K13" s="44">
        <f>C_Revenues_US!$D16*PRODUCT($E$10:K$10)</f>
        <v>10.23883425</v>
      </c>
      <c r="L13" s="44">
        <f>C_Revenues_US!$D16*PRODUCT($E$10:L$10)</f>
        <v>10.274381999999999</v>
      </c>
      <c r="M13" s="44">
        <f>C_Revenues_US!$D16*PRODUCT($E$10:M$10)</f>
        <v>10.30992975</v>
      </c>
      <c r="N13" s="44">
        <f>C_Revenues_US!$D16*PRODUCT($E$10:N$10)</f>
        <v>10.345477499999999</v>
      </c>
      <c r="O13" s="44">
        <f>C_Revenues_US!$D16*PRODUCT($E$10:O$10)</f>
        <v>10.38102525</v>
      </c>
      <c r="P13" s="44">
        <f>C_Revenues_US!$D16*PRODUCT($E$10:P$10)</f>
        <v>10.416573</v>
      </c>
      <c r="Q13" s="44">
        <f>C_Revenues_US!$D16*PRODUCT($E$10:Q$10)</f>
        <v>10.449298400175</v>
      </c>
      <c r="R13" s="44">
        <f>C_Revenues_US!$D16*PRODUCT($E$10:R$10)</f>
        <v>10.482023800349998</v>
      </c>
      <c r="S13" s="44">
        <f>C_Revenues_US!$D16*PRODUCT($E$10:S$10)</f>
        <v>10.514749200524998</v>
      </c>
      <c r="T13" s="44">
        <f>C_Revenues_US!$D16*PRODUCT($E$10:T$10)</f>
        <v>10.547474600699996</v>
      </c>
      <c r="U13" s="44">
        <f>C_Revenues_US!$D16*PRODUCT($E$10:U$10)</f>
        <v>10.580200000874996</v>
      </c>
      <c r="V13" s="44">
        <f>C_Revenues_US!$D16*PRODUCT($E$10:V$10)</f>
        <v>10.612925401049996</v>
      </c>
      <c r="W13" s="44">
        <f>C_Revenues_US!$D16*PRODUCT($E$10:W$10)</f>
        <v>10.645650801224994</v>
      </c>
      <c r="X13" s="44">
        <f>C_Revenues_US!$D16*PRODUCT($E$10:X$10)</f>
        <v>10.678376201399995</v>
      </c>
      <c r="Y13" s="44">
        <f>C_Revenues_US!$D16*PRODUCT($E$10:Y$10)</f>
        <v>10.711101601574995</v>
      </c>
      <c r="Z13" s="44">
        <f>C_Revenues_US!$D16*PRODUCT($E$10:Z$10)</f>
        <v>10.743827001749993</v>
      </c>
      <c r="AA13" s="44">
        <f>C_Revenues_US!$D16*PRODUCT($E$10:AA$10)</f>
        <v>10.776552401924993</v>
      </c>
      <c r="AB13" s="44">
        <f>C_Revenues_US!$D16*PRODUCT($E$10:AB$10)</f>
        <v>10.809277802099992</v>
      </c>
      <c r="AC13" s="44">
        <f>C_Revenues_US!$D16*PRODUCT($E$10:AC$10)</f>
        <v>10.85764932026439</v>
      </c>
      <c r="AD13" s="44">
        <f>C_Revenues_US!$D16*PRODUCT($E$10:AD$10)</f>
        <v>10.906020838428786</v>
      </c>
      <c r="AE13" s="44">
        <f>C_Revenues_US!$D16*PRODUCT($E$10:AE$10)</f>
        <v>10.954392356593184</v>
      </c>
      <c r="AF13" s="44">
        <f>C_Revenues_US!$D16*PRODUCT($E$10:AF$10)</f>
        <v>11.00276387475758</v>
      </c>
      <c r="AG13" s="44">
        <f>C_Revenues_US!$D16*PRODUCT($E$10:AG$10)</f>
        <v>11.051135392921978</v>
      </c>
      <c r="AH13" s="44">
        <f>C_Revenues_US!$D16*PRODUCT($E$10:AH$10)</f>
        <v>11.099506911086376</v>
      </c>
      <c r="AI13" s="44">
        <f>C_Revenues_US!$D16*PRODUCT($E$10:AI$10)</f>
        <v>11.147878429250772</v>
      </c>
      <c r="AJ13" s="44">
        <f>C_Revenues_US!$D16*PRODUCT($E$10:AJ$10)</f>
        <v>11.19624994741517</v>
      </c>
      <c r="AK13" s="44">
        <f>C_Revenues_US!$D16*PRODUCT($E$10:AK$10)</f>
        <v>11.244621465579568</v>
      </c>
      <c r="AL13" s="44">
        <f>C_Revenues_US!$D16*PRODUCT($E$10:AL$10)</f>
        <v>11.292992983743966</v>
      </c>
      <c r="AM13" s="44">
        <f>C_Revenues_US!$D16*PRODUCT($E$10:AM$10)</f>
        <v>11.341364501908362</v>
      </c>
      <c r="AN13" s="44">
        <f>C_Revenues_US!$D16*PRODUCT($E$10:AN$10)</f>
        <v>11.389736020072762</v>
      </c>
      <c r="AO13" s="44">
        <f>C_Revenues_US!$D16*PRODUCT($E$10:AO$10)</f>
        <v>11.424664543867655</v>
      </c>
      <c r="AP13" s="44">
        <f>C_Revenues_US!$D16*PRODUCT($E$10:AP$10)</f>
        <v>11.459593067662544</v>
      </c>
      <c r="AQ13" s="44">
        <f>C_Revenues_US!$D16*PRODUCT($E$10:AQ$10)</f>
        <v>11.494521591457435</v>
      </c>
      <c r="AR13" s="44">
        <f>C_Revenues_US!$D16*PRODUCT($E$10:AR$10)</f>
        <v>11.529450115252326</v>
      </c>
      <c r="AS13" s="44">
        <f>C_Revenues_US!$D16*PRODUCT($E$10:AS$10)</f>
        <v>11.564378639047218</v>
      </c>
      <c r="AT13" s="44">
        <f>C_Revenues_US!$D16*PRODUCT($E$10:AT$10)</f>
        <v>11.599307162842107</v>
      </c>
      <c r="AU13" s="44">
        <f>C_Revenues_US!$D16*PRODUCT($E$10:AU$10)</f>
        <v>11.634235686636998</v>
      </c>
      <c r="AV13" s="44">
        <f>C_Revenues_US!$D16*PRODUCT($E$10:AV$10)</f>
        <v>11.669164210431887</v>
      </c>
      <c r="AW13" s="44">
        <f>C_Revenues_US!$D16*PRODUCT($E$10:AW$10)</f>
        <v>11.704092734226778</v>
      </c>
      <c r="AX13" s="44">
        <f>C_Revenues_US!$D16*PRODUCT($E$10:AX$10)</f>
        <v>11.739021258021671</v>
      </c>
      <c r="AY13" s="44">
        <f>C_Revenues_US!$D16*PRODUCT($E$10:AY$10)</f>
        <v>11.773949781816562</v>
      </c>
      <c r="AZ13" s="44">
        <f>C_Revenues_US!$D16*PRODUCT($E$10:AZ$10)</f>
        <v>11.808878305611453</v>
      </c>
      <c r="BA13" s="44">
        <f>C_Revenues_US!$D16*PRODUCT($E$10:BA$10)</f>
        <v>11.874417580207595</v>
      </c>
      <c r="BB13" s="44">
        <f>C_Revenues_US!$D16*PRODUCT($E$10:BB$10)</f>
        <v>11.939956854803739</v>
      </c>
      <c r="BC13" s="44">
        <f>C_Revenues_US!$D16*PRODUCT($E$10:BC$10)</f>
        <v>12.005496129399882</v>
      </c>
      <c r="BD13" s="44">
        <f>C_Revenues_US!$D16*PRODUCT($E$10:BD$10)</f>
        <v>12.071035403996024</v>
      </c>
      <c r="BE13" s="44">
        <f>C_Revenues_US!$D16*PRODUCT($E$10:BE$10)</f>
        <v>12.13657467859217</v>
      </c>
      <c r="BF13" s="44">
        <f>C_Revenues_US!$D16*PRODUCT($E$10:BF$10)</f>
        <v>12.202113953188313</v>
      </c>
      <c r="BG13" s="44">
        <f>C_Revenues_US!$D16*PRODUCT($E$10:BG$10)</f>
        <v>12.267653227784455</v>
      </c>
      <c r="BH13" s="44">
        <f>C_Revenues_US!$D16*PRODUCT($E$10:BH$10)</f>
        <v>12.333192502380598</v>
      </c>
      <c r="BI13" s="44">
        <f>C_Revenues_US!$D16*PRODUCT($E$10:BI$10)</f>
        <v>12.39873177697674</v>
      </c>
      <c r="BJ13" s="44">
        <f>C_Revenues_US!$D16*PRODUCT($E$10:BJ$10)</f>
        <v>12.464271051572883</v>
      </c>
      <c r="BK13" s="44">
        <f>C_Revenues_US!$D16*PRODUCT($E$10:BK$10)</f>
        <v>12.529810326169025</v>
      </c>
      <c r="BL13" s="44">
        <f>C_Revenues_US!$D16*PRODUCT($E$10:BL$10)</f>
        <v>12.595349600765168</v>
      </c>
      <c r="BN13" s="55"/>
    </row>
    <row r="14" spans="1:66">
      <c r="C14" t="s">
        <v>29</v>
      </c>
      <c r="E14" s="44">
        <f>C_Revenues_US!$D17*PRODUCT($E$10:E$10)</f>
        <v>20.061131083333333</v>
      </c>
      <c r="F14" s="44">
        <f>C_Revenues_US!$D17*PRODUCT($E$10:F$10)</f>
        <v>20.132262166666663</v>
      </c>
      <c r="G14" s="44">
        <f>C_Revenues_US!$D17*PRODUCT($E$10:G$10)</f>
        <v>20.203393249999998</v>
      </c>
      <c r="H14" s="44">
        <f>C_Revenues_US!$D17*PRODUCT($E$10:H$10)</f>
        <v>20.274524333333332</v>
      </c>
      <c r="I14" s="44">
        <f>C_Revenues_US!$D17*PRODUCT($E$10:I$10)</f>
        <v>20.345655416666666</v>
      </c>
      <c r="J14" s="44">
        <f>C_Revenues_US!$D17*PRODUCT($E$10:J$10)</f>
        <v>20.416786499999997</v>
      </c>
      <c r="K14" s="44">
        <f>C_Revenues_US!$D17*PRODUCT($E$10:K$10)</f>
        <v>20.487917583333331</v>
      </c>
      <c r="L14" s="44">
        <f>C_Revenues_US!$D17*PRODUCT($E$10:L$10)</f>
        <v>20.559048666666666</v>
      </c>
      <c r="M14" s="44">
        <f>C_Revenues_US!$D17*PRODUCT($E$10:M$10)</f>
        <v>20.630179749999996</v>
      </c>
      <c r="N14" s="44">
        <f>C_Revenues_US!$D17*PRODUCT($E$10:N$10)</f>
        <v>20.701310833333331</v>
      </c>
      <c r="O14" s="44">
        <f>C_Revenues_US!$D17*PRODUCT($E$10:O$10)</f>
        <v>20.772441916666665</v>
      </c>
      <c r="P14" s="44">
        <f>C_Revenues_US!$D17*PRODUCT($E$10:P$10)</f>
        <v>20.843572999999999</v>
      </c>
      <c r="Q14" s="44">
        <f>C_Revenues_US!$D17*PRODUCT($E$10:Q$10)</f>
        <v>20.909056558508329</v>
      </c>
      <c r="R14" s="44">
        <f>C_Revenues_US!$D17*PRODUCT($E$10:R$10)</f>
        <v>20.974540117016662</v>
      </c>
      <c r="S14" s="44">
        <f>C_Revenues_US!$D17*PRODUCT($E$10:S$10)</f>
        <v>21.040023675524992</v>
      </c>
      <c r="T14" s="44">
        <f>C_Revenues_US!$D17*PRODUCT($E$10:T$10)</f>
        <v>21.105507234033325</v>
      </c>
      <c r="U14" s="44">
        <f>C_Revenues_US!$D17*PRODUCT($E$10:U$10)</f>
        <v>21.170990792541655</v>
      </c>
      <c r="V14" s="44">
        <f>C_Revenues_US!$D17*PRODUCT($E$10:V$10)</f>
        <v>21.236474351049988</v>
      </c>
      <c r="W14" s="44">
        <f>C_Revenues_US!$D17*PRODUCT($E$10:W$10)</f>
        <v>21.301957909558318</v>
      </c>
      <c r="X14" s="44">
        <f>C_Revenues_US!$D17*PRODUCT($E$10:X$10)</f>
        <v>21.367441468066655</v>
      </c>
      <c r="Y14" s="44">
        <f>C_Revenues_US!$D17*PRODUCT($E$10:Y$10)</f>
        <v>21.432925026574988</v>
      </c>
      <c r="Z14" s="44">
        <f>C_Revenues_US!$D17*PRODUCT($E$10:Z$10)</f>
        <v>21.498408585083318</v>
      </c>
      <c r="AA14" s="44">
        <f>C_Revenues_US!$D17*PRODUCT($E$10:AA$10)</f>
        <v>21.563892143591652</v>
      </c>
      <c r="AB14" s="44">
        <f>C_Revenues_US!$D17*PRODUCT($E$10:AB$10)</f>
        <v>21.629375702099981</v>
      </c>
      <c r="AC14" s="44">
        <f>C_Revenues_US!$D17*PRODUCT($E$10:AC$10)</f>
        <v>21.726167158366881</v>
      </c>
      <c r="AD14" s="44">
        <f>C_Revenues_US!$D17*PRODUCT($E$10:AD$10)</f>
        <v>21.822958614633777</v>
      </c>
      <c r="AE14" s="44">
        <f>C_Revenues_US!$D17*PRODUCT($E$10:AE$10)</f>
        <v>21.919750070900673</v>
      </c>
      <c r="AF14" s="44">
        <f>C_Revenues_US!$D17*PRODUCT($E$10:AF$10)</f>
        <v>22.016541527167568</v>
      </c>
      <c r="AG14" s="44">
        <f>C_Revenues_US!$D17*PRODUCT($E$10:AG$10)</f>
        <v>22.113332983434468</v>
      </c>
      <c r="AH14" s="44">
        <f>C_Revenues_US!$D17*PRODUCT($E$10:AH$10)</f>
        <v>22.210124439701364</v>
      </c>
      <c r="AI14" s="44">
        <f>C_Revenues_US!$D17*PRODUCT($E$10:AI$10)</f>
        <v>22.30691589596826</v>
      </c>
      <c r="AJ14" s="44">
        <f>C_Revenues_US!$D17*PRODUCT($E$10:AJ$10)</f>
        <v>22.403707352235156</v>
      </c>
      <c r="AK14" s="44">
        <f>C_Revenues_US!$D17*PRODUCT($E$10:AK$10)</f>
        <v>22.500498808502059</v>
      </c>
      <c r="AL14" s="44">
        <f>C_Revenues_US!$D17*PRODUCT($E$10:AL$10)</f>
        <v>22.597290264768954</v>
      </c>
      <c r="AM14" s="44">
        <f>C_Revenues_US!$D17*PRODUCT($E$10:AM$10)</f>
        <v>22.69408172103585</v>
      </c>
      <c r="AN14" s="44">
        <f>C_Revenues_US!$D17*PRODUCT($E$10:AN$10)</f>
        <v>22.790873177302753</v>
      </c>
      <c r="AO14" s="44">
        <f>C_Revenues_US!$D17*PRODUCT($E$10:AO$10)</f>
        <v>22.860765188379819</v>
      </c>
      <c r="AP14" s="44">
        <f>C_Revenues_US!$D17*PRODUCT($E$10:AP$10)</f>
        <v>22.930657199456878</v>
      </c>
      <c r="AQ14" s="44">
        <f>C_Revenues_US!$D17*PRODUCT($E$10:AQ$10)</f>
        <v>23.000549210533944</v>
      </c>
      <c r="AR14" s="44">
        <f>C_Revenues_US!$D17*PRODUCT($E$10:AR$10)</f>
        <v>23.070441221611009</v>
      </c>
      <c r="AS14" s="44">
        <f>C_Revenues_US!$D17*PRODUCT($E$10:AS$10)</f>
        <v>23.140333232688075</v>
      </c>
      <c r="AT14" s="44">
        <f>C_Revenues_US!$D17*PRODUCT($E$10:AT$10)</f>
        <v>23.210225243765134</v>
      </c>
      <c r="AU14" s="44">
        <f>C_Revenues_US!$D17*PRODUCT($E$10:AU$10)</f>
        <v>23.2801172548422</v>
      </c>
      <c r="AV14" s="44">
        <f>C_Revenues_US!$D17*PRODUCT($E$10:AV$10)</f>
        <v>23.350009265919258</v>
      </c>
      <c r="AW14" s="44">
        <f>C_Revenues_US!$D17*PRODUCT($E$10:AW$10)</f>
        <v>23.419901276996324</v>
      </c>
      <c r="AX14" s="44">
        <f>C_Revenues_US!$D17*PRODUCT($E$10:AX$10)</f>
        <v>23.48979328807339</v>
      </c>
      <c r="AY14" s="44">
        <f>C_Revenues_US!$D17*PRODUCT($E$10:AY$10)</f>
        <v>23.559685299150456</v>
      </c>
      <c r="AZ14" s="44">
        <f>C_Revenues_US!$D17*PRODUCT($E$10:AZ$10)</f>
        <v>23.629577310227518</v>
      </c>
      <c r="BA14" s="44">
        <f>C_Revenues_US!$D17*PRODUCT($E$10:BA$10)</f>
        <v>23.76072146429928</v>
      </c>
      <c r="BB14" s="44">
        <f>C_Revenues_US!$D17*PRODUCT($E$10:BB$10)</f>
        <v>23.891865618371046</v>
      </c>
      <c r="BC14" s="44">
        <f>C_Revenues_US!$D17*PRODUCT($E$10:BC$10)</f>
        <v>24.023009772442805</v>
      </c>
      <c r="BD14" s="44">
        <f>C_Revenues_US!$D17*PRODUCT($E$10:BD$10)</f>
        <v>24.154153926514567</v>
      </c>
      <c r="BE14" s="44">
        <f>C_Revenues_US!$D17*PRODUCT($E$10:BE$10)</f>
        <v>24.28529808058633</v>
      </c>
      <c r="BF14" s="44">
        <f>C_Revenues_US!$D17*PRODUCT($E$10:BF$10)</f>
        <v>24.416442234658092</v>
      </c>
      <c r="BG14" s="44">
        <f>C_Revenues_US!$D17*PRODUCT($E$10:BG$10)</f>
        <v>24.547586388729851</v>
      </c>
      <c r="BH14" s="44">
        <f>C_Revenues_US!$D17*PRODUCT($E$10:BH$10)</f>
        <v>24.678730542801613</v>
      </c>
      <c r="BI14" s="44">
        <f>C_Revenues_US!$D17*PRODUCT($E$10:BI$10)</f>
        <v>24.809874696873372</v>
      </c>
      <c r="BJ14" s="44">
        <f>C_Revenues_US!$D17*PRODUCT($E$10:BJ$10)</f>
        <v>24.941018850945134</v>
      </c>
      <c r="BK14" s="44">
        <f>C_Revenues_US!$D17*PRODUCT($E$10:BK$10)</f>
        <v>25.072163005016893</v>
      </c>
      <c r="BL14" s="44">
        <f>C_Revenues_US!$D17*PRODUCT($E$10:BL$10)</f>
        <v>25.203307159088656</v>
      </c>
    </row>
    <row r="15" spans="1:66">
      <c r="C15" t="s">
        <v>28</v>
      </c>
      <c r="D15" s="52"/>
      <c r="E15" s="44">
        <f>C_Revenues_US!$D18*PRODUCT($E$10:E$10)</f>
        <v>30.096714416666664</v>
      </c>
      <c r="F15" s="44">
        <f>C_Revenues_US!$D18*PRODUCT($E$10:F$10)</f>
        <v>30.20342883333333</v>
      </c>
      <c r="G15" s="44">
        <f>C_Revenues_US!$D18*PRODUCT($E$10:G$10)</f>
        <v>30.310143249999999</v>
      </c>
      <c r="H15" s="44">
        <f>C_Revenues_US!$D18*PRODUCT($E$10:H$10)</f>
        <v>30.416857666666665</v>
      </c>
      <c r="I15" s="44">
        <f>C_Revenues_US!$D18*PRODUCT($E$10:I$10)</f>
        <v>30.523572083333331</v>
      </c>
      <c r="J15" s="44">
        <f>C_Revenues_US!$D18*PRODUCT($E$10:J$10)</f>
        <v>30.630286499999997</v>
      </c>
      <c r="K15" s="44">
        <f>C_Revenues_US!$D18*PRODUCT($E$10:K$10)</f>
        <v>30.737000916666663</v>
      </c>
      <c r="L15" s="44">
        <f>C_Revenues_US!$D18*PRODUCT($E$10:L$10)</f>
        <v>30.843715333333332</v>
      </c>
      <c r="M15" s="44">
        <f>C_Revenues_US!$D18*PRODUCT($E$10:M$10)</f>
        <v>30.950429749999998</v>
      </c>
      <c r="N15" s="44">
        <f>C_Revenues_US!$D18*PRODUCT($E$10:N$10)</f>
        <v>31.057144166666664</v>
      </c>
      <c r="O15" s="44">
        <f>C_Revenues_US!$D18*PRODUCT($E$10:O$10)</f>
        <v>31.163858583333329</v>
      </c>
      <c r="P15" s="44">
        <f>C_Revenues_US!$D18*PRODUCT($E$10:P$10)</f>
        <v>31.270572999999999</v>
      </c>
      <c r="Q15" s="44">
        <f>C_Revenues_US!$D18*PRODUCT($E$10:Q$10)</f>
        <v>31.368814716841662</v>
      </c>
      <c r="R15" s="44">
        <f>C_Revenues_US!$D18*PRODUCT($E$10:R$10)</f>
        <v>31.467056433683325</v>
      </c>
      <c r="S15" s="44">
        <f>C_Revenues_US!$D18*PRODUCT($E$10:S$10)</f>
        <v>31.565298150524988</v>
      </c>
      <c r="T15" s="44">
        <f>C_Revenues_US!$D18*PRODUCT($E$10:T$10)</f>
        <v>31.663539867366655</v>
      </c>
      <c r="U15" s="44">
        <f>C_Revenues_US!$D18*PRODUCT($E$10:U$10)</f>
        <v>31.761781584208318</v>
      </c>
      <c r="V15" s="44">
        <f>C_Revenues_US!$D18*PRODUCT($E$10:V$10)</f>
        <v>31.860023301049981</v>
      </c>
      <c r="W15" s="44">
        <f>C_Revenues_US!$D18*PRODUCT($E$10:W$10)</f>
        <v>31.958265017891648</v>
      </c>
      <c r="X15" s="44">
        <f>C_Revenues_US!$D18*PRODUCT($E$10:X$10)</f>
        <v>32.056506734733318</v>
      </c>
      <c r="Y15" s="44">
        <f>C_Revenues_US!$D18*PRODUCT($E$10:Y$10)</f>
        <v>32.154748451574982</v>
      </c>
      <c r="Z15" s="44">
        <f>C_Revenues_US!$D18*PRODUCT($E$10:Z$10)</f>
        <v>32.252990168416645</v>
      </c>
      <c r="AA15" s="44">
        <f>C_Revenues_US!$D18*PRODUCT($E$10:AA$10)</f>
        <v>32.351231885258308</v>
      </c>
      <c r="AB15" s="44">
        <f>C_Revenues_US!$D18*PRODUCT($E$10:AB$10)</f>
        <v>32.449473602099971</v>
      </c>
      <c r="AC15" s="44">
        <f>C_Revenues_US!$D18*PRODUCT($E$10:AC$10)</f>
        <v>32.594684996469368</v>
      </c>
      <c r="AD15" s="44">
        <f>C_Revenues_US!$D18*PRODUCT($E$10:AD$10)</f>
        <v>32.739896390838766</v>
      </c>
      <c r="AE15" s="44">
        <f>C_Revenues_US!$D18*PRODUCT($E$10:AE$10)</f>
        <v>32.885107785208163</v>
      </c>
      <c r="AF15" s="44">
        <f>C_Revenues_US!$D18*PRODUCT($E$10:AF$10)</f>
        <v>33.03031917957756</v>
      </c>
      <c r="AG15" s="44">
        <f>C_Revenues_US!$D18*PRODUCT($E$10:AG$10)</f>
        <v>33.175530573946958</v>
      </c>
      <c r="AH15" s="44">
        <f>C_Revenues_US!$D18*PRODUCT($E$10:AH$10)</f>
        <v>33.320741968316355</v>
      </c>
      <c r="AI15" s="44">
        <f>C_Revenues_US!$D18*PRODUCT($E$10:AI$10)</f>
        <v>33.465953362685752</v>
      </c>
      <c r="AJ15" s="44">
        <f>C_Revenues_US!$D18*PRODUCT($E$10:AJ$10)</f>
        <v>33.61116475705515</v>
      </c>
      <c r="AK15" s="44">
        <f>C_Revenues_US!$D18*PRODUCT($E$10:AK$10)</f>
        <v>33.756376151424547</v>
      </c>
      <c r="AL15" s="44">
        <f>C_Revenues_US!$D18*PRODUCT($E$10:AL$10)</f>
        <v>33.901587545793944</v>
      </c>
      <c r="AM15" s="44">
        <f>C_Revenues_US!$D18*PRODUCT($E$10:AM$10)</f>
        <v>34.046798940163342</v>
      </c>
      <c r="AN15" s="44">
        <f>C_Revenues_US!$D18*PRODUCT($E$10:AN$10)</f>
        <v>34.192010334532746</v>
      </c>
      <c r="AO15" s="44">
        <f>C_Revenues_US!$D18*PRODUCT($E$10:AO$10)</f>
        <v>34.296865832891982</v>
      </c>
      <c r="AP15" s="44">
        <f>C_Revenues_US!$D18*PRODUCT($E$10:AP$10)</f>
        <v>34.401721331251217</v>
      </c>
      <c r="AQ15" s="44">
        <f>C_Revenues_US!$D18*PRODUCT($E$10:AQ$10)</f>
        <v>34.506576829610452</v>
      </c>
      <c r="AR15" s="44">
        <f>C_Revenues_US!$D18*PRODUCT($E$10:AR$10)</f>
        <v>34.611432327969695</v>
      </c>
      <c r="AS15" s="44">
        <f>C_Revenues_US!$D18*PRODUCT($E$10:AS$10)</f>
        <v>34.71628782632893</v>
      </c>
      <c r="AT15" s="44">
        <f>C_Revenues_US!$D18*PRODUCT($E$10:AT$10)</f>
        <v>34.821143324688165</v>
      </c>
      <c r="AU15" s="44">
        <f>C_Revenues_US!$D18*PRODUCT($E$10:AU$10)</f>
        <v>34.925998823047401</v>
      </c>
      <c r="AV15" s="44">
        <f>C_Revenues_US!$D18*PRODUCT($E$10:AV$10)</f>
        <v>35.030854321406636</v>
      </c>
      <c r="AW15" s="44">
        <f>C_Revenues_US!$D18*PRODUCT($E$10:AW$10)</f>
        <v>35.135709819765871</v>
      </c>
      <c r="AX15" s="44">
        <f>C_Revenues_US!$D18*PRODUCT($E$10:AX$10)</f>
        <v>35.240565318125114</v>
      </c>
      <c r="AY15" s="44">
        <f>C_Revenues_US!$D18*PRODUCT($E$10:AY$10)</f>
        <v>35.345420816484349</v>
      </c>
      <c r="AZ15" s="44">
        <f>C_Revenues_US!$D18*PRODUCT($E$10:AZ$10)</f>
        <v>35.450276314843585</v>
      </c>
      <c r="BA15" s="44">
        <f>C_Revenues_US!$D18*PRODUCT($E$10:BA$10)</f>
        <v>35.647025348390969</v>
      </c>
      <c r="BB15" s="44">
        <f>C_Revenues_US!$D18*PRODUCT($E$10:BB$10)</f>
        <v>35.843774381938353</v>
      </c>
      <c r="BC15" s="44">
        <f>C_Revenues_US!$D18*PRODUCT($E$10:BC$10)</f>
        <v>36.04052341548573</v>
      </c>
      <c r="BD15" s="44">
        <f>C_Revenues_US!$D18*PRODUCT($E$10:BD$10)</f>
        <v>36.237272449033107</v>
      </c>
      <c r="BE15" s="44">
        <f>C_Revenues_US!$D18*PRODUCT($E$10:BE$10)</f>
        <v>36.434021482580498</v>
      </c>
      <c r="BF15" s="44">
        <f>C_Revenues_US!$D18*PRODUCT($E$10:BF$10)</f>
        <v>36.630770516127875</v>
      </c>
      <c r="BG15" s="44">
        <f>C_Revenues_US!$D18*PRODUCT($E$10:BG$10)</f>
        <v>36.827519549675252</v>
      </c>
      <c r="BH15" s="44">
        <f>C_Revenues_US!$D18*PRODUCT($E$10:BH$10)</f>
        <v>37.024268583222629</v>
      </c>
      <c r="BI15" s="44">
        <f>C_Revenues_US!$D18*PRODUCT($E$10:BI$10)</f>
        <v>37.221017616770013</v>
      </c>
      <c r="BJ15" s="44">
        <f>C_Revenues_US!$D18*PRODUCT($E$10:BJ$10)</f>
        <v>37.41776665031739</v>
      </c>
      <c r="BK15" s="44">
        <f>C_Revenues_US!$D18*PRODUCT($E$10:BK$10)</f>
        <v>37.614515683864767</v>
      </c>
      <c r="BL15" s="44">
        <f>C_Revenues_US!$D18*PRODUCT($E$10:BL$10)</f>
        <v>37.811264717412143</v>
      </c>
    </row>
    <row r="16" spans="1:66">
      <c r="C16" t="s">
        <v>42</v>
      </c>
      <c r="E16" s="44">
        <f>C_Revenues_US!$D19*PRODUCT($E$10:E$10)</f>
        <v>50.167881083333334</v>
      </c>
      <c r="F16" s="44">
        <f>C_Revenues_US!$D19*PRODUCT($E$10:F$10)</f>
        <v>50.345762166666667</v>
      </c>
      <c r="G16" s="44">
        <f>C_Revenues_US!$D19*PRODUCT($E$10:G$10)</f>
        <v>50.523643249999999</v>
      </c>
      <c r="H16" s="44">
        <f>C_Revenues_US!$D19*PRODUCT($E$10:H$10)</f>
        <v>50.701524333333332</v>
      </c>
      <c r="I16" s="44">
        <f>C_Revenues_US!$D19*PRODUCT($E$10:I$10)</f>
        <v>50.879405416666671</v>
      </c>
      <c r="J16" s="44">
        <f>C_Revenues_US!$D19*PRODUCT($E$10:J$10)</f>
        <v>51.057286500000004</v>
      </c>
      <c r="K16" s="44">
        <f>C_Revenues_US!$D19*PRODUCT($E$10:K$10)</f>
        <v>51.235167583333336</v>
      </c>
      <c r="L16" s="44">
        <f>C_Revenues_US!$D19*PRODUCT($E$10:L$10)</f>
        <v>51.413048666666668</v>
      </c>
      <c r="M16" s="44">
        <f>C_Revenues_US!$D19*PRODUCT($E$10:M$10)</f>
        <v>51.590929750000001</v>
      </c>
      <c r="N16" s="44">
        <f>C_Revenues_US!$D19*PRODUCT($E$10:N$10)</f>
        <v>51.768810833333333</v>
      </c>
      <c r="O16" s="44">
        <f>C_Revenues_US!$D19*PRODUCT($E$10:O$10)</f>
        <v>51.946691916666666</v>
      </c>
      <c r="P16" s="44">
        <f>C_Revenues_US!$D19*PRODUCT($E$10:P$10)</f>
        <v>52.124572999999998</v>
      </c>
      <c r="Q16" s="44">
        <f>C_Revenues_US!$D19*PRODUCT($E$10:Q$10)</f>
        <v>52.288331033508328</v>
      </c>
      <c r="R16" s="44">
        <f>C_Revenues_US!$D19*PRODUCT($E$10:R$10)</f>
        <v>52.452089067016658</v>
      </c>
      <c r="S16" s="44">
        <f>C_Revenues_US!$D19*PRODUCT($E$10:S$10)</f>
        <v>52.615847100524988</v>
      </c>
      <c r="T16" s="44">
        <f>C_Revenues_US!$D19*PRODUCT($E$10:T$10)</f>
        <v>52.779605134033318</v>
      </c>
      <c r="U16" s="44">
        <f>C_Revenues_US!$D19*PRODUCT($E$10:U$10)</f>
        <v>52.943363167541648</v>
      </c>
      <c r="V16" s="44">
        <f>C_Revenues_US!$D19*PRODUCT($E$10:V$10)</f>
        <v>53.107121201049978</v>
      </c>
      <c r="W16" s="44">
        <f>C_Revenues_US!$D19*PRODUCT($E$10:W$10)</f>
        <v>53.270879234558308</v>
      </c>
      <c r="X16" s="44">
        <f>C_Revenues_US!$D19*PRODUCT($E$10:X$10)</f>
        <v>53.434637268066645</v>
      </c>
      <c r="Y16" s="44">
        <f>C_Revenues_US!$D19*PRODUCT($E$10:Y$10)</f>
        <v>53.598395301574975</v>
      </c>
      <c r="Z16" s="44">
        <f>C_Revenues_US!$D19*PRODUCT($E$10:Z$10)</f>
        <v>53.762153335083305</v>
      </c>
      <c r="AA16" s="44">
        <f>C_Revenues_US!$D19*PRODUCT($E$10:AA$10)</f>
        <v>53.925911368591635</v>
      </c>
      <c r="AB16" s="44">
        <f>C_Revenues_US!$D19*PRODUCT($E$10:AB$10)</f>
        <v>54.089669402099965</v>
      </c>
      <c r="AC16" s="44">
        <f>C_Revenues_US!$D19*PRODUCT($E$10:AC$10)</f>
        <v>54.331720672674358</v>
      </c>
      <c r="AD16" s="44">
        <f>C_Revenues_US!$D19*PRODUCT($E$10:AD$10)</f>
        <v>54.573771943248751</v>
      </c>
      <c r="AE16" s="44">
        <f>C_Revenues_US!$D19*PRODUCT($E$10:AE$10)</f>
        <v>54.815823213823151</v>
      </c>
      <c r="AF16" s="44">
        <f>C_Revenues_US!$D19*PRODUCT($E$10:AF$10)</f>
        <v>55.057874484397544</v>
      </c>
      <c r="AG16" s="44">
        <f>C_Revenues_US!$D19*PRODUCT($E$10:AG$10)</f>
        <v>55.299925754971945</v>
      </c>
      <c r="AH16" s="44">
        <f>C_Revenues_US!$D19*PRODUCT($E$10:AH$10)</f>
        <v>55.541977025546338</v>
      </c>
      <c r="AI16" s="44">
        <f>C_Revenues_US!$D19*PRODUCT($E$10:AI$10)</f>
        <v>55.784028296120731</v>
      </c>
      <c r="AJ16" s="44">
        <f>C_Revenues_US!$D19*PRODUCT($E$10:AJ$10)</f>
        <v>56.026079566695131</v>
      </c>
      <c r="AK16" s="44">
        <f>C_Revenues_US!$D19*PRODUCT($E$10:AK$10)</f>
        <v>56.268130837269538</v>
      </c>
      <c r="AL16" s="44">
        <f>C_Revenues_US!$D19*PRODUCT($E$10:AL$10)</f>
        <v>56.510182107843931</v>
      </c>
      <c r="AM16" s="44">
        <f>C_Revenues_US!$D19*PRODUCT($E$10:AM$10)</f>
        <v>56.752233378418325</v>
      </c>
      <c r="AN16" s="44">
        <f>C_Revenues_US!$D19*PRODUCT($E$10:AN$10)</f>
        <v>56.994284648992732</v>
      </c>
      <c r="AO16" s="44">
        <f>C_Revenues_US!$D19*PRODUCT($E$10:AO$10)</f>
        <v>57.169067121916321</v>
      </c>
      <c r="AP16" s="44">
        <f>C_Revenues_US!$D19*PRODUCT($E$10:AP$10)</f>
        <v>57.343849594839895</v>
      </c>
      <c r="AQ16" s="44">
        <f>C_Revenues_US!$D19*PRODUCT($E$10:AQ$10)</f>
        <v>57.518632067763484</v>
      </c>
      <c r="AR16" s="44">
        <f>C_Revenues_US!$D19*PRODUCT($E$10:AR$10)</f>
        <v>57.693414540687066</v>
      </c>
      <c r="AS16" s="44">
        <f>C_Revenues_US!$D19*PRODUCT($E$10:AS$10)</f>
        <v>57.868197013610654</v>
      </c>
      <c r="AT16" s="44">
        <f>C_Revenues_US!$D19*PRODUCT($E$10:AT$10)</f>
        <v>58.042979486534229</v>
      </c>
      <c r="AU16" s="44">
        <f>C_Revenues_US!$D19*PRODUCT($E$10:AU$10)</f>
        <v>58.21776195945781</v>
      </c>
      <c r="AV16" s="44">
        <f>C_Revenues_US!$D19*PRODUCT($E$10:AV$10)</f>
        <v>58.392544432381385</v>
      </c>
      <c r="AW16" s="44">
        <f>C_Revenues_US!$D19*PRODUCT($E$10:AW$10)</f>
        <v>58.567326905304974</v>
      </c>
      <c r="AX16" s="44">
        <f>C_Revenues_US!$D19*PRODUCT($E$10:AX$10)</f>
        <v>58.742109378228555</v>
      </c>
      <c r="AY16" s="44">
        <f>C_Revenues_US!$D19*PRODUCT($E$10:AY$10)</f>
        <v>58.916891851152144</v>
      </c>
      <c r="AZ16" s="44">
        <f>C_Revenues_US!$D19*PRODUCT($E$10:AZ$10)</f>
        <v>59.091674324075733</v>
      </c>
      <c r="BA16" s="44">
        <f>C_Revenues_US!$D19*PRODUCT($E$10:BA$10)</f>
        <v>59.419633116574346</v>
      </c>
      <c r="BB16" s="44">
        <f>C_Revenues_US!$D19*PRODUCT($E$10:BB$10)</f>
        <v>59.747591909072973</v>
      </c>
      <c r="BC16" s="44">
        <f>C_Revenues_US!$D19*PRODUCT($E$10:BC$10)</f>
        <v>60.075550701571586</v>
      </c>
      <c r="BD16" s="44">
        <f>C_Revenues_US!$D19*PRODUCT($E$10:BD$10)</f>
        <v>60.4035094940702</v>
      </c>
      <c r="BE16" s="44">
        <f>C_Revenues_US!$D19*PRODUCT($E$10:BE$10)</f>
        <v>60.731468286568827</v>
      </c>
      <c r="BF16" s="44">
        <f>C_Revenues_US!$D19*PRODUCT($E$10:BF$10)</f>
        <v>61.05942707906744</v>
      </c>
      <c r="BG16" s="44">
        <f>C_Revenues_US!$D19*PRODUCT($E$10:BG$10)</f>
        <v>61.387385871566053</v>
      </c>
      <c r="BH16" s="44">
        <f>C_Revenues_US!$D19*PRODUCT($E$10:BH$10)</f>
        <v>61.715344664064673</v>
      </c>
      <c r="BI16" s="44">
        <f>C_Revenues_US!$D19*PRODUCT($E$10:BI$10)</f>
        <v>62.043303456563287</v>
      </c>
      <c r="BJ16" s="44">
        <f>C_Revenues_US!$D19*PRODUCT($E$10:BJ$10)</f>
        <v>62.3712622490619</v>
      </c>
      <c r="BK16" s="44">
        <f>C_Revenues_US!$D19*PRODUCT($E$10:BK$10)</f>
        <v>62.699221041560513</v>
      </c>
      <c r="BL16" s="44">
        <f>C_Revenues_US!$D19*PRODUCT($E$10:BL$10)</f>
        <v>63.027179834059133</v>
      </c>
    </row>
    <row r="17" spans="3:64">
      <c r="C17" t="s">
        <v>27</v>
      </c>
      <c r="E17" s="44">
        <f>C_Revenues_US!$D20*PRODUCT($E$10:E$10)</f>
        <v>100.34579774999999</v>
      </c>
      <c r="F17" s="44">
        <f>C_Revenues_US!$D20*PRODUCT($E$10:F$10)</f>
        <v>100.7015955</v>
      </c>
      <c r="G17" s="44">
        <f>C_Revenues_US!$D20*PRODUCT($E$10:G$10)</f>
        <v>101.05739324999999</v>
      </c>
      <c r="H17" s="44">
        <f>C_Revenues_US!$D20*PRODUCT($E$10:H$10)</f>
        <v>101.413191</v>
      </c>
      <c r="I17" s="44">
        <f>C_Revenues_US!$D20*PRODUCT($E$10:I$10)</f>
        <v>101.76898874999999</v>
      </c>
      <c r="J17" s="44">
        <f>C_Revenues_US!$D20*PRODUCT($E$10:J$10)</f>
        <v>102.1247865</v>
      </c>
      <c r="K17" s="44">
        <f>C_Revenues_US!$D20*PRODUCT($E$10:K$10)</f>
        <v>102.48058424999999</v>
      </c>
      <c r="L17" s="44">
        <f>C_Revenues_US!$D20*PRODUCT($E$10:L$10)</f>
        <v>102.83638199999999</v>
      </c>
      <c r="M17" s="44">
        <f>C_Revenues_US!$D20*PRODUCT($E$10:M$10)</f>
        <v>103.19217974999999</v>
      </c>
      <c r="N17" s="44">
        <f>C_Revenues_US!$D20*PRODUCT($E$10:N$10)</f>
        <v>103.54797749999999</v>
      </c>
      <c r="O17" s="44">
        <f>C_Revenues_US!$D20*PRODUCT($E$10:O$10)</f>
        <v>103.90377525</v>
      </c>
      <c r="P17" s="44">
        <f>C_Revenues_US!$D20*PRODUCT($E$10:P$10)</f>
        <v>104.25957299999999</v>
      </c>
      <c r="Q17" s="44">
        <f>C_Revenues_US!$D20*PRODUCT($E$10:Q$10)</f>
        <v>104.58712182517499</v>
      </c>
      <c r="R17" s="44">
        <f>C_Revenues_US!$D20*PRODUCT($E$10:R$10)</f>
        <v>104.91467065034998</v>
      </c>
      <c r="S17" s="44">
        <f>C_Revenues_US!$D20*PRODUCT($E$10:S$10)</f>
        <v>105.24221947552496</v>
      </c>
      <c r="T17" s="44">
        <f>C_Revenues_US!$D20*PRODUCT($E$10:T$10)</f>
        <v>105.56976830069996</v>
      </c>
      <c r="U17" s="44">
        <f>C_Revenues_US!$D20*PRODUCT($E$10:U$10)</f>
        <v>105.89731712587495</v>
      </c>
      <c r="V17" s="44">
        <f>C_Revenues_US!$D20*PRODUCT($E$10:V$10)</f>
        <v>106.22486595104994</v>
      </c>
      <c r="W17" s="44">
        <f>C_Revenues_US!$D20*PRODUCT($E$10:W$10)</f>
        <v>106.55241477622494</v>
      </c>
      <c r="X17" s="44">
        <f>C_Revenues_US!$D20*PRODUCT($E$10:X$10)</f>
        <v>106.87996360139995</v>
      </c>
      <c r="Y17" s="44">
        <f>C_Revenues_US!$D20*PRODUCT($E$10:Y$10)</f>
        <v>107.20751242657494</v>
      </c>
      <c r="Z17" s="44">
        <f>C_Revenues_US!$D20*PRODUCT($E$10:Z$10)</f>
        <v>107.53506125174994</v>
      </c>
      <c r="AA17" s="44">
        <f>C_Revenues_US!$D20*PRODUCT($E$10:AA$10)</f>
        <v>107.86261007692492</v>
      </c>
      <c r="AB17" s="44">
        <f>C_Revenues_US!$D20*PRODUCT($E$10:AB$10)</f>
        <v>108.19015890209991</v>
      </c>
      <c r="AC17" s="44">
        <f>C_Revenues_US!$D20*PRODUCT($E$10:AC$10)</f>
        <v>108.67430986318681</v>
      </c>
      <c r="AD17" s="44">
        <f>C_Revenues_US!$D20*PRODUCT($E$10:AD$10)</f>
        <v>109.1584608242737</v>
      </c>
      <c r="AE17" s="44">
        <f>C_Revenues_US!$D20*PRODUCT($E$10:AE$10)</f>
        <v>109.6426117853606</v>
      </c>
      <c r="AF17" s="44">
        <f>C_Revenues_US!$D20*PRODUCT($E$10:AF$10)</f>
        <v>110.1267627464475</v>
      </c>
      <c r="AG17" s="44">
        <f>C_Revenues_US!$D20*PRODUCT($E$10:AG$10)</f>
        <v>110.61091370753438</v>
      </c>
      <c r="AH17" s="44">
        <f>C_Revenues_US!$D20*PRODUCT($E$10:AH$10)</f>
        <v>111.09506466862128</v>
      </c>
      <c r="AI17" s="44">
        <f>C_Revenues_US!$D20*PRODUCT($E$10:AI$10)</f>
        <v>111.57921562970817</v>
      </c>
      <c r="AJ17" s="44">
        <f>C_Revenues_US!$D20*PRODUCT($E$10:AJ$10)</f>
        <v>112.06336659079507</v>
      </c>
      <c r="AK17" s="44">
        <f>C_Revenues_US!$D20*PRODUCT($E$10:AK$10)</f>
        <v>112.54751755188198</v>
      </c>
      <c r="AL17" s="44">
        <f>C_Revenues_US!$D20*PRODUCT($E$10:AL$10)</f>
        <v>113.03166851296888</v>
      </c>
      <c r="AM17" s="44">
        <f>C_Revenues_US!$D20*PRODUCT($E$10:AM$10)</f>
        <v>113.51581947405577</v>
      </c>
      <c r="AN17" s="44">
        <f>C_Revenues_US!$D20*PRODUCT($E$10:AN$10)</f>
        <v>113.99997043514269</v>
      </c>
      <c r="AO17" s="44">
        <f>C_Revenues_US!$D20*PRODUCT($E$10:AO$10)</f>
        <v>114.34957034447714</v>
      </c>
      <c r="AP17" s="44">
        <f>C_Revenues_US!$D20*PRODUCT($E$10:AP$10)</f>
        <v>114.69917025381157</v>
      </c>
      <c r="AQ17" s="44">
        <f>C_Revenues_US!$D20*PRODUCT($E$10:AQ$10)</f>
        <v>115.04877016314603</v>
      </c>
      <c r="AR17" s="44">
        <f>C_Revenues_US!$D20*PRODUCT($E$10:AR$10)</f>
        <v>115.39837007248047</v>
      </c>
      <c r="AS17" s="44">
        <f>C_Revenues_US!$D20*PRODUCT($E$10:AS$10)</f>
        <v>115.74796998181493</v>
      </c>
      <c r="AT17" s="44">
        <f>C_Revenues_US!$D20*PRODUCT($E$10:AT$10)</f>
        <v>116.09756989114936</v>
      </c>
      <c r="AU17" s="44">
        <f>C_Revenues_US!$D20*PRODUCT($E$10:AU$10)</f>
        <v>116.44716980048382</v>
      </c>
      <c r="AV17" s="44">
        <f>C_Revenues_US!$D20*PRODUCT($E$10:AV$10)</f>
        <v>116.79676970981825</v>
      </c>
      <c r="AW17" s="44">
        <f>C_Revenues_US!$D20*PRODUCT($E$10:AW$10)</f>
        <v>117.14636961915271</v>
      </c>
      <c r="AX17" s="44">
        <f>C_Revenues_US!$D20*PRODUCT($E$10:AX$10)</f>
        <v>117.49596952848715</v>
      </c>
      <c r="AY17" s="44">
        <f>C_Revenues_US!$D20*PRODUCT($E$10:AY$10)</f>
        <v>117.84556943782161</v>
      </c>
      <c r="AZ17" s="44">
        <f>C_Revenues_US!$D20*PRODUCT($E$10:AZ$10)</f>
        <v>118.19516934715607</v>
      </c>
      <c r="BA17" s="44">
        <f>C_Revenues_US!$D20*PRODUCT($E$10:BA$10)</f>
        <v>118.85115253703277</v>
      </c>
      <c r="BB17" s="44">
        <f>C_Revenues_US!$D20*PRODUCT($E$10:BB$10)</f>
        <v>119.5071357269095</v>
      </c>
      <c r="BC17" s="44">
        <f>C_Revenues_US!$D20*PRODUCT($E$10:BC$10)</f>
        <v>120.1631189167862</v>
      </c>
      <c r="BD17" s="44">
        <f>C_Revenues_US!$D20*PRODUCT($E$10:BD$10)</f>
        <v>120.81910210666291</v>
      </c>
      <c r="BE17" s="44">
        <f>C_Revenues_US!$D20*PRODUCT($E$10:BE$10)</f>
        <v>121.47508529653963</v>
      </c>
      <c r="BF17" s="44">
        <f>C_Revenues_US!$D20*PRODUCT($E$10:BF$10)</f>
        <v>122.13106848641634</v>
      </c>
      <c r="BG17" s="44">
        <f>C_Revenues_US!$D20*PRODUCT($E$10:BG$10)</f>
        <v>122.78705167629305</v>
      </c>
      <c r="BH17" s="44">
        <f>C_Revenues_US!$D20*PRODUCT($E$10:BH$10)</f>
        <v>123.44303486616975</v>
      </c>
      <c r="BI17" s="44">
        <f>C_Revenues_US!$D20*PRODUCT($E$10:BI$10)</f>
        <v>124.09901805604646</v>
      </c>
      <c r="BJ17" s="44">
        <f>C_Revenues_US!$D20*PRODUCT($E$10:BJ$10)</f>
        <v>124.75500124592317</v>
      </c>
      <c r="BK17" s="44">
        <f>C_Revenues_US!$D20*PRODUCT($E$10:BK$10)</f>
        <v>125.41098443579988</v>
      </c>
      <c r="BL17" s="44">
        <f>C_Revenues_US!$D20*PRODUCT($E$10:BL$10)</f>
        <v>126.06696762567657</v>
      </c>
    </row>
    <row r="19" spans="3:64">
      <c r="C19" s="46" t="s">
        <v>62</v>
      </c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</row>
    <row r="20" spans="3:64">
      <c r="C20" t="s">
        <v>30</v>
      </c>
      <c r="E20" s="54">
        <f>QUOTIENT(E13-C_Revenues_US!$D16,$E$1/2)*$E$1+C_Revenues_US!D16</f>
        <v>9.99</v>
      </c>
      <c r="F20">
        <f>QUOTIENT(F13-E20,$E$1/2)*$E$1+E20</f>
        <v>9.99</v>
      </c>
      <c r="G20">
        <f t="shared" ref="G20:BL20" si="1">QUOTIENT(G13-F20,$E$1/2)*$E$1+F20</f>
        <v>9.99</v>
      </c>
      <c r="H20">
        <f t="shared" si="1"/>
        <v>9.99</v>
      </c>
      <c r="I20">
        <f t="shared" si="1"/>
        <v>9.99</v>
      </c>
      <c r="J20">
        <f t="shared" si="1"/>
        <v>9.99</v>
      </c>
      <c r="K20">
        <f t="shared" si="1"/>
        <v>9.99</v>
      </c>
      <c r="L20">
        <f t="shared" si="1"/>
        <v>9.99</v>
      </c>
      <c r="M20">
        <f t="shared" si="1"/>
        <v>9.99</v>
      </c>
      <c r="N20">
        <f t="shared" si="1"/>
        <v>9.99</v>
      </c>
      <c r="O20">
        <f t="shared" si="1"/>
        <v>9.99</v>
      </c>
      <c r="P20">
        <f t="shared" si="1"/>
        <v>9.99</v>
      </c>
      <c r="Q20">
        <f t="shared" si="1"/>
        <v>9.99</v>
      </c>
      <c r="R20">
        <f t="shared" si="1"/>
        <v>9.99</v>
      </c>
      <c r="S20">
        <f t="shared" si="1"/>
        <v>9.99</v>
      </c>
      <c r="T20">
        <f t="shared" si="1"/>
        <v>9.99</v>
      </c>
      <c r="U20">
        <f t="shared" si="1"/>
        <v>9.99</v>
      </c>
      <c r="V20">
        <f t="shared" si="1"/>
        <v>9.99</v>
      </c>
      <c r="W20">
        <f t="shared" si="1"/>
        <v>9.99</v>
      </c>
      <c r="X20">
        <f t="shared" si="1"/>
        <v>9.99</v>
      </c>
      <c r="Y20">
        <f t="shared" si="1"/>
        <v>9.99</v>
      </c>
      <c r="Z20">
        <f t="shared" si="1"/>
        <v>9.99</v>
      </c>
      <c r="AA20">
        <f t="shared" si="1"/>
        <v>9.99</v>
      </c>
      <c r="AB20">
        <f t="shared" si="1"/>
        <v>9.99</v>
      </c>
      <c r="AC20">
        <f t="shared" si="1"/>
        <v>9.99</v>
      </c>
      <c r="AD20">
        <f t="shared" si="1"/>
        <v>9.99</v>
      </c>
      <c r="AE20">
        <f t="shared" si="1"/>
        <v>9.99</v>
      </c>
      <c r="AF20">
        <f t="shared" si="1"/>
        <v>9.99</v>
      </c>
      <c r="AG20">
        <f t="shared" si="1"/>
        <v>9.99</v>
      </c>
      <c r="AH20">
        <f t="shared" si="1"/>
        <v>9.99</v>
      </c>
      <c r="AI20">
        <f t="shared" si="1"/>
        <v>9.99</v>
      </c>
      <c r="AJ20">
        <f t="shared" si="1"/>
        <v>9.99</v>
      </c>
      <c r="AK20">
        <f t="shared" si="1"/>
        <v>9.99</v>
      </c>
      <c r="AL20">
        <f t="shared" si="1"/>
        <v>9.99</v>
      </c>
      <c r="AM20">
        <f t="shared" si="1"/>
        <v>9.99</v>
      </c>
      <c r="AN20">
        <f t="shared" si="1"/>
        <v>9.99</v>
      </c>
      <c r="AO20">
        <f t="shared" si="1"/>
        <v>9.99</v>
      </c>
      <c r="AP20">
        <f t="shared" si="1"/>
        <v>9.99</v>
      </c>
      <c r="AQ20">
        <f t="shared" si="1"/>
        <v>9.99</v>
      </c>
      <c r="AR20">
        <f t="shared" si="1"/>
        <v>9.99</v>
      </c>
      <c r="AS20">
        <f t="shared" si="1"/>
        <v>9.99</v>
      </c>
      <c r="AT20">
        <f t="shared" si="1"/>
        <v>9.99</v>
      </c>
      <c r="AU20">
        <f t="shared" si="1"/>
        <v>9.99</v>
      </c>
      <c r="AV20">
        <f t="shared" si="1"/>
        <v>9.99</v>
      </c>
      <c r="AW20">
        <f t="shared" si="1"/>
        <v>9.99</v>
      </c>
      <c r="AX20">
        <f t="shared" si="1"/>
        <v>9.99</v>
      </c>
      <c r="AY20">
        <f t="shared" si="1"/>
        <v>9.99</v>
      </c>
      <c r="AZ20">
        <f t="shared" si="1"/>
        <v>9.99</v>
      </c>
      <c r="BA20">
        <f t="shared" si="1"/>
        <v>9.99</v>
      </c>
      <c r="BB20">
        <f t="shared" si="1"/>
        <v>9.99</v>
      </c>
      <c r="BC20">
        <f t="shared" si="1"/>
        <v>9.99</v>
      </c>
      <c r="BD20">
        <f t="shared" si="1"/>
        <v>9.99</v>
      </c>
      <c r="BE20">
        <f t="shared" si="1"/>
        <v>9.99</v>
      </c>
      <c r="BF20">
        <f t="shared" si="1"/>
        <v>9.99</v>
      </c>
      <c r="BG20">
        <f t="shared" si="1"/>
        <v>9.99</v>
      </c>
      <c r="BH20">
        <f t="shared" si="1"/>
        <v>9.99</v>
      </c>
      <c r="BI20">
        <f t="shared" si="1"/>
        <v>9.99</v>
      </c>
      <c r="BJ20">
        <f t="shared" si="1"/>
        <v>9.99</v>
      </c>
      <c r="BK20">
        <f t="shared" si="1"/>
        <v>14.99</v>
      </c>
      <c r="BL20">
        <f t="shared" si="1"/>
        <v>14.99</v>
      </c>
    </row>
    <row r="21" spans="3:64">
      <c r="C21" t="s">
        <v>29</v>
      </c>
      <c r="E21" s="54">
        <f>QUOTIENT(E14-C_Revenues_US!$D17,$E$1/2)*$E$1+C_Revenues_US!D17</f>
        <v>19.989999999999998</v>
      </c>
      <c r="F21">
        <f t="shared" ref="F21:BL21" si="2">QUOTIENT(F14-E21,$E$1/2)*$E$1+E21</f>
        <v>19.989999999999998</v>
      </c>
      <c r="G21">
        <f t="shared" si="2"/>
        <v>19.989999999999998</v>
      </c>
      <c r="H21">
        <f t="shared" si="2"/>
        <v>19.989999999999998</v>
      </c>
      <c r="I21">
        <f t="shared" si="2"/>
        <v>19.989999999999998</v>
      </c>
      <c r="J21">
        <f t="shared" si="2"/>
        <v>19.989999999999998</v>
      </c>
      <c r="K21">
        <f t="shared" si="2"/>
        <v>19.989999999999998</v>
      </c>
      <c r="L21">
        <f t="shared" si="2"/>
        <v>19.989999999999998</v>
      </c>
      <c r="M21">
        <f t="shared" si="2"/>
        <v>19.989999999999998</v>
      </c>
      <c r="N21">
        <f t="shared" si="2"/>
        <v>19.989999999999998</v>
      </c>
      <c r="O21">
        <f t="shared" si="2"/>
        <v>19.989999999999998</v>
      </c>
      <c r="P21">
        <f t="shared" si="2"/>
        <v>19.989999999999998</v>
      </c>
      <c r="Q21">
        <f t="shared" si="2"/>
        <v>19.989999999999998</v>
      </c>
      <c r="R21">
        <f t="shared" si="2"/>
        <v>19.989999999999998</v>
      </c>
      <c r="S21">
        <f t="shared" si="2"/>
        <v>19.989999999999998</v>
      </c>
      <c r="T21">
        <f t="shared" si="2"/>
        <v>19.989999999999998</v>
      </c>
      <c r="U21">
        <f t="shared" si="2"/>
        <v>19.989999999999998</v>
      </c>
      <c r="V21">
        <f t="shared" si="2"/>
        <v>19.989999999999998</v>
      </c>
      <c r="W21">
        <f t="shared" si="2"/>
        <v>19.989999999999998</v>
      </c>
      <c r="X21">
        <f t="shared" si="2"/>
        <v>19.989999999999998</v>
      </c>
      <c r="Y21">
        <f t="shared" si="2"/>
        <v>19.989999999999998</v>
      </c>
      <c r="Z21">
        <f t="shared" si="2"/>
        <v>19.989999999999998</v>
      </c>
      <c r="AA21">
        <f t="shared" si="2"/>
        <v>19.989999999999998</v>
      </c>
      <c r="AB21">
        <f t="shared" si="2"/>
        <v>19.989999999999998</v>
      </c>
      <c r="AC21">
        <f t="shared" si="2"/>
        <v>19.989999999999998</v>
      </c>
      <c r="AD21">
        <f t="shared" si="2"/>
        <v>19.989999999999998</v>
      </c>
      <c r="AE21">
        <f t="shared" si="2"/>
        <v>19.989999999999998</v>
      </c>
      <c r="AF21">
        <f t="shared" si="2"/>
        <v>19.989999999999998</v>
      </c>
      <c r="AG21">
        <f t="shared" si="2"/>
        <v>19.989999999999998</v>
      </c>
      <c r="AH21">
        <f t="shared" si="2"/>
        <v>19.989999999999998</v>
      </c>
      <c r="AI21">
        <f t="shared" si="2"/>
        <v>19.989999999999998</v>
      </c>
      <c r="AJ21">
        <f t="shared" si="2"/>
        <v>19.989999999999998</v>
      </c>
      <c r="AK21">
        <f t="shared" si="2"/>
        <v>24.99</v>
      </c>
      <c r="AL21">
        <f t="shared" si="2"/>
        <v>24.99</v>
      </c>
      <c r="AM21">
        <f t="shared" si="2"/>
        <v>24.99</v>
      </c>
      <c r="AN21">
        <f t="shared" si="2"/>
        <v>24.99</v>
      </c>
      <c r="AO21">
        <f t="shared" si="2"/>
        <v>24.99</v>
      </c>
      <c r="AP21">
        <f t="shared" si="2"/>
        <v>24.99</v>
      </c>
      <c r="AQ21">
        <f t="shared" si="2"/>
        <v>24.99</v>
      </c>
      <c r="AR21">
        <f t="shared" si="2"/>
        <v>24.99</v>
      </c>
      <c r="AS21">
        <f t="shared" si="2"/>
        <v>24.99</v>
      </c>
      <c r="AT21">
        <f t="shared" si="2"/>
        <v>24.99</v>
      </c>
      <c r="AU21">
        <f t="shared" si="2"/>
        <v>24.99</v>
      </c>
      <c r="AV21">
        <f t="shared" si="2"/>
        <v>24.99</v>
      </c>
      <c r="AW21">
        <f t="shared" si="2"/>
        <v>24.99</v>
      </c>
      <c r="AX21">
        <f t="shared" si="2"/>
        <v>24.99</v>
      </c>
      <c r="AY21">
        <f t="shared" si="2"/>
        <v>24.99</v>
      </c>
      <c r="AZ21">
        <f t="shared" si="2"/>
        <v>24.99</v>
      </c>
      <c r="BA21">
        <f t="shared" si="2"/>
        <v>24.99</v>
      </c>
      <c r="BB21">
        <f t="shared" si="2"/>
        <v>24.99</v>
      </c>
      <c r="BC21">
        <f t="shared" si="2"/>
        <v>24.99</v>
      </c>
      <c r="BD21">
        <f t="shared" si="2"/>
        <v>24.99</v>
      </c>
      <c r="BE21">
        <f t="shared" si="2"/>
        <v>24.99</v>
      </c>
      <c r="BF21">
        <f t="shared" si="2"/>
        <v>24.99</v>
      </c>
      <c r="BG21">
        <f t="shared" si="2"/>
        <v>24.99</v>
      </c>
      <c r="BH21">
        <f t="shared" si="2"/>
        <v>24.99</v>
      </c>
      <c r="BI21">
        <f t="shared" si="2"/>
        <v>24.99</v>
      </c>
      <c r="BJ21">
        <f t="shared" si="2"/>
        <v>24.99</v>
      </c>
      <c r="BK21">
        <f t="shared" si="2"/>
        <v>24.99</v>
      </c>
      <c r="BL21">
        <f t="shared" si="2"/>
        <v>24.99</v>
      </c>
    </row>
    <row r="22" spans="3:64">
      <c r="C22" t="s">
        <v>28</v>
      </c>
      <c r="E22" s="54">
        <f>QUOTIENT(E15-C_Revenues_US!$D18,$E$1/2)*$E$1+C_Revenues_US!D18</f>
        <v>29.99</v>
      </c>
      <c r="F22">
        <f t="shared" ref="F22:BL22" si="3">QUOTIENT(F15-E22,$E$1/2)*$E$1+E22</f>
        <v>29.99</v>
      </c>
      <c r="G22">
        <f t="shared" si="3"/>
        <v>29.99</v>
      </c>
      <c r="H22">
        <f t="shared" si="3"/>
        <v>29.99</v>
      </c>
      <c r="I22">
        <f t="shared" si="3"/>
        <v>29.99</v>
      </c>
      <c r="J22">
        <f t="shared" si="3"/>
        <v>29.99</v>
      </c>
      <c r="K22">
        <f t="shared" si="3"/>
        <v>29.99</v>
      </c>
      <c r="L22">
        <f t="shared" si="3"/>
        <v>29.99</v>
      </c>
      <c r="M22">
        <f t="shared" si="3"/>
        <v>29.99</v>
      </c>
      <c r="N22">
        <f t="shared" si="3"/>
        <v>29.99</v>
      </c>
      <c r="O22">
        <f t="shared" si="3"/>
        <v>29.99</v>
      </c>
      <c r="P22">
        <f t="shared" si="3"/>
        <v>29.99</v>
      </c>
      <c r="Q22">
        <f t="shared" si="3"/>
        <v>29.99</v>
      </c>
      <c r="R22">
        <f t="shared" si="3"/>
        <v>29.99</v>
      </c>
      <c r="S22">
        <f t="shared" si="3"/>
        <v>29.99</v>
      </c>
      <c r="T22">
        <f t="shared" si="3"/>
        <v>29.99</v>
      </c>
      <c r="U22">
        <f t="shared" si="3"/>
        <v>29.99</v>
      </c>
      <c r="V22">
        <f t="shared" si="3"/>
        <v>29.99</v>
      </c>
      <c r="W22">
        <f t="shared" si="3"/>
        <v>29.99</v>
      </c>
      <c r="X22">
        <f t="shared" si="3"/>
        <v>29.99</v>
      </c>
      <c r="Y22">
        <f t="shared" si="3"/>
        <v>29.99</v>
      </c>
      <c r="Z22">
        <f t="shared" si="3"/>
        <v>29.99</v>
      </c>
      <c r="AA22">
        <f t="shared" si="3"/>
        <v>29.99</v>
      </c>
      <c r="AB22">
        <f t="shared" si="3"/>
        <v>29.99</v>
      </c>
      <c r="AC22">
        <f t="shared" si="3"/>
        <v>34.989999999999995</v>
      </c>
      <c r="AD22">
        <f t="shared" si="3"/>
        <v>34.989999999999995</v>
      </c>
      <c r="AE22">
        <f t="shared" si="3"/>
        <v>34.989999999999995</v>
      </c>
      <c r="AF22">
        <f t="shared" si="3"/>
        <v>34.989999999999995</v>
      </c>
      <c r="AG22">
        <f t="shared" si="3"/>
        <v>34.989999999999995</v>
      </c>
      <c r="AH22">
        <f t="shared" si="3"/>
        <v>34.989999999999995</v>
      </c>
      <c r="AI22">
        <f t="shared" si="3"/>
        <v>34.989999999999995</v>
      </c>
      <c r="AJ22">
        <f t="shared" si="3"/>
        <v>34.989999999999995</v>
      </c>
      <c r="AK22">
        <f t="shared" si="3"/>
        <v>34.989999999999995</v>
      </c>
      <c r="AL22">
        <f t="shared" si="3"/>
        <v>34.989999999999995</v>
      </c>
      <c r="AM22">
        <f t="shared" si="3"/>
        <v>34.989999999999995</v>
      </c>
      <c r="AN22">
        <f t="shared" si="3"/>
        <v>34.989999999999995</v>
      </c>
      <c r="AO22">
        <f t="shared" si="3"/>
        <v>34.989999999999995</v>
      </c>
      <c r="AP22">
        <f t="shared" si="3"/>
        <v>34.989999999999995</v>
      </c>
      <c r="AQ22">
        <f t="shared" si="3"/>
        <v>34.989999999999995</v>
      </c>
      <c r="AR22">
        <f t="shared" si="3"/>
        <v>34.989999999999995</v>
      </c>
      <c r="AS22">
        <f t="shared" si="3"/>
        <v>34.989999999999995</v>
      </c>
      <c r="AT22">
        <f t="shared" si="3"/>
        <v>34.989999999999995</v>
      </c>
      <c r="AU22">
        <f t="shared" si="3"/>
        <v>34.989999999999995</v>
      </c>
      <c r="AV22">
        <f t="shared" si="3"/>
        <v>34.989999999999995</v>
      </c>
      <c r="AW22">
        <f t="shared" si="3"/>
        <v>34.989999999999995</v>
      </c>
      <c r="AX22">
        <f t="shared" si="3"/>
        <v>34.989999999999995</v>
      </c>
      <c r="AY22">
        <f t="shared" si="3"/>
        <v>34.989999999999995</v>
      </c>
      <c r="AZ22">
        <f t="shared" si="3"/>
        <v>34.989999999999995</v>
      </c>
      <c r="BA22">
        <f t="shared" si="3"/>
        <v>34.989999999999995</v>
      </c>
      <c r="BB22">
        <f t="shared" si="3"/>
        <v>34.989999999999995</v>
      </c>
      <c r="BC22">
        <f t="shared" si="3"/>
        <v>34.989999999999995</v>
      </c>
      <c r="BD22">
        <f t="shared" si="3"/>
        <v>34.989999999999995</v>
      </c>
      <c r="BE22">
        <f t="shared" si="3"/>
        <v>34.989999999999995</v>
      </c>
      <c r="BF22">
        <f t="shared" si="3"/>
        <v>34.989999999999995</v>
      </c>
      <c r="BG22">
        <f t="shared" si="3"/>
        <v>34.989999999999995</v>
      </c>
      <c r="BH22">
        <f t="shared" si="3"/>
        <v>34.989999999999995</v>
      </c>
      <c r="BI22">
        <f t="shared" si="3"/>
        <v>34.989999999999995</v>
      </c>
      <c r="BJ22">
        <f t="shared" si="3"/>
        <v>34.989999999999995</v>
      </c>
      <c r="BK22">
        <f t="shared" si="3"/>
        <v>39.989999999999995</v>
      </c>
      <c r="BL22">
        <f t="shared" si="3"/>
        <v>39.989999999999995</v>
      </c>
    </row>
    <row r="23" spans="3:64">
      <c r="C23" t="s">
        <v>42</v>
      </c>
      <c r="E23" s="54">
        <f>QUOTIENT(E16-C_Revenues_US!$D19,$E$1/2)*$E$1+C_Revenues_US!D19</f>
        <v>49.99</v>
      </c>
      <c r="F23">
        <f t="shared" ref="F23:BL23" si="4">QUOTIENT(F16-E23,$E$1/2)*$E$1+E23</f>
        <v>49.99</v>
      </c>
      <c r="G23">
        <f t="shared" si="4"/>
        <v>49.99</v>
      </c>
      <c r="H23">
        <f t="shared" si="4"/>
        <v>49.99</v>
      </c>
      <c r="I23">
        <f t="shared" si="4"/>
        <v>49.99</v>
      </c>
      <c r="J23">
        <f t="shared" si="4"/>
        <v>49.99</v>
      </c>
      <c r="K23">
        <f t="shared" si="4"/>
        <v>49.99</v>
      </c>
      <c r="L23">
        <f t="shared" si="4"/>
        <v>49.99</v>
      </c>
      <c r="M23">
        <f t="shared" si="4"/>
        <v>49.99</v>
      </c>
      <c r="N23">
        <f t="shared" si="4"/>
        <v>49.99</v>
      </c>
      <c r="O23">
        <f t="shared" si="4"/>
        <v>49.99</v>
      </c>
      <c r="P23">
        <f t="shared" si="4"/>
        <v>49.99</v>
      </c>
      <c r="Q23">
        <f t="shared" si="4"/>
        <v>49.99</v>
      </c>
      <c r="R23">
        <f t="shared" si="4"/>
        <v>49.99</v>
      </c>
      <c r="S23">
        <f t="shared" si="4"/>
        <v>54.99</v>
      </c>
      <c r="T23">
        <f t="shared" si="4"/>
        <v>54.99</v>
      </c>
      <c r="U23">
        <f t="shared" si="4"/>
        <v>54.99</v>
      </c>
      <c r="V23">
        <f t="shared" si="4"/>
        <v>54.99</v>
      </c>
      <c r="W23">
        <f t="shared" si="4"/>
        <v>54.99</v>
      </c>
      <c r="X23">
        <f t="shared" si="4"/>
        <v>54.99</v>
      </c>
      <c r="Y23">
        <f t="shared" si="4"/>
        <v>54.99</v>
      </c>
      <c r="Z23">
        <f t="shared" si="4"/>
        <v>54.99</v>
      </c>
      <c r="AA23">
        <f t="shared" si="4"/>
        <v>54.99</v>
      </c>
      <c r="AB23">
        <f t="shared" si="4"/>
        <v>54.99</v>
      </c>
      <c r="AC23">
        <f t="shared" si="4"/>
        <v>54.99</v>
      </c>
      <c r="AD23">
        <f t="shared" si="4"/>
        <v>54.99</v>
      </c>
      <c r="AE23">
        <f t="shared" si="4"/>
        <v>54.99</v>
      </c>
      <c r="AF23">
        <f t="shared" si="4"/>
        <v>54.99</v>
      </c>
      <c r="AG23">
        <f t="shared" si="4"/>
        <v>54.99</v>
      </c>
      <c r="AH23">
        <f t="shared" si="4"/>
        <v>54.99</v>
      </c>
      <c r="AI23">
        <f t="shared" si="4"/>
        <v>54.99</v>
      </c>
      <c r="AJ23">
        <f t="shared" si="4"/>
        <v>54.99</v>
      </c>
      <c r="AK23">
        <f t="shared" si="4"/>
        <v>54.99</v>
      </c>
      <c r="AL23">
        <f t="shared" si="4"/>
        <v>54.99</v>
      </c>
      <c r="AM23">
        <f t="shared" si="4"/>
        <v>54.99</v>
      </c>
      <c r="AN23">
        <f t="shared" si="4"/>
        <v>54.99</v>
      </c>
      <c r="AO23">
        <f t="shared" si="4"/>
        <v>54.99</v>
      </c>
      <c r="AP23">
        <f t="shared" si="4"/>
        <v>54.99</v>
      </c>
      <c r="AQ23">
        <f t="shared" si="4"/>
        <v>59.99</v>
      </c>
      <c r="AR23">
        <f t="shared" si="4"/>
        <v>59.99</v>
      </c>
      <c r="AS23">
        <f t="shared" si="4"/>
        <v>59.99</v>
      </c>
      <c r="AT23">
        <f t="shared" si="4"/>
        <v>59.99</v>
      </c>
      <c r="AU23">
        <f t="shared" si="4"/>
        <v>59.99</v>
      </c>
      <c r="AV23">
        <f t="shared" si="4"/>
        <v>59.99</v>
      </c>
      <c r="AW23">
        <f t="shared" si="4"/>
        <v>59.99</v>
      </c>
      <c r="AX23">
        <f t="shared" si="4"/>
        <v>59.99</v>
      </c>
      <c r="AY23">
        <f t="shared" si="4"/>
        <v>59.99</v>
      </c>
      <c r="AZ23">
        <f t="shared" si="4"/>
        <v>59.99</v>
      </c>
      <c r="BA23">
        <f t="shared" si="4"/>
        <v>59.99</v>
      </c>
      <c r="BB23">
        <f t="shared" si="4"/>
        <v>59.99</v>
      </c>
      <c r="BC23">
        <f t="shared" si="4"/>
        <v>59.99</v>
      </c>
      <c r="BD23">
        <f t="shared" si="4"/>
        <v>59.99</v>
      </c>
      <c r="BE23">
        <f t="shared" si="4"/>
        <v>59.99</v>
      </c>
      <c r="BF23">
        <f t="shared" si="4"/>
        <v>59.99</v>
      </c>
      <c r="BG23">
        <f t="shared" si="4"/>
        <v>59.99</v>
      </c>
      <c r="BH23">
        <f t="shared" si="4"/>
        <v>59.99</v>
      </c>
      <c r="BI23">
        <f t="shared" si="4"/>
        <v>59.99</v>
      </c>
      <c r="BJ23">
        <f t="shared" si="4"/>
        <v>59.99</v>
      </c>
      <c r="BK23">
        <f t="shared" si="4"/>
        <v>64.990000000000009</v>
      </c>
      <c r="BL23">
        <f t="shared" si="4"/>
        <v>64.990000000000009</v>
      </c>
    </row>
    <row r="24" spans="3:64">
      <c r="C24" t="s">
        <v>27</v>
      </c>
      <c r="E24" s="54">
        <f>QUOTIENT(E17-C_Revenues_US!$D20,$E$1/2)*$E$1+C_Revenues_US!D20</f>
        <v>99.99</v>
      </c>
      <c r="F24">
        <f t="shared" ref="F24:BL24" si="5">QUOTIENT(F17-E24,$E$1/2)*$E$1+E24</f>
        <v>99.99</v>
      </c>
      <c r="G24">
        <f t="shared" si="5"/>
        <v>99.99</v>
      </c>
      <c r="H24">
        <f t="shared" si="5"/>
        <v>99.99</v>
      </c>
      <c r="I24">
        <f t="shared" si="5"/>
        <v>99.99</v>
      </c>
      <c r="J24">
        <f t="shared" si="5"/>
        <v>99.99</v>
      </c>
      <c r="K24">
        <f t="shared" si="5"/>
        <v>99.99</v>
      </c>
      <c r="L24">
        <f t="shared" si="5"/>
        <v>104.99</v>
      </c>
      <c r="M24">
        <f t="shared" si="5"/>
        <v>104.99</v>
      </c>
      <c r="N24">
        <f t="shared" si="5"/>
        <v>104.99</v>
      </c>
      <c r="O24">
        <f t="shared" si="5"/>
        <v>104.99</v>
      </c>
      <c r="P24">
        <f t="shared" si="5"/>
        <v>104.99</v>
      </c>
      <c r="Q24">
        <f t="shared" si="5"/>
        <v>104.99</v>
      </c>
      <c r="R24">
        <f t="shared" si="5"/>
        <v>104.99</v>
      </c>
      <c r="S24">
        <f t="shared" si="5"/>
        <v>104.99</v>
      </c>
      <c r="T24">
        <f t="shared" si="5"/>
        <v>104.99</v>
      </c>
      <c r="U24">
        <f t="shared" si="5"/>
        <v>104.99</v>
      </c>
      <c r="V24">
        <f t="shared" si="5"/>
        <v>104.99</v>
      </c>
      <c r="W24">
        <f t="shared" si="5"/>
        <v>104.99</v>
      </c>
      <c r="X24">
        <f t="shared" si="5"/>
        <v>104.99</v>
      </c>
      <c r="Y24">
        <f t="shared" si="5"/>
        <v>104.99</v>
      </c>
      <c r="Z24">
        <f t="shared" si="5"/>
        <v>109.99</v>
      </c>
      <c r="AA24">
        <f t="shared" si="5"/>
        <v>109.99</v>
      </c>
      <c r="AB24">
        <f t="shared" si="5"/>
        <v>109.99</v>
      </c>
      <c r="AC24">
        <f t="shared" si="5"/>
        <v>109.99</v>
      </c>
      <c r="AD24">
        <f t="shared" si="5"/>
        <v>109.99</v>
      </c>
      <c r="AE24">
        <f t="shared" si="5"/>
        <v>109.99</v>
      </c>
      <c r="AF24">
        <f t="shared" si="5"/>
        <v>109.99</v>
      </c>
      <c r="AG24">
        <f t="shared" si="5"/>
        <v>109.99</v>
      </c>
      <c r="AH24">
        <f t="shared" si="5"/>
        <v>109.99</v>
      </c>
      <c r="AI24">
        <f t="shared" si="5"/>
        <v>109.99</v>
      </c>
      <c r="AJ24">
        <f t="shared" si="5"/>
        <v>109.99</v>
      </c>
      <c r="AK24">
        <f t="shared" si="5"/>
        <v>114.99</v>
      </c>
      <c r="AL24">
        <f t="shared" si="5"/>
        <v>114.99</v>
      </c>
      <c r="AM24">
        <f t="shared" si="5"/>
        <v>114.99</v>
      </c>
      <c r="AN24">
        <f t="shared" si="5"/>
        <v>114.99</v>
      </c>
      <c r="AO24">
        <f t="shared" si="5"/>
        <v>114.99</v>
      </c>
      <c r="AP24">
        <f t="shared" si="5"/>
        <v>114.99</v>
      </c>
      <c r="AQ24">
        <f t="shared" si="5"/>
        <v>114.99</v>
      </c>
      <c r="AR24">
        <f t="shared" si="5"/>
        <v>114.99</v>
      </c>
      <c r="AS24">
        <f t="shared" si="5"/>
        <v>114.99</v>
      </c>
      <c r="AT24">
        <f t="shared" si="5"/>
        <v>114.99</v>
      </c>
      <c r="AU24">
        <f t="shared" si="5"/>
        <v>114.99</v>
      </c>
      <c r="AV24">
        <f t="shared" si="5"/>
        <v>114.99</v>
      </c>
      <c r="AW24">
        <f t="shared" si="5"/>
        <v>114.99</v>
      </c>
      <c r="AX24">
        <f t="shared" si="5"/>
        <v>119.99</v>
      </c>
      <c r="AY24">
        <f t="shared" si="5"/>
        <v>119.99</v>
      </c>
      <c r="AZ24">
        <f t="shared" si="5"/>
        <v>119.99</v>
      </c>
      <c r="BA24">
        <f t="shared" si="5"/>
        <v>119.99</v>
      </c>
      <c r="BB24">
        <f t="shared" si="5"/>
        <v>119.99</v>
      </c>
      <c r="BC24">
        <f t="shared" si="5"/>
        <v>119.99</v>
      </c>
      <c r="BD24">
        <f t="shared" si="5"/>
        <v>119.99</v>
      </c>
      <c r="BE24">
        <f t="shared" si="5"/>
        <v>119.99</v>
      </c>
      <c r="BF24">
        <f t="shared" si="5"/>
        <v>119.99</v>
      </c>
      <c r="BG24">
        <f t="shared" si="5"/>
        <v>124.99</v>
      </c>
      <c r="BH24">
        <f t="shared" si="5"/>
        <v>124.99</v>
      </c>
      <c r="BI24">
        <f t="shared" si="5"/>
        <v>124.99</v>
      </c>
      <c r="BJ24">
        <f t="shared" si="5"/>
        <v>124.99</v>
      </c>
      <c r="BK24">
        <f t="shared" si="5"/>
        <v>124.99</v>
      </c>
      <c r="BL24">
        <f t="shared" si="5"/>
        <v>124.99</v>
      </c>
    </row>
    <row r="26" spans="3:64">
      <c r="C26" s="46" t="s">
        <v>63</v>
      </c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</row>
    <row r="27" spans="3:64">
      <c r="C27" t="s">
        <v>30</v>
      </c>
      <c r="E27">
        <f>E20-C_Revenues_US!D16</f>
        <v>0</v>
      </c>
      <c r="F27">
        <f>F20-E20</f>
        <v>0</v>
      </c>
      <c r="G27">
        <f t="shared" ref="G27:BL31" si="6">G20-F20</f>
        <v>0</v>
      </c>
      <c r="H27">
        <f t="shared" si="6"/>
        <v>0</v>
      </c>
      <c r="I27">
        <f t="shared" si="6"/>
        <v>0</v>
      </c>
      <c r="J27">
        <f t="shared" si="6"/>
        <v>0</v>
      </c>
      <c r="K27">
        <f t="shared" si="6"/>
        <v>0</v>
      </c>
      <c r="L27">
        <f t="shared" si="6"/>
        <v>0</v>
      </c>
      <c r="M27">
        <f t="shared" si="6"/>
        <v>0</v>
      </c>
      <c r="N27">
        <f t="shared" si="6"/>
        <v>0</v>
      </c>
      <c r="O27">
        <f t="shared" si="6"/>
        <v>0</v>
      </c>
      <c r="P27">
        <f t="shared" si="6"/>
        <v>0</v>
      </c>
      <c r="Q27">
        <f t="shared" si="6"/>
        <v>0</v>
      </c>
      <c r="R27">
        <f t="shared" si="6"/>
        <v>0</v>
      </c>
      <c r="S27">
        <f t="shared" si="6"/>
        <v>0</v>
      </c>
      <c r="T27">
        <f t="shared" si="6"/>
        <v>0</v>
      </c>
      <c r="U27">
        <f t="shared" si="6"/>
        <v>0</v>
      </c>
      <c r="V27">
        <f t="shared" si="6"/>
        <v>0</v>
      </c>
      <c r="W27">
        <f t="shared" si="6"/>
        <v>0</v>
      </c>
      <c r="X27">
        <f t="shared" si="6"/>
        <v>0</v>
      </c>
      <c r="Y27">
        <f t="shared" si="6"/>
        <v>0</v>
      </c>
      <c r="Z27">
        <f t="shared" si="6"/>
        <v>0</v>
      </c>
      <c r="AA27">
        <f t="shared" si="6"/>
        <v>0</v>
      </c>
      <c r="AB27">
        <f t="shared" si="6"/>
        <v>0</v>
      </c>
      <c r="AC27">
        <f t="shared" si="6"/>
        <v>0</v>
      </c>
      <c r="AD27">
        <f t="shared" si="6"/>
        <v>0</v>
      </c>
      <c r="AE27">
        <f t="shared" si="6"/>
        <v>0</v>
      </c>
      <c r="AF27">
        <f t="shared" si="6"/>
        <v>0</v>
      </c>
      <c r="AG27">
        <f t="shared" si="6"/>
        <v>0</v>
      </c>
      <c r="AH27">
        <f t="shared" si="6"/>
        <v>0</v>
      </c>
      <c r="AI27">
        <f t="shared" si="6"/>
        <v>0</v>
      </c>
      <c r="AJ27">
        <f t="shared" si="6"/>
        <v>0</v>
      </c>
      <c r="AK27">
        <f t="shared" si="6"/>
        <v>0</v>
      </c>
      <c r="AL27">
        <f t="shared" si="6"/>
        <v>0</v>
      </c>
      <c r="AM27">
        <f t="shared" si="6"/>
        <v>0</v>
      </c>
      <c r="AN27">
        <f t="shared" si="6"/>
        <v>0</v>
      </c>
      <c r="AO27">
        <f t="shared" si="6"/>
        <v>0</v>
      </c>
      <c r="AP27">
        <f t="shared" si="6"/>
        <v>0</v>
      </c>
      <c r="AQ27">
        <f t="shared" si="6"/>
        <v>0</v>
      </c>
      <c r="AR27">
        <f t="shared" si="6"/>
        <v>0</v>
      </c>
      <c r="AS27">
        <f t="shared" si="6"/>
        <v>0</v>
      </c>
      <c r="AT27">
        <f t="shared" si="6"/>
        <v>0</v>
      </c>
      <c r="AU27">
        <f t="shared" si="6"/>
        <v>0</v>
      </c>
      <c r="AV27">
        <f t="shared" si="6"/>
        <v>0</v>
      </c>
      <c r="AW27">
        <f t="shared" si="6"/>
        <v>0</v>
      </c>
      <c r="AX27">
        <f t="shared" si="6"/>
        <v>0</v>
      </c>
      <c r="AY27">
        <f t="shared" si="6"/>
        <v>0</v>
      </c>
      <c r="AZ27">
        <f t="shared" si="6"/>
        <v>0</v>
      </c>
      <c r="BA27">
        <f t="shared" si="6"/>
        <v>0</v>
      </c>
      <c r="BB27">
        <f t="shared" si="6"/>
        <v>0</v>
      </c>
      <c r="BC27">
        <f t="shared" si="6"/>
        <v>0</v>
      </c>
      <c r="BD27">
        <f t="shared" si="6"/>
        <v>0</v>
      </c>
      <c r="BE27">
        <f t="shared" si="6"/>
        <v>0</v>
      </c>
      <c r="BF27">
        <f t="shared" si="6"/>
        <v>0</v>
      </c>
      <c r="BG27">
        <f t="shared" si="6"/>
        <v>0</v>
      </c>
      <c r="BH27">
        <f t="shared" si="6"/>
        <v>0</v>
      </c>
      <c r="BI27">
        <f t="shared" si="6"/>
        <v>0</v>
      </c>
      <c r="BJ27">
        <f t="shared" si="6"/>
        <v>0</v>
      </c>
      <c r="BK27">
        <f t="shared" si="6"/>
        <v>5</v>
      </c>
      <c r="BL27">
        <f t="shared" si="6"/>
        <v>0</v>
      </c>
    </row>
    <row r="28" spans="3:64">
      <c r="C28" t="s">
        <v>29</v>
      </c>
      <c r="E28">
        <f>E21-C_Revenues_US!D17</f>
        <v>0</v>
      </c>
      <c r="F28">
        <f t="shared" ref="F28:U31" si="7">F21-E21</f>
        <v>0</v>
      </c>
      <c r="G28">
        <f t="shared" si="7"/>
        <v>0</v>
      </c>
      <c r="H28">
        <f t="shared" si="7"/>
        <v>0</v>
      </c>
      <c r="I28">
        <f t="shared" si="7"/>
        <v>0</v>
      </c>
      <c r="J28">
        <f t="shared" si="7"/>
        <v>0</v>
      </c>
      <c r="K28">
        <f t="shared" si="7"/>
        <v>0</v>
      </c>
      <c r="L28">
        <f t="shared" si="7"/>
        <v>0</v>
      </c>
      <c r="M28">
        <f t="shared" si="7"/>
        <v>0</v>
      </c>
      <c r="N28">
        <f t="shared" si="7"/>
        <v>0</v>
      </c>
      <c r="O28">
        <f t="shared" si="7"/>
        <v>0</v>
      </c>
      <c r="P28">
        <f t="shared" si="7"/>
        <v>0</v>
      </c>
      <c r="Q28">
        <f t="shared" si="7"/>
        <v>0</v>
      </c>
      <c r="R28">
        <f t="shared" si="7"/>
        <v>0</v>
      </c>
      <c r="S28">
        <f t="shared" si="7"/>
        <v>0</v>
      </c>
      <c r="T28">
        <f t="shared" si="7"/>
        <v>0</v>
      </c>
      <c r="U28">
        <f t="shared" si="7"/>
        <v>0</v>
      </c>
      <c r="V28">
        <f t="shared" si="6"/>
        <v>0</v>
      </c>
      <c r="W28">
        <f t="shared" si="6"/>
        <v>0</v>
      </c>
      <c r="X28">
        <f t="shared" si="6"/>
        <v>0</v>
      </c>
      <c r="Y28">
        <f t="shared" si="6"/>
        <v>0</v>
      </c>
      <c r="Z28">
        <f t="shared" si="6"/>
        <v>0</v>
      </c>
      <c r="AA28">
        <f t="shared" si="6"/>
        <v>0</v>
      </c>
      <c r="AB28">
        <f t="shared" si="6"/>
        <v>0</v>
      </c>
      <c r="AC28">
        <f t="shared" si="6"/>
        <v>0</v>
      </c>
      <c r="AD28">
        <f t="shared" si="6"/>
        <v>0</v>
      </c>
      <c r="AE28">
        <f t="shared" si="6"/>
        <v>0</v>
      </c>
      <c r="AF28">
        <f t="shared" si="6"/>
        <v>0</v>
      </c>
      <c r="AG28">
        <f t="shared" si="6"/>
        <v>0</v>
      </c>
      <c r="AH28">
        <f t="shared" si="6"/>
        <v>0</v>
      </c>
      <c r="AI28">
        <f t="shared" si="6"/>
        <v>0</v>
      </c>
      <c r="AJ28">
        <f t="shared" si="6"/>
        <v>0</v>
      </c>
      <c r="AK28">
        <f t="shared" si="6"/>
        <v>5</v>
      </c>
      <c r="AL28">
        <f t="shared" si="6"/>
        <v>0</v>
      </c>
      <c r="AM28">
        <f t="shared" si="6"/>
        <v>0</v>
      </c>
      <c r="AN28">
        <f t="shared" si="6"/>
        <v>0</v>
      </c>
      <c r="AO28">
        <f t="shared" si="6"/>
        <v>0</v>
      </c>
      <c r="AP28">
        <f t="shared" si="6"/>
        <v>0</v>
      </c>
      <c r="AQ28">
        <f t="shared" si="6"/>
        <v>0</v>
      </c>
      <c r="AR28">
        <f t="shared" si="6"/>
        <v>0</v>
      </c>
      <c r="AS28">
        <f t="shared" si="6"/>
        <v>0</v>
      </c>
      <c r="AT28">
        <f t="shared" si="6"/>
        <v>0</v>
      </c>
      <c r="AU28">
        <f t="shared" si="6"/>
        <v>0</v>
      </c>
      <c r="AV28">
        <f t="shared" si="6"/>
        <v>0</v>
      </c>
      <c r="AW28">
        <f t="shared" si="6"/>
        <v>0</v>
      </c>
      <c r="AX28">
        <f t="shared" si="6"/>
        <v>0</v>
      </c>
      <c r="AY28">
        <f t="shared" si="6"/>
        <v>0</v>
      </c>
      <c r="AZ28">
        <f t="shared" si="6"/>
        <v>0</v>
      </c>
      <c r="BA28">
        <f t="shared" si="6"/>
        <v>0</v>
      </c>
      <c r="BB28">
        <f t="shared" si="6"/>
        <v>0</v>
      </c>
      <c r="BC28">
        <f t="shared" si="6"/>
        <v>0</v>
      </c>
      <c r="BD28">
        <f t="shared" si="6"/>
        <v>0</v>
      </c>
      <c r="BE28">
        <f t="shared" si="6"/>
        <v>0</v>
      </c>
      <c r="BF28">
        <f t="shared" si="6"/>
        <v>0</v>
      </c>
      <c r="BG28">
        <f t="shared" si="6"/>
        <v>0</v>
      </c>
      <c r="BH28">
        <f t="shared" si="6"/>
        <v>0</v>
      </c>
      <c r="BI28">
        <f t="shared" si="6"/>
        <v>0</v>
      </c>
      <c r="BJ28">
        <f t="shared" si="6"/>
        <v>0</v>
      </c>
      <c r="BK28">
        <f t="shared" si="6"/>
        <v>0</v>
      </c>
      <c r="BL28">
        <f t="shared" si="6"/>
        <v>0</v>
      </c>
    </row>
    <row r="29" spans="3:64">
      <c r="C29" t="s">
        <v>28</v>
      </c>
      <c r="E29">
        <f>E22-C_Revenues_US!D18</f>
        <v>0</v>
      </c>
      <c r="F29">
        <f t="shared" si="7"/>
        <v>0</v>
      </c>
      <c r="G29">
        <f t="shared" si="6"/>
        <v>0</v>
      </c>
      <c r="H29">
        <f t="shared" si="6"/>
        <v>0</v>
      </c>
      <c r="I29">
        <f t="shared" si="6"/>
        <v>0</v>
      </c>
      <c r="J29">
        <f t="shared" si="6"/>
        <v>0</v>
      </c>
      <c r="K29">
        <f t="shared" si="6"/>
        <v>0</v>
      </c>
      <c r="L29">
        <f t="shared" si="6"/>
        <v>0</v>
      </c>
      <c r="M29">
        <f t="shared" si="6"/>
        <v>0</v>
      </c>
      <c r="N29">
        <f t="shared" si="6"/>
        <v>0</v>
      </c>
      <c r="O29">
        <f t="shared" si="6"/>
        <v>0</v>
      </c>
      <c r="P29">
        <f t="shared" si="6"/>
        <v>0</v>
      </c>
      <c r="Q29">
        <f t="shared" si="6"/>
        <v>0</v>
      </c>
      <c r="R29">
        <f t="shared" si="6"/>
        <v>0</v>
      </c>
      <c r="S29">
        <f t="shared" si="6"/>
        <v>0</v>
      </c>
      <c r="T29">
        <f t="shared" si="6"/>
        <v>0</v>
      </c>
      <c r="U29">
        <f t="shared" si="6"/>
        <v>0</v>
      </c>
      <c r="V29">
        <f t="shared" si="6"/>
        <v>0</v>
      </c>
      <c r="W29">
        <f t="shared" si="6"/>
        <v>0</v>
      </c>
      <c r="X29">
        <f t="shared" si="6"/>
        <v>0</v>
      </c>
      <c r="Y29">
        <f t="shared" si="6"/>
        <v>0</v>
      </c>
      <c r="Z29">
        <f t="shared" si="6"/>
        <v>0</v>
      </c>
      <c r="AA29">
        <f t="shared" si="6"/>
        <v>0</v>
      </c>
      <c r="AB29">
        <f t="shared" si="6"/>
        <v>0</v>
      </c>
      <c r="AC29">
        <f t="shared" si="6"/>
        <v>4.9999999999999964</v>
      </c>
      <c r="AD29">
        <f t="shared" si="6"/>
        <v>0</v>
      </c>
      <c r="AE29">
        <f t="shared" si="6"/>
        <v>0</v>
      </c>
      <c r="AF29">
        <f t="shared" si="6"/>
        <v>0</v>
      </c>
      <c r="AG29">
        <f t="shared" si="6"/>
        <v>0</v>
      </c>
      <c r="AH29">
        <f t="shared" si="6"/>
        <v>0</v>
      </c>
      <c r="AI29">
        <f t="shared" si="6"/>
        <v>0</v>
      </c>
      <c r="AJ29">
        <f t="shared" si="6"/>
        <v>0</v>
      </c>
      <c r="AK29">
        <f t="shared" si="6"/>
        <v>0</v>
      </c>
      <c r="AL29">
        <f t="shared" si="6"/>
        <v>0</v>
      </c>
      <c r="AM29">
        <f t="shared" si="6"/>
        <v>0</v>
      </c>
      <c r="AN29">
        <f t="shared" si="6"/>
        <v>0</v>
      </c>
      <c r="AO29">
        <f t="shared" si="6"/>
        <v>0</v>
      </c>
      <c r="AP29">
        <f t="shared" si="6"/>
        <v>0</v>
      </c>
      <c r="AQ29">
        <f t="shared" si="6"/>
        <v>0</v>
      </c>
      <c r="AR29">
        <f t="shared" si="6"/>
        <v>0</v>
      </c>
      <c r="AS29">
        <f t="shared" si="6"/>
        <v>0</v>
      </c>
      <c r="AT29">
        <f t="shared" si="6"/>
        <v>0</v>
      </c>
      <c r="AU29">
        <f t="shared" si="6"/>
        <v>0</v>
      </c>
      <c r="AV29">
        <f t="shared" si="6"/>
        <v>0</v>
      </c>
      <c r="AW29">
        <f t="shared" si="6"/>
        <v>0</v>
      </c>
      <c r="AX29">
        <f t="shared" si="6"/>
        <v>0</v>
      </c>
      <c r="AY29">
        <f t="shared" si="6"/>
        <v>0</v>
      </c>
      <c r="AZ29">
        <f t="shared" si="6"/>
        <v>0</v>
      </c>
      <c r="BA29">
        <f t="shared" si="6"/>
        <v>0</v>
      </c>
      <c r="BB29">
        <f t="shared" si="6"/>
        <v>0</v>
      </c>
      <c r="BC29">
        <f t="shared" si="6"/>
        <v>0</v>
      </c>
      <c r="BD29">
        <f t="shared" si="6"/>
        <v>0</v>
      </c>
      <c r="BE29">
        <f t="shared" si="6"/>
        <v>0</v>
      </c>
      <c r="BF29">
        <f t="shared" si="6"/>
        <v>0</v>
      </c>
      <c r="BG29">
        <f t="shared" si="6"/>
        <v>0</v>
      </c>
      <c r="BH29">
        <f t="shared" si="6"/>
        <v>0</v>
      </c>
      <c r="BI29">
        <f t="shared" si="6"/>
        <v>0</v>
      </c>
      <c r="BJ29">
        <f t="shared" si="6"/>
        <v>0</v>
      </c>
      <c r="BK29">
        <f t="shared" si="6"/>
        <v>5</v>
      </c>
      <c r="BL29">
        <f t="shared" si="6"/>
        <v>0</v>
      </c>
    </row>
    <row r="30" spans="3:64">
      <c r="C30" t="s">
        <v>42</v>
      </c>
      <c r="E30">
        <f>E23-C_Revenues_US!D19</f>
        <v>0</v>
      </c>
      <c r="F30">
        <f t="shared" si="7"/>
        <v>0</v>
      </c>
      <c r="G30">
        <f t="shared" si="6"/>
        <v>0</v>
      </c>
      <c r="H30">
        <f t="shared" si="6"/>
        <v>0</v>
      </c>
      <c r="I30">
        <f t="shared" si="6"/>
        <v>0</v>
      </c>
      <c r="J30">
        <f t="shared" si="6"/>
        <v>0</v>
      </c>
      <c r="K30">
        <f t="shared" si="6"/>
        <v>0</v>
      </c>
      <c r="L30">
        <f t="shared" si="6"/>
        <v>0</v>
      </c>
      <c r="M30">
        <f t="shared" si="6"/>
        <v>0</v>
      </c>
      <c r="N30">
        <f t="shared" si="6"/>
        <v>0</v>
      </c>
      <c r="O30">
        <f t="shared" si="6"/>
        <v>0</v>
      </c>
      <c r="P30">
        <f t="shared" si="6"/>
        <v>0</v>
      </c>
      <c r="Q30">
        <f t="shared" si="6"/>
        <v>0</v>
      </c>
      <c r="R30">
        <f t="shared" si="6"/>
        <v>0</v>
      </c>
      <c r="S30">
        <f t="shared" si="6"/>
        <v>5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M30">
        <f t="shared" si="6"/>
        <v>0</v>
      </c>
      <c r="AN30">
        <f t="shared" si="6"/>
        <v>0</v>
      </c>
      <c r="AO30">
        <f t="shared" si="6"/>
        <v>0</v>
      </c>
      <c r="AP30">
        <f t="shared" si="6"/>
        <v>0</v>
      </c>
      <c r="AQ30">
        <f t="shared" si="6"/>
        <v>5</v>
      </c>
      <c r="AR30">
        <f t="shared" si="6"/>
        <v>0</v>
      </c>
      <c r="AS30">
        <f t="shared" si="6"/>
        <v>0</v>
      </c>
      <c r="AT30">
        <f t="shared" si="6"/>
        <v>0</v>
      </c>
      <c r="AU30">
        <f t="shared" si="6"/>
        <v>0</v>
      </c>
      <c r="AV30">
        <f t="shared" si="6"/>
        <v>0</v>
      </c>
      <c r="AW30">
        <f t="shared" si="6"/>
        <v>0</v>
      </c>
      <c r="AX30">
        <f t="shared" si="6"/>
        <v>0</v>
      </c>
      <c r="AY30">
        <f t="shared" si="6"/>
        <v>0</v>
      </c>
      <c r="AZ30">
        <f t="shared" si="6"/>
        <v>0</v>
      </c>
      <c r="BA30">
        <f t="shared" si="6"/>
        <v>0</v>
      </c>
      <c r="BB30">
        <f t="shared" si="6"/>
        <v>0</v>
      </c>
      <c r="BC30">
        <f t="shared" si="6"/>
        <v>0</v>
      </c>
      <c r="BD30">
        <f t="shared" si="6"/>
        <v>0</v>
      </c>
      <c r="BE30">
        <f t="shared" si="6"/>
        <v>0</v>
      </c>
      <c r="BF30">
        <f t="shared" si="6"/>
        <v>0</v>
      </c>
      <c r="BG30">
        <f t="shared" si="6"/>
        <v>0</v>
      </c>
      <c r="BH30">
        <f t="shared" si="6"/>
        <v>0</v>
      </c>
      <c r="BI30">
        <f t="shared" si="6"/>
        <v>0</v>
      </c>
      <c r="BJ30">
        <f t="shared" si="6"/>
        <v>0</v>
      </c>
      <c r="BK30">
        <f t="shared" si="6"/>
        <v>5.0000000000000071</v>
      </c>
      <c r="BL30">
        <f t="shared" si="6"/>
        <v>0</v>
      </c>
    </row>
    <row r="31" spans="3:64">
      <c r="C31" t="s">
        <v>27</v>
      </c>
      <c r="E31">
        <f>E24-C_Revenues_US!D20</f>
        <v>0</v>
      </c>
      <c r="F31">
        <f t="shared" si="7"/>
        <v>0</v>
      </c>
      <c r="G31">
        <f t="shared" si="6"/>
        <v>0</v>
      </c>
      <c r="H31">
        <f t="shared" si="6"/>
        <v>0</v>
      </c>
      <c r="I31">
        <f t="shared" si="6"/>
        <v>0</v>
      </c>
      <c r="J31">
        <f t="shared" si="6"/>
        <v>0</v>
      </c>
      <c r="K31">
        <f t="shared" si="6"/>
        <v>0</v>
      </c>
      <c r="L31">
        <f t="shared" si="6"/>
        <v>5</v>
      </c>
      <c r="M31">
        <f t="shared" si="6"/>
        <v>0</v>
      </c>
      <c r="N31">
        <f t="shared" si="6"/>
        <v>0</v>
      </c>
      <c r="O31">
        <f t="shared" si="6"/>
        <v>0</v>
      </c>
      <c r="P31">
        <f t="shared" si="6"/>
        <v>0</v>
      </c>
      <c r="Q31">
        <f t="shared" si="6"/>
        <v>0</v>
      </c>
      <c r="R31">
        <f t="shared" si="6"/>
        <v>0</v>
      </c>
      <c r="S31">
        <f t="shared" si="6"/>
        <v>0</v>
      </c>
      <c r="T31">
        <f t="shared" si="6"/>
        <v>0</v>
      </c>
      <c r="U31">
        <f t="shared" si="6"/>
        <v>0</v>
      </c>
      <c r="V31">
        <f t="shared" si="6"/>
        <v>0</v>
      </c>
      <c r="W31">
        <f t="shared" si="6"/>
        <v>0</v>
      </c>
      <c r="X31">
        <f t="shared" si="6"/>
        <v>0</v>
      </c>
      <c r="Y31">
        <f t="shared" si="6"/>
        <v>0</v>
      </c>
      <c r="Z31">
        <f t="shared" si="6"/>
        <v>5</v>
      </c>
      <c r="AA31">
        <f t="shared" si="6"/>
        <v>0</v>
      </c>
      <c r="AB31">
        <f t="shared" si="6"/>
        <v>0</v>
      </c>
      <c r="AC31">
        <f t="shared" si="6"/>
        <v>0</v>
      </c>
      <c r="AD31">
        <f t="shared" si="6"/>
        <v>0</v>
      </c>
      <c r="AE31">
        <f t="shared" si="6"/>
        <v>0</v>
      </c>
      <c r="AF31">
        <f t="shared" si="6"/>
        <v>0</v>
      </c>
      <c r="AG31">
        <f t="shared" si="6"/>
        <v>0</v>
      </c>
      <c r="AH31">
        <f t="shared" si="6"/>
        <v>0</v>
      </c>
      <c r="AI31">
        <f t="shared" si="6"/>
        <v>0</v>
      </c>
      <c r="AJ31">
        <f t="shared" si="6"/>
        <v>0</v>
      </c>
      <c r="AK31">
        <f t="shared" si="6"/>
        <v>5</v>
      </c>
      <c r="AL31">
        <f t="shared" si="6"/>
        <v>0</v>
      </c>
      <c r="AM31">
        <f t="shared" si="6"/>
        <v>0</v>
      </c>
      <c r="AN31">
        <f t="shared" si="6"/>
        <v>0</v>
      </c>
      <c r="AO31">
        <f t="shared" si="6"/>
        <v>0</v>
      </c>
      <c r="AP31">
        <f t="shared" si="6"/>
        <v>0</v>
      </c>
      <c r="AQ31">
        <f t="shared" si="6"/>
        <v>0</v>
      </c>
      <c r="AR31">
        <f t="shared" si="6"/>
        <v>0</v>
      </c>
      <c r="AS31">
        <f t="shared" ref="AS31:BL31" si="8">AS24-AR24</f>
        <v>0</v>
      </c>
      <c r="AT31">
        <f t="shared" si="8"/>
        <v>0</v>
      </c>
      <c r="AU31">
        <f t="shared" si="8"/>
        <v>0</v>
      </c>
      <c r="AV31">
        <f t="shared" si="8"/>
        <v>0</v>
      </c>
      <c r="AW31">
        <f t="shared" si="8"/>
        <v>0</v>
      </c>
      <c r="AX31">
        <f t="shared" si="8"/>
        <v>5</v>
      </c>
      <c r="AY31">
        <f t="shared" si="8"/>
        <v>0</v>
      </c>
      <c r="AZ31">
        <f t="shared" si="8"/>
        <v>0</v>
      </c>
      <c r="BA31">
        <f t="shared" si="8"/>
        <v>0</v>
      </c>
      <c r="BB31">
        <f t="shared" si="8"/>
        <v>0</v>
      </c>
      <c r="BC31">
        <f t="shared" si="8"/>
        <v>0</v>
      </c>
      <c r="BD31">
        <f t="shared" si="8"/>
        <v>0</v>
      </c>
      <c r="BE31">
        <f t="shared" si="8"/>
        <v>0</v>
      </c>
      <c r="BF31">
        <f t="shared" si="8"/>
        <v>0</v>
      </c>
      <c r="BG31">
        <f t="shared" si="8"/>
        <v>5</v>
      </c>
      <c r="BH31">
        <f t="shared" si="8"/>
        <v>0</v>
      </c>
      <c r="BI31">
        <f t="shared" si="8"/>
        <v>0</v>
      </c>
      <c r="BJ31">
        <f t="shared" si="8"/>
        <v>0</v>
      </c>
      <c r="BK31">
        <f t="shared" si="8"/>
        <v>0</v>
      </c>
      <c r="BL31">
        <f t="shared" si="8"/>
        <v>0</v>
      </c>
    </row>
    <row r="33" spans="3:64">
      <c r="C33" s="46" t="s">
        <v>65</v>
      </c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</row>
    <row r="34" spans="3:64">
      <c r="C34" t="s">
        <v>30</v>
      </c>
      <c r="E34">
        <f>IF(COUNTIF(D$34:D$38,"&lt;&gt;0")&gt;=$H$1,E27,D34+E27)</f>
        <v>0</v>
      </c>
      <c r="F34">
        <f t="shared" ref="F34:BL34" si="9">IF(COUNTIF(E$34:E$38,"&lt;&gt;0")&gt;=$H$1,F27,E34+F27)</f>
        <v>0</v>
      </c>
      <c r="G34">
        <f t="shared" si="9"/>
        <v>0</v>
      </c>
      <c r="H34">
        <f t="shared" si="9"/>
        <v>0</v>
      </c>
      <c r="I34">
        <f t="shared" si="9"/>
        <v>0</v>
      </c>
      <c r="J34">
        <f t="shared" si="9"/>
        <v>0</v>
      </c>
      <c r="K34">
        <f t="shared" si="9"/>
        <v>0</v>
      </c>
      <c r="L34">
        <f t="shared" si="9"/>
        <v>0</v>
      </c>
      <c r="M34">
        <f t="shared" si="9"/>
        <v>0</v>
      </c>
      <c r="N34">
        <f t="shared" si="9"/>
        <v>0</v>
      </c>
      <c r="O34">
        <f t="shared" si="9"/>
        <v>0</v>
      </c>
      <c r="P34">
        <f t="shared" si="9"/>
        <v>0</v>
      </c>
      <c r="Q34">
        <f t="shared" si="9"/>
        <v>0</v>
      </c>
      <c r="R34">
        <f t="shared" si="9"/>
        <v>0</v>
      </c>
      <c r="S34">
        <f t="shared" si="9"/>
        <v>0</v>
      </c>
      <c r="T34">
        <f t="shared" si="9"/>
        <v>0</v>
      </c>
      <c r="U34">
        <f t="shared" si="9"/>
        <v>0</v>
      </c>
      <c r="V34">
        <f t="shared" si="9"/>
        <v>0</v>
      </c>
      <c r="W34">
        <f t="shared" si="9"/>
        <v>0</v>
      </c>
      <c r="X34">
        <f t="shared" si="9"/>
        <v>0</v>
      </c>
      <c r="Y34">
        <f t="shared" si="9"/>
        <v>0</v>
      </c>
      <c r="Z34">
        <f t="shared" si="9"/>
        <v>0</v>
      </c>
      <c r="AA34">
        <f t="shared" si="9"/>
        <v>0</v>
      </c>
      <c r="AB34">
        <f t="shared" si="9"/>
        <v>0</v>
      </c>
      <c r="AC34">
        <f t="shared" si="9"/>
        <v>0</v>
      </c>
      <c r="AD34">
        <f t="shared" si="9"/>
        <v>0</v>
      </c>
      <c r="AE34">
        <f t="shared" si="9"/>
        <v>0</v>
      </c>
      <c r="AF34">
        <f t="shared" si="9"/>
        <v>0</v>
      </c>
      <c r="AG34">
        <f t="shared" si="9"/>
        <v>0</v>
      </c>
      <c r="AH34">
        <f t="shared" si="9"/>
        <v>0</v>
      </c>
      <c r="AI34">
        <f t="shared" si="9"/>
        <v>0</v>
      </c>
      <c r="AJ34">
        <f t="shared" si="9"/>
        <v>0</v>
      </c>
      <c r="AK34">
        <f t="shared" si="9"/>
        <v>0</v>
      </c>
      <c r="AL34">
        <f t="shared" si="9"/>
        <v>0</v>
      </c>
      <c r="AM34">
        <f t="shared" si="9"/>
        <v>0</v>
      </c>
      <c r="AN34">
        <f t="shared" si="9"/>
        <v>0</v>
      </c>
      <c r="AO34">
        <f t="shared" si="9"/>
        <v>0</v>
      </c>
      <c r="AP34">
        <f t="shared" si="9"/>
        <v>0</v>
      </c>
      <c r="AQ34">
        <f t="shared" si="9"/>
        <v>0</v>
      </c>
      <c r="AR34">
        <f t="shared" si="9"/>
        <v>0</v>
      </c>
      <c r="AS34">
        <f t="shared" si="9"/>
        <v>0</v>
      </c>
      <c r="AT34">
        <f t="shared" si="9"/>
        <v>0</v>
      </c>
      <c r="AU34">
        <f t="shared" si="9"/>
        <v>0</v>
      </c>
      <c r="AV34">
        <f t="shared" si="9"/>
        <v>0</v>
      </c>
      <c r="AW34">
        <f t="shared" si="9"/>
        <v>0</v>
      </c>
      <c r="AX34">
        <f t="shared" si="9"/>
        <v>0</v>
      </c>
      <c r="AY34">
        <f t="shared" si="9"/>
        <v>0</v>
      </c>
      <c r="AZ34">
        <f t="shared" si="9"/>
        <v>0</v>
      </c>
      <c r="BA34">
        <f t="shared" si="9"/>
        <v>0</v>
      </c>
      <c r="BB34">
        <f t="shared" si="9"/>
        <v>0</v>
      </c>
      <c r="BC34">
        <f t="shared" si="9"/>
        <v>0</v>
      </c>
      <c r="BD34">
        <f t="shared" si="9"/>
        <v>0</v>
      </c>
      <c r="BE34">
        <f t="shared" si="9"/>
        <v>0</v>
      </c>
      <c r="BF34">
        <f t="shared" si="9"/>
        <v>0</v>
      </c>
      <c r="BG34">
        <f t="shared" si="9"/>
        <v>0</v>
      </c>
      <c r="BH34">
        <f t="shared" si="9"/>
        <v>0</v>
      </c>
      <c r="BI34">
        <f t="shared" si="9"/>
        <v>0</v>
      </c>
      <c r="BJ34">
        <f t="shared" si="9"/>
        <v>0</v>
      </c>
      <c r="BK34">
        <f t="shared" si="9"/>
        <v>5</v>
      </c>
      <c r="BL34">
        <f t="shared" si="9"/>
        <v>0</v>
      </c>
    </row>
    <row r="35" spans="3:64">
      <c r="C35" t="s">
        <v>29</v>
      </c>
      <c r="E35">
        <f t="shared" ref="E35:BL35" si="10">IF(COUNTIF(D$34:D$38,"&lt;&gt;0")&gt;=$H$1,E28,D35+E28)</f>
        <v>0</v>
      </c>
      <c r="F35">
        <f t="shared" si="10"/>
        <v>0</v>
      </c>
      <c r="G35">
        <f t="shared" si="10"/>
        <v>0</v>
      </c>
      <c r="H35">
        <f t="shared" si="10"/>
        <v>0</v>
      </c>
      <c r="I35">
        <f t="shared" si="10"/>
        <v>0</v>
      </c>
      <c r="J35">
        <f t="shared" si="10"/>
        <v>0</v>
      </c>
      <c r="K35">
        <f t="shared" si="10"/>
        <v>0</v>
      </c>
      <c r="L35">
        <f t="shared" si="10"/>
        <v>0</v>
      </c>
      <c r="M35">
        <f t="shared" si="10"/>
        <v>0</v>
      </c>
      <c r="N35">
        <f t="shared" si="10"/>
        <v>0</v>
      </c>
      <c r="O35">
        <f t="shared" si="10"/>
        <v>0</v>
      </c>
      <c r="P35">
        <f t="shared" si="10"/>
        <v>0</v>
      </c>
      <c r="Q35">
        <f t="shared" si="10"/>
        <v>0</v>
      </c>
      <c r="R35">
        <f t="shared" si="10"/>
        <v>0</v>
      </c>
      <c r="S35">
        <f t="shared" si="10"/>
        <v>0</v>
      </c>
      <c r="T35">
        <f t="shared" si="10"/>
        <v>0</v>
      </c>
      <c r="U35">
        <f t="shared" si="10"/>
        <v>0</v>
      </c>
      <c r="V35">
        <f t="shared" si="10"/>
        <v>0</v>
      </c>
      <c r="W35">
        <f t="shared" si="10"/>
        <v>0</v>
      </c>
      <c r="X35">
        <f t="shared" si="10"/>
        <v>0</v>
      </c>
      <c r="Y35">
        <f t="shared" si="10"/>
        <v>0</v>
      </c>
      <c r="Z35">
        <f t="shared" si="10"/>
        <v>0</v>
      </c>
      <c r="AA35">
        <f t="shared" si="10"/>
        <v>0</v>
      </c>
      <c r="AB35">
        <f t="shared" si="10"/>
        <v>0</v>
      </c>
      <c r="AC35">
        <f t="shared" si="10"/>
        <v>0</v>
      </c>
      <c r="AD35">
        <f t="shared" si="10"/>
        <v>0</v>
      </c>
      <c r="AE35">
        <f t="shared" si="10"/>
        <v>0</v>
      </c>
      <c r="AF35">
        <f t="shared" si="10"/>
        <v>0</v>
      </c>
      <c r="AG35">
        <f t="shared" si="10"/>
        <v>0</v>
      </c>
      <c r="AH35">
        <f t="shared" si="10"/>
        <v>0</v>
      </c>
      <c r="AI35">
        <f t="shared" si="10"/>
        <v>0</v>
      </c>
      <c r="AJ35">
        <f t="shared" si="10"/>
        <v>0</v>
      </c>
      <c r="AK35">
        <f t="shared" si="10"/>
        <v>5</v>
      </c>
      <c r="AL35">
        <f t="shared" si="10"/>
        <v>5</v>
      </c>
      <c r="AM35">
        <f t="shared" si="10"/>
        <v>5</v>
      </c>
      <c r="AN35">
        <f t="shared" si="10"/>
        <v>5</v>
      </c>
      <c r="AO35">
        <f t="shared" si="10"/>
        <v>5</v>
      </c>
      <c r="AP35">
        <f t="shared" si="10"/>
        <v>5</v>
      </c>
      <c r="AQ35">
        <f t="shared" si="10"/>
        <v>5</v>
      </c>
      <c r="AR35">
        <f t="shared" si="10"/>
        <v>0</v>
      </c>
      <c r="AS35">
        <f t="shared" si="10"/>
        <v>0</v>
      </c>
      <c r="AT35">
        <f t="shared" si="10"/>
        <v>0</v>
      </c>
      <c r="AU35">
        <f t="shared" si="10"/>
        <v>0</v>
      </c>
      <c r="AV35">
        <f t="shared" si="10"/>
        <v>0</v>
      </c>
      <c r="AW35">
        <f t="shared" si="10"/>
        <v>0</v>
      </c>
      <c r="AX35">
        <f t="shared" si="10"/>
        <v>0</v>
      </c>
      <c r="AY35">
        <f t="shared" si="10"/>
        <v>0</v>
      </c>
      <c r="AZ35">
        <f t="shared" si="10"/>
        <v>0</v>
      </c>
      <c r="BA35">
        <f t="shared" si="10"/>
        <v>0</v>
      </c>
      <c r="BB35">
        <f t="shared" si="10"/>
        <v>0</v>
      </c>
      <c r="BC35">
        <f t="shared" si="10"/>
        <v>0</v>
      </c>
      <c r="BD35">
        <f t="shared" si="10"/>
        <v>0</v>
      </c>
      <c r="BE35">
        <f t="shared" si="10"/>
        <v>0</v>
      </c>
      <c r="BF35">
        <f t="shared" si="10"/>
        <v>0</v>
      </c>
      <c r="BG35">
        <f t="shared" si="10"/>
        <v>0</v>
      </c>
      <c r="BH35">
        <f t="shared" si="10"/>
        <v>0</v>
      </c>
      <c r="BI35">
        <f t="shared" si="10"/>
        <v>0</v>
      </c>
      <c r="BJ35">
        <f t="shared" si="10"/>
        <v>0</v>
      </c>
      <c r="BK35">
        <f t="shared" si="10"/>
        <v>0</v>
      </c>
      <c r="BL35">
        <f t="shared" si="10"/>
        <v>0</v>
      </c>
    </row>
    <row r="36" spans="3:64">
      <c r="C36" t="s">
        <v>28</v>
      </c>
      <c r="E36">
        <f t="shared" ref="E36:BL36" si="11">IF(COUNTIF(D$34:D$38,"&lt;&gt;0")&gt;=$H$1,E29,D36+E29)</f>
        <v>0</v>
      </c>
      <c r="F36">
        <f t="shared" si="11"/>
        <v>0</v>
      </c>
      <c r="G36">
        <f t="shared" si="11"/>
        <v>0</v>
      </c>
      <c r="H36">
        <f t="shared" si="11"/>
        <v>0</v>
      </c>
      <c r="I36">
        <f t="shared" si="11"/>
        <v>0</v>
      </c>
      <c r="J36">
        <f t="shared" si="11"/>
        <v>0</v>
      </c>
      <c r="K36">
        <f t="shared" si="11"/>
        <v>0</v>
      </c>
      <c r="L36">
        <f t="shared" si="11"/>
        <v>0</v>
      </c>
      <c r="M36">
        <f t="shared" si="11"/>
        <v>0</v>
      </c>
      <c r="N36">
        <f t="shared" si="11"/>
        <v>0</v>
      </c>
      <c r="O36">
        <f t="shared" si="11"/>
        <v>0</v>
      </c>
      <c r="P36">
        <f t="shared" si="11"/>
        <v>0</v>
      </c>
      <c r="Q36">
        <f t="shared" si="11"/>
        <v>0</v>
      </c>
      <c r="R36">
        <f t="shared" si="11"/>
        <v>0</v>
      </c>
      <c r="S36">
        <f t="shared" si="11"/>
        <v>0</v>
      </c>
      <c r="T36">
        <f t="shared" si="11"/>
        <v>0</v>
      </c>
      <c r="U36">
        <f t="shared" si="11"/>
        <v>0</v>
      </c>
      <c r="V36">
        <f t="shared" si="11"/>
        <v>0</v>
      </c>
      <c r="W36">
        <f t="shared" si="11"/>
        <v>0</v>
      </c>
      <c r="X36">
        <f t="shared" si="11"/>
        <v>0</v>
      </c>
      <c r="Y36">
        <f t="shared" si="11"/>
        <v>0</v>
      </c>
      <c r="Z36">
        <f t="shared" si="11"/>
        <v>0</v>
      </c>
      <c r="AA36">
        <f t="shared" si="11"/>
        <v>0</v>
      </c>
      <c r="AB36">
        <f t="shared" si="11"/>
        <v>0</v>
      </c>
      <c r="AC36">
        <f t="shared" si="11"/>
        <v>4.9999999999999964</v>
      </c>
      <c r="AD36">
        <f t="shared" si="11"/>
        <v>0</v>
      </c>
      <c r="AE36">
        <f t="shared" si="11"/>
        <v>0</v>
      </c>
      <c r="AF36">
        <f t="shared" si="11"/>
        <v>0</v>
      </c>
      <c r="AG36">
        <f t="shared" si="11"/>
        <v>0</v>
      </c>
      <c r="AH36">
        <f t="shared" si="11"/>
        <v>0</v>
      </c>
      <c r="AI36">
        <f t="shared" si="11"/>
        <v>0</v>
      </c>
      <c r="AJ36">
        <f t="shared" si="11"/>
        <v>0</v>
      </c>
      <c r="AK36">
        <f t="shared" si="11"/>
        <v>0</v>
      </c>
      <c r="AL36">
        <f t="shared" si="11"/>
        <v>0</v>
      </c>
      <c r="AM36">
        <f t="shared" si="11"/>
        <v>0</v>
      </c>
      <c r="AN36">
        <f t="shared" si="11"/>
        <v>0</v>
      </c>
      <c r="AO36">
        <f t="shared" si="11"/>
        <v>0</v>
      </c>
      <c r="AP36">
        <f t="shared" si="11"/>
        <v>0</v>
      </c>
      <c r="AQ36">
        <f t="shared" si="11"/>
        <v>0</v>
      </c>
      <c r="AR36">
        <f t="shared" si="11"/>
        <v>0</v>
      </c>
      <c r="AS36">
        <f t="shared" si="11"/>
        <v>0</v>
      </c>
      <c r="AT36">
        <f t="shared" si="11"/>
        <v>0</v>
      </c>
      <c r="AU36">
        <f t="shared" si="11"/>
        <v>0</v>
      </c>
      <c r="AV36">
        <f t="shared" si="11"/>
        <v>0</v>
      </c>
      <c r="AW36">
        <f t="shared" si="11"/>
        <v>0</v>
      </c>
      <c r="AX36">
        <f t="shared" si="11"/>
        <v>0</v>
      </c>
      <c r="AY36">
        <f t="shared" si="11"/>
        <v>0</v>
      </c>
      <c r="AZ36">
        <f t="shared" si="11"/>
        <v>0</v>
      </c>
      <c r="BA36">
        <f t="shared" si="11"/>
        <v>0</v>
      </c>
      <c r="BB36">
        <f t="shared" si="11"/>
        <v>0</v>
      </c>
      <c r="BC36">
        <f t="shared" si="11"/>
        <v>0</v>
      </c>
      <c r="BD36">
        <f t="shared" si="11"/>
        <v>0</v>
      </c>
      <c r="BE36">
        <f t="shared" si="11"/>
        <v>0</v>
      </c>
      <c r="BF36">
        <f t="shared" si="11"/>
        <v>0</v>
      </c>
      <c r="BG36">
        <f t="shared" si="11"/>
        <v>0</v>
      </c>
      <c r="BH36">
        <f t="shared" si="11"/>
        <v>0</v>
      </c>
      <c r="BI36">
        <f t="shared" si="11"/>
        <v>0</v>
      </c>
      <c r="BJ36">
        <f t="shared" si="11"/>
        <v>0</v>
      </c>
      <c r="BK36">
        <f t="shared" si="11"/>
        <v>5</v>
      </c>
      <c r="BL36">
        <f t="shared" si="11"/>
        <v>0</v>
      </c>
    </row>
    <row r="37" spans="3:64">
      <c r="C37" t="s">
        <v>42</v>
      </c>
      <c r="E37">
        <f t="shared" ref="E37:BL37" si="12">IF(COUNTIF(D$34:D$38,"&lt;&gt;0")&gt;=$H$1,E30,D37+E30)</f>
        <v>0</v>
      </c>
      <c r="F37">
        <f t="shared" si="12"/>
        <v>0</v>
      </c>
      <c r="G37">
        <f t="shared" si="12"/>
        <v>0</v>
      </c>
      <c r="H37">
        <f t="shared" si="12"/>
        <v>0</v>
      </c>
      <c r="I37">
        <f t="shared" si="12"/>
        <v>0</v>
      </c>
      <c r="J37">
        <f t="shared" si="12"/>
        <v>0</v>
      </c>
      <c r="K37">
        <f t="shared" si="12"/>
        <v>0</v>
      </c>
      <c r="L37">
        <f t="shared" si="12"/>
        <v>0</v>
      </c>
      <c r="M37">
        <f t="shared" si="12"/>
        <v>0</v>
      </c>
      <c r="N37">
        <f t="shared" si="12"/>
        <v>0</v>
      </c>
      <c r="O37">
        <f t="shared" si="12"/>
        <v>0</v>
      </c>
      <c r="P37">
        <f t="shared" si="12"/>
        <v>0</v>
      </c>
      <c r="Q37">
        <f t="shared" si="12"/>
        <v>0</v>
      </c>
      <c r="R37">
        <f t="shared" si="12"/>
        <v>0</v>
      </c>
      <c r="S37">
        <f t="shared" si="12"/>
        <v>5</v>
      </c>
      <c r="T37">
        <f t="shared" si="12"/>
        <v>5</v>
      </c>
      <c r="U37">
        <f t="shared" si="12"/>
        <v>5</v>
      </c>
      <c r="V37">
        <f t="shared" si="12"/>
        <v>5</v>
      </c>
      <c r="W37">
        <f t="shared" si="12"/>
        <v>5</v>
      </c>
      <c r="X37">
        <f t="shared" si="12"/>
        <v>5</v>
      </c>
      <c r="Y37">
        <f t="shared" si="12"/>
        <v>5</v>
      </c>
      <c r="Z37">
        <f t="shared" si="12"/>
        <v>5</v>
      </c>
      <c r="AA37">
        <f t="shared" si="12"/>
        <v>5</v>
      </c>
      <c r="AB37">
        <f t="shared" si="12"/>
        <v>5</v>
      </c>
      <c r="AC37">
        <f t="shared" si="12"/>
        <v>5</v>
      </c>
      <c r="AD37">
        <f t="shared" si="12"/>
        <v>0</v>
      </c>
      <c r="AE37">
        <f t="shared" si="12"/>
        <v>0</v>
      </c>
      <c r="AF37">
        <f t="shared" si="12"/>
        <v>0</v>
      </c>
      <c r="AG37">
        <f t="shared" si="12"/>
        <v>0</v>
      </c>
      <c r="AH37">
        <f t="shared" si="12"/>
        <v>0</v>
      </c>
      <c r="AI37">
        <f t="shared" si="12"/>
        <v>0</v>
      </c>
      <c r="AJ37">
        <f t="shared" si="12"/>
        <v>0</v>
      </c>
      <c r="AK37">
        <f t="shared" si="12"/>
        <v>0</v>
      </c>
      <c r="AL37">
        <f t="shared" si="12"/>
        <v>0</v>
      </c>
      <c r="AM37">
        <f t="shared" si="12"/>
        <v>0</v>
      </c>
      <c r="AN37">
        <f t="shared" si="12"/>
        <v>0</v>
      </c>
      <c r="AO37">
        <f t="shared" si="12"/>
        <v>0</v>
      </c>
      <c r="AP37">
        <f t="shared" si="12"/>
        <v>0</v>
      </c>
      <c r="AQ37">
        <f t="shared" si="12"/>
        <v>5</v>
      </c>
      <c r="AR37">
        <f t="shared" si="12"/>
        <v>0</v>
      </c>
      <c r="AS37">
        <f t="shared" si="12"/>
        <v>0</v>
      </c>
      <c r="AT37">
        <f t="shared" si="12"/>
        <v>0</v>
      </c>
      <c r="AU37">
        <f t="shared" si="12"/>
        <v>0</v>
      </c>
      <c r="AV37">
        <f t="shared" si="12"/>
        <v>0</v>
      </c>
      <c r="AW37">
        <f t="shared" si="12"/>
        <v>0</v>
      </c>
      <c r="AX37">
        <f t="shared" si="12"/>
        <v>0</v>
      </c>
      <c r="AY37">
        <f t="shared" si="12"/>
        <v>0</v>
      </c>
      <c r="AZ37">
        <f t="shared" si="12"/>
        <v>0</v>
      </c>
      <c r="BA37">
        <f t="shared" si="12"/>
        <v>0</v>
      </c>
      <c r="BB37">
        <f t="shared" si="12"/>
        <v>0</v>
      </c>
      <c r="BC37">
        <f t="shared" si="12"/>
        <v>0</v>
      </c>
      <c r="BD37">
        <f t="shared" si="12"/>
        <v>0</v>
      </c>
      <c r="BE37">
        <f t="shared" si="12"/>
        <v>0</v>
      </c>
      <c r="BF37">
        <f t="shared" si="12"/>
        <v>0</v>
      </c>
      <c r="BG37">
        <f t="shared" si="12"/>
        <v>0</v>
      </c>
      <c r="BH37">
        <f t="shared" si="12"/>
        <v>0</v>
      </c>
      <c r="BI37">
        <f t="shared" si="12"/>
        <v>0</v>
      </c>
      <c r="BJ37">
        <f t="shared" si="12"/>
        <v>0</v>
      </c>
      <c r="BK37">
        <f t="shared" si="12"/>
        <v>5.0000000000000071</v>
      </c>
      <c r="BL37">
        <f t="shared" si="12"/>
        <v>0</v>
      </c>
    </row>
    <row r="38" spans="3:64">
      <c r="C38" t="s">
        <v>27</v>
      </c>
      <c r="E38">
        <f t="shared" ref="E38:BL38" si="13">IF(COUNTIF(D$34:D$38,"&lt;&gt;0")&gt;=$H$1,E31,D38+E31)</f>
        <v>0</v>
      </c>
      <c r="F38">
        <f t="shared" si="13"/>
        <v>0</v>
      </c>
      <c r="G38">
        <f t="shared" si="13"/>
        <v>0</v>
      </c>
      <c r="H38">
        <f t="shared" si="13"/>
        <v>0</v>
      </c>
      <c r="I38">
        <f t="shared" si="13"/>
        <v>0</v>
      </c>
      <c r="J38">
        <f t="shared" si="13"/>
        <v>0</v>
      </c>
      <c r="K38">
        <f t="shared" si="13"/>
        <v>0</v>
      </c>
      <c r="L38">
        <f t="shared" si="13"/>
        <v>5</v>
      </c>
      <c r="M38">
        <f t="shared" si="13"/>
        <v>5</v>
      </c>
      <c r="N38">
        <f t="shared" si="13"/>
        <v>5</v>
      </c>
      <c r="O38">
        <f t="shared" si="13"/>
        <v>5</v>
      </c>
      <c r="P38">
        <f t="shared" si="13"/>
        <v>5</v>
      </c>
      <c r="Q38">
        <f t="shared" si="13"/>
        <v>5</v>
      </c>
      <c r="R38">
        <f t="shared" si="13"/>
        <v>5</v>
      </c>
      <c r="S38">
        <f t="shared" si="13"/>
        <v>5</v>
      </c>
      <c r="T38">
        <f t="shared" si="13"/>
        <v>5</v>
      </c>
      <c r="U38">
        <f t="shared" si="13"/>
        <v>5</v>
      </c>
      <c r="V38">
        <f t="shared" si="13"/>
        <v>5</v>
      </c>
      <c r="W38">
        <f t="shared" si="13"/>
        <v>5</v>
      </c>
      <c r="X38">
        <f t="shared" si="13"/>
        <v>5</v>
      </c>
      <c r="Y38">
        <f t="shared" si="13"/>
        <v>5</v>
      </c>
      <c r="Z38">
        <f t="shared" si="13"/>
        <v>10</v>
      </c>
      <c r="AA38">
        <f t="shared" si="13"/>
        <v>10</v>
      </c>
      <c r="AB38">
        <f t="shared" si="13"/>
        <v>10</v>
      </c>
      <c r="AC38">
        <f t="shared" si="13"/>
        <v>10</v>
      </c>
      <c r="AD38">
        <f t="shared" si="13"/>
        <v>0</v>
      </c>
      <c r="AE38">
        <f t="shared" si="13"/>
        <v>0</v>
      </c>
      <c r="AF38">
        <f t="shared" si="13"/>
        <v>0</v>
      </c>
      <c r="AG38">
        <f t="shared" si="13"/>
        <v>0</v>
      </c>
      <c r="AH38">
        <f t="shared" si="13"/>
        <v>0</v>
      </c>
      <c r="AI38">
        <f t="shared" si="13"/>
        <v>0</v>
      </c>
      <c r="AJ38">
        <f t="shared" si="13"/>
        <v>0</v>
      </c>
      <c r="AK38">
        <f t="shared" si="13"/>
        <v>5</v>
      </c>
      <c r="AL38">
        <f t="shared" si="13"/>
        <v>5</v>
      </c>
      <c r="AM38">
        <f t="shared" si="13"/>
        <v>5</v>
      </c>
      <c r="AN38">
        <f t="shared" si="13"/>
        <v>5</v>
      </c>
      <c r="AO38">
        <f t="shared" si="13"/>
        <v>5</v>
      </c>
      <c r="AP38">
        <f t="shared" si="13"/>
        <v>5</v>
      </c>
      <c r="AQ38">
        <f t="shared" si="13"/>
        <v>5</v>
      </c>
      <c r="AR38">
        <f t="shared" si="13"/>
        <v>0</v>
      </c>
      <c r="AS38">
        <f t="shared" si="13"/>
        <v>0</v>
      </c>
      <c r="AT38">
        <f t="shared" si="13"/>
        <v>0</v>
      </c>
      <c r="AU38">
        <f t="shared" si="13"/>
        <v>0</v>
      </c>
      <c r="AV38">
        <f t="shared" si="13"/>
        <v>0</v>
      </c>
      <c r="AW38">
        <f t="shared" si="13"/>
        <v>0</v>
      </c>
      <c r="AX38">
        <f t="shared" si="13"/>
        <v>5</v>
      </c>
      <c r="AY38">
        <f t="shared" si="13"/>
        <v>5</v>
      </c>
      <c r="AZ38">
        <f t="shared" si="13"/>
        <v>5</v>
      </c>
      <c r="BA38">
        <f t="shared" si="13"/>
        <v>5</v>
      </c>
      <c r="BB38">
        <f t="shared" si="13"/>
        <v>5</v>
      </c>
      <c r="BC38">
        <f t="shared" si="13"/>
        <v>5</v>
      </c>
      <c r="BD38">
        <f t="shared" si="13"/>
        <v>5</v>
      </c>
      <c r="BE38">
        <f t="shared" si="13"/>
        <v>5</v>
      </c>
      <c r="BF38">
        <f t="shared" si="13"/>
        <v>5</v>
      </c>
      <c r="BG38">
        <f t="shared" si="13"/>
        <v>10</v>
      </c>
      <c r="BH38">
        <f t="shared" si="13"/>
        <v>10</v>
      </c>
      <c r="BI38">
        <f t="shared" si="13"/>
        <v>10</v>
      </c>
      <c r="BJ38">
        <f t="shared" si="13"/>
        <v>10</v>
      </c>
      <c r="BK38">
        <f t="shared" si="13"/>
        <v>10</v>
      </c>
      <c r="BL38">
        <f t="shared" si="13"/>
        <v>0</v>
      </c>
    </row>
    <row r="40" spans="3:64">
      <c r="C40" s="46" t="s">
        <v>64</v>
      </c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</row>
    <row r="41" spans="3:64">
      <c r="E41">
        <f>COUNTIF(E34:E38,"&lt;&gt;0")</f>
        <v>0</v>
      </c>
      <c r="F41">
        <f t="shared" ref="F41:BL41" si="14">COUNTIF(F34:F38,"&lt;&gt;0")</f>
        <v>0</v>
      </c>
      <c r="G41">
        <f t="shared" si="14"/>
        <v>0</v>
      </c>
      <c r="H41">
        <f t="shared" si="14"/>
        <v>0</v>
      </c>
      <c r="I41">
        <f t="shared" si="14"/>
        <v>0</v>
      </c>
      <c r="J41">
        <f t="shared" si="14"/>
        <v>0</v>
      </c>
      <c r="K41">
        <f t="shared" si="14"/>
        <v>0</v>
      </c>
      <c r="L41">
        <f t="shared" si="14"/>
        <v>1</v>
      </c>
      <c r="M41">
        <f t="shared" si="14"/>
        <v>1</v>
      </c>
      <c r="N41">
        <f t="shared" si="14"/>
        <v>1</v>
      </c>
      <c r="O41">
        <f t="shared" si="14"/>
        <v>1</v>
      </c>
      <c r="P41">
        <f t="shared" si="14"/>
        <v>1</v>
      </c>
      <c r="Q41">
        <f t="shared" si="14"/>
        <v>1</v>
      </c>
      <c r="R41">
        <f t="shared" si="14"/>
        <v>1</v>
      </c>
      <c r="S41">
        <f t="shared" si="14"/>
        <v>2</v>
      </c>
      <c r="T41">
        <f t="shared" si="14"/>
        <v>2</v>
      </c>
      <c r="U41">
        <f t="shared" si="14"/>
        <v>2</v>
      </c>
      <c r="V41">
        <f t="shared" si="14"/>
        <v>2</v>
      </c>
      <c r="W41">
        <f t="shared" si="14"/>
        <v>2</v>
      </c>
      <c r="X41">
        <f t="shared" si="14"/>
        <v>2</v>
      </c>
      <c r="Y41">
        <f t="shared" si="14"/>
        <v>2</v>
      </c>
      <c r="Z41">
        <f t="shared" si="14"/>
        <v>2</v>
      </c>
      <c r="AA41">
        <f t="shared" si="14"/>
        <v>2</v>
      </c>
      <c r="AB41">
        <f t="shared" si="14"/>
        <v>2</v>
      </c>
      <c r="AC41">
        <f t="shared" si="14"/>
        <v>3</v>
      </c>
      <c r="AD41">
        <f t="shared" si="14"/>
        <v>0</v>
      </c>
      <c r="AE41">
        <f t="shared" si="14"/>
        <v>0</v>
      </c>
      <c r="AF41">
        <f t="shared" si="14"/>
        <v>0</v>
      </c>
      <c r="AG41">
        <f t="shared" si="14"/>
        <v>0</v>
      </c>
      <c r="AH41">
        <f t="shared" si="14"/>
        <v>0</v>
      </c>
      <c r="AI41">
        <f t="shared" si="14"/>
        <v>0</v>
      </c>
      <c r="AJ41">
        <f t="shared" si="14"/>
        <v>0</v>
      </c>
      <c r="AK41">
        <f t="shared" si="14"/>
        <v>2</v>
      </c>
      <c r="AL41">
        <f t="shared" si="14"/>
        <v>2</v>
      </c>
      <c r="AM41">
        <f t="shared" si="14"/>
        <v>2</v>
      </c>
      <c r="AN41">
        <f t="shared" si="14"/>
        <v>2</v>
      </c>
      <c r="AO41">
        <f t="shared" si="14"/>
        <v>2</v>
      </c>
      <c r="AP41">
        <f t="shared" si="14"/>
        <v>2</v>
      </c>
      <c r="AQ41">
        <f t="shared" si="14"/>
        <v>3</v>
      </c>
      <c r="AR41">
        <f t="shared" si="14"/>
        <v>0</v>
      </c>
      <c r="AS41">
        <f t="shared" si="14"/>
        <v>0</v>
      </c>
      <c r="AT41">
        <f t="shared" si="14"/>
        <v>0</v>
      </c>
      <c r="AU41">
        <f t="shared" si="14"/>
        <v>0</v>
      </c>
      <c r="AV41">
        <f t="shared" si="14"/>
        <v>0</v>
      </c>
      <c r="AW41">
        <f t="shared" si="14"/>
        <v>0</v>
      </c>
      <c r="AX41">
        <f t="shared" si="14"/>
        <v>1</v>
      </c>
      <c r="AY41">
        <f t="shared" si="14"/>
        <v>1</v>
      </c>
      <c r="AZ41">
        <f t="shared" si="14"/>
        <v>1</v>
      </c>
      <c r="BA41">
        <f t="shared" si="14"/>
        <v>1</v>
      </c>
      <c r="BB41">
        <f t="shared" si="14"/>
        <v>1</v>
      </c>
      <c r="BC41">
        <f t="shared" si="14"/>
        <v>1</v>
      </c>
      <c r="BD41">
        <f t="shared" si="14"/>
        <v>1</v>
      </c>
      <c r="BE41">
        <f t="shared" si="14"/>
        <v>1</v>
      </c>
      <c r="BF41">
        <f t="shared" si="14"/>
        <v>1</v>
      </c>
      <c r="BG41">
        <f t="shared" si="14"/>
        <v>1</v>
      </c>
      <c r="BH41">
        <f t="shared" si="14"/>
        <v>1</v>
      </c>
      <c r="BI41">
        <f t="shared" si="14"/>
        <v>1</v>
      </c>
      <c r="BJ41">
        <f t="shared" si="14"/>
        <v>1</v>
      </c>
      <c r="BK41">
        <f t="shared" si="14"/>
        <v>4</v>
      </c>
      <c r="BL41">
        <f t="shared" si="14"/>
        <v>0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5A6E1-3E21-47FA-99C5-129D64A787AB}">
  <sheetPr codeName="Feuil2">
    <tabColor theme="4"/>
  </sheetPr>
  <dimension ref="B2:J45"/>
  <sheetViews>
    <sheetView showGridLines="0" topLeftCell="A22" zoomScale="115" zoomScaleNormal="115" workbookViewId="0">
      <selection activeCell="E30" sqref="E30"/>
    </sheetView>
  </sheetViews>
  <sheetFormatPr baseColWidth="10" defaultColWidth="8.7265625" defaultRowHeight="13"/>
  <cols>
    <col min="1" max="2" width="2.81640625" style="10" customWidth="1"/>
    <col min="3" max="3" width="19.81640625" style="10" bestFit="1" customWidth="1"/>
    <col min="4" max="4" width="10.453125" style="10" bestFit="1" customWidth="1"/>
    <col min="5" max="5" width="10.54296875" style="10" bestFit="1" customWidth="1"/>
    <col min="6" max="6" width="12.26953125" style="10" bestFit="1" customWidth="1"/>
    <col min="7" max="9" width="10.453125" style="10" bestFit="1" customWidth="1"/>
    <col min="10" max="10" width="11.1796875" style="10" bestFit="1" customWidth="1"/>
    <col min="11" max="16384" width="8.7265625" style="10"/>
  </cols>
  <sheetData>
    <row r="2" spans="2:10" ht="23.5">
      <c r="B2" s="20" t="str">
        <f>F9</f>
        <v>Oxbridge Inc.</v>
      </c>
      <c r="C2" s="20"/>
      <c r="D2" s="21"/>
      <c r="E2" s="21"/>
      <c r="F2" s="21"/>
      <c r="G2" s="21"/>
      <c r="H2" s="21"/>
      <c r="I2" s="21"/>
      <c r="J2" s="21"/>
    </row>
    <row r="3" spans="2:10" ht="16" thickBot="1">
      <c r="B3" s="22" t="s">
        <v>33</v>
      </c>
      <c r="C3" s="22"/>
      <c r="D3" s="23"/>
      <c r="E3" s="23"/>
      <c r="F3" s="23"/>
      <c r="G3" s="23"/>
      <c r="H3" s="23"/>
      <c r="I3" s="23"/>
      <c r="J3" s="23"/>
    </row>
    <row r="4" spans="2:10">
      <c r="B4" s="24"/>
      <c r="C4" s="24"/>
      <c r="D4" s="24"/>
      <c r="E4" s="24"/>
      <c r="F4" s="24"/>
      <c r="G4" s="24"/>
      <c r="H4" s="24"/>
      <c r="I4" s="24"/>
      <c r="J4" s="24"/>
    </row>
    <row r="5" spans="2:10" ht="13.5" thickBot="1">
      <c r="B5" s="25" t="s">
        <v>35</v>
      </c>
      <c r="C5" s="25"/>
      <c r="D5" s="25"/>
      <c r="E5" s="25"/>
      <c r="F5" s="25"/>
      <c r="G5" s="25"/>
      <c r="H5" s="25"/>
      <c r="I5" s="25"/>
      <c r="J5" s="25"/>
    </row>
    <row r="6" spans="2:10" ht="13.5" thickTop="1"/>
    <row r="8" spans="2:10">
      <c r="C8" s="28" t="s">
        <v>36</v>
      </c>
      <c r="D8" s="18"/>
      <c r="E8" s="18"/>
      <c r="F8" s="18"/>
      <c r="H8" s="28" t="s">
        <v>37</v>
      </c>
      <c r="I8" s="18"/>
      <c r="J8" s="18"/>
    </row>
    <row r="9" spans="2:10">
      <c r="C9" s="10" t="s">
        <v>2</v>
      </c>
      <c r="D9" s="11"/>
      <c r="F9" s="26" t="s">
        <v>34</v>
      </c>
      <c r="H9" s="11" t="s">
        <v>38</v>
      </c>
      <c r="J9" s="39" t="s">
        <v>5</v>
      </c>
    </row>
    <row r="10" spans="2:10">
      <c r="C10" s="10" t="s">
        <v>3</v>
      </c>
      <c r="D10" s="11"/>
      <c r="F10" s="30">
        <v>44562</v>
      </c>
      <c r="H10" s="11" t="s">
        <v>39</v>
      </c>
      <c r="J10" s="40" t="s">
        <v>25</v>
      </c>
    </row>
    <row r="13" spans="2:10">
      <c r="C13" s="28" t="s">
        <v>4</v>
      </c>
      <c r="D13" s="18"/>
      <c r="E13" s="18"/>
      <c r="F13" s="18"/>
      <c r="H13" s="37" t="s">
        <v>41</v>
      </c>
      <c r="I13" s="18"/>
      <c r="J13" s="28"/>
    </row>
    <row r="14" spans="2:10">
      <c r="E14" s="12" t="s">
        <v>7</v>
      </c>
      <c r="F14" s="13"/>
      <c r="H14" s="10" t="s">
        <v>12</v>
      </c>
      <c r="I14" s="2" t="s">
        <v>11</v>
      </c>
      <c r="J14" s="36">
        <v>0.05</v>
      </c>
    </row>
    <row r="15" spans="2:10">
      <c r="C15" s="11" t="s">
        <v>6</v>
      </c>
      <c r="E15" s="14" t="str">
        <f>$J$9</f>
        <v>Australia</v>
      </c>
      <c r="F15" s="14" t="str">
        <f>$J$10</f>
        <v>US</v>
      </c>
      <c r="H15" s="10" t="s">
        <v>13</v>
      </c>
      <c r="I15" s="2" t="s">
        <v>11</v>
      </c>
      <c r="J15" s="34">
        <v>-0.03</v>
      </c>
    </row>
    <row r="16" spans="2:10">
      <c r="C16" s="29" t="s">
        <v>30</v>
      </c>
      <c r="D16" s="1" t="s">
        <v>1</v>
      </c>
      <c r="E16" s="27">
        <v>7539</v>
      </c>
      <c r="F16" s="27">
        <v>96430</v>
      </c>
      <c r="H16" s="10" t="s">
        <v>14</v>
      </c>
      <c r="I16" s="2" t="s">
        <v>11</v>
      </c>
      <c r="J16" s="34">
        <v>-0.03</v>
      </c>
    </row>
    <row r="17" spans="3:10">
      <c r="C17" s="29" t="s">
        <v>29</v>
      </c>
      <c r="D17" s="1" t="s">
        <v>1</v>
      </c>
      <c r="E17" s="27">
        <v>9726</v>
      </c>
      <c r="F17" s="27">
        <v>137435</v>
      </c>
      <c r="H17" s="10" t="s">
        <v>15</v>
      </c>
      <c r="I17" s="2" t="s">
        <v>11</v>
      </c>
      <c r="J17" s="34">
        <v>-0.03</v>
      </c>
    </row>
    <row r="18" spans="3:10">
      <c r="C18" s="29" t="s">
        <v>28</v>
      </c>
      <c r="D18" s="1" t="s">
        <v>1</v>
      </c>
      <c r="E18" s="27">
        <v>17751</v>
      </c>
      <c r="F18" s="27">
        <v>63735</v>
      </c>
      <c r="H18" s="10" t="s">
        <v>16</v>
      </c>
      <c r="I18" s="2" t="s">
        <v>11</v>
      </c>
      <c r="J18" s="34">
        <v>-0.03</v>
      </c>
    </row>
    <row r="19" spans="3:10">
      <c r="C19" s="29" t="s">
        <v>42</v>
      </c>
      <c r="D19" s="1" t="s">
        <v>1</v>
      </c>
      <c r="E19" s="27">
        <v>3499</v>
      </c>
      <c r="F19" s="27">
        <v>35340</v>
      </c>
      <c r="H19" s="10" t="s">
        <v>17</v>
      </c>
      <c r="I19" s="2" t="s">
        <v>11</v>
      </c>
      <c r="J19" s="34">
        <v>-0.2</v>
      </c>
    </row>
    <row r="20" spans="3:10">
      <c r="C20" s="29" t="s">
        <v>27</v>
      </c>
      <c r="D20" s="1" t="s">
        <v>1</v>
      </c>
      <c r="E20" s="27">
        <v>661</v>
      </c>
      <c r="F20" s="27">
        <v>7237</v>
      </c>
      <c r="H20" s="10" t="s">
        <v>18</v>
      </c>
      <c r="I20" s="2" t="s">
        <v>11</v>
      </c>
      <c r="J20" s="34">
        <v>0</v>
      </c>
    </row>
    <row r="21" spans="3:10">
      <c r="H21" s="10" t="s">
        <v>19</v>
      </c>
      <c r="I21" s="2" t="s">
        <v>11</v>
      </c>
      <c r="J21" s="34">
        <v>1.5</v>
      </c>
    </row>
    <row r="22" spans="3:10">
      <c r="H22" s="10" t="s">
        <v>20</v>
      </c>
      <c r="I22" s="2" t="s">
        <v>11</v>
      </c>
      <c r="J22" s="34">
        <v>-0.2</v>
      </c>
    </row>
    <row r="23" spans="3:10">
      <c r="C23" s="28" t="s">
        <v>26</v>
      </c>
      <c r="D23" s="18"/>
      <c r="E23" s="18"/>
      <c r="F23" s="18"/>
      <c r="H23" s="10" t="s">
        <v>21</v>
      </c>
      <c r="I23" s="2" t="s">
        <v>11</v>
      </c>
      <c r="J23" s="34">
        <v>-0.03</v>
      </c>
    </row>
    <row r="24" spans="3:10">
      <c r="C24" s="11"/>
      <c r="E24" s="14" t="str">
        <f>$J$9</f>
        <v>Australia</v>
      </c>
      <c r="F24" s="14" t="str">
        <f>$J$10</f>
        <v>US</v>
      </c>
      <c r="H24" s="10" t="s">
        <v>22</v>
      </c>
      <c r="I24" s="2" t="s">
        <v>11</v>
      </c>
      <c r="J24" s="34">
        <v>-0.03</v>
      </c>
    </row>
    <row r="25" spans="3:10">
      <c r="C25" s="16" t="str">
        <f>C16</f>
        <v>Dot</v>
      </c>
      <c r="D25" s="2" t="s">
        <v>8</v>
      </c>
      <c r="E25" s="41">
        <v>14.99</v>
      </c>
      <c r="F25" s="31">
        <v>9.99</v>
      </c>
      <c r="H25" s="10" t="s">
        <v>23</v>
      </c>
      <c r="I25" s="2" t="s">
        <v>11</v>
      </c>
      <c r="J25" s="34">
        <v>-0.03</v>
      </c>
    </row>
    <row r="26" spans="3:10">
      <c r="C26" s="16" t="str">
        <f>C17</f>
        <v>Line</v>
      </c>
      <c r="D26" s="2" t="s">
        <v>8</v>
      </c>
      <c r="E26" s="41">
        <v>29.99</v>
      </c>
      <c r="F26" s="31">
        <v>19.989999999999998</v>
      </c>
    </row>
    <row r="27" spans="3:10">
      <c r="C27" s="16" t="str">
        <f>C18</f>
        <v>Triangle</v>
      </c>
      <c r="D27" s="2" t="s">
        <v>8</v>
      </c>
      <c r="E27" s="41">
        <v>44.99</v>
      </c>
      <c r="F27" s="31">
        <v>29.99</v>
      </c>
    </row>
    <row r="28" spans="3:10">
      <c r="C28" s="16" t="str">
        <f>C19</f>
        <v>Square</v>
      </c>
      <c r="D28" s="2" t="s">
        <v>8</v>
      </c>
      <c r="E28" s="41">
        <v>74.989999999999995</v>
      </c>
      <c r="F28" s="31">
        <v>49.99</v>
      </c>
    </row>
    <row r="29" spans="3:10">
      <c r="C29" s="17" t="str">
        <f>C20</f>
        <v>Star</v>
      </c>
      <c r="D29" s="3" t="s">
        <v>8</v>
      </c>
      <c r="E29" s="42">
        <v>149.99</v>
      </c>
      <c r="F29" s="32">
        <v>99.99</v>
      </c>
    </row>
    <row r="30" spans="3:10">
      <c r="C30" s="10" t="s">
        <v>9</v>
      </c>
      <c r="D30" s="1" t="s">
        <v>0</v>
      </c>
      <c r="E30" s="43">
        <v>5</v>
      </c>
      <c r="F30" s="33">
        <v>5</v>
      </c>
    </row>
    <row r="31" spans="3:10">
      <c r="C31" s="10" t="s">
        <v>32</v>
      </c>
      <c r="D31" s="1" t="s">
        <v>1</v>
      </c>
      <c r="E31" s="26">
        <v>3</v>
      </c>
      <c r="F31" s="26">
        <v>3</v>
      </c>
    </row>
    <row r="33" spans="3:10">
      <c r="C33" s="11"/>
      <c r="E33" s="10" t="s">
        <v>48</v>
      </c>
      <c r="F33" s="10" t="s">
        <v>49</v>
      </c>
    </row>
    <row r="34" spans="3:10">
      <c r="C34" s="28" t="s">
        <v>31</v>
      </c>
      <c r="D34" s="18"/>
      <c r="E34" s="18"/>
      <c r="F34" s="18"/>
      <c r="G34" s="18"/>
      <c r="H34" s="18"/>
      <c r="I34" s="18"/>
      <c r="J34" s="18"/>
    </row>
    <row r="35" spans="3:10">
      <c r="C35" s="19"/>
      <c r="F35" s="19">
        <f>YEAR($F$10)</f>
        <v>2022</v>
      </c>
      <c r="G35" s="19">
        <f>F35+1</f>
        <v>2023</v>
      </c>
      <c r="H35" s="19">
        <f>G35+1</f>
        <v>2024</v>
      </c>
      <c r="I35" s="19">
        <f>H35+1</f>
        <v>2025</v>
      </c>
      <c r="J35" s="19">
        <f>I35+1</f>
        <v>2026</v>
      </c>
    </row>
    <row r="36" spans="3:10">
      <c r="C36" s="15" t="s">
        <v>48</v>
      </c>
      <c r="D36" s="2" t="s">
        <v>10</v>
      </c>
      <c r="F36" s="38">
        <v>1.31</v>
      </c>
      <c r="G36" s="38">
        <v>1.32</v>
      </c>
      <c r="H36" s="38">
        <v>1.33</v>
      </c>
      <c r="I36" s="38">
        <v>1.34</v>
      </c>
      <c r="J36" s="38">
        <v>1.35</v>
      </c>
    </row>
    <row r="38" spans="3:10">
      <c r="C38" s="11"/>
    </row>
    <row r="39" spans="3:10">
      <c r="C39" s="28" t="s">
        <v>40</v>
      </c>
      <c r="D39" s="18"/>
      <c r="E39" s="18"/>
      <c r="F39" s="18"/>
      <c r="G39" s="18"/>
      <c r="H39" s="18"/>
      <c r="I39" s="18"/>
      <c r="J39" s="18"/>
    </row>
    <row r="40" spans="3:10">
      <c r="C40" s="19"/>
      <c r="F40" s="19">
        <f>YEAR($F$10)</f>
        <v>2022</v>
      </c>
      <c r="G40" s="19">
        <f>F40+1</f>
        <v>2023</v>
      </c>
      <c r="H40" s="19">
        <f>G40+1</f>
        <v>2024</v>
      </c>
      <c r="I40" s="19">
        <f>H40+1</f>
        <v>2025</v>
      </c>
      <c r="J40" s="19">
        <f>I40+1</f>
        <v>2026</v>
      </c>
    </row>
    <row r="41" spans="3:10">
      <c r="C41" s="15" t="str">
        <f>$E$15</f>
        <v>Australia</v>
      </c>
      <c r="D41" s="2" t="s">
        <v>11</v>
      </c>
      <c r="F41" s="35">
        <v>4.2299999999999997E-2</v>
      </c>
      <c r="G41" s="35">
        <v>5.45E-2</v>
      </c>
      <c r="H41" s="35">
        <v>6.6799999999999998E-2</v>
      </c>
      <c r="I41" s="35">
        <v>2.9700000000000001E-2</v>
      </c>
      <c r="J41" s="35">
        <v>6.8500000000000005E-2</v>
      </c>
    </row>
    <row r="42" spans="3:10">
      <c r="C42" s="15" t="str">
        <f>$F$15</f>
        <v>US</v>
      </c>
      <c r="D42" s="2" t="s">
        <v>11</v>
      </c>
      <c r="F42" s="35">
        <v>4.2700000000000002E-2</v>
      </c>
      <c r="G42" s="35">
        <v>3.7699999999999997E-2</v>
      </c>
      <c r="H42" s="35">
        <v>5.3699999999999998E-2</v>
      </c>
      <c r="I42" s="35">
        <v>3.6799999999999999E-2</v>
      </c>
      <c r="J42" s="35">
        <v>6.6600000000000006E-2</v>
      </c>
    </row>
    <row r="44" spans="3:10">
      <c r="C44" s="15" t="str">
        <f>$E$15</f>
        <v>Australia</v>
      </c>
      <c r="D44" s="2" t="s">
        <v>57</v>
      </c>
      <c r="F44" s="35">
        <v>4.2299999999999997E-2</v>
      </c>
      <c r="G44" s="35">
        <v>5.45E-2</v>
      </c>
      <c r="H44" s="35">
        <v>6.6799999999999998E-2</v>
      </c>
      <c r="I44" s="35">
        <v>2.9700000000000001E-2</v>
      </c>
      <c r="J44" s="35">
        <v>6.8500000000000005E-2</v>
      </c>
    </row>
    <row r="45" spans="3:10">
      <c r="C45" s="15" t="str">
        <f>$F$15</f>
        <v>US</v>
      </c>
      <c r="D45" s="2" t="s">
        <v>58</v>
      </c>
      <c r="F45" s="35">
        <v>4.2700000000000002E-2</v>
      </c>
      <c r="G45" s="35">
        <v>3.7699999999999997E-2</v>
      </c>
      <c r="H45" s="35">
        <v>5.3699999999999998E-2</v>
      </c>
      <c r="I45" s="35">
        <v>3.6799999999999999E-2</v>
      </c>
      <c r="J45" s="35">
        <v>6.6600000000000006E-2</v>
      </c>
    </row>
  </sheetData>
  <phoneticPr fontId="28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009E2-3D52-4E89-8747-8D2B2322B73E}">
  <sheetPr codeName="Feuil7"/>
  <dimension ref="C5:D5"/>
  <sheetViews>
    <sheetView workbookViewId="0">
      <selection activeCell="F4" sqref="F4"/>
    </sheetView>
  </sheetViews>
  <sheetFormatPr baseColWidth="10" defaultRowHeight="14.5"/>
  <sheetData>
    <row r="5" spans="3:4">
      <c r="C5" t="s">
        <v>56</v>
      </c>
      <c r="D5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Cover</vt:lpstr>
      <vt:lpstr>R_Synthèse</vt:lpstr>
      <vt:lpstr>C_Revenues_AUS</vt:lpstr>
      <vt:lpstr>C_Price_change_flags</vt:lpstr>
      <vt:lpstr>C_Revenues_US</vt:lpstr>
      <vt:lpstr>C_Price_change_flags_US</vt:lpstr>
      <vt:lpstr>D_Assumptions</vt:lpstr>
      <vt:lpstr>Constants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2019-10-07T17:07:36Z</dcterms:created>
  <dcterms:modified xsi:type="dcterms:W3CDTF">2022-05-23T18:43:57Z</dcterms:modified>
</cp:coreProperties>
</file>