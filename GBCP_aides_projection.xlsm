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drien.Proux\Documents\Perso\"/>
    </mc:Choice>
  </mc:AlternateContent>
  <bookViews>
    <workbookView xWindow="0" yWindow="0" windowWidth="19200" windowHeight="6760" firstSheet="3" activeTab="4"/>
  </bookViews>
  <sheets>
    <sheet name="Guide" sheetId="29" r:id="rId1"/>
    <sheet name="Paramétrage_général" sheetId="1" r:id="rId2"/>
    <sheet name="Données_historiques" sheetId="12" r:id="rId3"/>
    <sheet name="Hypothèses_trajectoire" sheetId="13" r:id="rId4"/>
    <sheet name="Tableau de bord" sheetId="27" r:id="rId5"/>
    <sheet name="Controles" sheetId="28" r:id="rId6"/>
    <sheet name="Time" sheetId="10" r:id="rId7"/>
    <sheet name="Dépôts" sheetId="14" r:id="rId8"/>
    <sheet name="Engagements" sheetId="15" r:id="rId9"/>
    <sheet name="Avances" sheetId="17" r:id="rId10"/>
    <sheet name="Demandes de solde" sheetId="18" r:id="rId11"/>
    <sheet name="Paiements Solde et retraits" sheetId="19" r:id="rId12"/>
    <sheet name="Stocks" sheetId="21" r:id="rId13"/>
    <sheet name="Consolidation" sheetId="23" r:id="rId14"/>
    <sheet name="Graphiques" sheetId="25" r:id="rId1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9" l="1"/>
  <c r="J99" i="25" l="1"/>
  <c r="I99" i="25"/>
  <c r="E99" i="25"/>
  <c r="J48" i="25"/>
  <c r="I48" i="25"/>
  <c r="E48" i="25"/>
  <c r="J97" i="25"/>
  <c r="J101" i="25" s="1"/>
  <c r="J20" i="23"/>
  <c r="J18" i="23"/>
  <c r="J9" i="23"/>
  <c r="J89" i="25"/>
  <c r="E89" i="25"/>
  <c r="J268" i="19"/>
  <c r="E268" i="19"/>
  <c r="J21" i="21"/>
  <c r="E324" i="19"/>
  <c r="E21" i="21" s="1"/>
  <c r="E325" i="19"/>
  <c r="E20" i="23" s="1"/>
  <c r="J318" i="19"/>
  <c r="BI310" i="19"/>
  <c r="BH310" i="19"/>
  <c r="BG310" i="19"/>
  <c r="BF310" i="19"/>
  <c r="BE310" i="19"/>
  <c r="BD310" i="19"/>
  <c r="BC310" i="19"/>
  <c r="BB310" i="19"/>
  <c r="BA310" i="19"/>
  <c r="AZ310" i="19"/>
  <c r="AY310" i="19"/>
  <c r="AX310" i="19"/>
  <c r="AW310" i="19"/>
  <c r="AV310" i="19"/>
  <c r="AU310" i="19"/>
  <c r="AT310" i="19"/>
  <c r="AS310" i="19"/>
  <c r="AR310" i="19"/>
  <c r="AQ310" i="19"/>
  <c r="AP310" i="19"/>
  <c r="AO310" i="19"/>
  <c r="AN310" i="19"/>
  <c r="AM310" i="19"/>
  <c r="AL310" i="19"/>
  <c r="AK310" i="19"/>
  <c r="AJ310" i="19"/>
  <c r="AI310" i="19"/>
  <c r="AH310" i="19"/>
  <c r="AG310" i="19"/>
  <c r="AF310" i="19"/>
  <c r="AE310" i="19"/>
  <c r="AD310" i="19"/>
  <c r="AC310" i="19"/>
  <c r="AB310" i="19"/>
  <c r="AA310" i="19"/>
  <c r="Z310" i="19"/>
  <c r="Y310" i="19"/>
  <c r="X310" i="19"/>
  <c r="W310" i="19"/>
  <c r="V310" i="19"/>
  <c r="U310" i="19"/>
  <c r="T310" i="19"/>
  <c r="S310" i="19"/>
  <c r="R310" i="19"/>
  <c r="Q310" i="19"/>
  <c r="P310" i="19"/>
  <c r="O310" i="19"/>
  <c r="N310" i="19"/>
  <c r="J310" i="19"/>
  <c r="J300" i="19"/>
  <c r="J299" i="19"/>
  <c r="J298" i="19"/>
  <c r="J297" i="19"/>
  <c r="J296" i="19"/>
  <c r="J295" i="19"/>
  <c r="J294" i="19"/>
  <c r="J293" i="19"/>
  <c r="J292" i="19"/>
  <c r="J291" i="19"/>
  <c r="J290" i="19"/>
  <c r="J289" i="19"/>
  <c r="E300" i="19"/>
  <c r="E299" i="19"/>
  <c r="E298" i="19"/>
  <c r="E297" i="19"/>
  <c r="E296" i="19"/>
  <c r="E295" i="19"/>
  <c r="E294" i="19"/>
  <c r="E293" i="19"/>
  <c r="E292" i="19"/>
  <c r="E291" i="19"/>
  <c r="E290" i="19"/>
  <c r="E289" i="19"/>
  <c r="E288" i="19"/>
  <c r="E192" i="19"/>
  <c r="E318" i="19" s="1"/>
  <c r="J101" i="19"/>
  <c r="E101" i="19"/>
  <c r="J168" i="18"/>
  <c r="J167" i="18"/>
  <c r="J166" i="18"/>
  <c r="J165" i="18"/>
  <c r="J164" i="18"/>
  <c r="J163" i="18"/>
  <c r="J162" i="18"/>
  <c r="J161" i="18"/>
  <c r="J160" i="18"/>
  <c r="J159" i="18"/>
  <c r="J158" i="18"/>
  <c r="J157" i="18"/>
  <c r="E167" i="18"/>
  <c r="E168" i="18"/>
  <c r="E166" i="18"/>
  <c r="E165" i="18"/>
  <c r="E164" i="18"/>
  <c r="E163" i="18"/>
  <c r="E162" i="18"/>
  <c r="E161" i="18"/>
  <c r="E160" i="18"/>
  <c r="E159" i="18"/>
  <c r="E158" i="18"/>
  <c r="E157" i="18"/>
  <c r="E156" i="18"/>
  <c r="E159" i="19"/>
  <c r="E18" i="23" l="1"/>
  <c r="J100" i="25"/>
  <c r="E18" i="12"/>
  <c r="E310" i="19" s="1"/>
  <c r="E13" i="28"/>
  <c r="E12" i="28"/>
  <c r="E11" i="28"/>
  <c r="F2" i="25"/>
  <c r="F1" i="25"/>
  <c r="F2" i="23"/>
  <c r="F1" i="23"/>
  <c r="F2" i="21"/>
  <c r="F1" i="21"/>
  <c r="F2" i="19"/>
  <c r="F1" i="19"/>
  <c r="F2" i="18"/>
  <c r="F1" i="18"/>
  <c r="F2" i="17"/>
  <c r="F1" i="17"/>
  <c r="F2" i="15"/>
  <c r="F1" i="15"/>
  <c r="F2" i="14"/>
  <c r="F1" i="14"/>
  <c r="F2" i="10"/>
  <c r="F1" i="10"/>
  <c r="F2" i="13"/>
  <c r="F1" i="13"/>
  <c r="F2" i="12"/>
  <c r="F1" i="12"/>
  <c r="F2" i="27"/>
  <c r="F1" i="27"/>
  <c r="B1" i="28"/>
  <c r="E125" i="13"/>
  <c r="E89" i="13"/>
  <c r="J83" i="25"/>
  <c r="E83" i="25"/>
  <c r="V98" i="27"/>
  <c r="I125" i="13" s="1"/>
  <c r="T98" i="27"/>
  <c r="I89" i="13" s="1"/>
  <c r="R98" i="27"/>
  <c r="I45" i="13" s="1"/>
  <c r="E45" i="13"/>
  <c r="J69" i="25"/>
  <c r="E69" i="25"/>
  <c r="J49" i="25"/>
  <c r="E49" i="25"/>
  <c r="J62" i="10"/>
  <c r="E62" i="10"/>
  <c r="J59" i="10"/>
  <c r="I59" i="10"/>
  <c r="E59" i="10"/>
  <c r="J58" i="10"/>
  <c r="I58" i="10"/>
  <c r="I60" i="10" s="1"/>
  <c r="E58" i="10"/>
  <c r="F75" i="27"/>
  <c r="F74" i="27"/>
  <c r="F73" i="27"/>
  <c r="F72" i="27"/>
  <c r="G55" i="27"/>
  <c r="F55" i="27"/>
  <c r="J33" i="27"/>
  <c r="I20" i="13" s="1"/>
  <c r="I23" i="13" s="1"/>
  <c r="H33" i="27" s="1"/>
  <c r="F33" i="27"/>
  <c r="J35" i="25"/>
  <c r="J44" i="25" s="1"/>
  <c r="J79" i="25" s="1"/>
  <c r="J34" i="25"/>
  <c r="J43" i="25" s="1"/>
  <c r="J78" i="25" s="1"/>
  <c r="J32" i="25"/>
  <c r="I32" i="25"/>
  <c r="E32" i="25"/>
  <c r="J9" i="27"/>
  <c r="L9" i="27" s="1"/>
  <c r="I19" i="13"/>
  <c r="I22" i="13" s="1"/>
  <c r="H9" i="27" s="1"/>
  <c r="F9" i="27"/>
  <c r="G53" i="27"/>
  <c r="J10" i="25"/>
  <c r="I10" i="25"/>
  <c r="E10" i="25"/>
  <c r="B1" i="27"/>
  <c r="E29" i="29" s="1"/>
  <c r="E15" i="25"/>
  <c r="E22" i="25" s="1"/>
  <c r="E53" i="25" s="1"/>
  <c r="E14" i="25"/>
  <c r="E21" i="25" s="1"/>
  <c r="E52" i="25" s="1"/>
  <c r="E13" i="25"/>
  <c r="E20" i="25" s="1"/>
  <c r="E51" i="25" s="1"/>
  <c r="E12" i="25"/>
  <c r="E19" i="25" s="1"/>
  <c r="E50" i="25" s="1"/>
  <c r="B1" i="25"/>
  <c r="E33" i="29" s="1"/>
  <c r="J14" i="23"/>
  <c r="J13" i="23"/>
  <c r="J317" i="19"/>
  <c r="BI311" i="19"/>
  <c r="BH311" i="19"/>
  <c r="BG311" i="19"/>
  <c r="BF311" i="19"/>
  <c r="BE311" i="19"/>
  <c r="BD311" i="19"/>
  <c r="BC311" i="19"/>
  <c r="BB311" i="19"/>
  <c r="BA311" i="19"/>
  <c r="AZ311" i="19"/>
  <c r="AY311" i="19"/>
  <c r="AX311" i="19"/>
  <c r="AW311" i="19"/>
  <c r="AV311" i="19"/>
  <c r="AU311" i="19"/>
  <c r="AT311" i="19"/>
  <c r="AS311" i="19"/>
  <c r="AR311" i="19"/>
  <c r="AQ311" i="19"/>
  <c r="AP311" i="19"/>
  <c r="AO311" i="19"/>
  <c r="AN311" i="19"/>
  <c r="AM311" i="19"/>
  <c r="AL311" i="19"/>
  <c r="AK311" i="19"/>
  <c r="AJ311" i="19"/>
  <c r="AI311" i="19"/>
  <c r="AH311" i="19"/>
  <c r="AG311" i="19"/>
  <c r="AF311" i="19"/>
  <c r="AE311" i="19"/>
  <c r="AD311" i="19"/>
  <c r="AC311" i="19"/>
  <c r="AB311" i="19"/>
  <c r="AA311" i="19"/>
  <c r="Z311" i="19"/>
  <c r="Y311" i="19"/>
  <c r="X311" i="19"/>
  <c r="W311" i="19"/>
  <c r="V311" i="19"/>
  <c r="U311" i="19"/>
  <c r="T311" i="19"/>
  <c r="S311" i="19"/>
  <c r="R311" i="19"/>
  <c r="Q311" i="19"/>
  <c r="P311" i="19"/>
  <c r="O311" i="19"/>
  <c r="N311" i="19"/>
  <c r="J311" i="19"/>
  <c r="E327" i="19"/>
  <c r="E14" i="23" s="1"/>
  <c r="E326" i="19"/>
  <c r="E13" i="23" s="1"/>
  <c r="J320" i="19"/>
  <c r="J319" i="19"/>
  <c r="BI313" i="19"/>
  <c r="BH313" i="19"/>
  <c r="BG313" i="19"/>
  <c r="BF313" i="19"/>
  <c r="BE313" i="19"/>
  <c r="BD313" i="19"/>
  <c r="BC313" i="19"/>
  <c r="BB313" i="19"/>
  <c r="BA313" i="19"/>
  <c r="AZ313" i="19"/>
  <c r="AY313" i="19"/>
  <c r="AX313" i="19"/>
  <c r="AW313" i="19"/>
  <c r="AV313" i="19"/>
  <c r="AU313" i="19"/>
  <c r="AT313" i="19"/>
  <c r="AS313" i="19"/>
  <c r="AR313" i="19"/>
  <c r="AQ313" i="19"/>
  <c r="AP313" i="19"/>
  <c r="AO313" i="19"/>
  <c r="AN313" i="19"/>
  <c r="AM313" i="19"/>
  <c r="AL313" i="19"/>
  <c r="AK313" i="19"/>
  <c r="AJ313" i="19"/>
  <c r="AI313" i="19"/>
  <c r="AH313" i="19"/>
  <c r="AG313" i="19"/>
  <c r="AF313" i="19"/>
  <c r="AE313" i="19"/>
  <c r="AD313" i="19"/>
  <c r="AC313" i="19"/>
  <c r="AB313" i="19"/>
  <c r="AA313" i="19"/>
  <c r="Z313" i="19"/>
  <c r="Y313" i="19"/>
  <c r="X313" i="19"/>
  <c r="W313" i="19"/>
  <c r="V313" i="19"/>
  <c r="U313" i="19"/>
  <c r="T313" i="19"/>
  <c r="S313" i="19"/>
  <c r="R313" i="19"/>
  <c r="Q313" i="19"/>
  <c r="P313" i="19"/>
  <c r="O313" i="19"/>
  <c r="N313" i="19"/>
  <c r="J313" i="19"/>
  <c r="BI312" i="19"/>
  <c r="BH312" i="19"/>
  <c r="BG312" i="19"/>
  <c r="BF312" i="19"/>
  <c r="BE312" i="19"/>
  <c r="BD312" i="19"/>
  <c r="BC312" i="19"/>
  <c r="BB312" i="19"/>
  <c r="BA312" i="19"/>
  <c r="AZ312" i="19"/>
  <c r="AY312" i="19"/>
  <c r="AX312" i="19"/>
  <c r="AW312" i="19"/>
  <c r="AV312" i="19"/>
  <c r="AU312" i="19"/>
  <c r="AT312" i="19"/>
  <c r="AS312" i="19"/>
  <c r="AR312" i="19"/>
  <c r="AQ312" i="19"/>
  <c r="AP312" i="19"/>
  <c r="AO312" i="19"/>
  <c r="AN312" i="19"/>
  <c r="AM312" i="19"/>
  <c r="AL312" i="19"/>
  <c r="AK312" i="19"/>
  <c r="AJ312" i="19"/>
  <c r="AI312" i="19"/>
  <c r="AH312" i="19"/>
  <c r="AG312" i="19"/>
  <c r="AF312" i="19"/>
  <c r="AE312" i="19"/>
  <c r="AD312" i="19"/>
  <c r="AC312" i="19"/>
  <c r="AB312" i="19"/>
  <c r="AA312" i="19"/>
  <c r="Z312" i="19"/>
  <c r="Y312" i="19"/>
  <c r="X312" i="19"/>
  <c r="W312" i="19"/>
  <c r="V312" i="19"/>
  <c r="U312" i="19"/>
  <c r="T312" i="19"/>
  <c r="S312" i="19"/>
  <c r="R312" i="19"/>
  <c r="Q312" i="19"/>
  <c r="P312" i="19"/>
  <c r="O312" i="19"/>
  <c r="N312" i="19"/>
  <c r="J312" i="19"/>
  <c r="E15" i="23"/>
  <c r="E34" i="25" s="1"/>
  <c r="E39" i="25" s="1"/>
  <c r="E74" i="25" s="1"/>
  <c r="E24" i="23"/>
  <c r="E35" i="25" s="1"/>
  <c r="E44" i="25" s="1"/>
  <c r="E79" i="25" s="1"/>
  <c r="J23" i="23"/>
  <c r="E215" i="17"/>
  <c r="E23" i="23" s="1"/>
  <c r="E214" i="17"/>
  <c r="J22" i="23"/>
  <c r="J19" i="23"/>
  <c r="J15" i="25" s="1"/>
  <c r="J22" i="25" s="1"/>
  <c r="J53" i="25" s="1"/>
  <c r="J17" i="23"/>
  <c r="J14" i="25" s="1"/>
  <c r="J21" i="25" s="1"/>
  <c r="J52" i="25" s="1"/>
  <c r="J12" i="23"/>
  <c r="J10" i="23"/>
  <c r="J13" i="25" s="1"/>
  <c r="J20" i="25" s="1"/>
  <c r="J51" i="25" s="1"/>
  <c r="J8" i="23"/>
  <c r="J12" i="25" s="1"/>
  <c r="J19" i="25" s="1"/>
  <c r="J50" i="25" s="1"/>
  <c r="B1" i="23"/>
  <c r="E31" i="29" s="1"/>
  <c r="N18" i="21"/>
  <c r="J20" i="21"/>
  <c r="E323" i="19"/>
  <c r="E22" i="23" s="1"/>
  <c r="E322" i="19"/>
  <c r="E20" i="21" s="1"/>
  <c r="J19" i="21"/>
  <c r="N10" i="21"/>
  <c r="J13" i="21"/>
  <c r="J12" i="21"/>
  <c r="J11" i="21"/>
  <c r="B1" i="21"/>
  <c r="E27" i="29" s="1"/>
  <c r="E302" i="19"/>
  <c r="E319" i="19" s="1"/>
  <c r="J286" i="19"/>
  <c r="J285" i="19"/>
  <c r="J284" i="19"/>
  <c r="J283" i="19"/>
  <c r="J282" i="19"/>
  <c r="J281" i="19"/>
  <c r="J280" i="19"/>
  <c r="J279" i="19"/>
  <c r="J278" i="19"/>
  <c r="J277" i="19"/>
  <c r="J276" i="19"/>
  <c r="J275" i="19"/>
  <c r="E285" i="19"/>
  <c r="E286" i="19"/>
  <c r="E284" i="19"/>
  <c r="E283" i="19"/>
  <c r="E282" i="19"/>
  <c r="E281" i="19"/>
  <c r="E280" i="19"/>
  <c r="E279" i="19"/>
  <c r="E278" i="19"/>
  <c r="E277" i="19"/>
  <c r="E276" i="19"/>
  <c r="E275" i="19"/>
  <c r="E274" i="19"/>
  <c r="N308" i="19"/>
  <c r="O308" i="19"/>
  <c r="P308" i="19"/>
  <c r="Q308" i="19"/>
  <c r="R308" i="19"/>
  <c r="S308" i="19"/>
  <c r="T308" i="19"/>
  <c r="U308" i="19"/>
  <c r="V308" i="19"/>
  <c r="W308" i="19"/>
  <c r="X308" i="19"/>
  <c r="Y308" i="19"/>
  <c r="Z308" i="19"/>
  <c r="AA308" i="19"/>
  <c r="AB308" i="19"/>
  <c r="AC308" i="19"/>
  <c r="AD308" i="19"/>
  <c r="AE308" i="19"/>
  <c r="AF308" i="19"/>
  <c r="AG308" i="19"/>
  <c r="AH308" i="19"/>
  <c r="AI308" i="19"/>
  <c r="AJ308" i="19"/>
  <c r="AK308" i="19"/>
  <c r="AL308" i="19"/>
  <c r="AM308" i="19"/>
  <c r="AN308" i="19"/>
  <c r="AO308" i="19"/>
  <c r="AP308" i="19"/>
  <c r="AQ308" i="19"/>
  <c r="AR308" i="19"/>
  <c r="AS308" i="19"/>
  <c r="AT308" i="19"/>
  <c r="E270" i="19"/>
  <c r="E320" i="19" s="1"/>
  <c r="I267" i="19"/>
  <c r="J267" i="19"/>
  <c r="E267" i="19"/>
  <c r="J41" i="19"/>
  <c r="I41" i="19"/>
  <c r="E41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E39" i="19"/>
  <c r="E38" i="19"/>
  <c r="E37" i="19"/>
  <c r="E36" i="19"/>
  <c r="E35" i="19"/>
  <c r="E34" i="19"/>
  <c r="E33" i="19"/>
  <c r="E32" i="19"/>
  <c r="E31" i="19"/>
  <c r="E30" i="19"/>
  <c r="E29" i="19"/>
  <c r="E28" i="19"/>
  <c r="J315" i="19"/>
  <c r="BI309" i="19"/>
  <c r="BH309" i="19"/>
  <c r="BG309" i="19"/>
  <c r="BF309" i="19"/>
  <c r="BE309" i="19"/>
  <c r="BD309" i="19"/>
  <c r="BC309" i="19"/>
  <c r="BB309" i="19"/>
  <c r="BA309" i="19"/>
  <c r="AZ309" i="19"/>
  <c r="AY309" i="19"/>
  <c r="AX309" i="19"/>
  <c r="AW309" i="19"/>
  <c r="AV309" i="19"/>
  <c r="AU309" i="19"/>
  <c r="AT309" i="19"/>
  <c r="AS309" i="19"/>
  <c r="AR309" i="19"/>
  <c r="AQ309" i="19"/>
  <c r="AP309" i="19"/>
  <c r="AO309" i="19"/>
  <c r="AN309" i="19"/>
  <c r="AM309" i="19"/>
  <c r="AL309" i="19"/>
  <c r="AK309" i="19"/>
  <c r="AJ309" i="19"/>
  <c r="AI309" i="19"/>
  <c r="AH309" i="19"/>
  <c r="AG309" i="19"/>
  <c r="AF309" i="19"/>
  <c r="AE309" i="19"/>
  <c r="AD309" i="19"/>
  <c r="AC309" i="19"/>
  <c r="AB309" i="19"/>
  <c r="AA309" i="19"/>
  <c r="Z309" i="19"/>
  <c r="Y309" i="19"/>
  <c r="X309" i="19"/>
  <c r="W309" i="19"/>
  <c r="V309" i="19"/>
  <c r="U309" i="19"/>
  <c r="T309" i="19"/>
  <c r="S309" i="19"/>
  <c r="R309" i="19"/>
  <c r="Q309" i="19"/>
  <c r="P309" i="19"/>
  <c r="O309" i="19"/>
  <c r="N309" i="19"/>
  <c r="J309" i="19"/>
  <c r="BI308" i="19"/>
  <c r="BH308" i="19"/>
  <c r="BG308" i="19"/>
  <c r="BF308" i="19"/>
  <c r="BE308" i="19"/>
  <c r="BD308" i="19"/>
  <c r="BC308" i="19"/>
  <c r="BB308" i="19"/>
  <c r="BA308" i="19"/>
  <c r="AZ308" i="19"/>
  <c r="AY308" i="19"/>
  <c r="AX308" i="19"/>
  <c r="AW308" i="19"/>
  <c r="AV308" i="19"/>
  <c r="AU308" i="19"/>
  <c r="J308" i="19"/>
  <c r="J198" i="19"/>
  <c r="J197" i="19"/>
  <c r="E160" i="19"/>
  <c r="E315" i="19" s="1"/>
  <c r="E317" i="19"/>
  <c r="I100" i="19"/>
  <c r="J100" i="19"/>
  <c r="E100" i="19"/>
  <c r="E246" i="18"/>
  <c r="E198" i="19" s="1"/>
  <c r="E245" i="18"/>
  <c r="E197" i="19" s="1"/>
  <c r="J99" i="19"/>
  <c r="J316" i="19"/>
  <c r="E316" i="19"/>
  <c r="J307" i="19"/>
  <c r="E307" i="19"/>
  <c r="J213" i="19"/>
  <c r="E213" i="19"/>
  <c r="J212" i="19"/>
  <c r="E212" i="19"/>
  <c r="J211" i="19"/>
  <c r="E211" i="19"/>
  <c r="J210" i="19"/>
  <c r="E210" i="19"/>
  <c r="J209" i="19"/>
  <c r="E209" i="19"/>
  <c r="J208" i="19"/>
  <c r="E208" i="19"/>
  <c r="J207" i="19"/>
  <c r="E207" i="19"/>
  <c r="J206" i="19"/>
  <c r="E206" i="19"/>
  <c r="J205" i="19"/>
  <c r="E205" i="19"/>
  <c r="J204" i="19"/>
  <c r="E204" i="19"/>
  <c r="J203" i="19"/>
  <c r="E203" i="19"/>
  <c r="J202" i="19"/>
  <c r="E202" i="19"/>
  <c r="J196" i="19"/>
  <c r="E196" i="19"/>
  <c r="X128" i="19"/>
  <c r="W128" i="19"/>
  <c r="V128" i="19"/>
  <c r="U128" i="19"/>
  <c r="T128" i="19"/>
  <c r="S128" i="19"/>
  <c r="R128" i="19"/>
  <c r="Q128" i="19"/>
  <c r="P128" i="19"/>
  <c r="O128" i="19"/>
  <c r="N128" i="19"/>
  <c r="J128" i="19"/>
  <c r="E128" i="19"/>
  <c r="W127" i="19"/>
  <c r="V127" i="19"/>
  <c r="U127" i="19"/>
  <c r="T127" i="19"/>
  <c r="S127" i="19"/>
  <c r="R127" i="19"/>
  <c r="Q127" i="19"/>
  <c r="P127" i="19"/>
  <c r="O127" i="19"/>
  <c r="N127" i="19"/>
  <c r="J127" i="19"/>
  <c r="E127" i="19"/>
  <c r="V126" i="19"/>
  <c r="U126" i="19"/>
  <c r="T126" i="19"/>
  <c r="S126" i="19"/>
  <c r="R126" i="19"/>
  <c r="Q126" i="19"/>
  <c r="P126" i="19"/>
  <c r="O126" i="19"/>
  <c r="N126" i="19"/>
  <c r="J126" i="19"/>
  <c r="E126" i="19"/>
  <c r="U125" i="19"/>
  <c r="T125" i="19"/>
  <c r="S125" i="19"/>
  <c r="R125" i="19"/>
  <c r="Q125" i="19"/>
  <c r="P125" i="19"/>
  <c r="O125" i="19"/>
  <c r="N125" i="19"/>
  <c r="J125" i="19"/>
  <c r="E125" i="19"/>
  <c r="T124" i="19"/>
  <c r="S124" i="19"/>
  <c r="R124" i="19"/>
  <c r="Q124" i="19"/>
  <c r="P124" i="19"/>
  <c r="O124" i="19"/>
  <c r="N124" i="19"/>
  <c r="J124" i="19"/>
  <c r="E124" i="19"/>
  <c r="S123" i="19"/>
  <c r="R123" i="19"/>
  <c r="Q123" i="19"/>
  <c r="P123" i="19"/>
  <c r="O123" i="19"/>
  <c r="N123" i="19"/>
  <c r="J123" i="19"/>
  <c r="E123" i="19"/>
  <c r="R122" i="19"/>
  <c r="Q122" i="19"/>
  <c r="P122" i="19"/>
  <c r="O122" i="19"/>
  <c r="N122" i="19"/>
  <c r="J122" i="19"/>
  <c r="E122" i="19"/>
  <c r="Q121" i="19"/>
  <c r="P121" i="19"/>
  <c r="O121" i="19"/>
  <c r="N121" i="19"/>
  <c r="J121" i="19"/>
  <c r="E121" i="19"/>
  <c r="P120" i="19"/>
  <c r="O120" i="19"/>
  <c r="N120" i="19"/>
  <c r="J120" i="19"/>
  <c r="E120" i="19"/>
  <c r="O119" i="19"/>
  <c r="N119" i="19"/>
  <c r="J119" i="19"/>
  <c r="E119" i="19"/>
  <c r="N118" i="19"/>
  <c r="J118" i="19"/>
  <c r="E118" i="19"/>
  <c r="J117" i="19"/>
  <c r="E117" i="19"/>
  <c r="J98" i="19"/>
  <c r="E98" i="19"/>
  <c r="J97" i="19"/>
  <c r="E97" i="19"/>
  <c r="J54" i="19"/>
  <c r="J115" i="19" s="1"/>
  <c r="E54" i="19"/>
  <c r="E115" i="19" s="1"/>
  <c r="J53" i="19"/>
  <c r="J114" i="19" s="1"/>
  <c r="E53" i="19"/>
  <c r="E114" i="19" s="1"/>
  <c r="J52" i="19"/>
  <c r="J113" i="19" s="1"/>
  <c r="E52" i="19"/>
  <c r="E113" i="19" s="1"/>
  <c r="J51" i="19"/>
  <c r="J112" i="19" s="1"/>
  <c r="E51" i="19"/>
  <c r="E112" i="19" s="1"/>
  <c r="J50" i="19"/>
  <c r="J111" i="19" s="1"/>
  <c r="E50" i="19"/>
  <c r="E111" i="19" s="1"/>
  <c r="J49" i="19"/>
  <c r="J110" i="19" s="1"/>
  <c r="E49" i="19"/>
  <c r="E110" i="19" s="1"/>
  <c r="J48" i="19"/>
  <c r="J109" i="19" s="1"/>
  <c r="E48" i="19"/>
  <c r="E109" i="19" s="1"/>
  <c r="J47" i="19"/>
  <c r="J108" i="19" s="1"/>
  <c r="E47" i="19"/>
  <c r="E108" i="19" s="1"/>
  <c r="J46" i="19"/>
  <c r="J107" i="19" s="1"/>
  <c r="E46" i="19"/>
  <c r="E107" i="19" s="1"/>
  <c r="J45" i="19"/>
  <c r="J106" i="19" s="1"/>
  <c r="E45" i="19"/>
  <c r="E106" i="19" s="1"/>
  <c r="J44" i="19"/>
  <c r="J105" i="19" s="1"/>
  <c r="E44" i="19"/>
  <c r="E105" i="19" s="1"/>
  <c r="J43" i="19"/>
  <c r="J104" i="19" s="1"/>
  <c r="E43" i="19"/>
  <c r="E104" i="19" s="1"/>
  <c r="J11" i="19"/>
  <c r="E11" i="19"/>
  <c r="J10" i="19"/>
  <c r="E10" i="19"/>
  <c r="B1" i="19"/>
  <c r="E25" i="29" s="1"/>
  <c r="J189" i="18"/>
  <c r="J188" i="18"/>
  <c r="I29" i="17"/>
  <c r="J29" i="17"/>
  <c r="E29" i="17"/>
  <c r="J110" i="17"/>
  <c r="J212" i="17"/>
  <c r="J211" i="17"/>
  <c r="E212" i="17"/>
  <c r="E202" i="17"/>
  <c r="E211" i="17" s="1"/>
  <c r="BI209" i="17"/>
  <c r="BH209" i="17"/>
  <c r="BG209" i="17"/>
  <c r="BF209" i="17"/>
  <c r="BE209" i="17"/>
  <c r="BD209" i="17"/>
  <c r="BC209" i="17"/>
  <c r="BB209" i="17"/>
  <c r="BA209" i="17"/>
  <c r="AZ209" i="17"/>
  <c r="AY209" i="17"/>
  <c r="AX209" i="17"/>
  <c r="AW209" i="17"/>
  <c r="AV209" i="17"/>
  <c r="AU209" i="17"/>
  <c r="AT209" i="17"/>
  <c r="AS209" i="17"/>
  <c r="AR209" i="17"/>
  <c r="AQ209" i="17"/>
  <c r="AP209" i="17"/>
  <c r="AO209" i="17"/>
  <c r="AN209" i="17"/>
  <c r="AM209" i="17"/>
  <c r="AL209" i="17"/>
  <c r="AK209" i="17"/>
  <c r="AJ209" i="17"/>
  <c r="AI209" i="17"/>
  <c r="AH209" i="17"/>
  <c r="AG209" i="17"/>
  <c r="AF209" i="17"/>
  <c r="AE209" i="17"/>
  <c r="AD209" i="17"/>
  <c r="AC209" i="17"/>
  <c r="AB209" i="17"/>
  <c r="AA209" i="17"/>
  <c r="Z209" i="17"/>
  <c r="Y209" i="17"/>
  <c r="X209" i="17"/>
  <c r="W209" i="17"/>
  <c r="V209" i="17"/>
  <c r="U209" i="17"/>
  <c r="T209" i="17"/>
  <c r="S209" i="17"/>
  <c r="R209" i="17"/>
  <c r="Q209" i="17"/>
  <c r="P209" i="17"/>
  <c r="O209" i="17"/>
  <c r="N209" i="17"/>
  <c r="J209" i="17"/>
  <c r="BI208" i="17"/>
  <c r="BH208" i="17"/>
  <c r="BG208" i="17"/>
  <c r="BF208" i="17"/>
  <c r="BE208" i="17"/>
  <c r="BD208" i="17"/>
  <c r="BC208" i="17"/>
  <c r="BB208" i="17"/>
  <c r="BA208" i="17"/>
  <c r="AZ208" i="17"/>
  <c r="AY208" i="17"/>
  <c r="AX208" i="17"/>
  <c r="AW208" i="17"/>
  <c r="AV208" i="17"/>
  <c r="AU208" i="17"/>
  <c r="AT208" i="17"/>
  <c r="AS208" i="17"/>
  <c r="AR208" i="17"/>
  <c r="AQ208" i="17"/>
  <c r="AP208" i="17"/>
  <c r="AO208" i="17"/>
  <c r="AN208" i="17"/>
  <c r="AM208" i="17"/>
  <c r="AL208" i="17"/>
  <c r="AK208" i="17"/>
  <c r="AJ208" i="17"/>
  <c r="AI208" i="17"/>
  <c r="AH208" i="17"/>
  <c r="AG208" i="17"/>
  <c r="AF208" i="17"/>
  <c r="AE208" i="17"/>
  <c r="AD208" i="17"/>
  <c r="AC208" i="17"/>
  <c r="AB208" i="17"/>
  <c r="AA208" i="17"/>
  <c r="Z208" i="17"/>
  <c r="Y208" i="17"/>
  <c r="X208" i="17"/>
  <c r="W208" i="17"/>
  <c r="V208" i="17"/>
  <c r="U208" i="17"/>
  <c r="T208" i="17"/>
  <c r="S208" i="17"/>
  <c r="R208" i="17"/>
  <c r="Q208" i="17"/>
  <c r="P208" i="17"/>
  <c r="O208" i="17"/>
  <c r="N208" i="17"/>
  <c r="J208" i="17"/>
  <c r="J157" i="17"/>
  <c r="J156" i="17"/>
  <c r="E101" i="17"/>
  <c r="E189" i="18" s="1"/>
  <c r="E100" i="17"/>
  <c r="E104" i="17"/>
  <c r="E103" i="17"/>
  <c r="E156" i="17" s="1"/>
  <c r="J98" i="17"/>
  <c r="J97" i="17"/>
  <c r="E92" i="17"/>
  <c r="E98" i="17" s="1"/>
  <c r="E188" i="18" s="1"/>
  <c r="J96" i="17"/>
  <c r="I96" i="17"/>
  <c r="E96" i="17"/>
  <c r="E91" i="17"/>
  <c r="E97" i="17" s="1"/>
  <c r="J88" i="17"/>
  <c r="J87" i="17"/>
  <c r="J86" i="17"/>
  <c r="J85" i="17"/>
  <c r="I86" i="17"/>
  <c r="I85" i="17"/>
  <c r="E86" i="17"/>
  <c r="E85" i="17"/>
  <c r="J28" i="17"/>
  <c r="I28" i="17"/>
  <c r="E28" i="17"/>
  <c r="G140" i="27" l="1"/>
  <c r="E19" i="21"/>
  <c r="E17" i="23"/>
  <c r="E99" i="19"/>
  <c r="G138" i="27"/>
  <c r="G141" i="27"/>
  <c r="L33" i="27"/>
  <c r="G137" i="27"/>
  <c r="G139" i="27"/>
  <c r="I134" i="13"/>
  <c r="V92" i="27" s="1"/>
  <c r="I138" i="13"/>
  <c r="I130" i="13"/>
  <c r="I128" i="13"/>
  <c r="I136" i="13"/>
  <c r="I135" i="13"/>
  <c r="I129" i="13"/>
  <c r="I137" i="13"/>
  <c r="I131" i="13"/>
  <c r="I139" i="13"/>
  <c r="I132" i="13"/>
  <c r="I133" i="13"/>
  <c r="I97" i="13"/>
  <c r="T91" i="27" s="1"/>
  <c r="I98" i="13"/>
  <c r="T92" i="27" s="1"/>
  <c r="I99" i="13"/>
  <c r="T93" i="27" s="1"/>
  <c r="I100" i="13"/>
  <c r="T94" i="27" s="1"/>
  <c r="I93" i="13"/>
  <c r="T87" i="27" s="1"/>
  <c r="I101" i="13"/>
  <c r="T95" i="27" s="1"/>
  <c r="I94" i="13"/>
  <c r="T88" i="27" s="1"/>
  <c r="I102" i="13"/>
  <c r="T96" i="27" s="1"/>
  <c r="I95" i="13"/>
  <c r="T89" i="27" s="1"/>
  <c r="I103" i="13"/>
  <c r="T97" i="27" s="1"/>
  <c r="I96" i="13"/>
  <c r="T90" i="27" s="1"/>
  <c r="I92" i="13"/>
  <c r="T86" i="27" s="1"/>
  <c r="I59" i="13"/>
  <c r="R97" i="27" s="1"/>
  <c r="I58" i="13"/>
  <c r="R96" i="27" s="1"/>
  <c r="I49" i="13"/>
  <c r="R87" i="27" s="1"/>
  <c r="I50" i="13"/>
  <c r="R88" i="27" s="1"/>
  <c r="I52" i="13"/>
  <c r="R90" i="27" s="1"/>
  <c r="I57" i="13"/>
  <c r="R95" i="27" s="1"/>
  <c r="I53" i="13"/>
  <c r="R91" i="27" s="1"/>
  <c r="I54" i="13"/>
  <c r="R92" i="27" s="1"/>
  <c r="I55" i="13"/>
  <c r="R93" i="27" s="1"/>
  <c r="I48" i="13"/>
  <c r="R86" i="27" s="1"/>
  <c r="I56" i="13"/>
  <c r="R94" i="27" s="1"/>
  <c r="I51" i="13"/>
  <c r="R89" i="27" s="1"/>
  <c r="J56" i="25"/>
  <c r="J57" i="25"/>
  <c r="J70" i="25"/>
  <c r="J58" i="25"/>
  <c r="J71" i="25"/>
  <c r="J59" i="25"/>
  <c r="E70" i="25"/>
  <c r="E71" i="25"/>
  <c r="E57" i="25"/>
  <c r="E56" i="25"/>
  <c r="E58" i="25"/>
  <c r="E59" i="25"/>
  <c r="J26" i="25"/>
  <c r="J63" i="25" s="1"/>
  <c r="J39" i="25"/>
  <c r="J74" i="25" s="1"/>
  <c r="E43" i="25"/>
  <c r="E78" i="25" s="1"/>
  <c r="J27" i="25"/>
  <c r="J64" i="25" s="1"/>
  <c r="E40" i="25"/>
  <c r="E75" i="25" s="1"/>
  <c r="J28" i="25"/>
  <c r="J65" i="25" s="1"/>
  <c r="J40" i="25"/>
  <c r="J75" i="25" s="1"/>
  <c r="J25" i="25"/>
  <c r="J62" i="25" s="1"/>
  <c r="E25" i="25"/>
  <c r="E62" i="25" s="1"/>
  <c r="E26" i="25"/>
  <c r="E63" i="25" s="1"/>
  <c r="E27" i="25"/>
  <c r="E64" i="25" s="1"/>
  <c r="E28" i="25"/>
  <c r="E65" i="25" s="1"/>
  <c r="E19" i="23"/>
  <c r="E110" i="17"/>
  <c r="E157" i="17"/>
  <c r="J55" i="18"/>
  <c r="I55" i="18"/>
  <c r="E55" i="18"/>
  <c r="I17" i="28" l="1"/>
  <c r="G2" i="28" s="1"/>
  <c r="G2" i="18" s="1"/>
  <c r="I34" i="19"/>
  <c r="V88" i="27"/>
  <c r="I30" i="19"/>
  <c r="V96" i="27"/>
  <c r="I38" i="19"/>
  <c r="V95" i="27"/>
  <c r="I37" i="19"/>
  <c r="V87" i="27"/>
  <c r="I29" i="19"/>
  <c r="V89" i="27"/>
  <c r="I31" i="19"/>
  <c r="V93" i="27"/>
  <c r="I35" i="19"/>
  <c r="I36" i="19"/>
  <c r="V94" i="27"/>
  <c r="I33" i="19"/>
  <c r="V91" i="27"/>
  <c r="V86" i="27"/>
  <c r="I28" i="19"/>
  <c r="I32" i="19"/>
  <c r="V90" i="27"/>
  <c r="V97" i="27"/>
  <c r="I39" i="19"/>
  <c r="BI240" i="18"/>
  <c r="BH240" i="18"/>
  <c r="BG240" i="18"/>
  <c r="BF240" i="18"/>
  <c r="BE240" i="18"/>
  <c r="BD240" i="18"/>
  <c r="BC240" i="18"/>
  <c r="BB240" i="18"/>
  <c r="BA240" i="18"/>
  <c r="AZ240" i="18"/>
  <c r="AY240" i="18"/>
  <c r="AX240" i="18"/>
  <c r="AW240" i="18"/>
  <c r="AV240" i="18"/>
  <c r="AU240" i="18"/>
  <c r="AT240" i="18"/>
  <c r="AS240" i="18"/>
  <c r="AR240" i="18"/>
  <c r="AQ240" i="18"/>
  <c r="AP240" i="18"/>
  <c r="AO240" i="18"/>
  <c r="AN240" i="18"/>
  <c r="AM240" i="18"/>
  <c r="AL240" i="18"/>
  <c r="AK240" i="18"/>
  <c r="AJ240" i="18"/>
  <c r="AI240" i="18"/>
  <c r="AH240" i="18"/>
  <c r="AG240" i="18"/>
  <c r="AF240" i="18"/>
  <c r="AE240" i="18"/>
  <c r="AD240" i="18"/>
  <c r="AC240" i="18"/>
  <c r="AB240" i="18"/>
  <c r="AA240" i="18"/>
  <c r="Z240" i="18"/>
  <c r="Y240" i="18"/>
  <c r="X240" i="18"/>
  <c r="W240" i="18"/>
  <c r="V240" i="18"/>
  <c r="U240" i="18"/>
  <c r="T240" i="18"/>
  <c r="S240" i="18"/>
  <c r="R240" i="18"/>
  <c r="Q240" i="18"/>
  <c r="P240" i="18"/>
  <c r="O240" i="18"/>
  <c r="N240" i="18"/>
  <c r="J240" i="18"/>
  <c r="BI239" i="18"/>
  <c r="BH239" i="18"/>
  <c r="BG239" i="18"/>
  <c r="BF239" i="18"/>
  <c r="BE239" i="18"/>
  <c r="BD239" i="18"/>
  <c r="BC239" i="18"/>
  <c r="BB239" i="18"/>
  <c r="BA239" i="18"/>
  <c r="AZ239" i="18"/>
  <c r="AY239" i="18"/>
  <c r="AX239" i="18"/>
  <c r="AW239" i="18"/>
  <c r="AV239" i="18"/>
  <c r="AU239" i="18"/>
  <c r="AT239" i="18"/>
  <c r="AS239" i="18"/>
  <c r="AR239" i="18"/>
  <c r="AQ239" i="18"/>
  <c r="AP239" i="18"/>
  <c r="AO239" i="18"/>
  <c r="AN239" i="18"/>
  <c r="AM239" i="18"/>
  <c r="AL239" i="18"/>
  <c r="AK239" i="18"/>
  <c r="AJ239" i="18"/>
  <c r="AI239" i="18"/>
  <c r="AH239" i="18"/>
  <c r="AG239" i="18"/>
  <c r="AF239" i="18"/>
  <c r="AE239" i="18"/>
  <c r="AD239" i="18"/>
  <c r="AC239" i="18"/>
  <c r="AB239" i="18"/>
  <c r="AA239" i="18"/>
  <c r="Z239" i="18"/>
  <c r="Y239" i="18"/>
  <c r="X239" i="18"/>
  <c r="W239" i="18"/>
  <c r="V239" i="18"/>
  <c r="U239" i="18"/>
  <c r="T239" i="18"/>
  <c r="S239" i="18"/>
  <c r="R239" i="18"/>
  <c r="Q239" i="18"/>
  <c r="P239" i="18"/>
  <c r="O239" i="18"/>
  <c r="N239" i="18"/>
  <c r="J239" i="18"/>
  <c r="J187" i="18"/>
  <c r="J186" i="18"/>
  <c r="J185" i="18"/>
  <c r="I185" i="18"/>
  <c r="E185" i="18"/>
  <c r="E180" i="18"/>
  <c r="J177" i="18"/>
  <c r="I177" i="18"/>
  <c r="E177" i="18"/>
  <c r="J113" i="18"/>
  <c r="G2" i="17" l="1"/>
  <c r="G2" i="25"/>
  <c r="G2" i="14"/>
  <c r="G2" i="21"/>
  <c r="G2" i="19"/>
  <c r="G2" i="23"/>
  <c r="G2" i="12"/>
  <c r="G2" i="10"/>
  <c r="G2" i="27"/>
  <c r="G2" i="15"/>
  <c r="G2" i="13"/>
  <c r="J41" i="15"/>
  <c r="I41" i="15"/>
  <c r="E41" i="15"/>
  <c r="J53" i="18" l="1"/>
  <c r="I53" i="18"/>
  <c r="J52" i="18"/>
  <c r="I52" i="18"/>
  <c r="J51" i="18"/>
  <c r="I51" i="18"/>
  <c r="J50" i="18"/>
  <c r="I50" i="18"/>
  <c r="J49" i="18"/>
  <c r="I49" i="18"/>
  <c r="J48" i="18"/>
  <c r="I48" i="18"/>
  <c r="J47" i="18"/>
  <c r="I47" i="18"/>
  <c r="J46" i="18"/>
  <c r="I46" i="18"/>
  <c r="J45" i="18"/>
  <c r="I45" i="18"/>
  <c r="J44" i="18"/>
  <c r="I44" i="18"/>
  <c r="J43" i="18"/>
  <c r="I43" i="18"/>
  <c r="J42" i="18"/>
  <c r="I42" i="18"/>
  <c r="E53" i="18"/>
  <c r="E52" i="18"/>
  <c r="E51" i="18"/>
  <c r="E50" i="18"/>
  <c r="E49" i="18"/>
  <c r="E48" i="18"/>
  <c r="E47" i="18"/>
  <c r="E46" i="18"/>
  <c r="E45" i="18"/>
  <c r="E44" i="18"/>
  <c r="E43" i="18"/>
  <c r="E42" i="18"/>
  <c r="J243" i="18"/>
  <c r="E243" i="18"/>
  <c r="J242" i="18"/>
  <c r="J238" i="18"/>
  <c r="E238" i="18"/>
  <c r="J204" i="18"/>
  <c r="E204" i="18"/>
  <c r="J203" i="18"/>
  <c r="E203" i="18"/>
  <c r="J202" i="18"/>
  <c r="E202" i="18"/>
  <c r="J201" i="18"/>
  <c r="E201" i="18"/>
  <c r="J200" i="18"/>
  <c r="E200" i="18"/>
  <c r="J199" i="18"/>
  <c r="E199" i="18"/>
  <c r="J198" i="18"/>
  <c r="E198" i="18"/>
  <c r="J197" i="18"/>
  <c r="E197" i="18"/>
  <c r="J196" i="18"/>
  <c r="E196" i="18"/>
  <c r="J195" i="18"/>
  <c r="E195" i="18"/>
  <c r="J194" i="18"/>
  <c r="E194" i="18"/>
  <c r="J193" i="18"/>
  <c r="E193" i="18"/>
  <c r="J184" i="18"/>
  <c r="E184" i="18"/>
  <c r="E242" i="18"/>
  <c r="J178" i="18"/>
  <c r="E178" i="18"/>
  <c r="X139" i="18"/>
  <c r="W139" i="18"/>
  <c r="V139" i="18"/>
  <c r="U139" i="18"/>
  <c r="T139" i="18"/>
  <c r="S139" i="18"/>
  <c r="R139" i="18"/>
  <c r="Q139" i="18"/>
  <c r="P139" i="18"/>
  <c r="O139" i="18"/>
  <c r="N139" i="18"/>
  <c r="J139" i="18"/>
  <c r="E139" i="18"/>
  <c r="W138" i="18"/>
  <c r="V138" i="18"/>
  <c r="U138" i="18"/>
  <c r="T138" i="18"/>
  <c r="S138" i="18"/>
  <c r="R138" i="18"/>
  <c r="Q138" i="18"/>
  <c r="P138" i="18"/>
  <c r="O138" i="18"/>
  <c r="N138" i="18"/>
  <c r="J138" i="18"/>
  <c r="E138" i="18"/>
  <c r="V137" i="18"/>
  <c r="U137" i="18"/>
  <c r="T137" i="18"/>
  <c r="S137" i="18"/>
  <c r="R137" i="18"/>
  <c r="Q137" i="18"/>
  <c r="P137" i="18"/>
  <c r="O137" i="18"/>
  <c r="N137" i="18"/>
  <c r="J137" i="18"/>
  <c r="E137" i="18"/>
  <c r="U136" i="18"/>
  <c r="T136" i="18"/>
  <c r="S136" i="18"/>
  <c r="R136" i="18"/>
  <c r="Q136" i="18"/>
  <c r="P136" i="18"/>
  <c r="O136" i="18"/>
  <c r="N136" i="18"/>
  <c r="J136" i="18"/>
  <c r="E136" i="18"/>
  <c r="T135" i="18"/>
  <c r="S135" i="18"/>
  <c r="R135" i="18"/>
  <c r="Q135" i="18"/>
  <c r="P135" i="18"/>
  <c r="O135" i="18"/>
  <c r="N135" i="18"/>
  <c r="J135" i="18"/>
  <c r="E135" i="18"/>
  <c r="S134" i="18"/>
  <c r="R134" i="18"/>
  <c r="Q134" i="18"/>
  <c r="P134" i="18"/>
  <c r="O134" i="18"/>
  <c r="N134" i="18"/>
  <c r="J134" i="18"/>
  <c r="E134" i="18"/>
  <c r="R133" i="18"/>
  <c r="Q133" i="18"/>
  <c r="P133" i="18"/>
  <c r="O133" i="18"/>
  <c r="N133" i="18"/>
  <c r="J133" i="18"/>
  <c r="E133" i="18"/>
  <c r="Q132" i="18"/>
  <c r="P132" i="18"/>
  <c r="O132" i="18"/>
  <c r="N132" i="18"/>
  <c r="J132" i="18"/>
  <c r="E132" i="18"/>
  <c r="P131" i="18"/>
  <c r="O131" i="18"/>
  <c r="N131" i="18"/>
  <c r="J131" i="18"/>
  <c r="E131" i="18"/>
  <c r="O130" i="18"/>
  <c r="N130" i="18"/>
  <c r="J130" i="18"/>
  <c r="E130" i="18"/>
  <c r="N129" i="18"/>
  <c r="J129" i="18"/>
  <c r="E129" i="18"/>
  <c r="J128" i="18"/>
  <c r="E128" i="18"/>
  <c r="J112" i="18"/>
  <c r="E112" i="18"/>
  <c r="J111" i="18"/>
  <c r="E111" i="18"/>
  <c r="J68" i="18"/>
  <c r="J126" i="18" s="1"/>
  <c r="E68" i="18"/>
  <c r="E126" i="18" s="1"/>
  <c r="J67" i="18"/>
  <c r="J125" i="18" s="1"/>
  <c r="E67" i="18"/>
  <c r="E125" i="18" s="1"/>
  <c r="J66" i="18"/>
  <c r="J124" i="18" s="1"/>
  <c r="E66" i="18"/>
  <c r="E124" i="18" s="1"/>
  <c r="J65" i="18"/>
  <c r="J123" i="18" s="1"/>
  <c r="E65" i="18"/>
  <c r="E123" i="18" s="1"/>
  <c r="J64" i="18"/>
  <c r="J122" i="18" s="1"/>
  <c r="E64" i="18"/>
  <c r="E122" i="18" s="1"/>
  <c r="J63" i="18"/>
  <c r="J121" i="18" s="1"/>
  <c r="E63" i="18"/>
  <c r="E121" i="18" s="1"/>
  <c r="J62" i="18"/>
  <c r="J120" i="18" s="1"/>
  <c r="E62" i="18"/>
  <c r="E120" i="18" s="1"/>
  <c r="J61" i="18"/>
  <c r="J119" i="18" s="1"/>
  <c r="E61" i="18"/>
  <c r="E119" i="18" s="1"/>
  <c r="J60" i="18"/>
  <c r="J118" i="18" s="1"/>
  <c r="E60" i="18"/>
  <c r="E118" i="18" s="1"/>
  <c r="J59" i="18"/>
  <c r="J117" i="18" s="1"/>
  <c r="E59" i="18"/>
  <c r="E117" i="18" s="1"/>
  <c r="J58" i="18"/>
  <c r="J116" i="18" s="1"/>
  <c r="E58" i="18"/>
  <c r="E116" i="18" s="1"/>
  <c r="J57" i="18"/>
  <c r="J115" i="18" s="1"/>
  <c r="E57" i="18"/>
  <c r="E115" i="18" s="1"/>
  <c r="J11" i="18"/>
  <c r="E11" i="18"/>
  <c r="J10" i="18"/>
  <c r="E10" i="18"/>
  <c r="B1" i="18"/>
  <c r="E23" i="29" s="1"/>
  <c r="J207" i="17" l="1"/>
  <c r="E207" i="17"/>
  <c r="J172" i="17"/>
  <c r="E172" i="17"/>
  <c r="J171" i="17"/>
  <c r="E171" i="17"/>
  <c r="J170" i="17"/>
  <c r="E170" i="17"/>
  <c r="J169" i="17"/>
  <c r="E169" i="17"/>
  <c r="J168" i="17"/>
  <c r="E168" i="17"/>
  <c r="J167" i="17"/>
  <c r="E167" i="17"/>
  <c r="J166" i="17"/>
  <c r="E166" i="17"/>
  <c r="J165" i="17"/>
  <c r="E165" i="17"/>
  <c r="J164" i="17"/>
  <c r="E164" i="17"/>
  <c r="J163" i="17"/>
  <c r="E163" i="17"/>
  <c r="J162" i="17"/>
  <c r="E162" i="17"/>
  <c r="J161" i="17"/>
  <c r="E161" i="17"/>
  <c r="J155" i="17"/>
  <c r="E155" i="17"/>
  <c r="X136" i="17"/>
  <c r="W136" i="17"/>
  <c r="V136" i="17"/>
  <c r="U136" i="17"/>
  <c r="T136" i="17"/>
  <c r="S136" i="17"/>
  <c r="R136" i="17"/>
  <c r="Q136" i="17"/>
  <c r="P136" i="17"/>
  <c r="O136" i="17"/>
  <c r="N136" i="17"/>
  <c r="J136" i="17"/>
  <c r="E136" i="17"/>
  <c r="W135" i="17"/>
  <c r="V135" i="17"/>
  <c r="U135" i="17"/>
  <c r="T135" i="17"/>
  <c r="S135" i="17"/>
  <c r="R135" i="17"/>
  <c r="Q135" i="17"/>
  <c r="P135" i="17"/>
  <c r="O135" i="17"/>
  <c r="N135" i="17"/>
  <c r="J135" i="17"/>
  <c r="E135" i="17"/>
  <c r="V134" i="17"/>
  <c r="U134" i="17"/>
  <c r="T134" i="17"/>
  <c r="S134" i="17"/>
  <c r="R134" i="17"/>
  <c r="Q134" i="17"/>
  <c r="P134" i="17"/>
  <c r="O134" i="17"/>
  <c r="N134" i="17"/>
  <c r="J134" i="17"/>
  <c r="E134" i="17"/>
  <c r="U133" i="17"/>
  <c r="T133" i="17"/>
  <c r="S133" i="17"/>
  <c r="R133" i="17"/>
  <c r="Q133" i="17"/>
  <c r="P133" i="17"/>
  <c r="O133" i="17"/>
  <c r="N133" i="17"/>
  <c r="J133" i="17"/>
  <c r="E133" i="17"/>
  <c r="T132" i="17"/>
  <c r="S132" i="17"/>
  <c r="R132" i="17"/>
  <c r="Q132" i="17"/>
  <c r="P132" i="17"/>
  <c r="O132" i="17"/>
  <c r="N132" i="17"/>
  <c r="J132" i="17"/>
  <c r="E132" i="17"/>
  <c r="S131" i="17"/>
  <c r="R131" i="17"/>
  <c r="Q131" i="17"/>
  <c r="P131" i="17"/>
  <c r="O131" i="17"/>
  <c r="N131" i="17"/>
  <c r="J131" i="17"/>
  <c r="E131" i="17"/>
  <c r="R130" i="17"/>
  <c r="Q130" i="17"/>
  <c r="P130" i="17"/>
  <c r="O130" i="17"/>
  <c r="N130" i="17"/>
  <c r="J130" i="17"/>
  <c r="E130" i="17"/>
  <c r="Q129" i="17"/>
  <c r="P129" i="17"/>
  <c r="O129" i="17"/>
  <c r="N129" i="17"/>
  <c r="J129" i="17"/>
  <c r="E129" i="17"/>
  <c r="P128" i="17"/>
  <c r="O128" i="17"/>
  <c r="N128" i="17"/>
  <c r="J128" i="17"/>
  <c r="E128" i="17"/>
  <c r="O127" i="17"/>
  <c r="N127" i="17"/>
  <c r="J127" i="17"/>
  <c r="E127" i="17"/>
  <c r="N126" i="17"/>
  <c r="J126" i="17"/>
  <c r="E126" i="17"/>
  <c r="J125" i="17"/>
  <c r="E125" i="17"/>
  <c r="J109" i="17"/>
  <c r="E109" i="17"/>
  <c r="J108" i="17"/>
  <c r="E108" i="17"/>
  <c r="J42" i="17"/>
  <c r="J123" i="17" s="1"/>
  <c r="E42" i="17"/>
  <c r="E123" i="17" s="1"/>
  <c r="J41" i="17"/>
  <c r="J122" i="17" s="1"/>
  <c r="E41" i="17"/>
  <c r="E122" i="17" s="1"/>
  <c r="J40" i="17"/>
  <c r="J121" i="17" s="1"/>
  <c r="E40" i="17"/>
  <c r="E121" i="17" s="1"/>
  <c r="J39" i="17"/>
  <c r="J120" i="17" s="1"/>
  <c r="E39" i="17"/>
  <c r="E120" i="17" s="1"/>
  <c r="J38" i="17"/>
  <c r="J119" i="17" s="1"/>
  <c r="E38" i="17"/>
  <c r="E119" i="17" s="1"/>
  <c r="J37" i="17"/>
  <c r="J118" i="17" s="1"/>
  <c r="E37" i="17"/>
  <c r="E118" i="17" s="1"/>
  <c r="J36" i="17"/>
  <c r="J117" i="17" s="1"/>
  <c r="E36" i="17"/>
  <c r="E117" i="17" s="1"/>
  <c r="J35" i="17"/>
  <c r="J116" i="17" s="1"/>
  <c r="E35" i="17"/>
  <c r="E116" i="17" s="1"/>
  <c r="J34" i="17"/>
  <c r="J115" i="17" s="1"/>
  <c r="E34" i="17"/>
  <c r="E115" i="17" s="1"/>
  <c r="J33" i="17"/>
  <c r="J114" i="17" s="1"/>
  <c r="E33" i="17"/>
  <c r="E114" i="17" s="1"/>
  <c r="J32" i="17"/>
  <c r="J113" i="17" s="1"/>
  <c r="E32" i="17"/>
  <c r="E113" i="17" s="1"/>
  <c r="J31" i="17"/>
  <c r="J112" i="17" s="1"/>
  <c r="E31" i="17"/>
  <c r="E112" i="17" s="1"/>
  <c r="J11" i="17"/>
  <c r="E11" i="17"/>
  <c r="J10" i="17"/>
  <c r="E10" i="17"/>
  <c r="B1" i="17"/>
  <c r="E21" i="29" s="1"/>
  <c r="E215" i="15"/>
  <c r="E214" i="15"/>
  <c r="E213" i="15"/>
  <c r="J211" i="15"/>
  <c r="J210" i="15"/>
  <c r="J209" i="15"/>
  <c r="E148" i="15"/>
  <c r="E210" i="15" s="1"/>
  <c r="E147" i="15"/>
  <c r="E209" i="15" s="1"/>
  <c r="E211" i="15"/>
  <c r="BI206" i="15"/>
  <c r="BH206" i="15"/>
  <c r="BG206" i="15"/>
  <c r="BF206" i="15"/>
  <c r="BE206" i="15"/>
  <c r="BD206" i="15"/>
  <c r="BC206" i="15"/>
  <c r="BB206" i="15"/>
  <c r="BA206" i="15"/>
  <c r="AZ206" i="15"/>
  <c r="AY206" i="15"/>
  <c r="AX206" i="15"/>
  <c r="AW206" i="15"/>
  <c r="AV206" i="15"/>
  <c r="AU206" i="15"/>
  <c r="AT206" i="15"/>
  <c r="AS206" i="15"/>
  <c r="AR206" i="15"/>
  <c r="AQ206" i="15"/>
  <c r="AP206" i="15"/>
  <c r="AO206" i="15"/>
  <c r="AN206" i="15"/>
  <c r="AM206" i="15"/>
  <c r="AL206" i="15"/>
  <c r="AK206" i="15"/>
  <c r="AJ206" i="15"/>
  <c r="AI206" i="15"/>
  <c r="AH206" i="15"/>
  <c r="AG206" i="15"/>
  <c r="AF206" i="15"/>
  <c r="AE206" i="15"/>
  <c r="AD206" i="15"/>
  <c r="AC206" i="15"/>
  <c r="AB206" i="15"/>
  <c r="AA206" i="15"/>
  <c r="Z206" i="15"/>
  <c r="Y206" i="15"/>
  <c r="X206" i="15"/>
  <c r="W206" i="15"/>
  <c r="V206" i="15"/>
  <c r="U206" i="15"/>
  <c r="T206" i="15"/>
  <c r="S206" i="15"/>
  <c r="R206" i="15"/>
  <c r="Q206" i="15"/>
  <c r="P206" i="15"/>
  <c r="O206" i="15"/>
  <c r="N206" i="15"/>
  <c r="J206" i="15"/>
  <c r="BI207" i="15"/>
  <c r="BH207" i="15"/>
  <c r="BG207" i="15"/>
  <c r="BF207" i="15"/>
  <c r="BE207" i="15"/>
  <c r="BD207" i="15"/>
  <c r="BC207" i="15"/>
  <c r="BB207" i="15"/>
  <c r="BA207" i="15"/>
  <c r="AZ207" i="15"/>
  <c r="AY207" i="15"/>
  <c r="AX207" i="15"/>
  <c r="AW207" i="15"/>
  <c r="AV207" i="15"/>
  <c r="AU207" i="15"/>
  <c r="AT207" i="15"/>
  <c r="AS207" i="15"/>
  <c r="AR207" i="15"/>
  <c r="AQ207" i="15"/>
  <c r="AP207" i="15"/>
  <c r="AO207" i="15"/>
  <c r="AN207" i="15"/>
  <c r="AM207" i="15"/>
  <c r="AL207" i="15"/>
  <c r="AK207" i="15"/>
  <c r="AJ207" i="15"/>
  <c r="AI207" i="15"/>
  <c r="AH207" i="15"/>
  <c r="AG207" i="15"/>
  <c r="AF207" i="15"/>
  <c r="AE207" i="15"/>
  <c r="AD207" i="15"/>
  <c r="AC207" i="15"/>
  <c r="AB207" i="15"/>
  <c r="AA207" i="15"/>
  <c r="Z207" i="15"/>
  <c r="Y207" i="15"/>
  <c r="X207" i="15"/>
  <c r="W207" i="15"/>
  <c r="V207" i="15"/>
  <c r="U207" i="15"/>
  <c r="T207" i="15"/>
  <c r="S207" i="15"/>
  <c r="R207" i="15"/>
  <c r="Q207" i="15"/>
  <c r="P207" i="15"/>
  <c r="O207" i="15"/>
  <c r="N207" i="15"/>
  <c r="J207" i="15"/>
  <c r="BI205" i="15"/>
  <c r="BH205" i="15"/>
  <c r="BG205" i="15"/>
  <c r="BF205" i="15"/>
  <c r="BE205" i="15"/>
  <c r="BD205" i="15"/>
  <c r="BC205" i="15"/>
  <c r="BB205" i="15"/>
  <c r="BA205" i="15"/>
  <c r="AZ205" i="15"/>
  <c r="AY205" i="15"/>
  <c r="AX205" i="15"/>
  <c r="AW205" i="15"/>
  <c r="AV205" i="15"/>
  <c r="AU205" i="15"/>
  <c r="AT205" i="15"/>
  <c r="AS205" i="15"/>
  <c r="AR205" i="15"/>
  <c r="AQ205" i="15"/>
  <c r="AP205" i="15"/>
  <c r="AO205" i="15"/>
  <c r="AN205" i="15"/>
  <c r="AM205" i="15"/>
  <c r="AL205" i="15"/>
  <c r="AK205" i="15"/>
  <c r="AJ205" i="15"/>
  <c r="AI205" i="15"/>
  <c r="AH205" i="15"/>
  <c r="AG205" i="15"/>
  <c r="AF205" i="15"/>
  <c r="AE205" i="15"/>
  <c r="AD205" i="15"/>
  <c r="AC205" i="15"/>
  <c r="AB205" i="15"/>
  <c r="AA205" i="15"/>
  <c r="Z205" i="15"/>
  <c r="Y205" i="15"/>
  <c r="X205" i="15"/>
  <c r="W205" i="15"/>
  <c r="V205" i="15"/>
  <c r="U205" i="15"/>
  <c r="T205" i="15"/>
  <c r="S205" i="15"/>
  <c r="R205" i="15"/>
  <c r="Q205" i="15"/>
  <c r="P205" i="15"/>
  <c r="O205" i="15"/>
  <c r="N205" i="15"/>
  <c r="J205" i="15"/>
  <c r="J204" i="15"/>
  <c r="E204" i="15"/>
  <c r="J153" i="15"/>
  <c r="I153" i="15"/>
  <c r="E153" i="15"/>
  <c r="J170" i="15"/>
  <c r="J169" i="15"/>
  <c r="J168" i="15"/>
  <c r="J167" i="15"/>
  <c r="J166" i="15"/>
  <c r="J165" i="15"/>
  <c r="J164" i="15"/>
  <c r="J163" i="15"/>
  <c r="J162" i="15"/>
  <c r="J161" i="15"/>
  <c r="J160" i="15"/>
  <c r="J159" i="15"/>
  <c r="E169" i="15"/>
  <c r="E170" i="15"/>
  <c r="E166" i="15"/>
  <c r="E167" i="15"/>
  <c r="E168" i="15"/>
  <c r="E160" i="15"/>
  <c r="E161" i="15"/>
  <c r="E162" i="15"/>
  <c r="E163" i="15"/>
  <c r="E164" i="15"/>
  <c r="E165" i="15"/>
  <c r="E159" i="15"/>
  <c r="J155" i="15"/>
  <c r="J154" i="15"/>
  <c r="J152" i="15"/>
  <c r="E152" i="15"/>
  <c r="J145" i="15"/>
  <c r="E145" i="15"/>
  <c r="J144" i="15"/>
  <c r="I144" i="15"/>
  <c r="E144" i="15"/>
  <c r="E13" i="21" l="1"/>
  <c r="E9" i="23"/>
  <c r="E87" i="17"/>
  <c r="E12" i="21"/>
  <c r="E10" i="23"/>
  <c r="E88" i="17"/>
  <c r="E12" i="23"/>
  <c r="E187" i="18"/>
  <c r="E186" i="18"/>
  <c r="E113" i="18"/>
  <c r="X125" i="15" l="1"/>
  <c r="W125" i="15"/>
  <c r="V125" i="15"/>
  <c r="U125" i="15"/>
  <c r="T125" i="15"/>
  <c r="S125" i="15"/>
  <c r="R125" i="15"/>
  <c r="Q125" i="15"/>
  <c r="P125" i="15"/>
  <c r="O125" i="15"/>
  <c r="N125" i="15"/>
  <c r="W124" i="15"/>
  <c r="V124" i="15"/>
  <c r="U124" i="15"/>
  <c r="T124" i="15"/>
  <c r="S124" i="15"/>
  <c r="R124" i="15"/>
  <c r="Q124" i="15"/>
  <c r="P124" i="15"/>
  <c r="O124" i="15"/>
  <c r="N124" i="15"/>
  <c r="V123" i="15"/>
  <c r="U123" i="15"/>
  <c r="T123" i="15"/>
  <c r="S123" i="15"/>
  <c r="R123" i="15"/>
  <c r="Q123" i="15"/>
  <c r="P123" i="15"/>
  <c r="O123" i="15"/>
  <c r="N123" i="15"/>
  <c r="U122" i="15"/>
  <c r="T122" i="15"/>
  <c r="S122" i="15"/>
  <c r="R122" i="15"/>
  <c r="Q122" i="15"/>
  <c r="P122" i="15"/>
  <c r="O122" i="15"/>
  <c r="N122" i="15"/>
  <c r="T121" i="15"/>
  <c r="S121" i="15"/>
  <c r="R121" i="15"/>
  <c r="Q121" i="15"/>
  <c r="P121" i="15"/>
  <c r="O121" i="15"/>
  <c r="N121" i="15"/>
  <c r="S120" i="15"/>
  <c r="R120" i="15"/>
  <c r="Q120" i="15"/>
  <c r="P120" i="15"/>
  <c r="O120" i="15"/>
  <c r="N120" i="15"/>
  <c r="R119" i="15"/>
  <c r="Q119" i="15"/>
  <c r="P119" i="15"/>
  <c r="O119" i="15"/>
  <c r="N119" i="15"/>
  <c r="Q118" i="15"/>
  <c r="P118" i="15"/>
  <c r="O118" i="15"/>
  <c r="N118" i="15"/>
  <c r="P117" i="15"/>
  <c r="O117" i="15"/>
  <c r="N117" i="15"/>
  <c r="O116" i="15"/>
  <c r="N116" i="15"/>
  <c r="N115" i="15"/>
  <c r="J125" i="15"/>
  <c r="J124" i="15"/>
  <c r="J123" i="15"/>
  <c r="J122" i="15"/>
  <c r="J121" i="15"/>
  <c r="J120" i="15"/>
  <c r="J119" i="15"/>
  <c r="J118" i="15"/>
  <c r="J117" i="15"/>
  <c r="J116" i="15"/>
  <c r="J115" i="15"/>
  <c r="J114" i="15"/>
  <c r="E125" i="15"/>
  <c r="E124" i="15"/>
  <c r="E123" i="15"/>
  <c r="E115" i="15"/>
  <c r="E116" i="15"/>
  <c r="E117" i="15"/>
  <c r="E118" i="15"/>
  <c r="E119" i="15"/>
  <c r="E120" i="15"/>
  <c r="E121" i="15"/>
  <c r="E122" i="15"/>
  <c r="E114" i="15"/>
  <c r="J98" i="15"/>
  <c r="E98" i="15"/>
  <c r="J97" i="15"/>
  <c r="E97" i="15"/>
  <c r="J99" i="15"/>
  <c r="J54" i="15"/>
  <c r="J112" i="15" s="1"/>
  <c r="J53" i="15"/>
  <c r="J111" i="15" s="1"/>
  <c r="J52" i="15"/>
  <c r="J110" i="15" s="1"/>
  <c r="J51" i="15"/>
  <c r="J109" i="15" s="1"/>
  <c r="J50" i="15"/>
  <c r="J108" i="15" s="1"/>
  <c r="J49" i="15"/>
  <c r="J107" i="15" s="1"/>
  <c r="J48" i="15"/>
  <c r="J106" i="15" s="1"/>
  <c r="J47" i="15"/>
  <c r="J105" i="15" s="1"/>
  <c r="J46" i="15"/>
  <c r="J104" i="15" s="1"/>
  <c r="J45" i="15"/>
  <c r="J103" i="15" s="1"/>
  <c r="J44" i="15"/>
  <c r="J102" i="15" s="1"/>
  <c r="J43" i="15"/>
  <c r="J101" i="15" s="1"/>
  <c r="E54" i="15"/>
  <c r="E112" i="15" s="1"/>
  <c r="E52" i="15"/>
  <c r="E110" i="15" s="1"/>
  <c r="E53" i="15"/>
  <c r="E111" i="15" s="1"/>
  <c r="E44" i="15"/>
  <c r="E102" i="15" s="1"/>
  <c r="E45" i="15"/>
  <c r="E103" i="15" s="1"/>
  <c r="E46" i="15"/>
  <c r="E104" i="15" s="1"/>
  <c r="E47" i="15"/>
  <c r="E105" i="15" s="1"/>
  <c r="E48" i="15"/>
  <c r="E106" i="15" s="1"/>
  <c r="E49" i="15"/>
  <c r="E107" i="15" s="1"/>
  <c r="E50" i="15"/>
  <c r="E108" i="15" s="1"/>
  <c r="E51" i="15"/>
  <c r="E109" i="15" s="1"/>
  <c r="E43" i="15"/>
  <c r="E101" i="15" s="1"/>
  <c r="J39" i="15"/>
  <c r="J38" i="15"/>
  <c r="J37" i="15"/>
  <c r="J36" i="15"/>
  <c r="J35" i="15"/>
  <c r="J34" i="15"/>
  <c r="J33" i="15"/>
  <c r="J32" i="15"/>
  <c r="J31" i="15"/>
  <c r="J30" i="15"/>
  <c r="J29" i="15"/>
  <c r="J28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E37" i="15"/>
  <c r="E38" i="15"/>
  <c r="E39" i="15"/>
  <c r="E29" i="15"/>
  <c r="E30" i="15"/>
  <c r="E31" i="15"/>
  <c r="E32" i="15"/>
  <c r="E33" i="15"/>
  <c r="E34" i="15"/>
  <c r="E35" i="15"/>
  <c r="E36" i="15"/>
  <c r="E28" i="15"/>
  <c r="J10" i="15"/>
  <c r="E10" i="15"/>
  <c r="J11" i="15"/>
  <c r="E11" i="15"/>
  <c r="E13" i="13" l="1"/>
  <c r="E42" i="14" s="1"/>
  <c r="J42" i="14"/>
  <c r="I42" i="14"/>
  <c r="E10" i="13"/>
  <c r="BB32" i="14"/>
  <c r="BC32" i="14"/>
  <c r="BD32" i="14"/>
  <c r="BE32" i="14"/>
  <c r="BF32" i="14"/>
  <c r="BG32" i="14"/>
  <c r="BH32" i="14"/>
  <c r="BI32" i="14"/>
  <c r="BB63" i="14"/>
  <c r="BC63" i="14"/>
  <c r="BD63" i="14"/>
  <c r="BE63" i="14"/>
  <c r="BF63" i="14"/>
  <c r="BG63" i="14"/>
  <c r="BH63" i="14"/>
  <c r="BI63" i="14"/>
  <c r="AX32" i="14"/>
  <c r="AY32" i="14"/>
  <c r="AZ32" i="14"/>
  <c r="BA32" i="14"/>
  <c r="AX63" i="14"/>
  <c r="AY63" i="14"/>
  <c r="AZ63" i="14"/>
  <c r="BA63" i="14"/>
  <c r="B1" i="15"/>
  <c r="E19" i="29" s="1"/>
  <c r="J21" i="14"/>
  <c r="E21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J20" i="14"/>
  <c r="O19" i="14"/>
  <c r="J19" i="14"/>
  <c r="E19" i="14"/>
  <c r="O25" i="13"/>
  <c r="N25" i="13"/>
  <c r="J25" i="13"/>
  <c r="E25" i="13"/>
  <c r="O13" i="10"/>
  <c r="P13" i="10" s="1"/>
  <c r="N13" i="10"/>
  <c r="N19" i="14" s="1"/>
  <c r="E26" i="13"/>
  <c r="E20" i="14" s="1"/>
  <c r="E67" i="14"/>
  <c r="E155" i="15" s="1"/>
  <c r="J65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AC63" i="14"/>
  <c r="AB63" i="14"/>
  <c r="AA63" i="14"/>
  <c r="Z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J63" i="14"/>
  <c r="J64" i="14"/>
  <c r="E64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J34" i="14"/>
  <c r="J33" i="14"/>
  <c r="J32" i="14"/>
  <c r="E33" i="14"/>
  <c r="E59" i="14"/>
  <c r="E65" i="14" s="1"/>
  <c r="J57" i="14"/>
  <c r="J56" i="14"/>
  <c r="E52" i="14"/>
  <c r="E57" i="14" s="1"/>
  <c r="J50" i="14"/>
  <c r="E50" i="14"/>
  <c r="J49" i="14"/>
  <c r="I49" i="14"/>
  <c r="J41" i="14"/>
  <c r="I41" i="14"/>
  <c r="E41" i="14"/>
  <c r="J43" i="14"/>
  <c r="E43" i="14"/>
  <c r="J40" i="14"/>
  <c r="I40" i="14"/>
  <c r="E40" i="14"/>
  <c r="E36" i="14"/>
  <c r="E28" i="14"/>
  <c r="E34" i="14" s="1"/>
  <c r="J26" i="14"/>
  <c r="E26" i="14"/>
  <c r="J25" i="14"/>
  <c r="I25" i="14"/>
  <c r="J12" i="14"/>
  <c r="I12" i="14"/>
  <c r="E12" i="14"/>
  <c r="J11" i="14"/>
  <c r="I11" i="14"/>
  <c r="J10" i="14"/>
  <c r="I10" i="14"/>
  <c r="E10" i="14"/>
  <c r="B1" i="14"/>
  <c r="E17" i="29" s="1"/>
  <c r="E14" i="13"/>
  <c r="E49" i="14" s="1"/>
  <c r="E11" i="13"/>
  <c r="E25" i="14" s="1"/>
  <c r="B1" i="13"/>
  <c r="E13" i="29" s="1"/>
  <c r="J52" i="10"/>
  <c r="E52" i="10"/>
  <c r="E11" i="21" l="1"/>
  <c r="E8" i="23"/>
  <c r="E154" i="15"/>
  <c r="E99" i="15"/>
  <c r="Q13" i="10"/>
  <c r="P19" i="14"/>
  <c r="P25" i="13"/>
  <c r="E11" i="14"/>
  <c r="E56" i="14"/>
  <c r="R13" i="10" l="1"/>
  <c r="Q19" i="14"/>
  <c r="Q25" i="13"/>
  <c r="S13" i="10" l="1"/>
  <c r="R19" i="14"/>
  <c r="R25" i="13"/>
  <c r="T13" i="10" l="1"/>
  <c r="S25" i="13"/>
  <c r="S19" i="14"/>
  <c r="U13" i="10" l="1"/>
  <c r="T25" i="13"/>
  <c r="T19" i="14"/>
  <c r="V13" i="10" l="1"/>
  <c r="U19" i="14"/>
  <c r="U25" i="13"/>
  <c r="W13" i="10" l="1"/>
  <c r="V19" i="14"/>
  <c r="V25" i="13"/>
  <c r="X13" i="10" l="1"/>
  <c r="W25" i="13"/>
  <c r="W19" i="14"/>
  <c r="Y13" i="10" l="1"/>
  <c r="X19" i="14"/>
  <c r="X25" i="13"/>
  <c r="Y19" i="14" l="1"/>
  <c r="Y25" i="13"/>
  <c r="J51" i="10" l="1"/>
  <c r="E51" i="10"/>
  <c r="E30" i="12"/>
  <c r="E313" i="19" s="1"/>
  <c r="E25" i="12"/>
  <c r="E207" i="15" s="1"/>
  <c r="E26" i="12"/>
  <c r="E209" i="17" s="1"/>
  <c r="E27" i="12"/>
  <c r="E240" i="18" s="1"/>
  <c r="E28" i="12"/>
  <c r="E309" i="19" s="1"/>
  <c r="E29" i="12"/>
  <c r="E312" i="19" s="1"/>
  <c r="E24" i="12"/>
  <c r="E63" i="14" s="1"/>
  <c r="E20" i="12"/>
  <c r="E11" i="12"/>
  <c r="E205" i="15" s="1"/>
  <c r="E12" i="12"/>
  <c r="E206" i="15" s="1"/>
  <c r="E13" i="12"/>
  <c r="E14" i="12"/>
  <c r="E15" i="12"/>
  <c r="E208" i="17" s="1"/>
  <c r="E16" i="12"/>
  <c r="E239" i="18" s="1"/>
  <c r="E17" i="12"/>
  <c r="E308" i="19" s="1"/>
  <c r="E19" i="12"/>
  <c r="E311" i="19" s="1"/>
  <c r="E10" i="12"/>
  <c r="E32" i="14" s="1"/>
  <c r="B1" i="12"/>
  <c r="E11" i="29" s="1"/>
  <c r="J45" i="10"/>
  <c r="E45" i="10"/>
  <c r="J36" i="10"/>
  <c r="E36" i="10"/>
  <c r="J35" i="10"/>
  <c r="I35" i="10"/>
  <c r="E35" i="10"/>
  <c r="J29" i="10"/>
  <c r="I29" i="10"/>
  <c r="E29" i="10"/>
  <c r="J28" i="10"/>
  <c r="I28" i="10"/>
  <c r="E28" i="10"/>
  <c r="J18" i="10"/>
  <c r="I18" i="10"/>
  <c r="E18" i="10"/>
  <c r="J17" i="10"/>
  <c r="I17" i="10"/>
  <c r="I23" i="10" s="1"/>
  <c r="E17" i="10"/>
  <c r="N10" i="10"/>
  <c r="N11" i="10" s="1"/>
  <c r="B1" i="10"/>
  <c r="E15" i="29" s="1"/>
  <c r="O10" i="10" l="1"/>
  <c r="N30" i="10"/>
  <c r="N19" i="10"/>
  <c r="N31" i="10"/>
  <c r="B1" i="1"/>
  <c r="E9" i="29" s="1"/>
  <c r="P10" i="10" l="1"/>
  <c r="O11" i="10"/>
  <c r="O30" i="10" s="1"/>
  <c r="O31" i="10" s="1"/>
  <c r="N20" i="10"/>
  <c r="N36" i="10" s="1"/>
  <c r="N98" i="19"/>
  <c r="N10" i="19"/>
  <c r="N196" i="19"/>
  <c r="N10" i="18"/>
  <c r="N112" i="18"/>
  <c r="N184" i="18"/>
  <c r="N155" i="17"/>
  <c r="N10" i="17"/>
  <c r="N109" i="17"/>
  <c r="N152" i="15"/>
  <c r="N98" i="15"/>
  <c r="N10" i="15"/>
  <c r="N45" i="10"/>
  <c r="O19" i="10" l="1"/>
  <c r="O98" i="19" s="1"/>
  <c r="P30" i="10"/>
  <c r="Q10" i="10"/>
  <c r="P11" i="10"/>
  <c r="N3" i="14"/>
  <c r="N24" i="10"/>
  <c r="N52" i="10" s="1"/>
  <c r="N51" i="10"/>
  <c r="N3" i="12"/>
  <c r="N21" i="10"/>
  <c r="G59" i="27" s="1"/>
  <c r="N46" i="10"/>
  <c r="G3" i="27"/>
  <c r="N3" i="23"/>
  <c r="N3" i="25"/>
  <c r="N3" i="21"/>
  <c r="N3" i="19"/>
  <c r="N3" i="18"/>
  <c r="N3" i="17"/>
  <c r="N3" i="15"/>
  <c r="N38" i="10"/>
  <c r="N39" i="10"/>
  <c r="O45" i="10"/>
  <c r="O20" i="10" l="1"/>
  <c r="O24" i="10" s="1"/>
  <c r="O52" i="10" s="1"/>
  <c r="O109" i="17"/>
  <c r="O10" i="17"/>
  <c r="O196" i="19"/>
  <c r="P19" i="10"/>
  <c r="P98" i="19" s="1"/>
  <c r="R10" i="10"/>
  <c r="Q11" i="10"/>
  <c r="Q30" i="10"/>
  <c r="Q31" i="10" s="1"/>
  <c r="Q45" i="10" s="1"/>
  <c r="Q46" i="10" s="1"/>
  <c r="P31" i="10"/>
  <c r="P45" i="10" s="1"/>
  <c r="I3" i="27" s="1"/>
  <c r="N11" i="17"/>
  <c r="N13" i="17" s="1"/>
  <c r="N62" i="10"/>
  <c r="O184" i="18"/>
  <c r="O10" i="18"/>
  <c r="O10" i="15"/>
  <c r="O112" i="18"/>
  <c r="O155" i="17"/>
  <c r="O98" i="15"/>
  <c r="O10" i="19"/>
  <c r="O152" i="15"/>
  <c r="N11" i="15"/>
  <c r="N13" i="15" s="1"/>
  <c r="N159" i="15" s="1"/>
  <c r="N11" i="18"/>
  <c r="N13" i="18" s="1"/>
  <c r="N111" i="18"/>
  <c r="O51" i="10"/>
  <c r="N97" i="15"/>
  <c r="N97" i="19"/>
  <c r="N21" i="14"/>
  <c r="N23" i="14" s="1"/>
  <c r="N11" i="19"/>
  <c r="N13" i="19" s="1"/>
  <c r="N202" i="19" s="1"/>
  <c r="N108" i="17"/>
  <c r="O3" i="23"/>
  <c r="O3" i="25"/>
  <c r="O3" i="21"/>
  <c r="O3" i="19"/>
  <c r="O3" i="18"/>
  <c r="O3" i="17"/>
  <c r="O3" i="15"/>
  <c r="O3" i="12"/>
  <c r="N161" i="17"/>
  <c r="N31" i="17"/>
  <c r="N112" i="17" s="1"/>
  <c r="O36" i="10"/>
  <c r="O38" i="10" s="1"/>
  <c r="O33" i="14" s="1"/>
  <c r="O46" i="10"/>
  <c r="H3" i="27"/>
  <c r="P46" i="10"/>
  <c r="N44" i="25"/>
  <c r="N43" i="25"/>
  <c r="N25" i="25"/>
  <c r="N27" i="25"/>
  <c r="N28" i="25"/>
  <c r="N26" i="25"/>
  <c r="P196" i="19"/>
  <c r="P10" i="19"/>
  <c r="P112" i="18"/>
  <c r="P184" i="18"/>
  <c r="P10" i="18"/>
  <c r="P10" i="17"/>
  <c r="P152" i="15"/>
  <c r="P109" i="17"/>
  <c r="P155" i="17"/>
  <c r="P98" i="15"/>
  <c r="P10" i="15"/>
  <c r="P20" i="10"/>
  <c r="G34" i="27"/>
  <c r="G10" i="27"/>
  <c r="N307" i="19"/>
  <c r="N238" i="18"/>
  <c r="N204" i="15"/>
  <c r="N207" i="17"/>
  <c r="O21" i="10"/>
  <c r="O62" i="10" s="1"/>
  <c r="G66" i="27"/>
  <c r="G71" i="27"/>
  <c r="G78" i="27" s="1"/>
  <c r="N41" i="10"/>
  <c r="N33" i="14"/>
  <c r="N64" i="14"/>
  <c r="Q19" i="10" l="1"/>
  <c r="O3" i="14"/>
  <c r="N193" i="18"/>
  <c r="O41" i="10"/>
  <c r="O4" i="23" s="1"/>
  <c r="I61" i="10"/>
  <c r="O63" i="10" s="1"/>
  <c r="O64" i="10" s="1"/>
  <c r="O89" i="25" s="1"/>
  <c r="J3" i="27"/>
  <c r="R11" i="10"/>
  <c r="R30" i="10" s="1"/>
  <c r="R31" i="10" s="1"/>
  <c r="R45" i="10" s="1"/>
  <c r="R46" i="10" s="1"/>
  <c r="S10" i="10"/>
  <c r="G54" i="27"/>
  <c r="G56" i="27" s="1"/>
  <c r="N57" i="18"/>
  <c r="N115" i="18" s="1"/>
  <c r="O64" i="14"/>
  <c r="O39" i="10"/>
  <c r="N43" i="15"/>
  <c r="N101" i="15" s="1"/>
  <c r="N43" i="19"/>
  <c r="N104" i="19" s="1"/>
  <c r="N4" i="12"/>
  <c r="N4" i="23"/>
  <c r="N4" i="25"/>
  <c r="N4" i="21"/>
  <c r="N4" i="19"/>
  <c r="N4" i="18"/>
  <c r="N4" i="17"/>
  <c r="N4" i="15"/>
  <c r="P3" i="25"/>
  <c r="P3" i="21"/>
  <c r="P3" i="23"/>
  <c r="P3" i="19"/>
  <c r="P3" i="18"/>
  <c r="P3" i="17"/>
  <c r="P3" i="15"/>
  <c r="P36" i="10"/>
  <c r="P3" i="14"/>
  <c r="P3" i="12"/>
  <c r="P21" i="10"/>
  <c r="P62" i="10" s="1"/>
  <c r="P51" i="10"/>
  <c r="P24" i="10"/>
  <c r="P52" i="10" s="1"/>
  <c r="J34" i="27"/>
  <c r="J10" i="27"/>
  <c r="O43" i="25"/>
  <c r="O26" i="25"/>
  <c r="O28" i="25"/>
  <c r="O44" i="25"/>
  <c r="O25" i="25"/>
  <c r="O27" i="25"/>
  <c r="H34" i="27"/>
  <c r="H10" i="27"/>
  <c r="O307" i="19"/>
  <c r="O238" i="18"/>
  <c r="O204" i="15"/>
  <c r="O207" i="17"/>
  <c r="O4" i="12"/>
  <c r="O4" i="21"/>
  <c r="O4" i="19"/>
  <c r="O4" i="17"/>
  <c r="H59" i="27"/>
  <c r="O11" i="19"/>
  <c r="O97" i="19"/>
  <c r="O111" i="18"/>
  <c r="O11" i="18"/>
  <c r="O11" i="17"/>
  <c r="O108" i="17"/>
  <c r="O97" i="15"/>
  <c r="O11" i="15"/>
  <c r="O21" i="14"/>
  <c r="O23" i="14" s="1"/>
  <c r="R19" i="10"/>
  <c r="Q10" i="19"/>
  <c r="Q98" i="19"/>
  <c r="Q196" i="19"/>
  <c r="Q184" i="18"/>
  <c r="Q112" i="18"/>
  <c r="Q10" i="18"/>
  <c r="Q10" i="17"/>
  <c r="Q109" i="17"/>
  <c r="Q152" i="15"/>
  <c r="Q155" i="17"/>
  <c r="Q10" i="15"/>
  <c r="Q98" i="15"/>
  <c r="Q20" i="10"/>
  <c r="I34" i="27"/>
  <c r="I10" i="27"/>
  <c r="N44" i="17"/>
  <c r="N57" i="17" s="1"/>
  <c r="N70" i="17" s="1"/>
  <c r="N125" i="17" s="1"/>
  <c r="O4" i="14"/>
  <c r="N4" i="14"/>
  <c r="O4" i="15" l="1"/>
  <c r="O4" i="18"/>
  <c r="O4" i="25"/>
  <c r="P63" i="10"/>
  <c r="P64" i="10" s="1"/>
  <c r="P89" i="25" s="1"/>
  <c r="N63" i="10"/>
  <c r="N64" i="10" s="1"/>
  <c r="N89" i="25" s="1"/>
  <c r="N70" i="18"/>
  <c r="N83" i="18" s="1"/>
  <c r="N96" i="18" s="1"/>
  <c r="N128" i="18" s="1"/>
  <c r="O49" i="25"/>
  <c r="O69" i="25"/>
  <c r="T10" i="10"/>
  <c r="S11" i="10"/>
  <c r="S30" i="10" s="1"/>
  <c r="S31" i="10" s="1"/>
  <c r="S45" i="10" s="1"/>
  <c r="S46" i="10" s="1"/>
  <c r="N56" i="15"/>
  <c r="N69" i="15" s="1"/>
  <c r="N82" i="15" s="1"/>
  <c r="N114" i="15" s="1"/>
  <c r="N56" i="19"/>
  <c r="N69" i="19" s="1"/>
  <c r="Q3" i="25"/>
  <c r="Q3" i="21"/>
  <c r="Q3" i="23"/>
  <c r="Q3" i="19"/>
  <c r="Q3" i="18"/>
  <c r="Q3" i="17"/>
  <c r="Q3" i="15"/>
  <c r="Q36" i="10"/>
  <c r="Q3" i="14"/>
  <c r="Q3" i="12"/>
  <c r="Q21" i="10"/>
  <c r="Q62" i="10" s="1"/>
  <c r="Q63" i="10" s="1"/>
  <c r="Q64" i="10" s="1"/>
  <c r="Q89" i="25" s="1"/>
  <c r="Q51" i="10"/>
  <c r="Q24" i="10"/>
  <c r="Q52" i="10" s="1"/>
  <c r="O14" i="19"/>
  <c r="O13" i="19"/>
  <c r="O14" i="15"/>
  <c r="O13" i="15"/>
  <c r="I59" i="27"/>
  <c r="P97" i="19"/>
  <c r="P11" i="19"/>
  <c r="P111" i="18"/>
  <c r="P11" i="18"/>
  <c r="P15" i="18" s="1"/>
  <c r="P108" i="17"/>
  <c r="P11" i="17"/>
  <c r="P15" i="17" s="1"/>
  <c r="P11" i="15"/>
  <c r="P97" i="15"/>
  <c r="P21" i="14"/>
  <c r="P23" i="14" s="1"/>
  <c r="R196" i="19"/>
  <c r="R10" i="19"/>
  <c r="R98" i="19"/>
  <c r="R10" i="18"/>
  <c r="R112" i="18"/>
  <c r="R184" i="18"/>
  <c r="R109" i="17"/>
  <c r="R152" i="15"/>
  <c r="R155" i="17"/>
  <c r="R10" i="17"/>
  <c r="R98" i="15"/>
  <c r="R10" i="15"/>
  <c r="R20" i="10"/>
  <c r="S19" i="10"/>
  <c r="O14" i="17"/>
  <c r="O13" i="17"/>
  <c r="P44" i="25"/>
  <c r="P26" i="25"/>
  <c r="P28" i="25"/>
  <c r="P25" i="25"/>
  <c r="P27" i="25"/>
  <c r="P43" i="25"/>
  <c r="H66" i="27"/>
  <c r="H56" i="27"/>
  <c r="H71" i="27"/>
  <c r="H78" i="27" s="1"/>
  <c r="O13" i="18"/>
  <c r="O14" i="18"/>
  <c r="P39" i="10"/>
  <c r="P38" i="10"/>
  <c r="N82" i="19" l="1"/>
  <c r="N117" i="19" s="1"/>
  <c r="N83" i="25"/>
  <c r="N69" i="25"/>
  <c r="N49" i="25"/>
  <c r="P69" i="25"/>
  <c r="P49" i="25"/>
  <c r="Q69" i="25"/>
  <c r="Q49" i="25"/>
  <c r="U10" i="10"/>
  <c r="T11" i="10"/>
  <c r="T30" i="10" s="1"/>
  <c r="T31" i="10" s="1"/>
  <c r="T45" i="10" s="1"/>
  <c r="T46" i="10" s="1"/>
  <c r="P14" i="17"/>
  <c r="O162" i="17"/>
  <c r="O32" i="17"/>
  <c r="P195" i="18"/>
  <c r="P59" i="18"/>
  <c r="S98" i="19"/>
  <c r="S196" i="19"/>
  <c r="S10" i="19"/>
  <c r="S10" i="18"/>
  <c r="S112" i="18"/>
  <c r="S184" i="18"/>
  <c r="S109" i="17"/>
  <c r="S152" i="15"/>
  <c r="S155" i="17"/>
  <c r="S10" i="17"/>
  <c r="S98" i="15"/>
  <c r="S10" i="15"/>
  <c r="T19" i="10"/>
  <c r="S20" i="10"/>
  <c r="P307" i="19"/>
  <c r="P238" i="18"/>
  <c r="P204" i="15"/>
  <c r="P207" i="17"/>
  <c r="P33" i="14"/>
  <c r="P41" i="10"/>
  <c r="P64" i="14"/>
  <c r="P13" i="17"/>
  <c r="O161" i="17"/>
  <c r="O31" i="17"/>
  <c r="R3" i="25"/>
  <c r="R3" i="21"/>
  <c r="R3" i="23"/>
  <c r="R3" i="19"/>
  <c r="R3" i="18"/>
  <c r="R3" i="17"/>
  <c r="R3" i="15"/>
  <c r="R24" i="10"/>
  <c r="R52" i="10" s="1"/>
  <c r="R36" i="10"/>
  <c r="R3" i="12"/>
  <c r="R3" i="14"/>
  <c r="R51" i="10"/>
  <c r="R21" i="10"/>
  <c r="R62" i="10" s="1"/>
  <c r="R63" i="10" s="1"/>
  <c r="R64" i="10" s="1"/>
  <c r="R89" i="25" s="1"/>
  <c r="P15" i="19"/>
  <c r="P14" i="19"/>
  <c r="P14" i="18"/>
  <c r="O58" i="18"/>
  <c r="O194" i="18"/>
  <c r="J59" i="27"/>
  <c r="Q97" i="19"/>
  <c r="Q11" i="19"/>
  <c r="Q111" i="18"/>
  <c r="Q11" i="18"/>
  <c r="Q15" i="18" s="1"/>
  <c r="Q108" i="17"/>
  <c r="Q11" i="17"/>
  <c r="Q15" i="17" s="1"/>
  <c r="Q97" i="15"/>
  <c r="Q11" i="15"/>
  <c r="Q21" i="14"/>
  <c r="Q23" i="14" s="1"/>
  <c r="P13" i="18"/>
  <c r="O57" i="18"/>
  <c r="O193" i="18"/>
  <c r="I66" i="27"/>
  <c r="I56" i="27"/>
  <c r="I71" i="27"/>
  <c r="I78" i="27" s="1"/>
  <c r="O159" i="15"/>
  <c r="O43" i="15"/>
  <c r="P13" i="19"/>
  <c r="O43" i="19"/>
  <c r="O202" i="19"/>
  <c r="P15" i="15"/>
  <c r="P14" i="15"/>
  <c r="P13" i="15"/>
  <c r="O160" i="15"/>
  <c r="O44" i="15"/>
  <c r="O203" i="19"/>
  <c r="O44" i="19"/>
  <c r="Q44" i="25"/>
  <c r="Q25" i="25"/>
  <c r="Q27" i="25"/>
  <c r="Q43" i="25"/>
  <c r="Q26" i="25"/>
  <c r="Q28" i="25"/>
  <c r="P33" i="17"/>
  <c r="P163" i="17"/>
  <c r="Q39" i="10"/>
  <c r="Q38" i="10"/>
  <c r="R69" i="25" l="1"/>
  <c r="R49" i="25"/>
  <c r="U11" i="10"/>
  <c r="U30" i="10" s="1"/>
  <c r="U31" i="10" s="1"/>
  <c r="U45" i="10" s="1"/>
  <c r="U46" i="10" s="1"/>
  <c r="V10" i="10"/>
  <c r="Q163" i="17"/>
  <c r="Q33" i="17"/>
  <c r="R39" i="10"/>
  <c r="R38" i="10"/>
  <c r="O105" i="19"/>
  <c r="O57" i="19"/>
  <c r="O70" i="19" s="1"/>
  <c r="P160" i="15"/>
  <c r="P44" i="15"/>
  <c r="R44" i="25"/>
  <c r="R25" i="25"/>
  <c r="R27" i="25"/>
  <c r="R26" i="25"/>
  <c r="R28" i="25"/>
  <c r="R43" i="25"/>
  <c r="P161" i="15"/>
  <c r="P45" i="15"/>
  <c r="O56" i="19"/>
  <c r="O69" i="19" s="1"/>
  <c r="O104" i="19"/>
  <c r="Q16" i="18"/>
  <c r="Q14" i="18"/>
  <c r="Q13" i="18"/>
  <c r="P203" i="19"/>
  <c r="P44" i="19"/>
  <c r="S3" i="25"/>
  <c r="S3" i="23"/>
  <c r="S3" i="19"/>
  <c r="S3" i="21"/>
  <c r="S3" i="18"/>
  <c r="S3" i="17"/>
  <c r="S3" i="15"/>
  <c r="S21" i="10"/>
  <c r="S62" i="10" s="1"/>
  <c r="S63" i="10" s="1"/>
  <c r="S64" i="10" s="1"/>
  <c r="S89" i="25" s="1"/>
  <c r="S24" i="10"/>
  <c r="S52" i="10" s="1"/>
  <c r="S36" i="10"/>
  <c r="S3" i="14"/>
  <c r="S51" i="10"/>
  <c r="S3" i="12"/>
  <c r="Q13" i="19"/>
  <c r="P202" i="19"/>
  <c r="P43" i="19"/>
  <c r="P204" i="19"/>
  <c r="P45" i="19"/>
  <c r="O112" i="17"/>
  <c r="O44" i="17"/>
  <c r="O57" i="17" s="1"/>
  <c r="O70" i="17" s="1"/>
  <c r="O125" i="17" s="1"/>
  <c r="T98" i="19"/>
  <c r="T196" i="19"/>
  <c r="T10" i="19"/>
  <c r="T10" i="18"/>
  <c r="T112" i="18"/>
  <c r="T184" i="18"/>
  <c r="T155" i="17"/>
  <c r="T10" i="17"/>
  <c r="T109" i="17"/>
  <c r="T152" i="15"/>
  <c r="T98" i="15"/>
  <c r="T10" i="15"/>
  <c r="U19" i="10"/>
  <c r="T20" i="10"/>
  <c r="O113" i="17"/>
  <c r="O45" i="17"/>
  <c r="O58" i="17" s="1"/>
  <c r="O71" i="17" s="1"/>
  <c r="O126" i="17" s="1"/>
  <c r="Q16" i="17"/>
  <c r="Q14" i="17"/>
  <c r="Q307" i="19"/>
  <c r="Q238" i="18"/>
  <c r="Q204" i="15"/>
  <c r="Q207" i="17"/>
  <c r="Q41" i="10"/>
  <c r="Q64" i="14"/>
  <c r="Q33" i="14"/>
  <c r="Q16" i="19"/>
  <c r="Q15" i="19"/>
  <c r="Q14" i="19"/>
  <c r="K59" i="27"/>
  <c r="R97" i="19"/>
  <c r="R11" i="19"/>
  <c r="R111" i="18"/>
  <c r="R11" i="18"/>
  <c r="R108" i="17"/>
  <c r="R11" i="17"/>
  <c r="R11" i="15"/>
  <c r="R97" i="15"/>
  <c r="R21" i="14"/>
  <c r="R23" i="14" s="1"/>
  <c r="P159" i="15"/>
  <c r="P43" i="15"/>
  <c r="Q13" i="17"/>
  <c r="P161" i="17"/>
  <c r="P31" i="17"/>
  <c r="P162" i="17"/>
  <c r="P32" i="17"/>
  <c r="O102" i="15"/>
  <c r="O57" i="15"/>
  <c r="O70" i="15" s="1"/>
  <c r="O83" i="15" s="1"/>
  <c r="O115" i="15" s="1"/>
  <c r="O115" i="18"/>
  <c r="O70" i="18"/>
  <c r="O83" i="18" s="1"/>
  <c r="O96" i="18" s="1"/>
  <c r="O128" i="18" s="1"/>
  <c r="Q16" i="15"/>
  <c r="Q15" i="15"/>
  <c r="Q14" i="15"/>
  <c r="Q13" i="15"/>
  <c r="J66" i="27"/>
  <c r="J56" i="27"/>
  <c r="J71" i="27"/>
  <c r="J78" i="27" s="1"/>
  <c r="P117" i="18"/>
  <c r="P72" i="18"/>
  <c r="P85" i="18" s="1"/>
  <c r="P98" i="18" s="1"/>
  <c r="P130" i="18" s="1"/>
  <c r="P114" i="17"/>
  <c r="P46" i="17"/>
  <c r="P59" i="17" s="1"/>
  <c r="P72" i="17" s="1"/>
  <c r="P127" i="17" s="1"/>
  <c r="P58" i="18"/>
  <c r="P194" i="18"/>
  <c r="Q59" i="18"/>
  <c r="Q195" i="18"/>
  <c r="O101" i="15"/>
  <c r="O56" i="15"/>
  <c r="O69" i="15" s="1"/>
  <c r="O82" i="15" s="1"/>
  <c r="O114" i="15" s="1"/>
  <c r="P193" i="18"/>
  <c r="P57" i="18"/>
  <c r="O116" i="18"/>
  <c r="O71" i="18"/>
  <c r="O84" i="18" s="1"/>
  <c r="O97" i="18" s="1"/>
  <c r="O129" i="18" s="1"/>
  <c r="P4" i="14"/>
  <c r="P4" i="25"/>
  <c r="P4" i="21"/>
  <c r="P4" i="23"/>
  <c r="P4" i="19"/>
  <c r="P4" i="18"/>
  <c r="P4" i="17"/>
  <c r="P4" i="15"/>
  <c r="P4" i="12"/>
  <c r="O82" i="19" l="1"/>
  <c r="O117" i="19" s="1"/>
  <c r="O83" i="19"/>
  <c r="O118" i="19" s="1"/>
  <c r="S69" i="25"/>
  <c r="S49" i="25"/>
  <c r="W10" i="10"/>
  <c r="V11" i="10"/>
  <c r="V30" i="10" s="1"/>
  <c r="V31" i="10" s="1"/>
  <c r="V45" i="10" s="1"/>
  <c r="V46" i="10" s="1"/>
  <c r="R17" i="18"/>
  <c r="R16" i="18"/>
  <c r="R14" i="18"/>
  <c r="T21" i="10"/>
  <c r="T62" i="10" s="1"/>
  <c r="T63" i="10" s="1"/>
  <c r="T64" i="10" s="1"/>
  <c r="T89" i="25" s="1"/>
  <c r="T3" i="25"/>
  <c r="T3" i="21"/>
  <c r="T3" i="23"/>
  <c r="T3" i="19"/>
  <c r="T3" i="18"/>
  <c r="T3" i="17"/>
  <c r="T3" i="15"/>
  <c r="T3" i="12"/>
  <c r="T51" i="10"/>
  <c r="T3" i="14"/>
  <c r="T36" i="10"/>
  <c r="T24" i="10"/>
  <c r="T52" i="10" s="1"/>
  <c r="R15" i="18"/>
  <c r="Q161" i="15"/>
  <c r="Q45" i="15"/>
  <c r="P113" i="17"/>
  <c r="P45" i="17"/>
  <c r="P58" i="17" s="1"/>
  <c r="P71" i="17" s="1"/>
  <c r="P126" i="17" s="1"/>
  <c r="P112" i="17"/>
  <c r="P44" i="17"/>
  <c r="P57" i="17" s="1"/>
  <c r="P70" i="17" s="1"/>
  <c r="P125" i="17" s="1"/>
  <c r="Q204" i="19"/>
  <c r="Q45" i="19"/>
  <c r="U196" i="19"/>
  <c r="U10" i="19"/>
  <c r="U98" i="19"/>
  <c r="U10" i="18"/>
  <c r="U112" i="18"/>
  <c r="U184" i="18"/>
  <c r="U155" i="17"/>
  <c r="U10" i="17"/>
  <c r="U109" i="17"/>
  <c r="U152" i="15"/>
  <c r="U98" i="15"/>
  <c r="U10" i="15"/>
  <c r="V19" i="10"/>
  <c r="U20" i="10"/>
  <c r="R13" i="18"/>
  <c r="Q193" i="18"/>
  <c r="Q57" i="18"/>
  <c r="P102" i="15"/>
  <c r="P57" i="15"/>
  <c r="P70" i="15" s="1"/>
  <c r="P83" i="15" s="1"/>
  <c r="P115" i="15" s="1"/>
  <c r="Q117" i="18"/>
  <c r="Q72" i="18"/>
  <c r="Q85" i="18" s="1"/>
  <c r="Q98" i="18" s="1"/>
  <c r="Q130" i="18" s="1"/>
  <c r="Q160" i="15"/>
  <c r="Q44" i="15"/>
  <c r="Q162" i="15"/>
  <c r="Q46" i="15"/>
  <c r="R17" i="19"/>
  <c r="R16" i="19"/>
  <c r="R13" i="19"/>
  <c r="R15" i="19"/>
  <c r="R14" i="19"/>
  <c r="Q205" i="19"/>
  <c r="Q46" i="19"/>
  <c r="Q58" i="18"/>
  <c r="Q194" i="18"/>
  <c r="Q114" i="17"/>
  <c r="Q46" i="17"/>
  <c r="Q59" i="17" s="1"/>
  <c r="Q72" i="17" s="1"/>
  <c r="Q127" i="17" s="1"/>
  <c r="Q60" i="18"/>
  <c r="Q196" i="18"/>
  <c r="P116" i="18"/>
  <c r="P71" i="18"/>
  <c r="P84" i="18" s="1"/>
  <c r="P97" i="18" s="1"/>
  <c r="P129" i="18" s="1"/>
  <c r="K71" i="27"/>
  <c r="K78" i="27" s="1"/>
  <c r="K66" i="27"/>
  <c r="K56" i="27"/>
  <c r="P104" i="19"/>
  <c r="P56" i="19"/>
  <c r="P69" i="19" s="1"/>
  <c r="P82" i="19" s="1"/>
  <c r="Q4" i="12"/>
  <c r="Q4" i="25"/>
  <c r="Q4" i="21"/>
  <c r="Q4" i="19"/>
  <c r="Q4" i="23"/>
  <c r="Q4" i="18"/>
  <c r="Q4" i="17"/>
  <c r="Q4" i="15"/>
  <c r="Q4" i="14"/>
  <c r="R17" i="15"/>
  <c r="R16" i="15"/>
  <c r="R15" i="15"/>
  <c r="R14" i="15"/>
  <c r="R13" i="15"/>
  <c r="S38" i="10"/>
  <c r="S39" i="10"/>
  <c r="P105" i="19"/>
  <c r="P57" i="19"/>
  <c r="P70" i="19" s="1"/>
  <c r="Q203" i="19"/>
  <c r="Q44" i="19"/>
  <c r="P101" i="15"/>
  <c r="P56" i="15"/>
  <c r="P69" i="15" s="1"/>
  <c r="P82" i="15" s="1"/>
  <c r="P114" i="15" s="1"/>
  <c r="R17" i="17"/>
  <c r="R15" i="17"/>
  <c r="R16" i="17"/>
  <c r="R13" i="17"/>
  <c r="R14" i="17"/>
  <c r="Q32" i="17"/>
  <c r="Q162" i="17"/>
  <c r="Q202" i="19"/>
  <c r="Q43" i="19"/>
  <c r="S25" i="25"/>
  <c r="S27" i="25"/>
  <c r="S44" i="25"/>
  <c r="S26" i="25"/>
  <c r="S28" i="25"/>
  <c r="S43" i="25"/>
  <c r="R307" i="19"/>
  <c r="R238" i="18"/>
  <c r="R204" i="15"/>
  <c r="R207" i="17"/>
  <c r="R41" i="10"/>
  <c r="R33" i="14"/>
  <c r="R64" i="14"/>
  <c r="Q161" i="17"/>
  <c r="Q31" i="17"/>
  <c r="P115" i="18"/>
  <c r="P70" i="18"/>
  <c r="P83" i="18" s="1"/>
  <c r="P96" i="18" s="1"/>
  <c r="P128" i="18" s="1"/>
  <c r="Q159" i="15"/>
  <c r="Q43" i="15"/>
  <c r="Q164" i="17"/>
  <c r="Q34" i="17"/>
  <c r="P106" i="19"/>
  <c r="P58" i="19"/>
  <c r="P71" i="19" s="1"/>
  <c r="L59" i="27"/>
  <c r="S11" i="19"/>
  <c r="S97" i="19"/>
  <c r="S11" i="18"/>
  <c r="S111" i="18"/>
  <c r="S108" i="17"/>
  <c r="S11" i="17"/>
  <c r="S97" i="15"/>
  <c r="S11" i="15"/>
  <c r="S21" i="14"/>
  <c r="S23" i="14" s="1"/>
  <c r="P103" i="15"/>
  <c r="P58" i="15"/>
  <c r="P71" i="15" s="1"/>
  <c r="P84" i="15" s="1"/>
  <c r="P116" i="15" s="1"/>
  <c r="P83" i="19" l="1"/>
  <c r="P118" i="19" s="1"/>
  <c r="P84" i="19"/>
  <c r="P119" i="19" s="1"/>
  <c r="T69" i="25"/>
  <c r="T49" i="25"/>
  <c r="W11" i="10"/>
  <c r="W30" i="10" s="1"/>
  <c r="W31" i="10" s="1"/>
  <c r="W45" i="10" s="1"/>
  <c r="W46" i="10" s="1"/>
  <c r="X10" i="10"/>
  <c r="S307" i="19"/>
  <c r="S238" i="18"/>
  <c r="S207" i="17"/>
  <c r="S204" i="15"/>
  <c r="S41" i="10"/>
  <c r="S33" i="14"/>
  <c r="S64" i="14"/>
  <c r="R161" i="15"/>
  <c r="R45" i="15"/>
  <c r="R205" i="19"/>
  <c r="R46" i="19"/>
  <c r="S18" i="19"/>
  <c r="S17" i="19"/>
  <c r="S16" i="19"/>
  <c r="S15" i="19"/>
  <c r="S14" i="19"/>
  <c r="Q113" i="17"/>
  <c r="Q45" i="17"/>
  <c r="Q105" i="19"/>
  <c r="Q57" i="19"/>
  <c r="Q70" i="19" s="1"/>
  <c r="R162" i="15"/>
  <c r="R46" i="15"/>
  <c r="R206" i="19"/>
  <c r="R47" i="19"/>
  <c r="U21" i="10"/>
  <c r="U62" i="10" s="1"/>
  <c r="U63" i="10" s="1"/>
  <c r="U64" i="10" s="1"/>
  <c r="U89" i="25" s="1"/>
  <c r="U3" i="21"/>
  <c r="U3" i="23"/>
  <c r="U3" i="25"/>
  <c r="U3" i="19"/>
  <c r="U3" i="18"/>
  <c r="U3" i="17"/>
  <c r="U3" i="15"/>
  <c r="U24" i="10"/>
  <c r="U52" i="10" s="1"/>
  <c r="U3" i="12"/>
  <c r="U3" i="14"/>
  <c r="U36" i="10"/>
  <c r="U51" i="10"/>
  <c r="T26" i="25"/>
  <c r="T28" i="25"/>
  <c r="T43" i="25"/>
  <c r="T44" i="25"/>
  <c r="T25" i="25"/>
  <c r="T27" i="25"/>
  <c r="S18" i="15"/>
  <c r="S17" i="15"/>
  <c r="S16" i="15"/>
  <c r="S15" i="15"/>
  <c r="S14" i="15"/>
  <c r="S13" i="15"/>
  <c r="L56" i="27"/>
  <c r="L71" i="27"/>
  <c r="L78" i="27" s="1"/>
  <c r="L66" i="27"/>
  <c r="S14" i="17"/>
  <c r="R32" i="17"/>
  <c r="R162" i="17"/>
  <c r="R163" i="15"/>
  <c r="R47" i="15"/>
  <c r="Q104" i="15"/>
  <c r="Q59" i="15"/>
  <c r="Q72" i="15" s="1"/>
  <c r="Q85" i="15" s="1"/>
  <c r="Q117" i="15" s="1"/>
  <c r="V98" i="19"/>
  <c r="V196" i="19"/>
  <c r="V10" i="19"/>
  <c r="V10" i="18"/>
  <c r="V112" i="18"/>
  <c r="V184" i="18"/>
  <c r="V155" i="17"/>
  <c r="V152" i="15"/>
  <c r="V10" i="17"/>
  <c r="V109" i="17"/>
  <c r="V10" i="15"/>
  <c r="V98" i="15"/>
  <c r="W19" i="10"/>
  <c r="V20" i="10"/>
  <c r="M59" i="27"/>
  <c r="T11" i="19"/>
  <c r="T97" i="19"/>
  <c r="T11" i="18"/>
  <c r="T111" i="18"/>
  <c r="T108" i="17"/>
  <c r="T11" i="17"/>
  <c r="T97" i="15"/>
  <c r="T11" i="15"/>
  <c r="T21" i="14"/>
  <c r="T23" i="14" s="1"/>
  <c r="Q112" i="17"/>
  <c r="Q44" i="17"/>
  <c r="Q57" i="17" s="1"/>
  <c r="Q70" i="17" s="1"/>
  <c r="Q125" i="17" s="1"/>
  <c r="R161" i="17"/>
  <c r="R31" i="17"/>
  <c r="Q116" i="18"/>
  <c r="Q71" i="18"/>
  <c r="Q84" i="18" s="1"/>
  <c r="Q97" i="18" s="1"/>
  <c r="Q129" i="18" s="1"/>
  <c r="Q107" i="19"/>
  <c r="Q59" i="19"/>
  <c r="Q72" i="19" s="1"/>
  <c r="R194" i="18"/>
  <c r="R58" i="18"/>
  <c r="S16" i="17"/>
  <c r="R164" i="17"/>
  <c r="R34" i="17"/>
  <c r="Q102" i="15"/>
  <c r="Q57" i="15"/>
  <c r="Q70" i="15" s="1"/>
  <c r="Q83" i="15" s="1"/>
  <c r="Q115" i="15" s="1"/>
  <c r="S16" i="18"/>
  <c r="R60" i="18"/>
  <c r="R196" i="18"/>
  <c r="S18" i="17"/>
  <c r="S17" i="17"/>
  <c r="S15" i="17"/>
  <c r="S13" i="17"/>
  <c r="Q115" i="17"/>
  <c r="Q47" i="17"/>
  <c r="Q60" i="17" s="1"/>
  <c r="Q73" i="17" s="1"/>
  <c r="Q128" i="17" s="1"/>
  <c r="R163" i="17"/>
  <c r="R33" i="17"/>
  <c r="R203" i="19"/>
  <c r="R44" i="19"/>
  <c r="Q70" i="18"/>
  <c r="Q83" i="18" s="1"/>
  <c r="Q96" i="18" s="1"/>
  <c r="Q128" i="18" s="1"/>
  <c r="Q115" i="18"/>
  <c r="Q103" i="15"/>
  <c r="Q58" i="15"/>
  <c r="Q71" i="15" s="1"/>
  <c r="Q84" i="15" s="1"/>
  <c r="Q116" i="15" s="1"/>
  <c r="S17" i="18"/>
  <c r="R197" i="18"/>
  <c r="R61" i="18"/>
  <c r="Q56" i="19"/>
  <c r="Q69" i="19" s="1"/>
  <c r="Q104" i="19"/>
  <c r="R165" i="17"/>
  <c r="R35" i="17"/>
  <c r="R159" i="15"/>
  <c r="R43" i="15"/>
  <c r="R204" i="19"/>
  <c r="R45" i="19"/>
  <c r="S18" i="18"/>
  <c r="S14" i="18"/>
  <c r="Q101" i="15"/>
  <c r="Q56" i="15"/>
  <c r="Q69" i="15" s="1"/>
  <c r="Q82" i="15" s="1"/>
  <c r="Q114" i="15" s="1"/>
  <c r="R4" i="12"/>
  <c r="R4" i="25"/>
  <c r="R4" i="21"/>
  <c r="R4" i="23"/>
  <c r="R4" i="19"/>
  <c r="R4" i="18"/>
  <c r="R4" i="17"/>
  <c r="R4" i="15"/>
  <c r="R4" i="14"/>
  <c r="R160" i="15"/>
  <c r="R44" i="15"/>
  <c r="P117" i="19"/>
  <c r="Q118" i="18"/>
  <c r="Q73" i="18"/>
  <c r="Q86" i="18" s="1"/>
  <c r="Q99" i="18" s="1"/>
  <c r="Q131" i="18" s="1"/>
  <c r="S13" i="19"/>
  <c r="R43" i="19"/>
  <c r="R202" i="19"/>
  <c r="S13" i="18"/>
  <c r="R193" i="18"/>
  <c r="R57" i="18"/>
  <c r="Q106" i="19"/>
  <c r="Q58" i="19"/>
  <c r="Q71" i="19" s="1"/>
  <c r="S15" i="18"/>
  <c r="R59" i="18"/>
  <c r="R195" i="18"/>
  <c r="T39" i="10"/>
  <c r="T38" i="10"/>
  <c r="Q82" i="19" l="1"/>
  <c r="Q117" i="19" s="1"/>
  <c r="Q84" i="19"/>
  <c r="Q119" i="19" s="1"/>
  <c r="Q83" i="19"/>
  <c r="Q118" i="19" s="1"/>
  <c r="Q85" i="19"/>
  <c r="Q120" i="19" s="1"/>
  <c r="U49" i="25"/>
  <c r="U69" i="25"/>
  <c r="X11" i="10"/>
  <c r="X30" i="10" s="1"/>
  <c r="X31" i="10" s="1"/>
  <c r="X45" i="10" s="1"/>
  <c r="X46" i="10" s="1"/>
  <c r="Y10" i="10"/>
  <c r="S59" i="18"/>
  <c r="S195" i="18"/>
  <c r="T19" i="17"/>
  <c r="T17" i="17"/>
  <c r="T14" i="17"/>
  <c r="T16" i="17"/>
  <c r="T15" i="17"/>
  <c r="T13" i="17"/>
  <c r="W196" i="19"/>
  <c r="W10" i="19"/>
  <c r="W98" i="19"/>
  <c r="W112" i="18"/>
  <c r="W184" i="18"/>
  <c r="W10" i="18"/>
  <c r="W155" i="17"/>
  <c r="W10" i="17"/>
  <c r="W109" i="17"/>
  <c r="W152" i="15"/>
  <c r="W98" i="15"/>
  <c r="W10" i="15"/>
  <c r="W20" i="10"/>
  <c r="X19" i="10"/>
  <c r="S160" i="15"/>
  <c r="S44" i="15"/>
  <c r="R108" i="19"/>
  <c r="R60" i="19"/>
  <c r="R73" i="19" s="1"/>
  <c r="S203" i="19"/>
  <c r="S44" i="19"/>
  <c r="R114" i="17"/>
  <c r="R46" i="17"/>
  <c r="R59" i="17" s="1"/>
  <c r="R72" i="17" s="1"/>
  <c r="R127" i="17" s="1"/>
  <c r="R118" i="18"/>
  <c r="R73" i="18"/>
  <c r="R86" i="18" s="1"/>
  <c r="R99" i="18" s="1"/>
  <c r="R131" i="18" s="1"/>
  <c r="R115" i="17"/>
  <c r="R47" i="17"/>
  <c r="R60" i="17" s="1"/>
  <c r="R73" i="17" s="1"/>
  <c r="R128" i="17" s="1"/>
  <c r="R112" i="17"/>
  <c r="R44" i="17"/>
  <c r="R57" i="17" s="1"/>
  <c r="R70" i="17" s="1"/>
  <c r="R125" i="17" s="1"/>
  <c r="S161" i="15"/>
  <c r="S45" i="15"/>
  <c r="S204" i="19"/>
  <c r="S45" i="19"/>
  <c r="R104" i="19"/>
  <c r="R56" i="19"/>
  <c r="R69" i="19" s="1"/>
  <c r="S194" i="18"/>
  <c r="S58" i="18"/>
  <c r="S196" i="18"/>
  <c r="S60" i="18"/>
  <c r="R113" i="17"/>
  <c r="R45" i="17"/>
  <c r="R58" i="17" s="1"/>
  <c r="S162" i="15"/>
  <c r="S46" i="15"/>
  <c r="R104" i="15"/>
  <c r="R59" i="15"/>
  <c r="R72" i="15" s="1"/>
  <c r="R85" i="15" s="1"/>
  <c r="R117" i="15" s="1"/>
  <c r="S46" i="19"/>
  <c r="S205" i="19"/>
  <c r="S165" i="17"/>
  <c r="S35" i="17"/>
  <c r="T18" i="18"/>
  <c r="S198" i="18"/>
  <c r="S62" i="18"/>
  <c r="R106" i="19"/>
  <c r="R58" i="19"/>
  <c r="R71" i="19" s="1"/>
  <c r="R119" i="18"/>
  <c r="R74" i="18"/>
  <c r="R87" i="18" s="1"/>
  <c r="S164" i="17"/>
  <c r="S34" i="17"/>
  <c r="T19" i="18"/>
  <c r="T16" i="18"/>
  <c r="T15" i="18"/>
  <c r="T17" i="18"/>
  <c r="T13" i="18"/>
  <c r="T14" i="18"/>
  <c r="S162" i="17"/>
  <c r="S32" i="17"/>
  <c r="S163" i="15"/>
  <c r="S47" i="15"/>
  <c r="T17" i="19"/>
  <c r="S47" i="19"/>
  <c r="S206" i="19"/>
  <c r="S4" i="25"/>
  <c r="S4" i="23"/>
  <c r="S4" i="21"/>
  <c r="S4" i="19"/>
  <c r="S4" i="18"/>
  <c r="S4" i="17"/>
  <c r="S4" i="15"/>
  <c r="S4" i="12"/>
  <c r="S4" i="14"/>
  <c r="R117" i="18"/>
  <c r="R72" i="18"/>
  <c r="R85" i="18" s="1"/>
  <c r="R98" i="18" s="1"/>
  <c r="R130" i="18" s="1"/>
  <c r="R116" i="17"/>
  <c r="R48" i="17"/>
  <c r="R61" i="17" s="1"/>
  <c r="R74" i="17" s="1"/>
  <c r="R129" i="17" s="1"/>
  <c r="R105" i="19"/>
  <c r="R57" i="19"/>
  <c r="R70" i="19" s="1"/>
  <c r="S202" i="19"/>
  <c r="S43" i="19"/>
  <c r="R115" i="18"/>
  <c r="R70" i="18"/>
  <c r="R83" i="18" s="1"/>
  <c r="R96" i="18" s="1"/>
  <c r="R128" i="18" s="1"/>
  <c r="T307" i="19"/>
  <c r="T238" i="18"/>
  <c r="T207" i="17"/>
  <c r="T204" i="15"/>
  <c r="T33" i="14"/>
  <c r="T64" i="14"/>
  <c r="T41" i="10"/>
  <c r="R116" i="18"/>
  <c r="R71" i="18"/>
  <c r="R84" i="18" s="1"/>
  <c r="R97" i="18" s="1"/>
  <c r="R129" i="18" s="1"/>
  <c r="S164" i="15"/>
  <c r="S48" i="15"/>
  <c r="U38" i="10"/>
  <c r="U39" i="10"/>
  <c r="U26" i="25"/>
  <c r="U28" i="25"/>
  <c r="U25" i="25"/>
  <c r="U27" i="25"/>
  <c r="U44" i="25"/>
  <c r="U43" i="25"/>
  <c r="S48" i="19"/>
  <c r="S207" i="19"/>
  <c r="R102" i="15"/>
  <c r="R57" i="15"/>
  <c r="R70" i="15" s="1"/>
  <c r="R83" i="15" s="1"/>
  <c r="R115" i="15" s="1"/>
  <c r="R101" i="15"/>
  <c r="R56" i="15"/>
  <c r="R69" i="15" s="1"/>
  <c r="R82" i="15" s="1"/>
  <c r="R114" i="15" s="1"/>
  <c r="S61" i="18"/>
  <c r="S197" i="18"/>
  <c r="S31" i="17"/>
  <c r="S161" i="17"/>
  <c r="T19" i="19"/>
  <c r="T18" i="19"/>
  <c r="T16" i="19"/>
  <c r="T13" i="19"/>
  <c r="T15" i="19"/>
  <c r="T14" i="19"/>
  <c r="R107" i="19"/>
  <c r="R59" i="19"/>
  <c r="R72" i="19" s="1"/>
  <c r="T18" i="17"/>
  <c r="S36" i="17"/>
  <c r="S166" i="17"/>
  <c r="S57" i="18"/>
  <c r="S193" i="18"/>
  <c r="S33" i="17"/>
  <c r="S163" i="17"/>
  <c r="T19" i="15"/>
  <c r="T18" i="15"/>
  <c r="T17" i="15"/>
  <c r="T16" i="15"/>
  <c r="T15" i="15"/>
  <c r="T14" i="15"/>
  <c r="T13" i="15"/>
  <c r="M66" i="27"/>
  <c r="M71" i="27"/>
  <c r="M78" i="27" s="1"/>
  <c r="M56" i="27"/>
  <c r="Q58" i="17"/>
  <c r="Q71" i="17" s="1"/>
  <c r="Q126" i="17" s="1"/>
  <c r="V21" i="10"/>
  <c r="V62" i="10" s="1"/>
  <c r="V63" i="10" s="1"/>
  <c r="V64" i="10" s="1"/>
  <c r="V89" i="25" s="1"/>
  <c r="V3" i="23"/>
  <c r="V3" i="25"/>
  <c r="V3" i="21"/>
  <c r="V3" i="19"/>
  <c r="V3" i="18"/>
  <c r="V3" i="17"/>
  <c r="V3" i="15"/>
  <c r="V36" i="10"/>
  <c r="V51" i="10"/>
  <c r="V3" i="12"/>
  <c r="V3" i="14"/>
  <c r="V24" i="10"/>
  <c r="V52" i="10" s="1"/>
  <c r="R105" i="15"/>
  <c r="R60" i="15"/>
  <c r="R73" i="15" s="1"/>
  <c r="R86" i="15" s="1"/>
  <c r="R118" i="15" s="1"/>
  <c r="S159" i="15"/>
  <c r="S43" i="15"/>
  <c r="N59" i="27"/>
  <c r="U97" i="19"/>
  <c r="U11" i="19"/>
  <c r="U111" i="18"/>
  <c r="U11" i="18"/>
  <c r="U108" i="17"/>
  <c r="U11" i="17"/>
  <c r="U97" i="15"/>
  <c r="U11" i="15"/>
  <c r="U21" i="14"/>
  <c r="U23" i="14" s="1"/>
  <c r="R103" i="15"/>
  <c r="R58" i="15"/>
  <c r="R71" i="15" s="1"/>
  <c r="R84" i="15" s="1"/>
  <c r="R116" i="15" s="1"/>
  <c r="R82" i="19" l="1"/>
  <c r="R117" i="19" s="1"/>
  <c r="R86" i="19"/>
  <c r="R121" i="19" s="1"/>
  <c r="R85" i="19"/>
  <c r="R120" i="19" s="1"/>
  <c r="R83" i="19"/>
  <c r="R118" i="19" s="1"/>
  <c r="R84" i="19"/>
  <c r="R119" i="19" s="1"/>
  <c r="V49" i="25"/>
  <c r="V69" i="25"/>
  <c r="Z10" i="10"/>
  <c r="Y11" i="10"/>
  <c r="Y30" i="10" s="1"/>
  <c r="Y31" i="10" s="1"/>
  <c r="Y45" i="10" s="1"/>
  <c r="Y46" i="10" s="1"/>
  <c r="U20" i="15"/>
  <c r="U19" i="15"/>
  <c r="U18" i="15"/>
  <c r="U17" i="15"/>
  <c r="U16" i="15"/>
  <c r="U15" i="15"/>
  <c r="U14" i="15"/>
  <c r="U13" i="15"/>
  <c r="T203" i="19"/>
  <c r="T44" i="19"/>
  <c r="S106" i="15"/>
  <c r="S61" i="15"/>
  <c r="S74" i="15" s="1"/>
  <c r="S87" i="15" s="1"/>
  <c r="S119" i="15" s="1"/>
  <c r="S116" i="17"/>
  <c r="S48" i="17"/>
  <c r="S61" i="17" s="1"/>
  <c r="S74" i="17" s="1"/>
  <c r="S129" i="17" s="1"/>
  <c r="R71" i="17"/>
  <c r="R126" i="17" s="1"/>
  <c r="S106" i="19"/>
  <c r="S58" i="19"/>
  <c r="S71" i="19" s="1"/>
  <c r="S102" i="15"/>
  <c r="S57" i="15"/>
  <c r="S70" i="15" s="1"/>
  <c r="S83" i="15" s="1"/>
  <c r="S115" i="15" s="1"/>
  <c r="T161" i="17"/>
  <c r="T31" i="17"/>
  <c r="N66" i="27"/>
  <c r="N56" i="27"/>
  <c r="N71" i="27"/>
  <c r="N78" i="27" s="1"/>
  <c r="T160" i="15"/>
  <c r="T44" i="15"/>
  <c r="S101" i="15"/>
  <c r="S56" i="15"/>
  <c r="S69" i="15" s="1"/>
  <c r="S82" i="15" s="1"/>
  <c r="S114" i="15" s="1"/>
  <c r="V39" i="10"/>
  <c r="V38" i="10"/>
  <c r="O59" i="27"/>
  <c r="V11" i="19"/>
  <c r="V97" i="19"/>
  <c r="V111" i="18"/>
  <c r="V11" i="18"/>
  <c r="V11" i="17"/>
  <c r="V108" i="17"/>
  <c r="V97" i="15"/>
  <c r="V11" i="15"/>
  <c r="V21" i="14"/>
  <c r="V23" i="14" s="1"/>
  <c r="T161" i="15"/>
  <c r="T45" i="15"/>
  <c r="S115" i="18"/>
  <c r="S70" i="18"/>
  <c r="S83" i="18" s="1"/>
  <c r="S96" i="18" s="1"/>
  <c r="S128" i="18" s="1"/>
  <c r="T45" i="19"/>
  <c r="T204" i="19"/>
  <c r="S119" i="18"/>
  <c r="S74" i="18"/>
  <c r="S87" i="18" s="1"/>
  <c r="S100" i="18" s="1"/>
  <c r="S132" i="18" s="1"/>
  <c r="S108" i="19"/>
  <c r="S60" i="19"/>
  <c r="S73" i="19" s="1"/>
  <c r="T194" i="18"/>
  <c r="T58" i="18"/>
  <c r="R100" i="18"/>
  <c r="R132" i="18" s="1"/>
  <c r="T163" i="17"/>
  <c r="T33" i="17"/>
  <c r="T162" i="15"/>
  <c r="T46" i="15"/>
  <c r="T202" i="19"/>
  <c r="T43" i="19"/>
  <c r="T47" i="19"/>
  <c r="T206" i="19"/>
  <c r="T57" i="18"/>
  <c r="T193" i="18"/>
  <c r="S118" i="18"/>
  <c r="S73" i="18"/>
  <c r="S86" i="18" s="1"/>
  <c r="S99" i="18" s="1"/>
  <c r="S131" i="18" s="1"/>
  <c r="S103" i="15"/>
  <c r="S58" i="15"/>
  <c r="S71" i="15" s="1"/>
  <c r="S84" i="15" s="1"/>
  <c r="S116" i="15" s="1"/>
  <c r="X196" i="19"/>
  <c r="X10" i="19"/>
  <c r="X98" i="19"/>
  <c r="X112" i="18"/>
  <c r="X184" i="18"/>
  <c r="X10" i="18"/>
  <c r="X10" i="17"/>
  <c r="X152" i="15"/>
  <c r="X109" i="17"/>
  <c r="X155" i="17"/>
  <c r="X10" i="15"/>
  <c r="X98" i="15"/>
  <c r="X20" i="10"/>
  <c r="Y19" i="10"/>
  <c r="T164" i="17"/>
  <c r="T34" i="17"/>
  <c r="T163" i="15"/>
  <c r="T47" i="15"/>
  <c r="S117" i="17"/>
  <c r="S49" i="17"/>
  <c r="S62" i="17" s="1"/>
  <c r="S75" i="17" s="1"/>
  <c r="S130" i="17" s="1"/>
  <c r="T205" i="19"/>
  <c r="T46" i="19"/>
  <c r="S105" i="15"/>
  <c r="S60" i="15"/>
  <c r="S73" i="15" s="1"/>
  <c r="S86" i="15" s="1"/>
  <c r="S118" i="15" s="1"/>
  <c r="T61" i="18"/>
  <c r="T197" i="18"/>
  <c r="S107" i="19"/>
  <c r="S59" i="19"/>
  <c r="S72" i="19" s="1"/>
  <c r="W21" i="10"/>
  <c r="W62" i="10" s="1"/>
  <c r="W63" i="10" s="1"/>
  <c r="W64" i="10" s="1"/>
  <c r="W89" i="25" s="1"/>
  <c r="W100" i="25" s="1"/>
  <c r="W3" i="23"/>
  <c r="W3" i="25"/>
  <c r="W3" i="21"/>
  <c r="W3" i="19"/>
  <c r="W3" i="18"/>
  <c r="W3" i="17"/>
  <c r="W3" i="15"/>
  <c r="W24" i="10"/>
  <c r="W52" i="10" s="1"/>
  <c r="W36" i="10"/>
  <c r="W3" i="14"/>
  <c r="W3" i="12"/>
  <c r="W51" i="10"/>
  <c r="T162" i="17"/>
  <c r="T32" i="17"/>
  <c r="U20" i="17"/>
  <c r="U19" i="17"/>
  <c r="U16" i="17"/>
  <c r="U14" i="17"/>
  <c r="U17" i="17"/>
  <c r="U15" i="17"/>
  <c r="U13" i="17"/>
  <c r="U20" i="18"/>
  <c r="U18" i="18"/>
  <c r="U19" i="18"/>
  <c r="U15" i="18"/>
  <c r="U17" i="18"/>
  <c r="U16" i="18"/>
  <c r="U13" i="18"/>
  <c r="U14" i="18"/>
  <c r="T164" i="15"/>
  <c r="T48" i="15"/>
  <c r="U18" i="17"/>
  <c r="T36" i="17"/>
  <c r="T166" i="17"/>
  <c r="T207" i="19"/>
  <c r="T48" i="19"/>
  <c r="T195" i="18"/>
  <c r="T59" i="18"/>
  <c r="S116" i="18"/>
  <c r="S71" i="18"/>
  <c r="S84" i="18" s="1"/>
  <c r="S97" i="18" s="1"/>
  <c r="S129" i="18" s="1"/>
  <c r="S105" i="19"/>
  <c r="S57" i="19"/>
  <c r="S70" i="19" s="1"/>
  <c r="T35" i="17"/>
  <c r="T165" i="17"/>
  <c r="T165" i="15"/>
  <c r="T49" i="15"/>
  <c r="U19" i="19"/>
  <c r="T49" i="19"/>
  <c r="T208" i="19"/>
  <c r="S113" i="17"/>
  <c r="S45" i="17"/>
  <c r="S58" i="17" s="1"/>
  <c r="S71" i="17" s="1"/>
  <c r="S126" i="17" s="1"/>
  <c r="T196" i="18"/>
  <c r="T60" i="18"/>
  <c r="S120" i="18"/>
  <c r="S75" i="18"/>
  <c r="S88" i="18" s="1"/>
  <c r="T37" i="17"/>
  <c r="T167" i="17"/>
  <c r="T4" i="14"/>
  <c r="T4" i="25"/>
  <c r="T4" i="21"/>
  <c r="T4" i="23"/>
  <c r="T4" i="19"/>
  <c r="T4" i="18"/>
  <c r="T4" i="17"/>
  <c r="T4" i="15"/>
  <c r="T4" i="12"/>
  <c r="T199" i="18"/>
  <c r="T63" i="18"/>
  <c r="S104" i="15"/>
  <c r="S59" i="15"/>
  <c r="S72" i="15" s="1"/>
  <c r="S85" i="15" s="1"/>
  <c r="S117" i="15" s="1"/>
  <c r="U20" i="19"/>
  <c r="U17" i="19"/>
  <c r="U18" i="19"/>
  <c r="U16" i="19"/>
  <c r="U13" i="19"/>
  <c r="U15" i="19"/>
  <c r="U14" i="19"/>
  <c r="V26" i="25"/>
  <c r="V28" i="25"/>
  <c r="V44" i="25"/>
  <c r="V43" i="25"/>
  <c r="V25" i="25"/>
  <c r="V27" i="25"/>
  <c r="T159" i="15"/>
  <c r="T43" i="15"/>
  <c r="S114" i="17"/>
  <c r="S46" i="17"/>
  <c r="S59" i="17" s="1"/>
  <c r="S72" i="17" s="1"/>
  <c r="S127" i="17" s="1"/>
  <c r="S112" i="17"/>
  <c r="S44" i="17"/>
  <c r="S57" i="17" s="1"/>
  <c r="S70" i="17" s="1"/>
  <c r="S125" i="17" s="1"/>
  <c r="S109" i="19"/>
  <c r="S61" i="19"/>
  <c r="S74" i="19" s="1"/>
  <c r="U307" i="19"/>
  <c r="U238" i="18"/>
  <c r="U207" i="17"/>
  <c r="U204" i="15"/>
  <c r="U33" i="14"/>
  <c r="U41" i="10"/>
  <c r="U64" i="14"/>
  <c r="S104" i="19"/>
  <c r="S56" i="19"/>
  <c r="S69" i="19" s="1"/>
  <c r="S115" i="17"/>
  <c r="S47" i="17"/>
  <c r="S60" i="17" s="1"/>
  <c r="S73" i="17" s="1"/>
  <c r="S128" i="17" s="1"/>
  <c r="T198" i="18"/>
  <c r="T62" i="18"/>
  <c r="S117" i="18"/>
  <c r="S72" i="18"/>
  <c r="S85" i="18" s="1"/>
  <c r="S98" i="18" s="1"/>
  <c r="S130" i="18" s="1"/>
  <c r="S83" i="19" l="1"/>
  <c r="S118" i="19" s="1"/>
  <c r="S86" i="19"/>
  <c r="S121" i="19" s="1"/>
  <c r="S84" i="19"/>
  <c r="S119" i="19" s="1"/>
  <c r="S85" i="19"/>
  <c r="S120" i="19" s="1"/>
  <c r="S82" i="19"/>
  <c r="S117" i="19" s="1"/>
  <c r="S87" i="19"/>
  <c r="S122" i="19" s="1"/>
  <c r="W49" i="25"/>
  <c r="W69" i="25"/>
  <c r="Z11" i="10"/>
  <c r="Z30" i="10" s="1"/>
  <c r="Z31" i="10" s="1"/>
  <c r="Z45" i="10" s="1"/>
  <c r="Z46" i="10" s="1"/>
  <c r="AA10" i="10"/>
  <c r="T121" i="18"/>
  <c r="T76" i="18"/>
  <c r="T89" i="18" s="1"/>
  <c r="T102" i="18" s="1"/>
  <c r="T134" i="18" s="1"/>
  <c r="T116" i="17"/>
  <c r="T48" i="17"/>
  <c r="T61" i="17" s="1"/>
  <c r="T74" i="17" s="1"/>
  <c r="T129" i="17" s="1"/>
  <c r="U193" i="18"/>
  <c r="U57" i="18"/>
  <c r="U163" i="17"/>
  <c r="U33" i="17"/>
  <c r="T119" i="18"/>
  <c r="T74" i="18"/>
  <c r="T87" i="18" s="1"/>
  <c r="T100" i="18" s="1"/>
  <c r="T132" i="18" s="1"/>
  <c r="V21" i="15"/>
  <c r="V20" i="15"/>
  <c r="V19" i="15"/>
  <c r="V18" i="15"/>
  <c r="V17" i="15"/>
  <c r="V16" i="15"/>
  <c r="V15" i="15"/>
  <c r="V14" i="15"/>
  <c r="V13" i="15"/>
  <c r="O66" i="27"/>
  <c r="O56" i="27"/>
  <c r="O71" i="27"/>
  <c r="O78" i="27" s="1"/>
  <c r="U160" i="15"/>
  <c r="U44" i="15"/>
  <c r="U194" i="18"/>
  <c r="U58" i="18"/>
  <c r="U159" i="15"/>
  <c r="U43" i="15"/>
  <c r="U205" i="19"/>
  <c r="U46" i="19"/>
  <c r="U60" i="18"/>
  <c r="U196" i="18"/>
  <c r="U35" i="17"/>
  <c r="U165" i="17"/>
  <c r="T108" i="19"/>
  <c r="T60" i="19"/>
  <c r="T73" i="19" s="1"/>
  <c r="V307" i="19"/>
  <c r="V238" i="18"/>
  <c r="V204" i="15"/>
  <c r="V207" i="17"/>
  <c r="V33" i="14"/>
  <c r="V64" i="14"/>
  <c r="V41" i="10"/>
  <c r="U161" i="15"/>
  <c r="U45" i="15"/>
  <c r="T109" i="19"/>
  <c r="T61" i="19"/>
  <c r="T74" i="19" s="1"/>
  <c r="U4" i="21"/>
  <c r="U4" i="23"/>
  <c r="U4" i="25"/>
  <c r="U4" i="19"/>
  <c r="U4" i="18"/>
  <c r="U4" i="17"/>
  <c r="U4" i="15"/>
  <c r="U4" i="14"/>
  <c r="U4" i="12"/>
  <c r="U48" i="19"/>
  <c r="U207" i="19"/>
  <c r="T117" i="17"/>
  <c r="T49" i="17"/>
  <c r="T62" i="17" s="1"/>
  <c r="T75" i="17" s="1"/>
  <c r="T130" i="17" s="1"/>
  <c r="U197" i="18"/>
  <c r="U61" i="18"/>
  <c r="U162" i="17"/>
  <c r="U32" i="17"/>
  <c r="W25" i="25"/>
  <c r="W27" i="25"/>
  <c r="W44" i="25"/>
  <c r="W43" i="25"/>
  <c r="W26" i="25"/>
  <c r="W28" i="25"/>
  <c r="T115" i="17"/>
  <c r="T47" i="17"/>
  <c r="T60" i="17" s="1"/>
  <c r="T73" i="17" s="1"/>
  <c r="T128" i="17" s="1"/>
  <c r="T104" i="19"/>
  <c r="T56" i="19"/>
  <c r="T69" i="19" s="1"/>
  <c r="T106" i="19"/>
  <c r="T58" i="19"/>
  <c r="T71" i="19" s="1"/>
  <c r="T112" i="17"/>
  <c r="T44" i="17"/>
  <c r="T57" i="17" s="1"/>
  <c r="T70" i="17" s="1"/>
  <c r="T125" i="17" s="1"/>
  <c r="U162" i="15"/>
  <c r="U46" i="15"/>
  <c r="T115" i="18"/>
  <c r="T70" i="18"/>
  <c r="T83" i="18" s="1"/>
  <c r="T96" i="18" s="1"/>
  <c r="T128" i="18" s="1"/>
  <c r="T114" i="17"/>
  <c r="T46" i="17"/>
  <c r="T59" i="17" s="1"/>
  <c r="T72" i="17" s="1"/>
  <c r="T127" i="17" s="1"/>
  <c r="T120" i="18"/>
  <c r="T75" i="18"/>
  <c r="T88" i="18" s="1"/>
  <c r="T101" i="18" s="1"/>
  <c r="T133" i="18" s="1"/>
  <c r="U206" i="19"/>
  <c r="U47" i="19"/>
  <c r="T118" i="17"/>
  <c r="T50" i="17"/>
  <c r="T63" i="17" s="1"/>
  <c r="T76" i="17" s="1"/>
  <c r="T131" i="17" s="1"/>
  <c r="T110" i="19"/>
  <c r="T62" i="19"/>
  <c r="T75" i="19" s="1"/>
  <c r="V18" i="17"/>
  <c r="U166" i="17"/>
  <c r="U36" i="17"/>
  <c r="U195" i="18"/>
  <c r="U59" i="18"/>
  <c r="U34" i="17"/>
  <c r="U164" i="17"/>
  <c r="W38" i="10"/>
  <c r="W39" i="10"/>
  <c r="T107" i="19"/>
  <c r="T59" i="19"/>
  <c r="T72" i="19" s="1"/>
  <c r="T116" i="18"/>
  <c r="T71" i="18"/>
  <c r="T84" i="18" s="1"/>
  <c r="T97" i="18" s="1"/>
  <c r="T129" i="18" s="1"/>
  <c r="V21" i="17"/>
  <c r="V20" i="17"/>
  <c r="V19" i="17"/>
  <c r="V16" i="17"/>
  <c r="V17" i="17"/>
  <c r="V14" i="17"/>
  <c r="V15" i="17"/>
  <c r="V13" i="17"/>
  <c r="U163" i="15"/>
  <c r="U47" i="15"/>
  <c r="U209" i="19"/>
  <c r="U50" i="19"/>
  <c r="S101" i="18"/>
  <c r="S133" i="18" s="1"/>
  <c r="V19" i="19"/>
  <c r="U49" i="19"/>
  <c r="U208" i="19"/>
  <c r="T106" i="15"/>
  <c r="T61" i="15"/>
  <c r="T74" i="15" s="1"/>
  <c r="T87" i="15" s="1"/>
  <c r="T119" i="15" s="1"/>
  <c r="U199" i="18"/>
  <c r="U63" i="18"/>
  <c r="U167" i="17"/>
  <c r="U37" i="17"/>
  <c r="P59" i="27"/>
  <c r="W11" i="19"/>
  <c r="W97" i="19"/>
  <c r="W111" i="18"/>
  <c r="W11" i="18"/>
  <c r="W11" i="17"/>
  <c r="W108" i="17"/>
  <c r="W97" i="15"/>
  <c r="W11" i="15"/>
  <c r="W21" i="14"/>
  <c r="W23" i="14" s="1"/>
  <c r="Y196" i="19"/>
  <c r="Y10" i="19"/>
  <c r="Y98" i="19"/>
  <c r="Y184" i="18"/>
  <c r="Y10" i="18"/>
  <c r="Y112" i="18"/>
  <c r="Y10" i="17"/>
  <c r="Y109" i="17"/>
  <c r="Y152" i="15"/>
  <c r="Y155" i="17"/>
  <c r="Y98" i="15"/>
  <c r="Y10" i="15"/>
  <c r="Y20" i="10"/>
  <c r="Z19" i="10"/>
  <c r="T104" i="15"/>
  <c r="T59" i="15"/>
  <c r="T72" i="15" s="1"/>
  <c r="T85" i="15" s="1"/>
  <c r="T117" i="15" s="1"/>
  <c r="V21" i="18"/>
  <c r="V20" i="18"/>
  <c r="V19" i="18"/>
  <c r="V18" i="18"/>
  <c r="V16" i="18"/>
  <c r="V15" i="18"/>
  <c r="V13" i="18"/>
  <c r="V17" i="18"/>
  <c r="V14" i="18"/>
  <c r="U164" i="15"/>
  <c r="U48" i="15"/>
  <c r="U45" i="19"/>
  <c r="U204" i="19"/>
  <c r="U161" i="17"/>
  <c r="U31" i="17"/>
  <c r="T105" i="15"/>
  <c r="T60" i="15"/>
  <c r="T73" i="15" s="1"/>
  <c r="T86" i="15" s="1"/>
  <c r="T118" i="15" s="1"/>
  <c r="V21" i="19"/>
  <c r="V20" i="19"/>
  <c r="V17" i="19"/>
  <c r="V18" i="19"/>
  <c r="V13" i="19"/>
  <c r="V16" i="19"/>
  <c r="V15" i="19"/>
  <c r="V14" i="19"/>
  <c r="T107" i="15"/>
  <c r="T62" i="15"/>
  <c r="T75" i="15" s="1"/>
  <c r="T88" i="15" s="1"/>
  <c r="T120" i="15" s="1"/>
  <c r="T117" i="18"/>
  <c r="T72" i="18"/>
  <c r="T85" i="18" s="1"/>
  <c r="T98" i="18" s="1"/>
  <c r="T130" i="18" s="1"/>
  <c r="U62" i="18"/>
  <c r="U198" i="18"/>
  <c r="U168" i="17"/>
  <c r="U38" i="17"/>
  <c r="X21" i="10"/>
  <c r="X62" i="10" s="1"/>
  <c r="X63" i="10" s="1"/>
  <c r="X64" i="10" s="1"/>
  <c r="X89" i="25" s="1"/>
  <c r="X100" i="25" s="1"/>
  <c r="X3" i="25"/>
  <c r="X3" i="21"/>
  <c r="X3" i="23"/>
  <c r="X3" i="19"/>
  <c r="X3" i="18"/>
  <c r="X3" i="17"/>
  <c r="X3" i="15"/>
  <c r="X24" i="10"/>
  <c r="X52" i="10" s="1"/>
  <c r="X36" i="10"/>
  <c r="X3" i="14"/>
  <c r="X51" i="10"/>
  <c r="X3" i="12"/>
  <c r="T103" i="15"/>
  <c r="T58" i="15"/>
  <c r="T71" i="15" s="1"/>
  <c r="T84" i="15" s="1"/>
  <c r="T116" i="15" s="1"/>
  <c r="T102" i="15"/>
  <c r="T57" i="15"/>
  <c r="T70" i="15" s="1"/>
  <c r="T83" i="15" s="1"/>
  <c r="T115" i="15" s="1"/>
  <c r="T105" i="19"/>
  <c r="T57" i="19"/>
  <c r="T70" i="19" s="1"/>
  <c r="U165" i="15"/>
  <c r="U49" i="15"/>
  <c r="U202" i="19"/>
  <c r="U43" i="19"/>
  <c r="T101" i="15"/>
  <c r="T56" i="15"/>
  <c r="T69" i="15" s="1"/>
  <c r="T82" i="15" s="1"/>
  <c r="T114" i="15" s="1"/>
  <c r="U203" i="19"/>
  <c r="U44" i="19"/>
  <c r="T118" i="18"/>
  <c r="T73" i="18"/>
  <c r="T86" i="18" s="1"/>
  <c r="T99" i="18" s="1"/>
  <c r="T131" i="18" s="1"/>
  <c r="U200" i="18"/>
  <c r="U64" i="18"/>
  <c r="T113" i="17"/>
  <c r="T45" i="17"/>
  <c r="T58" i="17" s="1"/>
  <c r="T71" i="17" s="1"/>
  <c r="T126" i="17" s="1"/>
  <c r="U166" i="15"/>
  <c r="U50" i="15"/>
  <c r="T85" i="19" l="1"/>
  <c r="T120" i="19" s="1"/>
  <c r="T87" i="19"/>
  <c r="T122" i="19" s="1"/>
  <c r="T82" i="19"/>
  <c r="T117" i="19" s="1"/>
  <c r="T83" i="19"/>
  <c r="T118" i="19" s="1"/>
  <c r="T88" i="19"/>
  <c r="T123" i="19" s="1"/>
  <c r="T84" i="19"/>
  <c r="T119" i="19" s="1"/>
  <c r="T86" i="19"/>
  <c r="T121" i="19" s="1"/>
  <c r="X49" i="25"/>
  <c r="X69" i="25"/>
  <c r="W75" i="25"/>
  <c r="W74" i="25"/>
  <c r="W56" i="25"/>
  <c r="W59" i="25"/>
  <c r="W57" i="25"/>
  <c r="W58" i="25"/>
  <c r="AB10" i="10"/>
  <c r="AA11" i="10"/>
  <c r="AA30" i="10" s="1"/>
  <c r="AA31" i="10" s="1"/>
  <c r="AA45" i="10" s="1"/>
  <c r="AA46" i="10" s="1"/>
  <c r="U120" i="18"/>
  <c r="U75" i="18"/>
  <c r="U88" i="18" s="1"/>
  <c r="U101" i="18" s="1"/>
  <c r="U133" i="18" s="1"/>
  <c r="X39" i="10"/>
  <c r="X38" i="10"/>
  <c r="X44" i="25"/>
  <c r="X26" i="25"/>
  <c r="X28" i="25"/>
  <c r="X43" i="25"/>
  <c r="X25" i="25"/>
  <c r="X27" i="25"/>
  <c r="V207" i="19"/>
  <c r="V48" i="19"/>
  <c r="V196" i="18"/>
  <c r="V60" i="18"/>
  <c r="Y21" i="10"/>
  <c r="Y62" i="10" s="1"/>
  <c r="Y63" i="10" s="1"/>
  <c r="Y64" i="10" s="1"/>
  <c r="Y89" i="25" s="1"/>
  <c r="Y100" i="25" s="1"/>
  <c r="Y3" i="25"/>
  <c r="Y3" i="21"/>
  <c r="Y3" i="23"/>
  <c r="Y3" i="19"/>
  <c r="Y3" i="18"/>
  <c r="Y3" i="17"/>
  <c r="Y3" i="15"/>
  <c r="Y3" i="12"/>
  <c r="Y36" i="10"/>
  <c r="Y51" i="10"/>
  <c r="Y3" i="14"/>
  <c r="Y24" i="10"/>
  <c r="Y52" i="10" s="1"/>
  <c r="V162" i="17"/>
  <c r="V32" i="17"/>
  <c r="U117" i="17"/>
  <c r="U49" i="17"/>
  <c r="U62" i="17" s="1"/>
  <c r="U75" i="17" s="1"/>
  <c r="U130" i="17" s="1"/>
  <c r="U118" i="18"/>
  <c r="U73" i="18"/>
  <c r="U86" i="18" s="1"/>
  <c r="U99" i="18" s="1"/>
  <c r="U131" i="18" s="1"/>
  <c r="V163" i="15"/>
  <c r="V47" i="15"/>
  <c r="V195" i="18"/>
  <c r="V59" i="18"/>
  <c r="W19" i="19"/>
  <c r="V208" i="19"/>
  <c r="V49" i="19"/>
  <c r="U113" i="17"/>
  <c r="U45" i="17"/>
  <c r="U58" i="17" s="1"/>
  <c r="U71" i="17" s="1"/>
  <c r="U126" i="17" s="1"/>
  <c r="U114" i="17"/>
  <c r="U46" i="17"/>
  <c r="U59" i="17" s="1"/>
  <c r="U72" i="17" s="1"/>
  <c r="U127" i="17" s="1"/>
  <c r="U122" i="18"/>
  <c r="U77" i="18"/>
  <c r="U90" i="18" s="1"/>
  <c r="U103" i="18" s="1"/>
  <c r="U135" i="18" s="1"/>
  <c r="U104" i="19"/>
  <c r="U56" i="19"/>
  <c r="U69" i="19" s="1"/>
  <c r="Q59" i="27"/>
  <c r="X97" i="19"/>
  <c r="X11" i="19"/>
  <c r="X111" i="18"/>
  <c r="X11" i="18"/>
  <c r="X108" i="17"/>
  <c r="X11" i="17"/>
  <c r="X97" i="15"/>
  <c r="X11" i="15"/>
  <c r="X21" i="14"/>
  <c r="X23" i="14" s="1"/>
  <c r="V47" i="19"/>
  <c r="V206" i="19"/>
  <c r="U106" i="19"/>
  <c r="U58" i="19"/>
  <c r="U71" i="19" s="1"/>
  <c r="V198" i="18"/>
  <c r="V62" i="18"/>
  <c r="W22" i="17"/>
  <c r="W18" i="17"/>
  <c r="W21" i="17"/>
  <c r="W20" i="17"/>
  <c r="W19" i="17"/>
  <c r="W14" i="17"/>
  <c r="W16" i="17"/>
  <c r="W17" i="17"/>
  <c r="W15" i="17"/>
  <c r="W13" i="17"/>
  <c r="U121" i="18"/>
  <c r="U76" i="18"/>
  <c r="U89" i="18" s="1"/>
  <c r="U102" i="18" s="1"/>
  <c r="U134" i="18" s="1"/>
  <c r="V165" i="17"/>
  <c r="V35" i="17"/>
  <c r="U119" i="18"/>
  <c r="U74" i="18"/>
  <c r="U87" i="18" s="1"/>
  <c r="U100" i="18" s="1"/>
  <c r="U132" i="18" s="1"/>
  <c r="U107" i="19"/>
  <c r="U59" i="19"/>
  <c r="U72" i="19" s="1"/>
  <c r="V164" i="15"/>
  <c r="V48" i="15"/>
  <c r="U115" i="18"/>
  <c r="U70" i="18"/>
  <c r="U83" i="18" s="1"/>
  <c r="U96" i="18" s="1"/>
  <c r="U128" i="18" s="1"/>
  <c r="Z196" i="19"/>
  <c r="Z10" i="19"/>
  <c r="Z98" i="19"/>
  <c r="Z10" i="18"/>
  <c r="Z112" i="18"/>
  <c r="Z184" i="18"/>
  <c r="Z109" i="17"/>
  <c r="Z152" i="15"/>
  <c r="Z155" i="17"/>
  <c r="Z10" i="17"/>
  <c r="Z98" i="15"/>
  <c r="Z10" i="15"/>
  <c r="AA19" i="10"/>
  <c r="Z20" i="10"/>
  <c r="U118" i="17"/>
  <c r="U50" i="17"/>
  <c r="U63" i="17" s="1"/>
  <c r="U76" i="17" s="1"/>
  <c r="U131" i="17" s="1"/>
  <c r="U108" i="19"/>
  <c r="U60" i="19"/>
  <c r="U73" i="19" s="1"/>
  <c r="W20" i="19"/>
  <c r="V50" i="19"/>
  <c r="V209" i="19"/>
  <c r="U106" i="15"/>
  <c r="U61" i="15"/>
  <c r="U74" i="15" s="1"/>
  <c r="U87" i="15" s="1"/>
  <c r="U119" i="15" s="1"/>
  <c r="V199" i="18"/>
  <c r="V63" i="18"/>
  <c r="W22" i="18"/>
  <c r="W21" i="18"/>
  <c r="W20" i="18"/>
  <c r="W19" i="18"/>
  <c r="W18" i="18"/>
  <c r="W13" i="18"/>
  <c r="W17" i="18"/>
  <c r="W15" i="18"/>
  <c r="W16" i="18"/>
  <c r="W14" i="18"/>
  <c r="U111" i="19"/>
  <c r="U63" i="19"/>
  <c r="U76" i="19" s="1"/>
  <c r="V164" i="17"/>
  <c r="V34" i="17"/>
  <c r="V36" i="17"/>
  <c r="V166" i="17"/>
  <c r="U103" i="15"/>
  <c r="U58" i="15"/>
  <c r="U71" i="15" s="1"/>
  <c r="U84" i="15" s="1"/>
  <c r="U116" i="15" s="1"/>
  <c r="V165" i="15"/>
  <c r="V49" i="15"/>
  <c r="V163" i="17"/>
  <c r="V33" i="17"/>
  <c r="U104" i="15"/>
  <c r="U59" i="15"/>
  <c r="U72" i="15" s="1"/>
  <c r="U85" i="15" s="1"/>
  <c r="U117" i="15" s="1"/>
  <c r="U102" i="15"/>
  <c r="U57" i="15"/>
  <c r="U70" i="15" s="1"/>
  <c r="U83" i="15" s="1"/>
  <c r="U115" i="15" s="1"/>
  <c r="U108" i="15"/>
  <c r="U63" i="15"/>
  <c r="U76" i="15" s="1"/>
  <c r="U89" i="15" s="1"/>
  <c r="U121" i="15" s="1"/>
  <c r="W21" i="19"/>
  <c r="V210" i="19"/>
  <c r="V51" i="19"/>
  <c r="V200" i="18"/>
  <c r="V64" i="18"/>
  <c r="V37" i="17"/>
  <c r="V167" i="17"/>
  <c r="W307" i="19"/>
  <c r="W238" i="18"/>
  <c r="W204" i="15"/>
  <c r="W207" i="17"/>
  <c r="W41" i="10"/>
  <c r="W33" i="14"/>
  <c r="W64" i="14"/>
  <c r="U101" i="15"/>
  <c r="U56" i="15"/>
  <c r="U69" i="15" s="1"/>
  <c r="U82" i="15" s="1"/>
  <c r="U114" i="15" s="1"/>
  <c r="V166" i="15"/>
  <c r="V50" i="15"/>
  <c r="U119" i="17"/>
  <c r="U51" i="17"/>
  <c r="U64" i="17" s="1"/>
  <c r="U77" i="17" s="1"/>
  <c r="U132" i="17" s="1"/>
  <c r="V203" i="19"/>
  <c r="V44" i="19"/>
  <c r="V58" i="18"/>
  <c r="V194" i="18"/>
  <c r="V201" i="18"/>
  <c r="V65" i="18"/>
  <c r="U105" i="15"/>
  <c r="U60" i="15"/>
  <c r="U73" i="15" s="1"/>
  <c r="U86" i="15" s="1"/>
  <c r="U118" i="15" s="1"/>
  <c r="V168" i="17"/>
  <c r="V38" i="17"/>
  <c r="V4" i="23"/>
  <c r="V4" i="25"/>
  <c r="V4" i="19"/>
  <c r="V4" i="21"/>
  <c r="V4" i="18"/>
  <c r="V4" i="17"/>
  <c r="V4" i="15"/>
  <c r="V4" i="14"/>
  <c r="V4" i="12"/>
  <c r="V159" i="15"/>
  <c r="V43" i="15"/>
  <c r="V167" i="15"/>
  <c r="V51" i="15"/>
  <c r="V202" i="19"/>
  <c r="V43" i="19"/>
  <c r="U107" i="15"/>
  <c r="U62" i="15"/>
  <c r="U75" i="15" s="1"/>
  <c r="U88" i="15" s="1"/>
  <c r="U120" i="15" s="1"/>
  <c r="W22" i="19"/>
  <c r="W17" i="19"/>
  <c r="W18" i="19"/>
  <c r="W16" i="19"/>
  <c r="W13" i="19"/>
  <c r="W15" i="19"/>
  <c r="W14" i="19"/>
  <c r="V169" i="17"/>
  <c r="V39" i="17"/>
  <c r="U115" i="17"/>
  <c r="U47" i="17"/>
  <c r="U60" i="17" s="1"/>
  <c r="U73" i="17" s="1"/>
  <c r="U128" i="17" s="1"/>
  <c r="U116" i="18"/>
  <c r="U71" i="18"/>
  <c r="U84" i="18" s="1"/>
  <c r="U97" i="18" s="1"/>
  <c r="U129" i="18" s="1"/>
  <c r="V160" i="15"/>
  <c r="V44" i="15"/>
  <c r="V162" i="15"/>
  <c r="V46" i="15"/>
  <c r="U105" i="19"/>
  <c r="U57" i="19"/>
  <c r="U70" i="19" s="1"/>
  <c r="V204" i="19"/>
  <c r="V45" i="19"/>
  <c r="V61" i="18"/>
  <c r="V197" i="18"/>
  <c r="V205" i="19"/>
  <c r="V46" i="19"/>
  <c r="U112" i="17"/>
  <c r="U44" i="17"/>
  <c r="U57" i="17" s="1"/>
  <c r="U70" i="17" s="1"/>
  <c r="U125" i="17" s="1"/>
  <c r="V193" i="18"/>
  <c r="V57" i="18"/>
  <c r="W22" i="15"/>
  <c r="W21" i="15"/>
  <c r="W20" i="15"/>
  <c r="W19" i="15"/>
  <c r="W18" i="15"/>
  <c r="W17" i="15"/>
  <c r="W16" i="15"/>
  <c r="W15" i="15"/>
  <c r="W14" i="15"/>
  <c r="W13" i="15"/>
  <c r="P66" i="27"/>
  <c r="P71" i="27"/>
  <c r="P78" i="27" s="1"/>
  <c r="P56" i="27"/>
  <c r="U110" i="19"/>
  <c r="U62" i="19"/>
  <c r="U75" i="19" s="1"/>
  <c r="V161" i="17"/>
  <c r="V31" i="17"/>
  <c r="U117" i="18"/>
  <c r="U72" i="18"/>
  <c r="U85" i="18" s="1"/>
  <c r="U98" i="18" s="1"/>
  <c r="U130" i="18" s="1"/>
  <c r="U109" i="19"/>
  <c r="U61" i="19"/>
  <c r="U74" i="19" s="1"/>
  <c r="U116" i="17"/>
  <c r="U48" i="17"/>
  <c r="U61" i="17" s="1"/>
  <c r="U74" i="17" s="1"/>
  <c r="U129" i="17" s="1"/>
  <c r="V161" i="15"/>
  <c r="V45" i="15"/>
  <c r="U82" i="19" l="1"/>
  <c r="U117" i="19" s="1"/>
  <c r="U86" i="19"/>
  <c r="U121" i="19" s="1"/>
  <c r="U88" i="19"/>
  <c r="U123" i="19" s="1"/>
  <c r="U84" i="19"/>
  <c r="U119" i="19" s="1"/>
  <c r="U83" i="19"/>
  <c r="U118" i="19" s="1"/>
  <c r="U87" i="19"/>
  <c r="U122" i="19" s="1"/>
  <c r="U89" i="19"/>
  <c r="U124" i="19" s="1"/>
  <c r="U85" i="19"/>
  <c r="U120" i="19" s="1"/>
  <c r="X74" i="25"/>
  <c r="X75" i="25"/>
  <c r="Y83" i="25"/>
  <c r="Y69" i="25"/>
  <c r="Y49" i="25"/>
  <c r="X59" i="25"/>
  <c r="X57" i="25"/>
  <c r="X56" i="25"/>
  <c r="X58" i="25"/>
  <c r="AB11" i="10"/>
  <c r="AB30" i="10" s="1"/>
  <c r="AB31" i="10" s="1"/>
  <c r="AB45" i="10" s="1"/>
  <c r="AB46" i="10" s="1"/>
  <c r="AC10" i="10"/>
  <c r="Y54" i="10"/>
  <c r="X54" i="10" s="1"/>
  <c r="V107" i="19"/>
  <c r="V59" i="19"/>
  <c r="V72" i="19" s="1"/>
  <c r="W163" i="15"/>
  <c r="W47" i="15"/>
  <c r="W164" i="15"/>
  <c r="W48" i="15"/>
  <c r="W205" i="19"/>
  <c r="W46" i="19"/>
  <c r="V109" i="15"/>
  <c r="V64" i="15"/>
  <c r="V77" i="15" s="1"/>
  <c r="V90" i="15" s="1"/>
  <c r="V122" i="15" s="1"/>
  <c r="V118" i="17"/>
  <c r="V50" i="17"/>
  <c r="V63" i="17" s="1"/>
  <c r="V76" i="17" s="1"/>
  <c r="V131" i="17" s="1"/>
  <c r="W198" i="18"/>
  <c r="W62" i="18"/>
  <c r="W164" i="17"/>
  <c r="W34" i="17"/>
  <c r="X23" i="17"/>
  <c r="X22" i="17"/>
  <c r="X18" i="17"/>
  <c r="X21" i="17"/>
  <c r="X20" i="17"/>
  <c r="X19" i="17"/>
  <c r="X17" i="17"/>
  <c r="X14" i="17"/>
  <c r="X16" i="17"/>
  <c r="X15" i="17"/>
  <c r="X13" i="17"/>
  <c r="V110" i="19"/>
  <c r="V62" i="19"/>
  <c r="V75" i="19" s="1"/>
  <c r="Y39" i="10"/>
  <c r="Y38" i="10"/>
  <c r="Y44" i="25"/>
  <c r="Y25" i="25"/>
  <c r="Y27" i="25"/>
  <c r="Y43" i="25"/>
  <c r="Y26" i="25"/>
  <c r="Y28" i="25"/>
  <c r="W165" i="15"/>
  <c r="W49" i="15"/>
  <c r="W207" i="19"/>
  <c r="W48" i="19"/>
  <c r="V123" i="18"/>
  <c r="V78" i="18"/>
  <c r="V91" i="18" s="1"/>
  <c r="V104" i="18" s="1"/>
  <c r="V136" i="18" s="1"/>
  <c r="V122" i="18"/>
  <c r="V77" i="18"/>
  <c r="V90" i="18" s="1"/>
  <c r="V103" i="18" s="1"/>
  <c r="V135" i="18" s="1"/>
  <c r="V107" i="15"/>
  <c r="V62" i="15"/>
  <c r="V75" i="15" s="1"/>
  <c r="V88" i="15" s="1"/>
  <c r="V120" i="15" s="1"/>
  <c r="W199" i="18"/>
  <c r="W63" i="18"/>
  <c r="V116" i="17"/>
  <c r="V48" i="17"/>
  <c r="V61" i="17" s="1"/>
  <c r="V74" i="17" s="1"/>
  <c r="V129" i="17" s="1"/>
  <c r="W32" i="17"/>
  <c r="W162" i="17"/>
  <c r="Y97" i="19"/>
  <c r="R59" i="27"/>
  <c r="Y11" i="19"/>
  <c r="Y111" i="18"/>
  <c r="Y11" i="18"/>
  <c r="Y108" i="17"/>
  <c r="Y11" i="17"/>
  <c r="Y97" i="15"/>
  <c r="Y11" i="15"/>
  <c r="Y21" i="14"/>
  <c r="Y23" i="14" s="1"/>
  <c r="W166" i="15"/>
  <c r="W50" i="15"/>
  <c r="W206" i="19"/>
  <c r="W47" i="19"/>
  <c r="V101" i="15"/>
  <c r="V56" i="15"/>
  <c r="V69" i="15" s="1"/>
  <c r="V82" i="15" s="1"/>
  <c r="V114" i="15" s="1"/>
  <c r="W4" i="23"/>
  <c r="W4" i="25"/>
  <c r="W4" i="19"/>
  <c r="W4" i="21"/>
  <c r="W4" i="18"/>
  <c r="W4" i="17"/>
  <c r="W4" i="15"/>
  <c r="W4" i="14"/>
  <c r="W4" i="12"/>
  <c r="W64" i="18"/>
  <c r="W200" i="18"/>
  <c r="V63" i="19"/>
  <c r="V76" i="19" s="1"/>
  <c r="V111" i="19"/>
  <c r="W167" i="17"/>
  <c r="W37" i="17"/>
  <c r="X23" i="18"/>
  <c r="X22" i="18"/>
  <c r="X21" i="18"/>
  <c r="X20" i="18"/>
  <c r="X18" i="18"/>
  <c r="X19" i="18"/>
  <c r="X15" i="18"/>
  <c r="X16" i="18"/>
  <c r="X17" i="18"/>
  <c r="X13" i="18"/>
  <c r="X14" i="18"/>
  <c r="W208" i="19"/>
  <c r="W49" i="19"/>
  <c r="V118" i="18"/>
  <c r="V73" i="18"/>
  <c r="V86" i="18" s="1"/>
  <c r="V99" i="18" s="1"/>
  <c r="V131" i="18" s="1"/>
  <c r="W159" i="15"/>
  <c r="W43" i="15"/>
  <c r="W167" i="15"/>
  <c r="W51" i="15"/>
  <c r="V104" i="15"/>
  <c r="V59" i="15"/>
  <c r="V72" i="15" s="1"/>
  <c r="V85" i="15" s="1"/>
  <c r="V117" i="15" s="1"/>
  <c r="V120" i="17"/>
  <c r="V52" i="17"/>
  <c r="V65" i="17" s="1"/>
  <c r="V78" i="17" s="1"/>
  <c r="V133" i="17" s="1"/>
  <c r="X22" i="19"/>
  <c r="W52" i="19"/>
  <c r="W211" i="19"/>
  <c r="V112" i="19"/>
  <c r="V64" i="19"/>
  <c r="V77" i="19" s="1"/>
  <c r="W194" i="18"/>
  <c r="W58" i="18"/>
  <c r="W65" i="18"/>
  <c r="W201" i="18"/>
  <c r="X20" i="19"/>
  <c r="W50" i="19"/>
  <c r="W209" i="19"/>
  <c r="Z21" i="10"/>
  <c r="Z3" i="25"/>
  <c r="Z3" i="21"/>
  <c r="Z3" i="23"/>
  <c r="Z3" i="19"/>
  <c r="Z3" i="18"/>
  <c r="Z3" i="17"/>
  <c r="Z3" i="15"/>
  <c r="Z3" i="12"/>
  <c r="Z24" i="10"/>
  <c r="Z52" i="10" s="1"/>
  <c r="Z51" i="10"/>
  <c r="Z3" i="14"/>
  <c r="Z36" i="10"/>
  <c r="V106" i="15"/>
  <c r="V61" i="15"/>
  <c r="V74" i="15" s="1"/>
  <c r="V87" i="15" s="1"/>
  <c r="V119" i="15" s="1"/>
  <c r="W38" i="17"/>
  <c r="W168" i="17"/>
  <c r="V117" i="18"/>
  <c r="V72" i="18"/>
  <c r="V85" i="18" s="1"/>
  <c r="V98" i="18" s="1"/>
  <c r="V130" i="18" s="1"/>
  <c r="V113" i="17"/>
  <c r="V45" i="17"/>
  <c r="V58" i="17" s="1"/>
  <c r="V71" i="17" s="1"/>
  <c r="V126" i="17" s="1"/>
  <c r="V103" i="15"/>
  <c r="V58" i="15"/>
  <c r="V71" i="15" s="1"/>
  <c r="V84" i="15" s="1"/>
  <c r="V116" i="15" s="1"/>
  <c r="V112" i="17"/>
  <c r="V44" i="17"/>
  <c r="V57" i="17" s="1"/>
  <c r="V70" i="17" s="1"/>
  <c r="V125" i="17" s="1"/>
  <c r="W160" i="15"/>
  <c r="W44" i="15"/>
  <c r="W168" i="15"/>
  <c r="W52" i="15"/>
  <c r="V119" i="18"/>
  <c r="V74" i="18"/>
  <c r="V87" i="18" s="1"/>
  <c r="V100" i="18" s="1"/>
  <c r="V132" i="18" s="1"/>
  <c r="V116" i="18"/>
  <c r="V71" i="18"/>
  <c r="V84" i="18" s="1"/>
  <c r="V97" i="18" s="1"/>
  <c r="V129" i="18" s="1"/>
  <c r="V108" i="15"/>
  <c r="V63" i="15"/>
  <c r="V76" i="15" s="1"/>
  <c r="V89" i="15" s="1"/>
  <c r="V121" i="15" s="1"/>
  <c r="W196" i="18"/>
  <c r="W60" i="18"/>
  <c r="W202" i="18"/>
  <c r="W66" i="18"/>
  <c r="AA98" i="19"/>
  <c r="AA196" i="19"/>
  <c r="AA10" i="19"/>
  <c r="AA10" i="18"/>
  <c r="AA112" i="18"/>
  <c r="AA184" i="18"/>
  <c r="AA109" i="17"/>
  <c r="AA152" i="15"/>
  <c r="AA155" i="17"/>
  <c r="AA10" i="17"/>
  <c r="AA98" i="15"/>
  <c r="AA10" i="15"/>
  <c r="AA20" i="10"/>
  <c r="AB19" i="10"/>
  <c r="W169" i="17"/>
  <c r="W39" i="17"/>
  <c r="V108" i="19"/>
  <c r="V60" i="19"/>
  <c r="V73" i="19" s="1"/>
  <c r="X23" i="19"/>
  <c r="X19" i="19"/>
  <c r="X21" i="19"/>
  <c r="X18" i="19"/>
  <c r="X17" i="19"/>
  <c r="X13" i="19"/>
  <c r="X16" i="19"/>
  <c r="X15" i="19"/>
  <c r="X14" i="19"/>
  <c r="V109" i="19"/>
  <c r="V61" i="19"/>
  <c r="V74" i="19" s="1"/>
  <c r="X307" i="19"/>
  <c r="X238" i="18"/>
  <c r="X204" i="15"/>
  <c r="X207" i="17"/>
  <c r="X41" i="10"/>
  <c r="X33" i="14"/>
  <c r="X64" i="14"/>
  <c r="W161" i="15"/>
  <c r="W45" i="15"/>
  <c r="V115" i="18"/>
  <c r="V70" i="18"/>
  <c r="V83" i="18" s="1"/>
  <c r="V96" i="18" s="1"/>
  <c r="V128" i="18" s="1"/>
  <c r="V106" i="19"/>
  <c r="V58" i="19"/>
  <c r="V71" i="19" s="1"/>
  <c r="V102" i="15"/>
  <c r="V57" i="15"/>
  <c r="V70" i="15" s="1"/>
  <c r="V83" i="15" s="1"/>
  <c r="V115" i="15" s="1"/>
  <c r="W203" i="19"/>
  <c r="W44" i="19"/>
  <c r="V119" i="17"/>
  <c r="V51" i="17"/>
  <c r="V64" i="17" s="1"/>
  <c r="V77" i="17" s="1"/>
  <c r="V132" i="17" s="1"/>
  <c r="V105" i="19"/>
  <c r="V57" i="19"/>
  <c r="V70" i="19" s="1"/>
  <c r="W210" i="19"/>
  <c r="W51" i="19"/>
  <c r="W59" i="18"/>
  <c r="W195" i="18"/>
  <c r="V121" i="18"/>
  <c r="V76" i="18"/>
  <c r="V89" i="18" s="1"/>
  <c r="V102" i="18" s="1"/>
  <c r="V134" i="18" s="1"/>
  <c r="W161" i="17"/>
  <c r="W31" i="17"/>
  <c r="W166" i="17"/>
  <c r="W36" i="17"/>
  <c r="V105" i="15"/>
  <c r="V60" i="15"/>
  <c r="V73" i="15" s="1"/>
  <c r="V86" i="15" s="1"/>
  <c r="V118" i="15" s="1"/>
  <c r="Y5" i="15"/>
  <c r="Y5" i="25"/>
  <c r="Y5" i="21"/>
  <c r="Y5" i="23"/>
  <c r="Y5" i="19"/>
  <c r="Y5" i="18"/>
  <c r="Y5" i="17"/>
  <c r="Y5" i="14"/>
  <c r="Y5" i="12"/>
  <c r="W162" i="15"/>
  <c r="W46" i="15"/>
  <c r="W204" i="19"/>
  <c r="W45" i="19"/>
  <c r="V104" i="19"/>
  <c r="V56" i="19"/>
  <c r="V69" i="19" s="1"/>
  <c r="V117" i="17"/>
  <c r="V49" i="17"/>
  <c r="V62" i="17" s="1"/>
  <c r="V75" i="17" s="1"/>
  <c r="V130" i="17" s="1"/>
  <c r="W61" i="18"/>
  <c r="W197" i="18"/>
  <c r="W163" i="17"/>
  <c r="W33" i="17"/>
  <c r="W170" i="17"/>
  <c r="W40" i="17"/>
  <c r="X23" i="15"/>
  <c r="X22" i="15"/>
  <c r="X21" i="15"/>
  <c r="X20" i="15"/>
  <c r="X19" i="15"/>
  <c r="X18" i="15"/>
  <c r="X17" i="15"/>
  <c r="X16" i="15"/>
  <c r="X15" i="15"/>
  <c r="X14" i="15"/>
  <c r="X13" i="15"/>
  <c r="Q66" i="27"/>
  <c r="Q71" i="27"/>
  <c r="Q78" i="27" s="1"/>
  <c r="Q56" i="27"/>
  <c r="W202" i="19"/>
  <c r="W43" i="19"/>
  <c r="V114" i="17"/>
  <c r="V46" i="17"/>
  <c r="V59" i="17" s="1"/>
  <c r="V72" i="17" s="1"/>
  <c r="V127" i="17" s="1"/>
  <c r="V115" i="17"/>
  <c r="V47" i="17"/>
  <c r="V60" i="17" s="1"/>
  <c r="V73" i="17" s="1"/>
  <c r="V128" i="17" s="1"/>
  <c r="W57" i="18"/>
  <c r="W193" i="18"/>
  <c r="W165" i="17"/>
  <c r="W35" i="17"/>
  <c r="V120" i="18"/>
  <c r="V75" i="18"/>
  <c r="V88" i="18" s="1"/>
  <c r="V101" i="18" s="1"/>
  <c r="V133" i="18" s="1"/>
  <c r="X5" i="15"/>
  <c r="X5" i="25"/>
  <c r="X5" i="21"/>
  <c r="X5" i="23"/>
  <c r="X5" i="19"/>
  <c r="X5" i="18"/>
  <c r="X38" i="18" s="1"/>
  <c r="X168" i="18" s="1"/>
  <c r="X5" i="17"/>
  <c r="W54" i="10"/>
  <c r="X5" i="12"/>
  <c r="X5" i="14"/>
  <c r="V82" i="19" l="1"/>
  <c r="V117" i="19" s="1"/>
  <c r="V87" i="19"/>
  <c r="V122" i="19" s="1"/>
  <c r="V85" i="19"/>
  <c r="V120" i="19" s="1"/>
  <c r="V89" i="19"/>
  <c r="V124" i="19" s="1"/>
  <c r="V83" i="19"/>
  <c r="V118" i="19" s="1"/>
  <c r="V84" i="19"/>
  <c r="V119" i="19" s="1"/>
  <c r="V86" i="19"/>
  <c r="V121" i="19" s="1"/>
  <c r="V90" i="19"/>
  <c r="V125" i="19" s="1"/>
  <c r="V88" i="19"/>
  <c r="V123" i="19" s="1"/>
  <c r="X33" i="18"/>
  <c r="X163" i="18" s="1"/>
  <c r="X32" i="18"/>
  <c r="X162" i="18" s="1"/>
  <c r="X34" i="18"/>
  <c r="X164" i="18" s="1"/>
  <c r="X28" i="18"/>
  <c r="X158" i="18" s="1"/>
  <c r="X35" i="18"/>
  <c r="X165" i="18" s="1"/>
  <c r="X27" i="18"/>
  <c r="X157" i="18" s="1"/>
  <c r="X36" i="18"/>
  <c r="X166" i="18" s="1"/>
  <c r="X31" i="18"/>
  <c r="X161" i="18" s="1"/>
  <c r="X37" i="18"/>
  <c r="X167" i="18" s="1"/>
  <c r="X30" i="18"/>
  <c r="X160" i="18" s="1"/>
  <c r="X29" i="18"/>
  <c r="X159" i="18" s="1"/>
  <c r="Y59" i="25"/>
  <c r="Y58" i="25"/>
  <c r="Y57" i="25"/>
  <c r="Y56" i="25"/>
  <c r="Y74" i="25"/>
  <c r="Y75" i="25"/>
  <c r="AC11" i="10"/>
  <c r="AC30" i="10" s="1"/>
  <c r="AC31" i="10" s="1"/>
  <c r="AC45" i="10" s="1"/>
  <c r="AC46" i="10" s="1"/>
  <c r="AD10" i="10"/>
  <c r="X169" i="15"/>
  <c r="X53" i="15"/>
  <c r="X164" i="15"/>
  <c r="X48" i="15"/>
  <c r="W114" i="17"/>
  <c r="W46" i="17"/>
  <c r="W59" i="17" s="1"/>
  <c r="W72" i="17" s="1"/>
  <c r="W127" i="17" s="1"/>
  <c r="W106" i="19"/>
  <c r="W58" i="19"/>
  <c r="W71" i="19" s="1"/>
  <c r="X44" i="19"/>
  <c r="X203" i="19"/>
  <c r="X212" i="19"/>
  <c r="X53" i="19"/>
  <c r="X209" i="19"/>
  <c r="X50" i="19"/>
  <c r="W113" i="19"/>
  <c r="W65" i="19"/>
  <c r="W78" i="19" s="1"/>
  <c r="W101" i="15"/>
  <c r="W56" i="15"/>
  <c r="W69" i="15" s="1"/>
  <c r="W82" i="15" s="1"/>
  <c r="W114" i="15" s="1"/>
  <c r="X200" i="18"/>
  <c r="X64" i="18"/>
  <c r="Y24" i="19"/>
  <c r="Y23" i="19"/>
  <c r="Y20" i="19"/>
  <c r="Y19" i="19"/>
  <c r="Y21" i="19"/>
  <c r="Y17" i="19"/>
  <c r="Y18" i="19"/>
  <c r="Y13" i="19"/>
  <c r="Y16" i="19"/>
  <c r="Y15" i="19"/>
  <c r="Y14" i="19"/>
  <c r="X32" i="17"/>
  <c r="X162" i="17"/>
  <c r="W115" i="17"/>
  <c r="W47" i="17"/>
  <c r="W60" i="17" s="1"/>
  <c r="W73" i="17" s="1"/>
  <c r="W128" i="17" s="1"/>
  <c r="W107" i="19"/>
  <c r="W59" i="19"/>
  <c r="W72" i="19" s="1"/>
  <c r="X165" i="15"/>
  <c r="X49" i="15"/>
  <c r="Y13" i="14"/>
  <c r="Y15" i="14" s="1"/>
  <c r="Y26" i="14" s="1"/>
  <c r="Y28" i="14" s="1"/>
  <c r="Y43" i="14"/>
  <c r="Y45" i="14" s="1"/>
  <c r="Y50" i="14" s="1"/>
  <c r="Y52" i="14" s="1"/>
  <c r="Y57" i="14" s="1"/>
  <c r="W105" i="19"/>
  <c r="W57" i="19"/>
  <c r="W70" i="19" s="1"/>
  <c r="W103" i="15"/>
  <c r="W58" i="15"/>
  <c r="W71" i="15" s="1"/>
  <c r="W84" i="15" s="1"/>
  <c r="W116" i="15" s="1"/>
  <c r="X204" i="19"/>
  <c r="X45" i="19"/>
  <c r="Z38" i="10"/>
  <c r="Z39" i="10"/>
  <c r="Y22" i="19"/>
  <c r="X211" i="19"/>
  <c r="X52" i="19"/>
  <c r="X194" i="18"/>
  <c r="X58" i="18"/>
  <c r="X201" i="18"/>
  <c r="X65" i="18"/>
  <c r="W122" i="18"/>
  <c r="W77" i="18"/>
  <c r="W90" i="18" s="1"/>
  <c r="W103" i="18" s="1"/>
  <c r="W135" i="18" s="1"/>
  <c r="R66" i="27"/>
  <c r="R71" i="27"/>
  <c r="R78" i="27" s="1"/>
  <c r="R56" i="27"/>
  <c r="W107" i="15"/>
  <c r="W62" i="15"/>
  <c r="W75" i="15" s="1"/>
  <c r="W88" i="15" s="1"/>
  <c r="W120" i="15" s="1"/>
  <c r="Y307" i="19"/>
  <c r="Y238" i="18"/>
  <c r="Y204" i="15"/>
  <c r="Y207" i="17"/>
  <c r="Y33" i="14"/>
  <c r="Y41" i="10"/>
  <c r="Y64" i="14"/>
  <c r="X165" i="17"/>
  <c r="X35" i="17"/>
  <c r="X13" i="14"/>
  <c r="X15" i="14" s="1"/>
  <c r="X26" i="14" s="1"/>
  <c r="X28" i="14" s="1"/>
  <c r="X34" i="14" s="1"/>
  <c r="X36" i="14" s="1"/>
  <c r="X99" i="15" s="1"/>
  <c r="X43" i="14"/>
  <c r="X45" i="14" s="1"/>
  <c r="X50" i="14" s="1"/>
  <c r="X52" i="14" s="1"/>
  <c r="X57" i="14" s="1"/>
  <c r="X166" i="15"/>
  <c r="X50" i="15"/>
  <c r="W104" i="15"/>
  <c r="W59" i="15"/>
  <c r="W72" i="15" s="1"/>
  <c r="W85" i="15" s="1"/>
  <c r="W117" i="15" s="1"/>
  <c r="W117" i="18"/>
  <c r="W72" i="18"/>
  <c r="W85" i="18" s="1"/>
  <c r="W98" i="18" s="1"/>
  <c r="W130" i="18" s="1"/>
  <c r="X205" i="19"/>
  <c r="X46" i="19"/>
  <c r="W123" i="18"/>
  <c r="W78" i="18"/>
  <c r="W91" i="18" s="1"/>
  <c r="W104" i="18" s="1"/>
  <c r="W136" i="18" s="1"/>
  <c r="X193" i="18"/>
  <c r="X57" i="18"/>
  <c r="X202" i="18"/>
  <c r="X66" i="18"/>
  <c r="Y24" i="15"/>
  <c r="Y23" i="15"/>
  <c r="Y22" i="15"/>
  <c r="Y21" i="15"/>
  <c r="Y20" i="15"/>
  <c r="Y19" i="15"/>
  <c r="Y18" i="15"/>
  <c r="Y17" i="15"/>
  <c r="Y16" i="15"/>
  <c r="Y15" i="15"/>
  <c r="Y14" i="15"/>
  <c r="Y13" i="15"/>
  <c r="X167" i="17"/>
  <c r="X37" i="17"/>
  <c r="W120" i="18"/>
  <c r="W75" i="18"/>
  <c r="W88" i="18" s="1"/>
  <c r="W101" i="18" s="1"/>
  <c r="W133" i="18" s="1"/>
  <c r="W106" i="15"/>
  <c r="W61" i="15"/>
  <c r="W74" i="15" s="1"/>
  <c r="W87" i="15" s="1"/>
  <c r="W119" i="15" s="1"/>
  <c r="W115" i="18"/>
  <c r="W70" i="18"/>
  <c r="W83" i="18" s="1"/>
  <c r="W96" i="18" s="1"/>
  <c r="W128" i="18" s="1"/>
  <c r="X159" i="15"/>
  <c r="X43" i="15"/>
  <c r="X167" i="15"/>
  <c r="X51" i="15"/>
  <c r="W119" i="18"/>
  <c r="W74" i="18"/>
  <c r="W87" i="18" s="1"/>
  <c r="W100" i="18" s="1"/>
  <c r="W132" i="18" s="1"/>
  <c r="W117" i="17"/>
  <c r="W49" i="17"/>
  <c r="W62" i="17" s="1"/>
  <c r="W75" i="17" s="1"/>
  <c r="W130" i="17" s="1"/>
  <c r="W112" i="19"/>
  <c r="W64" i="19"/>
  <c r="W77" i="19" s="1"/>
  <c r="X202" i="19"/>
  <c r="X43" i="19"/>
  <c r="W120" i="17"/>
  <c r="W52" i="17"/>
  <c r="W65" i="17" s="1"/>
  <c r="W78" i="17" s="1"/>
  <c r="W133" i="17" s="1"/>
  <c r="W124" i="18"/>
  <c r="W79" i="18"/>
  <c r="W92" i="18" s="1"/>
  <c r="W105" i="18" s="1"/>
  <c r="W137" i="18" s="1"/>
  <c r="W116" i="18"/>
  <c r="W71" i="18"/>
  <c r="W84" i="18" s="1"/>
  <c r="W97" i="18" s="1"/>
  <c r="W129" i="18" s="1"/>
  <c r="X197" i="18"/>
  <c r="X61" i="18"/>
  <c r="Y23" i="18"/>
  <c r="Y37" i="18" s="1"/>
  <c r="Y167" i="18" s="1"/>
  <c r="X203" i="18"/>
  <c r="X67" i="18"/>
  <c r="X168" i="17"/>
  <c r="X38" i="17"/>
  <c r="W5" i="15"/>
  <c r="W5" i="23"/>
  <c r="W5" i="25"/>
  <c r="W5" i="19"/>
  <c r="W5" i="21"/>
  <c r="W5" i="18"/>
  <c r="W5" i="17"/>
  <c r="V54" i="10"/>
  <c r="W5" i="14"/>
  <c r="W5" i="12"/>
  <c r="X160" i="15"/>
  <c r="X44" i="15"/>
  <c r="X168" i="15"/>
  <c r="X52" i="15"/>
  <c r="X206" i="19"/>
  <c r="X47" i="19"/>
  <c r="Z25" i="25"/>
  <c r="Z44" i="25"/>
  <c r="Z27" i="25"/>
  <c r="Z28" i="25"/>
  <c r="Z43" i="25"/>
  <c r="Z26" i="25"/>
  <c r="X60" i="18"/>
  <c r="X196" i="18"/>
  <c r="W118" i="17"/>
  <c r="W50" i="17"/>
  <c r="W63" i="17" s="1"/>
  <c r="W76" i="17" s="1"/>
  <c r="W131" i="17" s="1"/>
  <c r="Y24" i="17"/>
  <c r="Y23" i="17"/>
  <c r="Y22" i="17"/>
  <c r="Y18" i="17"/>
  <c r="Y21" i="17"/>
  <c r="Y20" i="17"/>
  <c r="Y19" i="17"/>
  <c r="Y14" i="17"/>
  <c r="Y17" i="17"/>
  <c r="Y16" i="17"/>
  <c r="Y15" i="17"/>
  <c r="Y13" i="17"/>
  <c r="W113" i="17"/>
  <c r="W45" i="17"/>
  <c r="W58" i="17" s="1"/>
  <c r="W71" i="17" s="1"/>
  <c r="W126" i="17" s="1"/>
  <c r="X169" i="17"/>
  <c r="X39" i="17"/>
  <c r="W105" i="15"/>
  <c r="W60" i="15"/>
  <c r="W73" i="15" s="1"/>
  <c r="W86" i="15" s="1"/>
  <c r="W118" i="15" s="1"/>
  <c r="W112" i="17"/>
  <c r="W44" i="17"/>
  <c r="W57" i="17" s="1"/>
  <c r="W70" i="17" s="1"/>
  <c r="W125" i="17" s="1"/>
  <c r="X4" i="25"/>
  <c r="X4" i="21"/>
  <c r="X4" i="19"/>
  <c r="X4" i="23"/>
  <c r="X4" i="18"/>
  <c r="X4" i="17"/>
  <c r="X4" i="15"/>
  <c r="X4" i="12"/>
  <c r="X4" i="14"/>
  <c r="X207" i="19"/>
  <c r="X48" i="19"/>
  <c r="AB98" i="19"/>
  <c r="AB10" i="19"/>
  <c r="AB196" i="19"/>
  <c r="AB10" i="18"/>
  <c r="AB112" i="18"/>
  <c r="AB184" i="18"/>
  <c r="AB152" i="15"/>
  <c r="AB155" i="17"/>
  <c r="AB10" i="17"/>
  <c r="AB109" i="17"/>
  <c r="AB98" i="15"/>
  <c r="AB10" i="15"/>
  <c r="AB20" i="10"/>
  <c r="AC19" i="10"/>
  <c r="W118" i="18"/>
  <c r="W73" i="18"/>
  <c r="W86" i="18" s="1"/>
  <c r="W99" i="18" s="1"/>
  <c r="W131" i="18" s="1"/>
  <c r="W110" i="15"/>
  <c r="W65" i="15"/>
  <c r="W78" i="15" s="1"/>
  <c r="W91" i="15" s="1"/>
  <c r="W123" i="15" s="1"/>
  <c r="Z97" i="19"/>
  <c r="Z11" i="19"/>
  <c r="Z111" i="18"/>
  <c r="Z11" i="18"/>
  <c r="Z108" i="17"/>
  <c r="Z11" i="17"/>
  <c r="Z97" i="15"/>
  <c r="Z11" i="15"/>
  <c r="Z21" i="14"/>
  <c r="Z23" i="14" s="1"/>
  <c r="X195" i="18"/>
  <c r="X59" i="18"/>
  <c r="W60" i="19"/>
  <c r="W73" i="19" s="1"/>
  <c r="W108" i="19"/>
  <c r="X161" i="17"/>
  <c r="X31" i="17"/>
  <c r="X166" i="17"/>
  <c r="X36" i="17"/>
  <c r="W116" i="17"/>
  <c r="W48" i="17"/>
  <c r="W61" i="17" s="1"/>
  <c r="W74" i="17" s="1"/>
  <c r="W129" i="17" s="1"/>
  <c r="W104" i="19"/>
  <c r="W56" i="19"/>
  <c r="W69" i="19" s="1"/>
  <c r="X162" i="15"/>
  <c r="X46" i="15"/>
  <c r="W121" i="17"/>
  <c r="W53" i="17"/>
  <c r="W66" i="17" s="1"/>
  <c r="W79" i="17" s="1"/>
  <c r="W134" i="17" s="1"/>
  <c r="X210" i="19"/>
  <c r="X51" i="19"/>
  <c r="AA21" i="10"/>
  <c r="AA3" i="25"/>
  <c r="AA3" i="23"/>
  <c r="AA3" i="19"/>
  <c r="AA3" i="21"/>
  <c r="AA3" i="18"/>
  <c r="AA3" i="17"/>
  <c r="AA3" i="15"/>
  <c r="AA24" i="10"/>
  <c r="AA52" i="10" s="1"/>
  <c r="AA51" i="10"/>
  <c r="AA3" i="12"/>
  <c r="AA3" i="14"/>
  <c r="AA36" i="10"/>
  <c r="W119" i="17"/>
  <c r="W51" i="17"/>
  <c r="W64" i="17" s="1"/>
  <c r="W77" i="17" s="1"/>
  <c r="W132" i="17" s="1"/>
  <c r="W109" i="15"/>
  <c r="W64" i="15"/>
  <c r="W77" i="15" s="1"/>
  <c r="W90" i="15" s="1"/>
  <c r="W122" i="15" s="1"/>
  <c r="X63" i="18"/>
  <c r="X199" i="18"/>
  <c r="Y24" i="18"/>
  <c r="Y38" i="18" s="1"/>
  <c r="Y168" i="18" s="1"/>
  <c r="Y22" i="18"/>
  <c r="Y36" i="18" s="1"/>
  <c r="Y166" i="18" s="1"/>
  <c r="Y21" i="18"/>
  <c r="Y35" i="18" s="1"/>
  <c r="Y165" i="18" s="1"/>
  <c r="Y20" i="18"/>
  <c r="Y34" i="18" s="1"/>
  <c r="Y164" i="18" s="1"/>
  <c r="Y19" i="18"/>
  <c r="Y33" i="18" s="1"/>
  <c r="Y163" i="18" s="1"/>
  <c r="Y18" i="18"/>
  <c r="Y32" i="18" s="1"/>
  <c r="Y162" i="18" s="1"/>
  <c r="Y16" i="18"/>
  <c r="Y30" i="18" s="1"/>
  <c r="Y160" i="18" s="1"/>
  <c r="Y17" i="18"/>
  <c r="Y31" i="18" s="1"/>
  <c r="Y161" i="18" s="1"/>
  <c r="Y15" i="18"/>
  <c r="Y29" i="18" s="1"/>
  <c r="Y159" i="18" s="1"/>
  <c r="Y13" i="18"/>
  <c r="Y27" i="18" s="1"/>
  <c r="Y157" i="18" s="1"/>
  <c r="Y14" i="18"/>
  <c r="Y28" i="18" s="1"/>
  <c r="Y158" i="18" s="1"/>
  <c r="X163" i="17"/>
  <c r="X33" i="17"/>
  <c r="X170" i="17"/>
  <c r="X40" i="17"/>
  <c r="X161" i="15"/>
  <c r="X45" i="15"/>
  <c r="X163" i="15"/>
  <c r="X47" i="15"/>
  <c r="X49" i="19"/>
  <c r="X208" i="19"/>
  <c r="W102" i="15"/>
  <c r="W57" i="15"/>
  <c r="W70" i="15" s="1"/>
  <c r="W83" i="15" s="1"/>
  <c r="W115" i="15" s="1"/>
  <c r="W63" i="19"/>
  <c r="W76" i="19" s="1"/>
  <c r="W111" i="19"/>
  <c r="W110" i="19"/>
  <c r="W62" i="19"/>
  <c r="W75" i="19" s="1"/>
  <c r="X198" i="18"/>
  <c r="X62" i="18"/>
  <c r="W108" i="15"/>
  <c r="W63" i="15"/>
  <c r="W76" i="15" s="1"/>
  <c r="W89" i="15" s="1"/>
  <c r="W121" i="15" s="1"/>
  <c r="W121" i="18"/>
  <c r="W76" i="18"/>
  <c r="W89" i="18" s="1"/>
  <c r="W102" i="18" s="1"/>
  <c r="W134" i="18" s="1"/>
  <c r="W109" i="19"/>
  <c r="W61" i="19"/>
  <c r="W74" i="19" s="1"/>
  <c r="X164" i="17"/>
  <c r="X34" i="17"/>
  <c r="X171" i="17"/>
  <c r="X41" i="17"/>
  <c r="W87" i="19" l="1"/>
  <c r="W122" i="19" s="1"/>
  <c r="W83" i="19"/>
  <c r="W118" i="19" s="1"/>
  <c r="W91" i="19"/>
  <c r="W126" i="19" s="1"/>
  <c r="W84" i="19"/>
  <c r="W119" i="19" s="1"/>
  <c r="W89" i="19"/>
  <c r="W124" i="19" s="1"/>
  <c r="W90" i="19"/>
  <c r="W125" i="19" s="1"/>
  <c r="W82" i="19"/>
  <c r="W117" i="19" s="1"/>
  <c r="W85" i="19"/>
  <c r="W120" i="19" s="1"/>
  <c r="W88" i="19"/>
  <c r="W123" i="19" s="1"/>
  <c r="W86" i="19"/>
  <c r="W121" i="19" s="1"/>
  <c r="W38" i="18"/>
  <c r="W168" i="18" s="1"/>
  <c r="W37" i="18"/>
  <c r="W167" i="18" s="1"/>
  <c r="W32" i="18"/>
  <c r="W162" i="18" s="1"/>
  <c r="W29" i="18"/>
  <c r="W159" i="18" s="1"/>
  <c r="W27" i="18"/>
  <c r="W157" i="18" s="1"/>
  <c r="W31" i="18"/>
  <c r="W161" i="18" s="1"/>
  <c r="W33" i="18"/>
  <c r="W163" i="18" s="1"/>
  <c r="W34" i="18"/>
  <c r="W164" i="18" s="1"/>
  <c r="W28" i="18"/>
  <c r="W158" i="18" s="1"/>
  <c r="W35" i="18"/>
  <c r="W165" i="18" s="1"/>
  <c r="W30" i="18"/>
  <c r="W160" i="18" s="1"/>
  <c r="W36" i="18"/>
  <c r="W166" i="18" s="1"/>
  <c r="AE10" i="10"/>
  <c r="AD11" i="10"/>
  <c r="AD30" i="10" s="1"/>
  <c r="AD31" i="10" s="1"/>
  <c r="AD45" i="10" s="1"/>
  <c r="AD46" i="10" s="1"/>
  <c r="Y195" i="18"/>
  <c r="Y59" i="18"/>
  <c r="Y40" i="17"/>
  <c r="Y170" i="17"/>
  <c r="X115" i="17"/>
  <c r="X47" i="17"/>
  <c r="X60" i="17" s="1"/>
  <c r="X73" i="17" s="1"/>
  <c r="X128" i="17" s="1"/>
  <c r="Y211" i="19"/>
  <c r="Y52" i="19"/>
  <c r="Y164" i="17"/>
  <c r="Y34" i="17"/>
  <c r="Y41" i="17"/>
  <c r="Y171" i="17"/>
  <c r="X102" i="15"/>
  <c r="X57" i="15"/>
  <c r="X70" i="15" s="1"/>
  <c r="X83" i="15" s="1"/>
  <c r="X115" i="15" s="1"/>
  <c r="Y162" i="15"/>
  <c r="Y46" i="15"/>
  <c r="Y170" i="15"/>
  <c r="Y54" i="15"/>
  <c r="Y207" i="19"/>
  <c r="Y48" i="19"/>
  <c r="Y163" i="17"/>
  <c r="Y33" i="17"/>
  <c r="Y169" i="15"/>
  <c r="Y53" i="15"/>
  <c r="Y202" i="19"/>
  <c r="Y43" i="19"/>
  <c r="Y196" i="18"/>
  <c r="Y60" i="18"/>
  <c r="AA38" i="10"/>
  <c r="AA39" i="10"/>
  <c r="Z13" i="15"/>
  <c r="Z24" i="15"/>
  <c r="Z23" i="15"/>
  <c r="Z22" i="15"/>
  <c r="Z21" i="15"/>
  <c r="Z20" i="15"/>
  <c r="Z19" i="15"/>
  <c r="Z18" i="15"/>
  <c r="Z17" i="15"/>
  <c r="Z16" i="15"/>
  <c r="Z15" i="15"/>
  <c r="Z14" i="15"/>
  <c r="Y165" i="17"/>
  <c r="Y35" i="17"/>
  <c r="Z24" i="17"/>
  <c r="Y172" i="17"/>
  <c r="Y42" i="17"/>
  <c r="X119" i="18"/>
  <c r="X74" i="18"/>
  <c r="X87" i="18" s="1"/>
  <c r="X100" i="18" s="1"/>
  <c r="X132" i="18" s="1"/>
  <c r="X104" i="19"/>
  <c r="X56" i="19"/>
  <c r="X69" i="19" s="1"/>
  <c r="X109" i="15"/>
  <c r="X64" i="15"/>
  <c r="X77" i="15" s="1"/>
  <c r="X90" i="15" s="1"/>
  <c r="X122" i="15" s="1"/>
  <c r="Y163" i="15"/>
  <c r="Y47" i="15"/>
  <c r="X124" i="18"/>
  <c r="X79" i="18"/>
  <c r="X92" i="18" s="1"/>
  <c r="X105" i="18" s="1"/>
  <c r="X137" i="18" s="1"/>
  <c r="X116" i="17"/>
  <c r="X48" i="17"/>
  <c r="X61" i="17" s="1"/>
  <c r="X74" i="17" s="1"/>
  <c r="X129" i="17" s="1"/>
  <c r="X123" i="18"/>
  <c r="X78" i="18"/>
  <c r="X91" i="18" s="1"/>
  <c r="X104" i="18" s="1"/>
  <c r="X136" i="18" s="1"/>
  <c r="Z17" i="19"/>
  <c r="Y47" i="19"/>
  <c r="Y206" i="19"/>
  <c r="Y204" i="18"/>
  <c r="Y68" i="18"/>
  <c r="Y161" i="15"/>
  <c r="Y45" i="15"/>
  <c r="X122" i="18"/>
  <c r="X77" i="18"/>
  <c r="X90" i="18" s="1"/>
  <c r="X103" i="18" s="1"/>
  <c r="X135" i="18" s="1"/>
  <c r="Y197" i="18"/>
  <c r="Y61" i="18"/>
  <c r="X117" i="17"/>
  <c r="X49" i="17"/>
  <c r="X62" i="17" s="1"/>
  <c r="X75" i="17" s="1"/>
  <c r="X130" i="17" s="1"/>
  <c r="Z23" i="18"/>
  <c r="Y67" i="18"/>
  <c r="Y203" i="18"/>
  <c r="X8" i="23"/>
  <c r="X12" i="25" s="1"/>
  <c r="X19" i="25" s="1"/>
  <c r="Y198" i="18"/>
  <c r="Y62" i="18"/>
  <c r="X104" i="15"/>
  <c r="X59" i="15"/>
  <c r="X72" i="15" s="1"/>
  <c r="X85" i="15" s="1"/>
  <c r="X117" i="15" s="1"/>
  <c r="X112" i="17"/>
  <c r="X44" i="17"/>
  <c r="X57" i="17" s="1"/>
  <c r="X70" i="17" s="1"/>
  <c r="X125" i="17" s="1"/>
  <c r="X120" i="17"/>
  <c r="X52" i="17"/>
  <c r="X65" i="17" s="1"/>
  <c r="X78" i="17" s="1"/>
  <c r="X133" i="17" s="1"/>
  <c r="Y32" i="17"/>
  <c r="Y162" i="17"/>
  <c r="Y164" i="15"/>
  <c r="Y48" i="15"/>
  <c r="Y210" i="19"/>
  <c r="Y51" i="19"/>
  <c r="X114" i="17"/>
  <c r="X46" i="17"/>
  <c r="X59" i="17" s="1"/>
  <c r="X72" i="17" s="1"/>
  <c r="X127" i="17" s="1"/>
  <c r="Y199" i="18"/>
  <c r="Y63" i="18"/>
  <c r="Z13" i="17"/>
  <c r="Z23" i="17"/>
  <c r="Z22" i="17"/>
  <c r="Z21" i="17"/>
  <c r="Z18" i="17"/>
  <c r="Z20" i="17"/>
  <c r="Z19" i="17"/>
  <c r="Z14" i="17"/>
  <c r="Z17" i="17"/>
  <c r="Z16" i="17"/>
  <c r="Z15" i="17"/>
  <c r="X109" i="19"/>
  <c r="X61" i="19"/>
  <c r="X74" i="19" s="1"/>
  <c r="Y37" i="17"/>
  <c r="Y167" i="17"/>
  <c r="W13" i="14"/>
  <c r="W15" i="14" s="1"/>
  <c r="W26" i="14" s="1"/>
  <c r="W28" i="14" s="1"/>
  <c r="W34" i="14" s="1"/>
  <c r="W36" i="14" s="1"/>
  <c r="W99" i="15" s="1"/>
  <c r="W43" i="14"/>
  <c r="W45" i="14" s="1"/>
  <c r="W50" i="14" s="1"/>
  <c r="W52" i="14" s="1"/>
  <c r="W57" i="14" s="1"/>
  <c r="X101" i="15"/>
  <c r="X56" i="15"/>
  <c r="X69" i="15" s="1"/>
  <c r="X82" i="15" s="1"/>
  <c r="X114" i="15" s="1"/>
  <c r="X118" i="17"/>
  <c r="X50" i="17"/>
  <c r="X63" i="17" s="1"/>
  <c r="X76" i="17" s="1"/>
  <c r="X131" i="17" s="1"/>
  <c r="Y165" i="15"/>
  <c r="Y49" i="15"/>
  <c r="X115" i="18"/>
  <c r="X70" i="18"/>
  <c r="X83" i="18" s="1"/>
  <c r="X96" i="18" s="1"/>
  <c r="X128" i="18" s="1"/>
  <c r="X116" i="18"/>
  <c r="X71" i="18"/>
  <c r="X84" i="18" s="1"/>
  <c r="X97" i="18" s="1"/>
  <c r="X129" i="18" s="1"/>
  <c r="Z307" i="19"/>
  <c r="Z238" i="18"/>
  <c r="Z204" i="15"/>
  <c r="Z207" i="17"/>
  <c r="Z41" i="10"/>
  <c r="Z64" i="14"/>
  <c r="Z33" i="14"/>
  <c r="Y34" i="14"/>
  <c r="Y36" i="14" s="1"/>
  <c r="Y56" i="14"/>
  <c r="Y59" i="14" s="1"/>
  <c r="Y65" i="14" s="1"/>
  <c r="Y67" i="14" s="1"/>
  <c r="Y155" i="15" s="1"/>
  <c r="X113" i="17"/>
  <c r="X45" i="17"/>
  <c r="X58" i="17" s="1"/>
  <c r="X71" i="17" s="1"/>
  <c r="X126" i="17" s="1"/>
  <c r="Y208" i="19"/>
  <c r="Y49" i="19"/>
  <c r="X114" i="19"/>
  <c r="X66" i="19"/>
  <c r="X106" i="15"/>
  <c r="X61" i="15"/>
  <c r="X74" i="15" s="1"/>
  <c r="X87" i="15" s="1"/>
  <c r="X119" i="15" s="1"/>
  <c r="Z13" i="19"/>
  <c r="Z22" i="19"/>
  <c r="Z23" i="19"/>
  <c r="Z19" i="19"/>
  <c r="Z20" i="19"/>
  <c r="Z21" i="19"/>
  <c r="Z18" i="19"/>
  <c r="Z16" i="19"/>
  <c r="Z15" i="19"/>
  <c r="Z14" i="19"/>
  <c r="X121" i="17"/>
  <c r="X53" i="17"/>
  <c r="X66" i="17" s="1"/>
  <c r="X79" i="17" s="1"/>
  <c r="X134" i="17" s="1"/>
  <c r="X11" i="21"/>
  <c r="X56" i="14"/>
  <c r="X59" i="14" s="1"/>
  <c r="X65" i="14" s="1"/>
  <c r="X67" i="14" s="1"/>
  <c r="X155" i="15" s="1"/>
  <c r="X110" i="19"/>
  <c r="X62" i="19"/>
  <c r="X75" i="19" s="1"/>
  <c r="Y200" i="18"/>
  <c r="Y64" i="18"/>
  <c r="AA25" i="25"/>
  <c r="AA27" i="25"/>
  <c r="AA44" i="25"/>
  <c r="AA43" i="25"/>
  <c r="AA26" i="25"/>
  <c r="AA28" i="25"/>
  <c r="Y38" i="17"/>
  <c r="Y168" i="17"/>
  <c r="X60" i="19"/>
  <c r="X73" i="19" s="1"/>
  <c r="X108" i="19"/>
  <c r="V5" i="15"/>
  <c r="V5" i="23"/>
  <c r="V5" i="25"/>
  <c r="V5" i="19"/>
  <c r="V5" i="21"/>
  <c r="V5" i="18"/>
  <c r="V5" i="17"/>
  <c r="U54" i="10"/>
  <c r="V5" i="14"/>
  <c r="V5" i="12"/>
  <c r="X119" i="17"/>
  <c r="X51" i="17"/>
  <c r="X64" i="17" s="1"/>
  <c r="X77" i="17" s="1"/>
  <c r="X132" i="17" s="1"/>
  <c r="Y166" i="15"/>
  <c r="Y50" i="15"/>
  <c r="Y4" i="25"/>
  <c r="Y4" i="21"/>
  <c r="Y4" i="19"/>
  <c r="Y4" i="23"/>
  <c r="Y4" i="18"/>
  <c r="Y4" i="17"/>
  <c r="Y4" i="15"/>
  <c r="Y4" i="12"/>
  <c r="Y4" i="14"/>
  <c r="X106" i="19"/>
  <c r="X58" i="19"/>
  <c r="X71" i="19" s="1"/>
  <c r="X107" i="15"/>
  <c r="X62" i="15"/>
  <c r="X75" i="15" s="1"/>
  <c r="X88" i="15" s="1"/>
  <c r="X120" i="15" s="1"/>
  <c r="Y203" i="19"/>
  <c r="Y44" i="19"/>
  <c r="Y209" i="19"/>
  <c r="Y50" i="19"/>
  <c r="X103" i="15"/>
  <c r="X58" i="15"/>
  <c r="X71" i="15" s="1"/>
  <c r="X84" i="15" s="1"/>
  <c r="X116" i="15" s="1"/>
  <c r="X107" i="19"/>
  <c r="X59" i="19"/>
  <c r="X72" i="19" s="1"/>
  <c r="X121" i="18"/>
  <c r="X76" i="18"/>
  <c r="X89" i="18" s="1"/>
  <c r="X102" i="18" s="1"/>
  <c r="X134" i="18" s="1"/>
  <c r="X154" i="15"/>
  <c r="X122" i="17"/>
  <c r="X54" i="17"/>
  <c r="X67" i="17" s="1"/>
  <c r="X80" i="17" s="1"/>
  <c r="X135" i="17" s="1"/>
  <c r="X105" i="15"/>
  <c r="X60" i="15"/>
  <c r="X73" i="15" s="1"/>
  <c r="X86" i="15" s="1"/>
  <c r="X118" i="15" s="1"/>
  <c r="Y201" i="18"/>
  <c r="Y65" i="18"/>
  <c r="AA97" i="19"/>
  <c r="AA11" i="19"/>
  <c r="AA11" i="18"/>
  <c r="AA111" i="18"/>
  <c r="AA108" i="17"/>
  <c r="AA11" i="17"/>
  <c r="AA11" i="15"/>
  <c r="AA97" i="15"/>
  <c r="AA21" i="14"/>
  <c r="AA23" i="14" s="1"/>
  <c r="Z13" i="18"/>
  <c r="Z24" i="18"/>
  <c r="Z22" i="18"/>
  <c r="Z21" i="18"/>
  <c r="Z20" i="18"/>
  <c r="Z18" i="18"/>
  <c r="Z19" i="18"/>
  <c r="Z17" i="18"/>
  <c r="Z16" i="18"/>
  <c r="Z15" i="18"/>
  <c r="Z14" i="18"/>
  <c r="AC98" i="19"/>
  <c r="AC10" i="19"/>
  <c r="AC196" i="19"/>
  <c r="AC10" i="18"/>
  <c r="AC112" i="18"/>
  <c r="AC184" i="18"/>
  <c r="AC155" i="17"/>
  <c r="AC10" i="17"/>
  <c r="AC109" i="17"/>
  <c r="AC152" i="15"/>
  <c r="AC98" i="15"/>
  <c r="AC10" i="15"/>
  <c r="AD19" i="10"/>
  <c r="AC20" i="10"/>
  <c r="Y169" i="17"/>
  <c r="Y39" i="17"/>
  <c r="X118" i="18"/>
  <c r="X73" i="18"/>
  <c r="X86" i="18" s="1"/>
  <c r="X99" i="18" s="1"/>
  <c r="X131" i="18" s="1"/>
  <c r="Y43" i="15"/>
  <c r="Y159" i="15"/>
  <c r="Y167" i="15"/>
  <c r="Y51" i="15"/>
  <c r="X108" i="15"/>
  <c r="X63" i="15"/>
  <c r="X76" i="15" s="1"/>
  <c r="X89" i="15" s="1"/>
  <c r="X121" i="15" s="1"/>
  <c r="X113" i="19"/>
  <c r="X65" i="19"/>
  <c r="X78" i="19" s="1"/>
  <c r="Y204" i="19"/>
  <c r="Y45" i="19"/>
  <c r="Y53" i="19"/>
  <c r="Y212" i="19"/>
  <c r="X111" i="19"/>
  <c r="X63" i="19"/>
  <c r="X76" i="19" s="1"/>
  <c r="X111" i="15"/>
  <c r="X137" i="15" s="1"/>
  <c r="X66" i="15"/>
  <c r="X79" i="15" s="1"/>
  <c r="X92" i="15" s="1"/>
  <c r="X124" i="15" s="1"/>
  <c r="X120" i="18"/>
  <c r="X75" i="18"/>
  <c r="X88" i="18" s="1"/>
  <c r="X101" i="18" s="1"/>
  <c r="X133" i="18" s="1"/>
  <c r="Y194" i="18"/>
  <c r="Y58" i="18"/>
  <c r="Y193" i="18"/>
  <c r="Y57" i="18"/>
  <c r="Y202" i="18"/>
  <c r="Y66" i="18"/>
  <c r="X112" i="19"/>
  <c r="X64" i="19"/>
  <c r="X77" i="19" s="1"/>
  <c r="X117" i="18"/>
  <c r="X72" i="18"/>
  <c r="X85" i="18" s="1"/>
  <c r="X98" i="18" s="1"/>
  <c r="X130" i="18" s="1"/>
  <c r="AB21" i="10"/>
  <c r="AB3" i="25"/>
  <c r="AB3" i="21"/>
  <c r="AB3" i="23"/>
  <c r="AB3" i="19"/>
  <c r="AB3" i="18"/>
  <c r="AB3" i="17"/>
  <c r="AB3" i="15"/>
  <c r="AB3" i="14"/>
  <c r="AB36" i="10"/>
  <c r="AB3" i="12"/>
  <c r="AB51" i="10"/>
  <c r="AB24" i="10"/>
  <c r="AB52" i="10" s="1"/>
  <c r="Y161" i="17"/>
  <c r="Y31" i="17"/>
  <c r="Y36" i="17"/>
  <c r="Y166" i="17"/>
  <c r="X110" i="15"/>
  <c r="X65" i="15"/>
  <c r="X78" i="15" s="1"/>
  <c r="X91" i="15" s="1"/>
  <c r="X123" i="15" s="1"/>
  <c r="X125" i="18"/>
  <c r="X80" i="18"/>
  <c r="X93" i="18" s="1"/>
  <c r="Y160" i="15"/>
  <c r="Y44" i="15"/>
  <c r="Y168" i="15"/>
  <c r="Y52" i="15"/>
  <c r="Y205" i="19"/>
  <c r="Y46" i="19"/>
  <c r="Z24" i="19"/>
  <c r="Y213" i="19"/>
  <c r="Y54" i="19"/>
  <c r="X105" i="19"/>
  <c r="X57" i="19"/>
  <c r="X70" i="19" s="1"/>
  <c r="X87" i="19" l="1"/>
  <c r="X122" i="19" s="1"/>
  <c r="X90" i="19"/>
  <c r="X125" i="19" s="1"/>
  <c r="X88" i="19"/>
  <c r="X123" i="19" s="1"/>
  <c r="X85" i="19"/>
  <c r="X120" i="19" s="1"/>
  <c r="X82" i="19"/>
  <c r="X117" i="19" s="1"/>
  <c r="X91" i="19"/>
  <c r="X126" i="19" s="1"/>
  <c r="X79" i="19"/>
  <c r="X92" i="19" s="1"/>
  <c r="X127" i="19" s="1"/>
  <c r="X83" i="19"/>
  <c r="X118" i="19" s="1"/>
  <c r="X84" i="19"/>
  <c r="X119" i="19" s="1"/>
  <c r="X89" i="19"/>
  <c r="X124" i="19" s="1"/>
  <c r="X86" i="19"/>
  <c r="X121" i="19" s="1"/>
  <c r="V38" i="18"/>
  <c r="V168" i="18" s="1"/>
  <c r="V37" i="18"/>
  <c r="V167" i="18" s="1"/>
  <c r="V36" i="18"/>
  <c r="V166" i="18" s="1"/>
  <c r="V34" i="18"/>
  <c r="V164" i="18" s="1"/>
  <c r="V32" i="18"/>
  <c r="V162" i="18" s="1"/>
  <c r="V35" i="18"/>
  <c r="V165" i="18" s="1"/>
  <c r="V31" i="18"/>
  <c r="V161" i="18" s="1"/>
  <c r="V27" i="18"/>
  <c r="V157" i="18" s="1"/>
  <c r="V33" i="18"/>
  <c r="V163" i="18" s="1"/>
  <c r="V29" i="18"/>
  <c r="V159" i="18" s="1"/>
  <c r="V28" i="18"/>
  <c r="V158" i="18" s="1"/>
  <c r="V30" i="18"/>
  <c r="V160" i="18" s="1"/>
  <c r="AE11" i="10"/>
  <c r="AE30" i="10" s="1"/>
  <c r="AE31" i="10" s="1"/>
  <c r="AE45" i="10" s="1"/>
  <c r="AE46" i="10" s="1"/>
  <c r="AF10" i="10"/>
  <c r="W56" i="14"/>
  <c r="W59" i="14" s="1"/>
  <c r="W65" i="14" s="1"/>
  <c r="W67" i="14" s="1"/>
  <c r="W155" i="15" s="1"/>
  <c r="X157" i="15"/>
  <c r="X183" i="15" s="1"/>
  <c r="X197" i="15"/>
  <c r="W8" i="23"/>
  <c r="W12" i="25" s="1"/>
  <c r="W19" i="25" s="1"/>
  <c r="W11" i="21"/>
  <c r="W154" i="15"/>
  <c r="AB39" i="10"/>
  <c r="AB38" i="10"/>
  <c r="AB25" i="25"/>
  <c r="AB27" i="25"/>
  <c r="AB44" i="25"/>
  <c r="AB43" i="25"/>
  <c r="AB26" i="25"/>
  <c r="AB28" i="25"/>
  <c r="Y106" i="19"/>
  <c r="Y58" i="19"/>
  <c r="Y71" i="19" s="1"/>
  <c r="Z199" i="18"/>
  <c r="Z63" i="18"/>
  <c r="Y123" i="18"/>
  <c r="Y78" i="18"/>
  <c r="Y91" i="18" s="1"/>
  <c r="Y104" i="18" s="1"/>
  <c r="Y136" i="18" s="1"/>
  <c r="U5" i="15"/>
  <c r="U5" i="21"/>
  <c r="U5" i="23"/>
  <c r="U5" i="25"/>
  <c r="U5" i="19"/>
  <c r="U5" i="18"/>
  <c r="U5" i="17"/>
  <c r="U5" i="14"/>
  <c r="U5" i="12"/>
  <c r="T54" i="10"/>
  <c r="Z208" i="19"/>
  <c r="Z49" i="19"/>
  <c r="Y110" i="19"/>
  <c r="Y62" i="19"/>
  <c r="Y75" i="19" s="1"/>
  <c r="Z4" i="12"/>
  <c r="Z4" i="25"/>
  <c r="Z4" i="21"/>
  <c r="Z4" i="23"/>
  <c r="Z4" i="19"/>
  <c r="Z4" i="18"/>
  <c r="Z4" i="17"/>
  <c r="Z4" i="15"/>
  <c r="Z4" i="14"/>
  <c r="Z162" i="17"/>
  <c r="Z32" i="17"/>
  <c r="Y121" i="18"/>
  <c r="Y76" i="18"/>
  <c r="Y89" i="18" s="1"/>
  <c r="Y102" i="18" s="1"/>
  <c r="Y134" i="18" s="1"/>
  <c r="AA23" i="18"/>
  <c r="Z203" i="18"/>
  <c r="Z67" i="18"/>
  <c r="Y108" i="19"/>
  <c r="Y60" i="19"/>
  <c r="Y73" i="19" s="1"/>
  <c r="Y105" i="15"/>
  <c r="Y60" i="15"/>
  <c r="Y73" i="15" s="1"/>
  <c r="Y86" i="15" s="1"/>
  <c r="Y118" i="15" s="1"/>
  <c r="Y123" i="17"/>
  <c r="Y55" i="17"/>
  <c r="Y68" i="17" s="1"/>
  <c r="Y81" i="17" s="1"/>
  <c r="Y136" i="17" s="1"/>
  <c r="Z163" i="15"/>
  <c r="Z47" i="15"/>
  <c r="Z159" i="15"/>
  <c r="Z43" i="15"/>
  <c r="Y110" i="15"/>
  <c r="Y136" i="15" s="1"/>
  <c r="Y65" i="15"/>
  <c r="Y78" i="15" s="1"/>
  <c r="Y91" i="15" s="1"/>
  <c r="Y123" i="15" s="1"/>
  <c r="AB97" i="19"/>
  <c r="AB11" i="19"/>
  <c r="AB11" i="18"/>
  <c r="AB111" i="18"/>
  <c r="AB108" i="17"/>
  <c r="AB11" i="17"/>
  <c r="AB97" i="15"/>
  <c r="AB11" i="15"/>
  <c r="AB21" i="14"/>
  <c r="AB23" i="14" s="1"/>
  <c r="Y56" i="15"/>
  <c r="Y69" i="15" s="1"/>
  <c r="Y82" i="15" s="1"/>
  <c r="Y114" i="15" s="1"/>
  <c r="Y101" i="15"/>
  <c r="Z198" i="18"/>
  <c r="Z62" i="18"/>
  <c r="AA14" i="15"/>
  <c r="AA13" i="15"/>
  <c r="AA24" i="15"/>
  <c r="AA23" i="15"/>
  <c r="AA22" i="15"/>
  <c r="AA21" i="15"/>
  <c r="AA20" i="15"/>
  <c r="AA19" i="15"/>
  <c r="AA18" i="15"/>
  <c r="AA17" i="15"/>
  <c r="AA16" i="15"/>
  <c r="AA15" i="15"/>
  <c r="Y111" i="19"/>
  <c r="Y63" i="19"/>
  <c r="Y76" i="19" s="1"/>
  <c r="Z212" i="19"/>
  <c r="Z53" i="19"/>
  <c r="Y107" i="15"/>
  <c r="Y62" i="15"/>
  <c r="Y75" i="15" s="1"/>
  <c r="Y88" i="15" s="1"/>
  <c r="Y120" i="15" s="1"/>
  <c r="Z167" i="17"/>
  <c r="Z37" i="17"/>
  <c r="Y113" i="17"/>
  <c r="Y45" i="17"/>
  <c r="Y58" i="17" s="1"/>
  <c r="Y71" i="17" s="1"/>
  <c r="Y126" i="17" s="1"/>
  <c r="Z206" i="19"/>
  <c r="Z47" i="19"/>
  <c r="Z164" i="15"/>
  <c r="Z48" i="15"/>
  <c r="Y114" i="17"/>
  <c r="Y46" i="17"/>
  <c r="Y59" i="17" s="1"/>
  <c r="Y72" i="17" s="1"/>
  <c r="Y127" i="17" s="1"/>
  <c r="Y117" i="17"/>
  <c r="Y49" i="17"/>
  <c r="Y62" i="17" s="1"/>
  <c r="Y75" i="17" s="1"/>
  <c r="Y130" i="17" s="1"/>
  <c r="Z200" i="18"/>
  <c r="Z64" i="18"/>
  <c r="AA14" i="17"/>
  <c r="AA24" i="17"/>
  <c r="AA23" i="17"/>
  <c r="AA22" i="17"/>
  <c r="AA21" i="17"/>
  <c r="AA18" i="17"/>
  <c r="AA20" i="17"/>
  <c r="AA19" i="17"/>
  <c r="AA16" i="17"/>
  <c r="AA17" i="17"/>
  <c r="AA15" i="17"/>
  <c r="Y108" i="15"/>
  <c r="Y63" i="15"/>
  <c r="Y76" i="15" s="1"/>
  <c r="Y89" i="15" s="1"/>
  <c r="Y121" i="15" s="1"/>
  <c r="Y122" i="18"/>
  <c r="Y77" i="18"/>
  <c r="Y90" i="18" s="1"/>
  <c r="Y103" i="18" s="1"/>
  <c r="Y135" i="18" s="1"/>
  <c r="Z44" i="19"/>
  <c r="Z203" i="19"/>
  <c r="Z211" i="19"/>
  <c r="Z52" i="19"/>
  <c r="Y118" i="17"/>
  <c r="Y50" i="17"/>
  <c r="Y63" i="17" s="1"/>
  <c r="Y76" i="17" s="1"/>
  <c r="Y131" i="17" s="1"/>
  <c r="Z168" i="17"/>
  <c r="Z38" i="17"/>
  <c r="Z172" i="17"/>
  <c r="Z42" i="17"/>
  <c r="Z165" i="15"/>
  <c r="Z49" i="15"/>
  <c r="AA307" i="19"/>
  <c r="AA238" i="18"/>
  <c r="AA204" i="15"/>
  <c r="AA207" i="17"/>
  <c r="AA41" i="10"/>
  <c r="AA33" i="14"/>
  <c r="AA64" i="14"/>
  <c r="Y124" i="18"/>
  <c r="Y79" i="18"/>
  <c r="Y92" i="18" s="1"/>
  <c r="Y105" i="18" s="1"/>
  <c r="Y137" i="18" s="1"/>
  <c r="X136" i="15"/>
  <c r="X196" i="15" s="1"/>
  <c r="Y102" i="15"/>
  <c r="Y57" i="15"/>
  <c r="Y70" i="15" s="1"/>
  <c r="Y83" i="15" s="1"/>
  <c r="Y115" i="15" s="1"/>
  <c r="Y112" i="17"/>
  <c r="Y44" i="17"/>
  <c r="Y57" i="17" s="1"/>
  <c r="Y70" i="17" s="1"/>
  <c r="Y125" i="17" s="1"/>
  <c r="Z65" i="18"/>
  <c r="Z201" i="18"/>
  <c r="Y105" i="19"/>
  <c r="Y57" i="19"/>
  <c r="Y70" i="19" s="1"/>
  <c r="Y119" i="17"/>
  <c r="Y51" i="17"/>
  <c r="Y64" i="17" s="1"/>
  <c r="Y77" i="17" s="1"/>
  <c r="Y132" i="17" s="1"/>
  <c r="Z204" i="19"/>
  <c r="Z45" i="19"/>
  <c r="AA13" i="19"/>
  <c r="Z202" i="19"/>
  <c r="Z43" i="19"/>
  <c r="Z166" i="17"/>
  <c r="Z36" i="17"/>
  <c r="Y120" i="18"/>
  <c r="Y75" i="18"/>
  <c r="Y88" i="18" s="1"/>
  <c r="Y101" i="18" s="1"/>
  <c r="Y133" i="18" s="1"/>
  <c r="Y119" i="18"/>
  <c r="Y74" i="18"/>
  <c r="Y87" i="18" s="1"/>
  <c r="Y100" i="18" s="1"/>
  <c r="Y132" i="18" s="1"/>
  <c r="Y116" i="17"/>
  <c r="Y48" i="17"/>
  <c r="Y61" i="17" s="1"/>
  <c r="Y74" i="17" s="1"/>
  <c r="Y129" i="17" s="1"/>
  <c r="Z166" i="15"/>
  <c r="Z50" i="15"/>
  <c r="Y118" i="18"/>
  <c r="Y73" i="18"/>
  <c r="Y86" i="18" s="1"/>
  <c r="Y99" i="18" s="1"/>
  <c r="Y131" i="18" s="1"/>
  <c r="Y109" i="19"/>
  <c r="Y61" i="19"/>
  <c r="Y74" i="19" s="1"/>
  <c r="Y115" i="18"/>
  <c r="Y70" i="18"/>
  <c r="Y83" i="18" s="1"/>
  <c r="Y96" i="18" s="1"/>
  <c r="Y128" i="18" s="1"/>
  <c r="Y120" i="17"/>
  <c r="Y52" i="17"/>
  <c r="Y65" i="17" s="1"/>
  <c r="Y78" i="17" s="1"/>
  <c r="Y133" i="17" s="1"/>
  <c r="Z194" i="18"/>
  <c r="Z58" i="18"/>
  <c r="Z202" i="18"/>
  <c r="Z66" i="18"/>
  <c r="Z205" i="19"/>
  <c r="Z46" i="19"/>
  <c r="Z169" i="17"/>
  <c r="Z39" i="17"/>
  <c r="Y112" i="19"/>
  <c r="Y64" i="19"/>
  <c r="Y77" i="19" s="1"/>
  <c r="Z167" i="15"/>
  <c r="Z51" i="15"/>
  <c r="Y122" i="17"/>
  <c r="Y54" i="17"/>
  <c r="Y67" i="17" s="1"/>
  <c r="Y80" i="17" s="1"/>
  <c r="Y135" i="17" s="1"/>
  <c r="Y121" i="17"/>
  <c r="Y53" i="17"/>
  <c r="Y66" i="17" s="1"/>
  <c r="Y79" i="17" s="1"/>
  <c r="Y134" i="17" s="1"/>
  <c r="X106" i="18"/>
  <c r="X138" i="18" s="1"/>
  <c r="Z195" i="18"/>
  <c r="Z59" i="18"/>
  <c r="AA24" i="18"/>
  <c r="Z68" i="18"/>
  <c r="Z204" i="18"/>
  <c r="AA13" i="18"/>
  <c r="AA14" i="18"/>
  <c r="AA22" i="18"/>
  <c r="AA20" i="18"/>
  <c r="AA21" i="18"/>
  <c r="AA19" i="18"/>
  <c r="AA18" i="18"/>
  <c r="AA17" i="18"/>
  <c r="AA16" i="18"/>
  <c r="AA15" i="18"/>
  <c r="Z207" i="19"/>
  <c r="Z48" i="19"/>
  <c r="Y154" i="15"/>
  <c r="Y157" i="15" s="1"/>
  <c r="Y184" i="15" s="1"/>
  <c r="Y99" i="15"/>
  <c r="Y11" i="21"/>
  <c r="Y8" i="23"/>
  <c r="Y12" i="25" s="1"/>
  <c r="Y19" i="25" s="1"/>
  <c r="Z163" i="17"/>
  <c r="Z33" i="17"/>
  <c r="Z170" i="17"/>
  <c r="Z40" i="17"/>
  <c r="Y126" i="18"/>
  <c r="Y81" i="18"/>
  <c r="Y94" i="18" s="1"/>
  <c r="Y107" i="18" s="1"/>
  <c r="Y139" i="18" s="1"/>
  <c r="Z44" i="15"/>
  <c r="Z160" i="15"/>
  <c r="Z168" i="15"/>
  <c r="Z52" i="15"/>
  <c r="Y104" i="19"/>
  <c r="Y56" i="19"/>
  <c r="Y69" i="19" s="1"/>
  <c r="Y112" i="15"/>
  <c r="Y67" i="15"/>
  <c r="Y80" i="15" s="1"/>
  <c r="Y93" i="15" s="1"/>
  <c r="Y125" i="15" s="1"/>
  <c r="Y115" i="17"/>
  <c r="Y47" i="17"/>
  <c r="Y60" i="17" s="1"/>
  <c r="Y73" i="17" s="1"/>
  <c r="Y128" i="17" s="1"/>
  <c r="Y117" i="18"/>
  <c r="Y72" i="18"/>
  <c r="Y85" i="18" s="1"/>
  <c r="Y98" i="18" s="1"/>
  <c r="Y130" i="18" s="1"/>
  <c r="Y115" i="19"/>
  <c r="Y67" i="19"/>
  <c r="Y80" i="19" s="1"/>
  <c r="Z213" i="19"/>
  <c r="Z54" i="19"/>
  <c r="Y116" i="18"/>
  <c r="Y71" i="18"/>
  <c r="Y84" i="18" s="1"/>
  <c r="Y97" i="18" s="1"/>
  <c r="Y129" i="18" s="1"/>
  <c r="Y109" i="15"/>
  <c r="Y64" i="15"/>
  <c r="Y77" i="15" s="1"/>
  <c r="Y90" i="15" s="1"/>
  <c r="Y122" i="15" s="1"/>
  <c r="AC21" i="10"/>
  <c r="AC3" i="21"/>
  <c r="AC3" i="23"/>
  <c r="AC3" i="25"/>
  <c r="AC3" i="19"/>
  <c r="AC3" i="18"/>
  <c r="AC3" i="17"/>
  <c r="AC3" i="15"/>
  <c r="AC3" i="12"/>
  <c r="AC3" i="14"/>
  <c r="AC24" i="10"/>
  <c r="AC52" i="10" s="1"/>
  <c r="AC36" i="10"/>
  <c r="AC51" i="10"/>
  <c r="Z196" i="18"/>
  <c r="Z60" i="18"/>
  <c r="Z193" i="18"/>
  <c r="Z57" i="18"/>
  <c r="AA14" i="19"/>
  <c r="AA24" i="19"/>
  <c r="AA22" i="19"/>
  <c r="AA23" i="19"/>
  <c r="AA21" i="19"/>
  <c r="AA20" i="19"/>
  <c r="AA19" i="19"/>
  <c r="AA17" i="19"/>
  <c r="AA18" i="19"/>
  <c r="AA16" i="19"/>
  <c r="AA15" i="19"/>
  <c r="Z210" i="19"/>
  <c r="Z51" i="19"/>
  <c r="Z34" i="17"/>
  <c r="Z164" i="17"/>
  <c r="Z171" i="17"/>
  <c r="Z41" i="17"/>
  <c r="Y106" i="15"/>
  <c r="Y61" i="15"/>
  <c r="Y74" i="15" s="1"/>
  <c r="Y87" i="15" s="1"/>
  <c r="Y119" i="15" s="1"/>
  <c r="Z161" i="15"/>
  <c r="Z45" i="15"/>
  <c r="Z169" i="15"/>
  <c r="Z53" i="15"/>
  <c r="Y107" i="19"/>
  <c r="Y59" i="19"/>
  <c r="Y72" i="19" s="1"/>
  <c r="Y114" i="19"/>
  <c r="Y66" i="19"/>
  <c r="Y79" i="19" s="1"/>
  <c r="AD98" i="19"/>
  <c r="AD10" i="19"/>
  <c r="AD196" i="19"/>
  <c r="AD10" i="18"/>
  <c r="AD112" i="18"/>
  <c r="AD184" i="18"/>
  <c r="AD155" i="17"/>
  <c r="AD10" i="17"/>
  <c r="AD109" i="17"/>
  <c r="AD152" i="15"/>
  <c r="AD98" i="15"/>
  <c r="AD10" i="15"/>
  <c r="AD20" i="10"/>
  <c r="AE19" i="10"/>
  <c r="Z197" i="18"/>
  <c r="Z61" i="18"/>
  <c r="V13" i="14"/>
  <c r="V15" i="14" s="1"/>
  <c r="V26" i="14" s="1"/>
  <c r="V28" i="14" s="1"/>
  <c r="V56" i="14" s="1"/>
  <c r="V43" i="14"/>
  <c r="V45" i="14" s="1"/>
  <c r="V50" i="14" s="1"/>
  <c r="V52" i="14" s="1"/>
  <c r="V57" i="14" s="1"/>
  <c r="Z209" i="19"/>
  <c r="Z50" i="19"/>
  <c r="Z35" i="17"/>
  <c r="Z165" i="17"/>
  <c r="AA13" i="17"/>
  <c r="Z161" i="17"/>
  <c r="Z31" i="17"/>
  <c r="Y125" i="18"/>
  <c r="Y80" i="18"/>
  <c r="Y93" i="18" s="1"/>
  <c r="Y106" i="18" s="1"/>
  <c r="Y138" i="18" s="1"/>
  <c r="Y103" i="15"/>
  <c r="Y58" i="15"/>
  <c r="Y71" i="15" s="1"/>
  <c r="Y84" i="15" s="1"/>
  <c r="Y116" i="15" s="1"/>
  <c r="Z162" i="15"/>
  <c r="Z46" i="15"/>
  <c r="Z170" i="15"/>
  <c r="Z54" i="15"/>
  <c r="Y111" i="15"/>
  <c r="Y137" i="15" s="1"/>
  <c r="Y66" i="15"/>
  <c r="Y79" i="15" s="1"/>
  <c r="Y92" i="15" s="1"/>
  <c r="Y124" i="15" s="1"/>
  <c r="Y104" i="15"/>
  <c r="Y59" i="15"/>
  <c r="Y72" i="15" s="1"/>
  <c r="Y85" i="15" s="1"/>
  <c r="Y117" i="15" s="1"/>
  <c r="Y113" i="19"/>
  <c r="Y65" i="19"/>
  <c r="Y78" i="19" s="1"/>
  <c r="W136" i="15"/>
  <c r="W196" i="15" s="1"/>
  <c r="Y85" i="19" l="1"/>
  <c r="Y120" i="19" s="1"/>
  <c r="Y93" i="19"/>
  <c r="Y128" i="19" s="1"/>
  <c r="Y82" i="19"/>
  <c r="Y117" i="19" s="1"/>
  <c r="Y90" i="19"/>
  <c r="Y125" i="19" s="1"/>
  <c r="Y86" i="19"/>
  <c r="Y121" i="19" s="1"/>
  <c r="Y88" i="19"/>
  <c r="Y123" i="19" s="1"/>
  <c r="Y89" i="19"/>
  <c r="Y124" i="19" s="1"/>
  <c r="Y83" i="19"/>
  <c r="Y118" i="19" s="1"/>
  <c r="Y84" i="19"/>
  <c r="Y119" i="19" s="1"/>
  <c r="Y91" i="19"/>
  <c r="Y126" i="19" s="1"/>
  <c r="Y92" i="19"/>
  <c r="Y127" i="19" s="1"/>
  <c r="Y87" i="19"/>
  <c r="Y122" i="19" s="1"/>
  <c r="U37" i="18"/>
  <c r="U167" i="18" s="1"/>
  <c r="U36" i="18"/>
  <c r="U166" i="18" s="1"/>
  <c r="U35" i="18"/>
  <c r="U165" i="18" s="1"/>
  <c r="U38" i="18"/>
  <c r="U168" i="18" s="1"/>
  <c r="U34" i="18"/>
  <c r="U164" i="18" s="1"/>
  <c r="U32" i="18"/>
  <c r="U162" i="18" s="1"/>
  <c r="U28" i="18"/>
  <c r="U158" i="18" s="1"/>
  <c r="U27" i="18"/>
  <c r="U157" i="18" s="1"/>
  <c r="U30" i="18"/>
  <c r="U160" i="18" s="1"/>
  <c r="U31" i="18"/>
  <c r="U161" i="18" s="1"/>
  <c r="U29" i="18"/>
  <c r="U159" i="18" s="1"/>
  <c r="U33" i="18"/>
  <c r="U163" i="18" s="1"/>
  <c r="V34" i="14"/>
  <c r="V36" i="14" s="1"/>
  <c r="V8" i="23" s="1"/>
  <c r="V12" i="25" s="1"/>
  <c r="V19" i="25" s="1"/>
  <c r="Z183" i="15"/>
  <c r="Y183" i="15"/>
  <c r="W157" i="15"/>
  <c r="X182" i="15" s="1"/>
  <c r="AF11" i="10"/>
  <c r="AF30" i="10" s="1"/>
  <c r="AF31" i="10" s="1"/>
  <c r="AF45" i="10" s="1"/>
  <c r="AF46" i="10" s="1"/>
  <c r="AG10" i="10"/>
  <c r="Y196" i="15"/>
  <c r="Y138" i="15"/>
  <c r="Y198" i="15" s="1"/>
  <c r="Y197" i="15"/>
  <c r="Z104" i="15"/>
  <c r="Z59" i="15"/>
  <c r="Z72" i="15" s="1"/>
  <c r="Z85" i="15" s="1"/>
  <c r="Z117" i="15" s="1"/>
  <c r="AB13" i="17"/>
  <c r="AA161" i="17"/>
  <c r="AA31" i="17"/>
  <c r="AA205" i="19"/>
  <c r="AA46" i="19"/>
  <c r="AA213" i="19"/>
  <c r="AA54" i="19"/>
  <c r="AA201" i="18"/>
  <c r="AA65" i="18"/>
  <c r="Z117" i="18"/>
  <c r="Z72" i="18"/>
  <c r="Z85" i="18" s="1"/>
  <c r="Z98" i="18" s="1"/>
  <c r="Z130" i="18" s="1"/>
  <c r="Z109" i="15"/>
  <c r="Z64" i="15"/>
  <c r="Z77" i="15" s="1"/>
  <c r="Z90" i="15" s="1"/>
  <c r="Z122" i="15" s="1"/>
  <c r="Z119" i="17"/>
  <c r="Z51" i="17"/>
  <c r="Z64" i="17" s="1"/>
  <c r="Z77" i="17" s="1"/>
  <c r="Z132" i="17" s="1"/>
  <c r="AA168" i="17"/>
  <c r="AA38" i="17"/>
  <c r="Z106" i="15"/>
  <c r="Z61" i="15"/>
  <c r="Z74" i="15" s="1"/>
  <c r="Z87" i="15" s="1"/>
  <c r="Z119" i="15" s="1"/>
  <c r="AA163" i="15"/>
  <c r="AA47" i="15"/>
  <c r="AA159" i="15"/>
  <c r="AA43" i="15"/>
  <c r="Z113" i="17"/>
  <c r="Z45" i="17"/>
  <c r="Z58" i="17" s="1"/>
  <c r="Z71" i="17" s="1"/>
  <c r="Z126" i="17" s="1"/>
  <c r="AE196" i="19"/>
  <c r="AE10" i="19"/>
  <c r="AE98" i="19"/>
  <c r="AE112" i="18"/>
  <c r="AE184" i="18"/>
  <c r="AE10" i="18"/>
  <c r="AE155" i="17"/>
  <c r="AE10" i="17"/>
  <c r="AE109" i="17"/>
  <c r="AE152" i="15"/>
  <c r="AE10" i="15"/>
  <c r="AE98" i="15"/>
  <c r="AE20" i="10"/>
  <c r="AF19" i="10"/>
  <c r="Z122" i="17"/>
  <c r="Z54" i="17"/>
  <c r="Z67" i="17" s="1"/>
  <c r="Z80" i="17" s="1"/>
  <c r="Z135" i="17" s="1"/>
  <c r="AA207" i="19"/>
  <c r="AA48" i="19"/>
  <c r="AB14" i="19"/>
  <c r="AA44" i="19"/>
  <c r="AA203" i="19"/>
  <c r="Z121" i="17"/>
  <c r="Z53" i="17"/>
  <c r="Z66" i="17" s="1"/>
  <c r="Z79" i="17" s="1"/>
  <c r="Z134" i="17" s="1"/>
  <c r="Z109" i="19"/>
  <c r="Z61" i="19"/>
  <c r="Z74" i="19" s="1"/>
  <c r="AA64" i="18"/>
  <c r="AA200" i="18"/>
  <c r="Z124" i="18"/>
  <c r="Z79" i="18"/>
  <c r="Z92" i="18" s="1"/>
  <c r="Z105" i="18" s="1"/>
  <c r="Z137" i="18" s="1"/>
  <c r="AB13" i="19"/>
  <c r="AA202" i="19"/>
  <c r="AA43" i="19"/>
  <c r="Z123" i="18"/>
  <c r="Z78" i="18"/>
  <c r="Z91" i="18" s="1"/>
  <c r="Z104" i="18" s="1"/>
  <c r="Z136" i="18" s="1"/>
  <c r="AA36" i="17"/>
  <c r="AA166" i="17"/>
  <c r="AA164" i="15"/>
  <c r="AA48" i="15"/>
  <c r="AA160" i="15"/>
  <c r="AA44" i="15"/>
  <c r="AB15" i="17"/>
  <c r="AB14" i="17"/>
  <c r="AB24" i="17"/>
  <c r="AB23" i="17"/>
  <c r="AB22" i="17"/>
  <c r="AB18" i="17"/>
  <c r="AB21" i="17"/>
  <c r="AB20" i="17"/>
  <c r="AB19" i="17"/>
  <c r="AB17" i="17"/>
  <c r="AB16" i="17"/>
  <c r="Z101" i="15"/>
  <c r="Z56" i="15"/>
  <c r="Z69" i="15" s="1"/>
  <c r="Z82" i="15" s="1"/>
  <c r="Z114" i="15" s="1"/>
  <c r="U13" i="14"/>
  <c r="U15" i="14" s="1"/>
  <c r="U26" i="14" s="1"/>
  <c r="U28" i="14" s="1"/>
  <c r="U34" i="14" s="1"/>
  <c r="U36" i="14" s="1"/>
  <c r="U8" i="23" s="1"/>
  <c r="U12" i="25" s="1"/>
  <c r="U19" i="25" s="1"/>
  <c r="U43" i="14"/>
  <c r="U45" i="14" s="1"/>
  <c r="U50" i="14" s="1"/>
  <c r="U52" i="14" s="1"/>
  <c r="U57" i="14" s="1"/>
  <c r="Z116" i="17"/>
  <c r="Z48" i="17"/>
  <c r="Z61" i="17" s="1"/>
  <c r="Z74" i="17" s="1"/>
  <c r="Z129" i="17" s="1"/>
  <c r="AD21" i="10"/>
  <c r="AD3" i="23"/>
  <c r="AD3" i="25"/>
  <c r="AD3" i="19"/>
  <c r="AD3" i="21"/>
  <c r="AD3" i="18"/>
  <c r="AD3" i="17"/>
  <c r="AD3" i="15"/>
  <c r="AD3" i="12"/>
  <c r="AD3" i="14"/>
  <c r="AD36" i="10"/>
  <c r="AD24" i="10"/>
  <c r="AD52" i="10" s="1"/>
  <c r="AD51" i="10"/>
  <c r="AA206" i="19"/>
  <c r="AA47" i="19"/>
  <c r="Z115" i="18"/>
  <c r="Z70" i="18"/>
  <c r="Z83" i="18" s="1"/>
  <c r="Z96" i="18" s="1"/>
  <c r="Z128" i="18" s="1"/>
  <c r="AC97" i="19"/>
  <c r="AC11" i="19"/>
  <c r="AC111" i="18"/>
  <c r="AC11" i="18"/>
  <c r="AC108" i="17"/>
  <c r="AC11" i="17"/>
  <c r="AC97" i="15"/>
  <c r="AC11" i="15"/>
  <c r="AC21" i="14"/>
  <c r="AC23" i="14" s="1"/>
  <c r="AA202" i="18"/>
  <c r="AA66" i="18"/>
  <c r="Z106" i="19"/>
  <c r="Z58" i="19"/>
  <c r="Z71" i="19" s="1"/>
  <c r="AA169" i="17"/>
  <c r="AA39" i="17"/>
  <c r="Z108" i="19"/>
  <c r="Z60" i="19"/>
  <c r="Z73" i="19" s="1"/>
  <c r="Z66" i="19"/>
  <c r="Z79" i="19" s="1"/>
  <c r="Z114" i="19"/>
  <c r="AA165" i="15"/>
  <c r="AA49" i="15"/>
  <c r="Z120" i="18"/>
  <c r="Z75" i="18"/>
  <c r="Z88" i="18" s="1"/>
  <c r="Z101" i="18" s="1"/>
  <c r="Z133" i="18" s="1"/>
  <c r="Z116" i="18"/>
  <c r="Z71" i="18"/>
  <c r="Z84" i="18" s="1"/>
  <c r="Z97" i="18" s="1"/>
  <c r="Z129" i="18" s="1"/>
  <c r="AA170" i="17"/>
  <c r="AA40" i="17"/>
  <c r="AA166" i="15"/>
  <c r="AA50" i="15"/>
  <c r="Z105" i="15"/>
  <c r="Z60" i="15"/>
  <c r="Z73" i="15" s="1"/>
  <c r="Z86" i="15" s="1"/>
  <c r="Z118" i="15" s="1"/>
  <c r="Z125" i="18"/>
  <c r="Z80" i="18"/>
  <c r="Z93" i="18" s="1"/>
  <c r="Z106" i="18" s="1"/>
  <c r="Z138" i="18" s="1"/>
  <c r="Z121" i="18"/>
  <c r="Z76" i="18"/>
  <c r="Z89" i="18" s="1"/>
  <c r="Z102" i="18" s="1"/>
  <c r="Z134" i="18" s="1"/>
  <c r="Z63" i="19"/>
  <c r="Z76" i="19" s="1"/>
  <c r="Z111" i="19"/>
  <c r="Z111" i="15"/>
  <c r="Z137" i="15" s="1"/>
  <c r="Z66" i="15"/>
  <c r="Z79" i="15" s="1"/>
  <c r="Z92" i="15" s="1"/>
  <c r="Z124" i="15" s="1"/>
  <c r="AA208" i="19"/>
  <c r="AA49" i="19"/>
  <c r="Z110" i="15"/>
  <c r="Z136" i="15" s="1"/>
  <c r="Z65" i="15"/>
  <c r="Z78" i="15" s="1"/>
  <c r="Z91" i="15" s="1"/>
  <c r="Z123" i="15" s="1"/>
  <c r="Z114" i="17"/>
  <c r="Z46" i="17"/>
  <c r="Z59" i="17" s="1"/>
  <c r="Z72" i="17" s="1"/>
  <c r="Z127" i="17" s="1"/>
  <c r="AA195" i="18"/>
  <c r="AA59" i="18"/>
  <c r="AB14" i="18"/>
  <c r="AA58" i="18"/>
  <c r="AA194" i="18"/>
  <c r="Z115" i="17"/>
  <c r="Z47" i="17"/>
  <c r="Z60" i="17" s="1"/>
  <c r="Z73" i="17" s="1"/>
  <c r="Z128" i="17" s="1"/>
  <c r="AA209" i="19"/>
  <c r="AA50" i="19"/>
  <c r="Z118" i="18"/>
  <c r="Z73" i="18"/>
  <c r="Z86" i="18" s="1"/>
  <c r="Z99" i="18" s="1"/>
  <c r="Z131" i="18" s="1"/>
  <c r="AA196" i="18"/>
  <c r="AA60" i="18"/>
  <c r="AA57" i="18"/>
  <c r="AA193" i="18"/>
  <c r="Z120" i="17"/>
  <c r="Z52" i="17"/>
  <c r="Z65" i="17" s="1"/>
  <c r="Z78" i="17" s="1"/>
  <c r="Z133" i="17" s="1"/>
  <c r="Z107" i="15"/>
  <c r="Z62" i="15"/>
  <c r="Z75" i="15" s="1"/>
  <c r="Z88" i="15" s="1"/>
  <c r="Z120" i="15" s="1"/>
  <c r="Z113" i="19"/>
  <c r="Z65" i="19"/>
  <c r="Z78" i="19" s="1"/>
  <c r="AA33" i="17"/>
  <c r="AA163" i="17"/>
  <c r="AA171" i="17"/>
  <c r="AA41" i="17"/>
  <c r="AA167" i="15"/>
  <c r="AA51" i="15"/>
  <c r="AB15" i="18"/>
  <c r="AB13" i="18"/>
  <c r="AB23" i="18"/>
  <c r="AB22" i="18"/>
  <c r="AB20" i="18"/>
  <c r="AB21" i="18"/>
  <c r="AB19" i="18"/>
  <c r="AB18" i="18"/>
  <c r="AB17" i="18"/>
  <c r="AB16" i="18"/>
  <c r="Z103" i="15"/>
  <c r="Z58" i="15"/>
  <c r="Z71" i="15" s="1"/>
  <c r="Z84" i="15" s="1"/>
  <c r="Z116" i="15" s="1"/>
  <c r="Z108" i="15"/>
  <c r="Z63" i="15"/>
  <c r="Z76" i="15" s="1"/>
  <c r="Z89" i="15" s="1"/>
  <c r="Z121" i="15" s="1"/>
  <c r="Z117" i="17"/>
  <c r="Z49" i="17"/>
  <c r="Z62" i="17" s="1"/>
  <c r="Z75" i="17" s="1"/>
  <c r="Z130" i="17" s="1"/>
  <c r="AA165" i="17"/>
  <c r="AA35" i="17"/>
  <c r="AA172" i="17"/>
  <c r="AA42" i="17"/>
  <c r="AA168" i="15"/>
  <c r="AA52" i="15"/>
  <c r="AB15" i="19"/>
  <c r="AB24" i="19"/>
  <c r="AB22" i="19"/>
  <c r="AB23" i="19"/>
  <c r="AB19" i="19"/>
  <c r="AB20" i="19"/>
  <c r="AB21" i="19"/>
  <c r="AB17" i="19"/>
  <c r="AB18" i="19"/>
  <c r="AB16" i="19"/>
  <c r="AA203" i="18"/>
  <c r="AA67" i="18"/>
  <c r="Z110" i="19"/>
  <c r="Z62" i="19"/>
  <c r="Z75" i="19" s="1"/>
  <c r="AA210" i="19"/>
  <c r="AA51" i="19"/>
  <c r="AA197" i="18"/>
  <c r="AA61" i="18"/>
  <c r="Z112" i="15"/>
  <c r="Z138" i="15" s="1"/>
  <c r="Z67" i="15"/>
  <c r="Z80" i="15" s="1"/>
  <c r="Z93" i="15" s="1"/>
  <c r="Z125" i="15" s="1"/>
  <c r="Z112" i="17"/>
  <c r="Z44" i="17"/>
  <c r="Z57" i="17" s="1"/>
  <c r="Z70" i="17" s="1"/>
  <c r="Z125" i="17" s="1"/>
  <c r="V59" i="14"/>
  <c r="V65" i="14" s="1"/>
  <c r="V67" i="14" s="1"/>
  <c r="V155" i="15" s="1"/>
  <c r="AA212" i="19"/>
  <c r="AA53" i="19"/>
  <c r="Z57" i="15"/>
  <c r="Z70" i="15" s="1"/>
  <c r="Z83" i="15" s="1"/>
  <c r="Z115" i="15" s="1"/>
  <c r="Z102" i="15"/>
  <c r="AA198" i="18"/>
  <c r="AA62" i="18"/>
  <c r="Z126" i="18"/>
  <c r="Z81" i="18"/>
  <c r="Z94" i="18" s="1"/>
  <c r="Z107" i="18" s="1"/>
  <c r="Z139" i="18" s="1"/>
  <c r="Z123" i="17"/>
  <c r="Z55" i="17"/>
  <c r="Z68" i="17" s="1"/>
  <c r="Z81" i="17" s="1"/>
  <c r="Z136" i="17" s="1"/>
  <c r="AA164" i="17"/>
  <c r="AA34" i="17"/>
  <c r="AA162" i="17"/>
  <c r="AA32" i="17"/>
  <c r="Z118" i="17"/>
  <c r="Z50" i="17"/>
  <c r="Z63" i="17" s="1"/>
  <c r="Z76" i="17" s="1"/>
  <c r="Z131" i="17" s="1"/>
  <c r="AA45" i="15"/>
  <c r="AA161" i="15"/>
  <c r="AA169" i="15"/>
  <c r="AA183" i="15" s="1"/>
  <c r="AA53" i="15"/>
  <c r="AB307" i="19"/>
  <c r="AB238" i="18"/>
  <c r="AB207" i="17"/>
  <c r="AB204" i="15"/>
  <c r="AB33" i="14"/>
  <c r="AB41" i="10"/>
  <c r="AB64" i="14"/>
  <c r="Z112" i="19"/>
  <c r="Z64" i="19"/>
  <c r="Z77" i="19" s="1"/>
  <c r="Z184" i="15"/>
  <c r="Z119" i="18"/>
  <c r="Z74" i="18"/>
  <c r="Z87" i="18" s="1"/>
  <c r="Z100" i="18" s="1"/>
  <c r="Z132" i="18" s="1"/>
  <c r="AA204" i="19"/>
  <c r="AA45" i="19"/>
  <c r="AA52" i="19"/>
  <c r="AA211" i="19"/>
  <c r="AC38" i="10"/>
  <c r="AC39" i="10"/>
  <c r="AC26" i="25"/>
  <c r="AC28" i="25"/>
  <c r="AC43" i="25"/>
  <c r="AC44" i="25"/>
  <c r="AC25" i="25"/>
  <c r="AC27" i="25"/>
  <c r="Z115" i="19"/>
  <c r="Z67" i="19"/>
  <c r="Z80" i="19" s="1"/>
  <c r="AA63" i="18"/>
  <c r="AA199" i="18"/>
  <c r="AB24" i="18"/>
  <c r="AA68" i="18"/>
  <c r="AA204" i="18"/>
  <c r="Z107" i="19"/>
  <c r="Z59" i="19"/>
  <c r="Z72" i="19" s="1"/>
  <c r="Z104" i="19"/>
  <c r="Z56" i="19"/>
  <c r="Z69" i="19" s="1"/>
  <c r="AA4" i="25"/>
  <c r="AA4" i="23"/>
  <c r="AA4" i="19"/>
  <c r="AA4" i="21"/>
  <c r="AA4" i="18"/>
  <c r="AA4" i="17"/>
  <c r="AA4" i="15"/>
  <c r="AA4" i="14"/>
  <c r="AA4" i="12"/>
  <c r="Z105" i="19"/>
  <c r="Z57" i="19"/>
  <c r="Z70" i="19" s="1"/>
  <c r="AA167" i="17"/>
  <c r="AA37" i="17"/>
  <c r="Z122" i="18"/>
  <c r="Z77" i="18"/>
  <c r="Z90" i="18" s="1"/>
  <c r="Z103" i="18" s="1"/>
  <c r="Z135" i="18" s="1"/>
  <c r="AA162" i="15"/>
  <c r="AA46" i="15"/>
  <c r="AA170" i="15"/>
  <c r="AA184" i="15" s="1"/>
  <c r="AA54" i="15"/>
  <c r="AB15" i="15"/>
  <c r="AB14" i="15"/>
  <c r="AB13" i="15"/>
  <c r="AB24" i="15"/>
  <c r="AB23" i="15"/>
  <c r="AB22" i="15"/>
  <c r="AB21" i="15"/>
  <c r="AB20" i="15"/>
  <c r="AB19" i="15"/>
  <c r="AB18" i="15"/>
  <c r="AB17" i="15"/>
  <c r="AB16" i="15"/>
  <c r="T5" i="15"/>
  <c r="T5" i="25"/>
  <c r="T5" i="21"/>
  <c r="T5" i="23"/>
  <c r="T5" i="19"/>
  <c r="T5" i="18"/>
  <c r="T5" i="17"/>
  <c r="T5" i="14"/>
  <c r="S54" i="10"/>
  <c r="T5" i="12"/>
  <c r="Z84" i="19" l="1"/>
  <c r="Z119" i="19" s="1"/>
  <c r="Z82" i="19"/>
  <c r="Z117" i="19" s="1"/>
  <c r="Z88" i="19"/>
  <c r="Z123" i="19" s="1"/>
  <c r="Z89" i="19"/>
  <c r="Z124" i="19" s="1"/>
  <c r="Z93" i="19"/>
  <c r="Z128" i="19" s="1"/>
  <c r="Z85" i="19"/>
  <c r="Z120" i="19" s="1"/>
  <c r="Z90" i="19"/>
  <c r="Z125" i="19" s="1"/>
  <c r="Z91" i="19"/>
  <c r="Z126" i="19" s="1"/>
  <c r="Z92" i="19"/>
  <c r="Z127" i="19" s="1"/>
  <c r="Z86" i="19"/>
  <c r="Z121" i="19" s="1"/>
  <c r="Z83" i="19"/>
  <c r="Z118" i="19" s="1"/>
  <c r="Z87" i="19"/>
  <c r="Z122" i="19" s="1"/>
  <c r="T38" i="18"/>
  <c r="T168" i="18" s="1"/>
  <c r="T37" i="18"/>
  <c r="T167" i="18" s="1"/>
  <c r="T36" i="18"/>
  <c r="T166" i="18" s="1"/>
  <c r="T35" i="18"/>
  <c r="T165" i="18" s="1"/>
  <c r="T34" i="18"/>
  <c r="T164" i="18" s="1"/>
  <c r="T28" i="18"/>
  <c r="T158" i="18" s="1"/>
  <c r="T27" i="18"/>
  <c r="T157" i="18" s="1"/>
  <c r="T31" i="18"/>
  <c r="T161" i="18" s="1"/>
  <c r="T29" i="18"/>
  <c r="T159" i="18" s="1"/>
  <c r="T30" i="18"/>
  <c r="T160" i="18" s="1"/>
  <c r="T33" i="18"/>
  <c r="T163" i="18" s="1"/>
  <c r="T32" i="18"/>
  <c r="T162" i="18" s="1"/>
  <c r="V99" i="15"/>
  <c r="X135" i="15" s="1"/>
  <c r="X195" i="15" s="1"/>
  <c r="V154" i="15"/>
  <c r="V157" i="15" s="1"/>
  <c r="W181" i="15" s="1"/>
  <c r="V11" i="21"/>
  <c r="U154" i="15"/>
  <c r="Z182" i="15"/>
  <c r="W182" i="15"/>
  <c r="AA182" i="15"/>
  <c r="Y182" i="15"/>
  <c r="AG11" i="10"/>
  <c r="AG30" i="10" s="1"/>
  <c r="AG31" i="10" s="1"/>
  <c r="AG45" i="10" s="1"/>
  <c r="AG46" i="10" s="1"/>
  <c r="AH10" i="10"/>
  <c r="U56" i="14"/>
  <c r="U59" i="14" s="1"/>
  <c r="U65" i="14" s="1"/>
  <c r="U67" i="14" s="1"/>
  <c r="U155" i="15" s="1"/>
  <c r="Z198" i="15"/>
  <c r="U99" i="15"/>
  <c r="Z134" i="15" s="1"/>
  <c r="Z194" i="15" s="1"/>
  <c r="U11" i="21"/>
  <c r="AB163" i="15"/>
  <c r="AB47" i="15"/>
  <c r="AB159" i="15"/>
  <c r="AB43" i="15"/>
  <c r="AB4" i="14"/>
  <c r="AB4" i="25"/>
  <c r="AB4" i="21"/>
  <c r="AB4" i="23"/>
  <c r="AB4" i="19"/>
  <c r="AB4" i="18"/>
  <c r="AB4" i="17"/>
  <c r="AB4" i="15"/>
  <c r="AB4" i="12"/>
  <c r="AB208" i="19"/>
  <c r="AB49" i="19"/>
  <c r="AB67" i="18"/>
  <c r="AB203" i="18"/>
  <c r="AA114" i="17"/>
  <c r="AA46" i="17"/>
  <c r="AA59" i="17" s="1"/>
  <c r="AA72" i="17" s="1"/>
  <c r="AA127" i="17" s="1"/>
  <c r="AA115" i="18"/>
  <c r="AA70" i="18"/>
  <c r="AA83" i="18" s="1"/>
  <c r="AA96" i="18" s="1"/>
  <c r="AA128" i="18" s="1"/>
  <c r="AA117" i="18"/>
  <c r="AA72" i="18"/>
  <c r="AA85" i="18" s="1"/>
  <c r="AA98" i="18" s="1"/>
  <c r="AA130" i="18" s="1"/>
  <c r="AC16" i="19"/>
  <c r="AC15" i="19"/>
  <c r="AC14" i="19"/>
  <c r="AC24" i="19"/>
  <c r="AC22" i="19"/>
  <c r="AC23" i="19"/>
  <c r="AC21" i="19"/>
  <c r="AC19" i="19"/>
  <c r="AC20" i="19"/>
  <c r="AC17" i="19"/>
  <c r="AC18" i="19"/>
  <c r="AD39" i="10"/>
  <c r="AD38" i="10"/>
  <c r="AD26" i="25"/>
  <c r="AD28" i="25"/>
  <c r="AD44" i="25"/>
  <c r="AD43" i="25"/>
  <c r="AD25" i="25"/>
  <c r="AD27" i="25"/>
  <c r="AB41" i="17"/>
  <c r="AB171" i="17"/>
  <c r="AA105" i="19"/>
  <c r="AA57" i="19"/>
  <c r="AA70" i="19" s="1"/>
  <c r="AA105" i="15"/>
  <c r="AA60" i="15"/>
  <c r="AA73" i="15" s="1"/>
  <c r="AA86" i="15" s="1"/>
  <c r="AA118" i="15" s="1"/>
  <c r="AB46" i="15"/>
  <c r="AB162" i="15"/>
  <c r="AB164" i="15"/>
  <c r="AB48" i="15"/>
  <c r="AB160" i="15"/>
  <c r="AB44" i="15"/>
  <c r="AA118" i="17"/>
  <c r="AA50" i="17"/>
  <c r="AA63" i="17" s="1"/>
  <c r="AA76" i="17" s="1"/>
  <c r="AA131" i="17" s="1"/>
  <c r="AC307" i="19"/>
  <c r="AC238" i="18"/>
  <c r="AC207" i="17"/>
  <c r="AC204" i="15"/>
  <c r="AC41" i="10"/>
  <c r="AC33" i="14"/>
  <c r="AC64" i="14"/>
  <c r="AA103" i="15"/>
  <c r="AA58" i="15"/>
  <c r="AA71" i="15" s="1"/>
  <c r="AA84" i="15" s="1"/>
  <c r="AA116" i="15" s="1"/>
  <c r="AA125" i="18"/>
  <c r="AA80" i="18"/>
  <c r="AA93" i="18" s="1"/>
  <c r="AA106" i="18" s="1"/>
  <c r="AA138" i="18" s="1"/>
  <c r="AB212" i="19"/>
  <c r="AB53" i="19"/>
  <c r="AA116" i="17"/>
  <c r="AA48" i="17"/>
  <c r="AA61" i="17" s="1"/>
  <c r="AA74" i="17" s="1"/>
  <c r="AA129" i="17" s="1"/>
  <c r="AB60" i="18"/>
  <c r="AB196" i="18"/>
  <c r="AB193" i="18"/>
  <c r="AB57" i="18"/>
  <c r="AA118" i="18"/>
  <c r="AA73" i="18"/>
  <c r="AA86" i="18" s="1"/>
  <c r="AA99" i="18" s="1"/>
  <c r="AA131" i="18" s="1"/>
  <c r="AA111" i="19"/>
  <c r="AA63" i="19"/>
  <c r="AA76" i="19" s="1"/>
  <c r="AA110" i="19"/>
  <c r="AA62" i="19"/>
  <c r="AA75" i="19" s="1"/>
  <c r="AB164" i="17"/>
  <c r="AB34" i="17"/>
  <c r="AB42" i="17"/>
  <c r="AB172" i="17"/>
  <c r="AA117" i="17"/>
  <c r="AA49" i="17"/>
  <c r="AA62" i="17" s="1"/>
  <c r="AA75" i="17" s="1"/>
  <c r="AA130" i="17" s="1"/>
  <c r="AB203" i="19"/>
  <c r="AB44" i="19"/>
  <c r="AA107" i="19"/>
  <c r="AA59" i="19"/>
  <c r="AA72" i="19" s="1"/>
  <c r="AB165" i="15"/>
  <c r="AB49" i="15"/>
  <c r="AB161" i="15"/>
  <c r="AB45" i="15"/>
  <c r="AB211" i="19"/>
  <c r="AB52" i="19"/>
  <c r="AB197" i="18"/>
  <c r="AB61" i="18"/>
  <c r="AC15" i="18"/>
  <c r="AB195" i="18"/>
  <c r="AB59" i="18"/>
  <c r="AC16" i="15"/>
  <c r="AC15" i="15"/>
  <c r="AC14" i="15"/>
  <c r="AC13" i="15"/>
  <c r="AC24" i="15"/>
  <c r="AC23" i="15"/>
  <c r="AC22" i="15"/>
  <c r="AC21" i="15"/>
  <c r="AC20" i="15"/>
  <c r="AC19" i="15"/>
  <c r="AC18" i="15"/>
  <c r="AC17" i="15"/>
  <c r="AD97" i="19"/>
  <c r="AD11" i="19"/>
  <c r="AD111" i="18"/>
  <c r="AD11" i="18"/>
  <c r="AD11" i="17"/>
  <c r="AD108" i="17"/>
  <c r="AD97" i="15"/>
  <c r="AD11" i="15"/>
  <c r="AD21" i="14"/>
  <c r="AD23" i="14" s="1"/>
  <c r="AB165" i="17"/>
  <c r="AB35" i="17"/>
  <c r="AB32" i="17"/>
  <c r="AB162" i="17"/>
  <c r="AA122" i="18"/>
  <c r="AA77" i="18"/>
  <c r="AA90" i="18" s="1"/>
  <c r="AA103" i="18" s="1"/>
  <c r="AA135" i="18" s="1"/>
  <c r="AA109" i="19"/>
  <c r="AA61" i="19"/>
  <c r="AA74" i="19" s="1"/>
  <c r="AB166" i="15"/>
  <c r="AB50" i="15"/>
  <c r="AA112" i="15"/>
  <c r="AA138" i="15" s="1"/>
  <c r="AA67" i="15"/>
  <c r="AA80" i="15" s="1"/>
  <c r="AA93" i="15" s="1"/>
  <c r="AA125" i="15" s="1"/>
  <c r="AA126" i="18"/>
  <c r="AA81" i="18"/>
  <c r="AA94" i="18" s="1"/>
  <c r="AA107" i="18" s="1"/>
  <c r="AA139" i="18" s="1"/>
  <c r="AA113" i="19"/>
  <c r="AA65" i="19"/>
  <c r="AA78" i="19" s="1"/>
  <c r="AA119" i="18"/>
  <c r="AA74" i="18"/>
  <c r="AA87" i="18" s="1"/>
  <c r="AA100" i="18" s="1"/>
  <c r="AA132" i="18" s="1"/>
  <c r="AB205" i="19"/>
  <c r="AB46" i="19"/>
  <c r="AB213" i="19"/>
  <c r="AB54" i="19"/>
  <c r="AB198" i="18"/>
  <c r="AB62" i="18"/>
  <c r="AA109" i="15"/>
  <c r="AA64" i="15"/>
  <c r="AA77" i="15" s="1"/>
  <c r="AA90" i="15" s="1"/>
  <c r="AA122" i="15" s="1"/>
  <c r="AA120" i="17"/>
  <c r="AA52" i="17"/>
  <c r="AA65" i="17" s="1"/>
  <c r="AA78" i="17" s="1"/>
  <c r="AA133" i="17" s="1"/>
  <c r="AB37" i="17"/>
  <c r="AB167" i="17"/>
  <c r="AC15" i="17"/>
  <c r="AB163" i="17"/>
  <c r="AB33" i="17"/>
  <c r="AA112" i="17"/>
  <c r="AA44" i="17"/>
  <c r="AA57" i="17" s="1"/>
  <c r="AA70" i="17" s="1"/>
  <c r="AA125" i="17" s="1"/>
  <c r="AB167" i="15"/>
  <c r="AB51" i="15"/>
  <c r="AC24" i="18"/>
  <c r="AB68" i="18"/>
  <c r="AB204" i="18"/>
  <c r="AA106" i="19"/>
  <c r="AA58" i="19"/>
  <c r="AA71" i="19" s="1"/>
  <c r="AA113" i="17"/>
  <c r="AA45" i="17"/>
  <c r="AA58" i="17" s="1"/>
  <c r="AA71" i="17" s="1"/>
  <c r="AA126" i="17" s="1"/>
  <c r="AA120" i="18"/>
  <c r="AA75" i="18"/>
  <c r="AA88" i="18" s="1"/>
  <c r="AA101" i="18" s="1"/>
  <c r="AA133" i="18" s="1"/>
  <c r="AA66" i="19"/>
  <c r="AA79" i="19" s="1"/>
  <c r="AA114" i="19"/>
  <c r="AB207" i="19"/>
  <c r="AB48" i="19"/>
  <c r="AB204" i="19"/>
  <c r="AB45" i="19"/>
  <c r="AB199" i="18"/>
  <c r="AB63" i="18"/>
  <c r="Z197" i="15"/>
  <c r="AC16" i="17"/>
  <c r="AC14" i="17"/>
  <c r="AC24" i="17"/>
  <c r="AC23" i="17"/>
  <c r="AC22" i="17"/>
  <c r="AC18" i="17"/>
  <c r="AC21" i="17"/>
  <c r="AC20" i="17"/>
  <c r="AC19" i="17"/>
  <c r="AC17" i="17"/>
  <c r="AA108" i="19"/>
  <c r="AA60" i="19"/>
  <c r="AA73" i="19" s="1"/>
  <c r="AB38" i="17"/>
  <c r="AB168" i="17"/>
  <c r="AA102" i="15"/>
  <c r="AA57" i="15"/>
  <c r="AA70" i="15" s="1"/>
  <c r="AA83" i="15" s="1"/>
  <c r="AA115" i="15" s="1"/>
  <c r="AA104" i="19"/>
  <c r="AA56" i="19"/>
  <c r="AA69" i="19" s="1"/>
  <c r="AA119" i="17"/>
  <c r="AA51" i="17"/>
  <c r="AA64" i="17" s="1"/>
  <c r="AA77" i="17" s="1"/>
  <c r="AA132" i="17" s="1"/>
  <c r="AA123" i="18"/>
  <c r="AA78" i="18"/>
  <c r="AA91" i="18" s="1"/>
  <c r="AA104" i="18" s="1"/>
  <c r="AA136" i="18" s="1"/>
  <c r="AB168" i="15"/>
  <c r="AB182" i="15" s="1"/>
  <c r="AB52" i="15"/>
  <c r="AA104" i="15"/>
  <c r="AA59" i="15"/>
  <c r="AA72" i="15" s="1"/>
  <c r="AA85" i="15" s="1"/>
  <c r="AA117" i="15" s="1"/>
  <c r="AA112" i="19"/>
  <c r="AA64" i="19"/>
  <c r="AA77" i="19" s="1"/>
  <c r="AB47" i="19"/>
  <c r="AB206" i="19"/>
  <c r="AA110" i="15"/>
  <c r="AA136" i="15" s="1"/>
  <c r="AA65" i="15"/>
  <c r="AA78" i="15" s="1"/>
  <c r="AA91" i="15" s="1"/>
  <c r="AA123" i="15" s="1"/>
  <c r="AB65" i="18"/>
  <c r="AB201" i="18"/>
  <c r="AA122" i="17"/>
  <c r="AA54" i="17"/>
  <c r="AA67" i="17" s="1"/>
  <c r="AA80" i="17" s="1"/>
  <c r="AA135" i="17" s="1"/>
  <c r="Z196" i="15"/>
  <c r="AA108" i="15"/>
  <c r="AA63" i="15"/>
  <c r="AA76" i="15" s="1"/>
  <c r="AA89" i="15" s="1"/>
  <c r="AA121" i="15" s="1"/>
  <c r="AA107" i="15"/>
  <c r="AA62" i="15"/>
  <c r="AA75" i="15" s="1"/>
  <c r="AA88" i="15" s="1"/>
  <c r="AA120" i="15" s="1"/>
  <c r="AB39" i="17"/>
  <c r="AB169" i="17"/>
  <c r="AC13" i="17"/>
  <c r="AB161" i="17"/>
  <c r="AB31" i="17"/>
  <c r="S5" i="15"/>
  <c r="S5" i="25"/>
  <c r="S5" i="23"/>
  <c r="S5" i="19"/>
  <c r="S5" i="21"/>
  <c r="S5" i="18"/>
  <c r="S5" i="17"/>
  <c r="R54" i="10"/>
  <c r="S5" i="14"/>
  <c r="S5" i="12"/>
  <c r="AB169" i="15"/>
  <c r="AB183" i="15" s="1"/>
  <c r="AB53" i="15"/>
  <c r="AA121" i="18"/>
  <c r="AA76" i="18"/>
  <c r="AA89" i="18" s="1"/>
  <c r="AA102" i="18" s="1"/>
  <c r="AA134" i="18" s="1"/>
  <c r="AA111" i="15"/>
  <c r="AA137" i="15" s="1"/>
  <c r="AA66" i="15"/>
  <c r="AA79" i="15" s="1"/>
  <c r="AA92" i="15" s="1"/>
  <c r="AA124" i="15" s="1"/>
  <c r="AA115" i="17"/>
  <c r="AA47" i="17"/>
  <c r="AA60" i="17" s="1"/>
  <c r="AA73" i="17" s="1"/>
  <c r="AA128" i="17" s="1"/>
  <c r="AB210" i="19"/>
  <c r="AB51" i="19"/>
  <c r="AB200" i="18"/>
  <c r="AB64" i="18"/>
  <c r="AA116" i="18"/>
  <c r="AA71" i="18"/>
  <c r="AA84" i="18" s="1"/>
  <c r="AA97" i="18" s="1"/>
  <c r="AA129" i="18" s="1"/>
  <c r="AC14" i="18"/>
  <c r="AC13" i="18"/>
  <c r="AC23" i="18"/>
  <c r="AC22" i="18"/>
  <c r="AC21" i="18"/>
  <c r="AC20" i="18"/>
  <c r="AC18" i="18"/>
  <c r="AC19" i="18"/>
  <c r="AC17" i="18"/>
  <c r="AC16" i="18"/>
  <c r="AB166" i="17"/>
  <c r="AB36" i="17"/>
  <c r="AA106" i="15"/>
  <c r="AA61" i="15"/>
  <c r="AA74" i="15" s="1"/>
  <c r="AA87" i="15" s="1"/>
  <c r="AA119" i="15" s="1"/>
  <c r="AC13" i="19"/>
  <c r="AB202" i="19"/>
  <c r="AB43" i="19"/>
  <c r="AF196" i="19"/>
  <c r="AF10" i="19"/>
  <c r="AF98" i="19"/>
  <c r="AF112" i="18"/>
  <c r="AF184" i="18"/>
  <c r="AF10" i="18"/>
  <c r="AF10" i="17"/>
  <c r="AF109" i="17"/>
  <c r="AF152" i="15"/>
  <c r="AF155" i="17"/>
  <c r="AF98" i="15"/>
  <c r="AF10" i="15"/>
  <c r="AF20" i="10"/>
  <c r="AG19" i="10"/>
  <c r="AA101" i="15"/>
  <c r="AA56" i="15"/>
  <c r="AA69" i="15" s="1"/>
  <c r="AA82" i="15" s="1"/>
  <c r="AA114" i="15" s="1"/>
  <c r="T13" i="14"/>
  <c r="T15" i="14" s="1"/>
  <c r="T26" i="14" s="1"/>
  <c r="T28" i="14" s="1"/>
  <c r="T34" i="14" s="1"/>
  <c r="T36" i="14" s="1"/>
  <c r="T8" i="23" s="1"/>
  <c r="T12" i="25" s="1"/>
  <c r="T19" i="25" s="1"/>
  <c r="T43" i="14"/>
  <c r="T45" i="14" s="1"/>
  <c r="T50" i="14" s="1"/>
  <c r="T52" i="14" s="1"/>
  <c r="T57" i="14" s="1"/>
  <c r="AB170" i="15"/>
  <c r="AB184" i="15" s="1"/>
  <c r="AB54" i="15"/>
  <c r="AB209" i="19"/>
  <c r="AB50" i="19"/>
  <c r="AA123" i="17"/>
  <c r="AA55" i="17"/>
  <c r="AA68" i="17" s="1"/>
  <c r="AA81" i="17" s="1"/>
  <c r="AA136" i="17" s="1"/>
  <c r="AB202" i="18"/>
  <c r="AB66" i="18"/>
  <c r="AB194" i="18"/>
  <c r="AB58" i="18"/>
  <c r="AA121" i="17"/>
  <c r="AA53" i="17"/>
  <c r="AA66" i="17" s="1"/>
  <c r="AA79" i="17" s="1"/>
  <c r="AA134" i="17" s="1"/>
  <c r="AA124" i="18"/>
  <c r="AA79" i="18"/>
  <c r="AA92" i="18" s="1"/>
  <c r="AA105" i="18" s="1"/>
  <c r="AA137" i="18" s="1"/>
  <c r="AB40" i="17"/>
  <c r="AB170" i="17"/>
  <c r="AE21" i="10"/>
  <c r="AE3" i="23"/>
  <c r="AE3" i="25"/>
  <c r="AE3" i="19"/>
  <c r="AE3" i="21"/>
  <c r="AE3" i="18"/>
  <c r="AE3" i="17"/>
  <c r="AE3" i="15"/>
  <c r="AE51" i="10"/>
  <c r="AE24" i="10"/>
  <c r="AE52" i="10" s="1"/>
  <c r="AE3" i="14"/>
  <c r="AE36" i="10"/>
  <c r="AE3" i="12"/>
  <c r="AA115" i="19"/>
  <c r="AA67" i="19"/>
  <c r="AA80" i="19" s="1"/>
  <c r="W135" i="15"/>
  <c r="W195" i="15" s="1"/>
  <c r="AA90" i="19" l="1"/>
  <c r="AA125" i="19" s="1"/>
  <c r="AA86" i="19"/>
  <c r="AA121" i="19" s="1"/>
  <c r="AA83" i="19"/>
  <c r="AA118" i="19" s="1"/>
  <c r="AA84" i="19"/>
  <c r="AA119" i="19" s="1"/>
  <c r="AA82" i="19"/>
  <c r="AA117" i="19" s="1"/>
  <c r="AA91" i="19"/>
  <c r="AA126" i="19" s="1"/>
  <c r="AA87" i="19"/>
  <c r="AA122" i="19" s="1"/>
  <c r="AA85" i="19"/>
  <c r="AA120" i="19" s="1"/>
  <c r="AA93" i="19"/>
  <c r="AA128" i="19" s="1"/>
  <c r="AA92" i="19"/>
  <c r="AA127" i="19" s="1"/>
  <c r="AA88" i="19"/>
  <c r="AA123" i="19" s="1"/>
  <c r="AA89" i="19"/>
  <c r="AA124" i="19" s="1"/>
  <c r="S38" i="18"/>
  <c r="S168" i="18" s="1"/>
  <c r="S37" i="18"/>
  <c r="S167" i="18" s="1"/>
  <c r="S36" i="18"/>
  <c r="S166" i="18" s="1"/>
  <c r="S35" i="18"/>
  <c r="S165" i="18" s="1"/>
  <c r="S34" i="18"/>
  <c r="S164" i="18" s="1"/>
  <c r="S33" i="18"/>
  <c r="S163" i="18" s="1"/>
  <c r="S28" i="18"/>
  <c r="S158" i="18" s="1"/>
  <c r="S27" i="18"/>
  <c r="S157" i="18" s="1"/>
  <c r="S31" i="18"/>
  <c r="S161" i="18" s="1"/>
  <c r="S30" i="18"/>
  <c r="S160" i="18" s="1"/>
  <c r="S29" i="18"/>
  <c r="S159" i="18" s="1"/>
  <c r="S32" i="18"/>
  <c r="S162" i="18" s="1"/>
  <c r="X134" i="15"/>
  <c r="X194" i="15" s="1"/>
  <c r="Y135" i="15"/>
  <c r="Y195" i="15" s="1"/>
  <c r="Z135" i="15"/>
  <c r="Z195" i="15" s="1"/>
  <c r="AA135" i="15"/>
  <c r="AA195" i="15" s="1"/>
  <c r="V135" i="15"/>
  <c r="V195" i="15" s="1"/>
  <c r="Y134" i="15"/>
  <c r="Y194" i="15" s="1"/>
  <c r="U157" i="15"/>
  <c r="Y180" i="15" s="1"/>
  <c r="U134" i="15"/>
  <c r="U194" i="15" s="1"/>
  <c r="V134" i="15"/>
  <c r="V194" i="15" s="1"/>
  <c r="AA134" i="15"/>
  <c r="AA194" i="15" s="1"/>
  <c r="W134" i="15"/>
  <c r="W194" i="15" s="1"/>
  <c r="AB181" i="15"/>
  <c r="Z181" i="15"/>
  <c r="Y181" i="15"/>
  <c r="X181" i="15"/>
  <c r="AI10" i="10"/>
  <c r="AH11" i="10"/>
  <c r="AH30" i="10" s="1"/>
  <c r="AH31" i="10" s="1"/>
  <c r="AH45" i="10" s="1"/>
  <c r="AH46" i="10" s="1"/>
  <c r="V181" i="15"/>
  <c r="AA181" i="15"/>
  <c r="T154" i="15"/>
  <c r="AA196" i="15"/>
  <c r="AA197" i="15"/>
  <c r="T11" i="21"/>
  <c r="T99" i="15"/>
  <c r="AA133" i="15" s="1"/>
  <c r="AA193" i="15" s="1"/>
  <c r="T56" i="14"/>
  <c r="T59" i="14" s="1"/>
  <c r="T65" i="14" s="1"/>
  <c r="T67" i="14" s="1"/>
  <c r="T155" i="15" s="1"/>
  <c r="AB117" i="17"/>
  <c r="AB49" i="17"/>
  <c r="AB62" i="17" s="1"/>
  <c r="AB75" i="17" s="1"/>
  <c r="AB130" i="17" s="1"/>
  <c r="AC202" i="18"/>
  <c r="AC66" i="18"/>
  <c r="AB112" i="19"/>
  <c r="AB64" i="19"/>
  <c r="AB77" i="19" s="1"/>
  <c r="AB111" i="15"/>
  <c r="AB137" i="15" s="1"/>
  <c r="AB66" i="15"/>
  <c r="AB79" i="15" s="1"/>
  <c r="AB92" i="15" s="1"/>
  <c r="AB124" i="15" s="1"/>
  <c r="AB120" i="17"/>
  <c r="AB52" i="17"/>
  <c r="AB65" i="17" s="1"/>
  <c r="AB78" i="17" s="1"/>
  <c r="AB133" i="17" s="1"/>
  <c r="AC165" i="17"/>
  <c r="AC35" i="17"/>
  <c r="AC162" i="17"/>
  <c r="AC32" i="17"/>
  <c r="AB114" i="17"/>
  <c r="AB46" i="17"/>
  <c r="AB59" i="17" s="1"/>
  <c r="AB72" i="17" s="1"/>
  <c r="AB127" i="17" s="1"/>
  <c r="AC165" i="15"/>
  <c r="AC49" i="15"/>
  <c r="AC161" i="15"/>
  <c r="AC45" i="15"/>
  <c r="AB118" i="18"/>
  <c r="AB73" i="18"/>
  <c r="AB86" i="18" s="1"/>
  <c r="AB99" i="18" s="1"/>
  <c r="AB131" i="18" s="1"/>
  <c r="AC50" i="19"/>
  <c r="AC209" i="19"/>
  <c r="AC205" i="19"/>
  <c r="AC46" i="19"/>
  <c r="AB125" i="18"/>
  <c r="AB80" i="18"/>
  <c r="AB93" i="18" s="1"/>
  <c r="AB106" i="18" s="1"/>
  <c r="AB138" i="18" s="1"/>
  <c r="AE39" i="10"/>
  <c r="AE38" i="10"/>
  <c r="AB124" i="18"/>
  <c r="AB79" i="18"/>
  <c r="AB92" i="18" s="1"/>
  <c r="AB105" i="18" s="1"/>
  <c r="AB137" i="18" s="1"/>
  <c r="AC67" i="18"/>
  <c r="AC203" i="18"/>
  <c r="AB108" i="19"/>
  <c r="AB60" i="19"/>
  <c r="AB73" i="19" s="1"/>
  <c r="AB119" i="17"/>
  <c r="AB51" i="17"/>
  <c r="AB64" i="17" s="1"/>
  <c r="AB77" i="17" s="1"/>
  <c r="AB132" i="17" s="1"/>
  <c r="AC167" i="17"/>
  <c r="AC37" i="17"/>
  <c r="AD16" i="17"/>
  <c r="AC164" i="17"/>
  <c r="AC34" i="17"/>
  <c r="AB107" i="19"/>
  <c r="AB59" i="19"/>
  <c r="AB72" i="19" s="1"/>
  <c r="AD17" i="17"/>
  <c r="AD13" i="17"/>
  <c r="AD14" i="17"/>
  <c r="AD24" i="17"/>
  <c r="AD23" i="17"/>
  <c r="AD22" i="17"/>
  <c r="AD21" i="17"/>
  <c r="AD18" i="17"/>
  <c r="AD20" i="17"/>
  <c r="AD19" i="17"/>
  <c r="AC166" i="15"/>
  <c r="AC50" i="15"/>
  <c r="AC162" i="15"/>
  <c r="AC46" i="15"/>
  <c r="AB103" i="15"/>
  <c r="AB58" i="15"/>
  <c r="AB71" i="15" s="1"/>
  <c r="AB84" i="15" s="1"/>
  <c r="AB116" i="15" s="1"/>
  <c r="AC208" i="19"/>
  <c r="AC49" i="19"/>
  <c r="AB110" i="19"/>
  <c r="AB62" i="19"/>
  <c r="AB75" i="19" s="1"/>
  <c r="AE25" i="25"/>
  <c r="AE27" i="25"/>
  <c r="AE44" i="25"/>
  <c r="AE43" i="25"/>
  <c r="AE28" i="25"/>
  <c r="AE26" i="25"/>
  <c r="AC196" i="18"/>
  <c r="AC60" i="18"/>
  <c r="AC57" i="18"/>
  <c r="AC193" i="18"/>
  <c r="AC38" i="17"/>
  <c r="AC168" i="17"/>
  <c r="AB126" i="18"/>
  <c r="AB81" i="18"/>
  <c r="AB94" i="18" s="1"/>
  <c r="AB107" i="18" s="1"/>
  <c r="AB139" i="18" s="1"/>
  <c r="AD15" i="17"/>
  <c r="AC163" i="17"/>
  <c r="AC33" i="17"/>
  <c r="AA198" i="15"/>
  <c r="AB113" i="17"/>
  <c r="AB45" i="17"/>
  <c r="AB58" i="17" s="1"/>
  <c r="AB71" i="17" s="1"/>
  <c r="AB126" i="17" s="1"/>
  <c r="AD16" i="18"/>
  <c r="AD17" i="18"/>
  <c r="AD24" i="18"/>
  <c r="AD15" i="18"/>
  <c r="AD14" i="18"/>
  <c r="AD13" i="18"/>
  <c r="AD23" i="18"/>
  <c r="AD22" i="18"/>
  <c r="AD20" i="18"/>
  <c r="AD21" i="18"/>
  <c r="AD18" i="18"/>
  <c r="AD19" i="18"/>
  <c r="AC167" i="15"/>
  <c r="AC181" i="15" s="1"/>
  <c r="AC51" i="15"/>
  <c r="AB117" i="18"/>
  <c r="AB72" i="18"/>
  <c r="AB85" i="18" s="1"/>
  <c r="AB98" i="18" s="1"/>
  <c r="AB130" i="18" s="1"/>
  <c r="AB102" i="15"/>
  <c r="AB57" i="15"/>
  <c r="AB70" i="15" s="1"/>
  <c r="AB83" i="15" s="1"/>
  <c r="AB115" i="15" s="1"/>
  <c r="AC210" i="19"/>
  <c r="AC51" i="19"/>
  <c r="AB104" i="19"/>
  <c r="AB56" i="19"/>
  <c r="AB69" i="19" s="1"/>
  <c r="AC197" i="18"/>
  <c r="AC61" i="18"/>
  <c r="AC194" i="18"/>
  <c r="AC58" i="18"/>
  <c r="S13" i="14"/>
  <c r="S15" i="14" s="1"/>
  <c r="S26" i="14" s="1"/>
  <c r="S28" i="14" s="1"/>
  <c r="S56" i="14" s="1"/>
  <c r="S43" i="14"/>
  <c r="S45" i="14" s="1"/>
  <c r="S50" i="14" s="1"/>
  <c r="S52" i="14" s="1"/>
  <c r="S57" i="14" s="1"/>
  <c r="AC169" i="17"/>
  <c r="AC39" i="17"/>
  <c r="AB121" i="18"/>
  <c r="AB76" i="18"/>
  <c r="AB89" i="18" s="1"/>
  <c r="AB102" i="18" s="1"/>
  <c r="AB134" i="18" s="1"/>
  <c r="AC204" i="18"/>
  <c r="AC68" i="18"/>
  <c r="AB108" i="15"/>
  <c r="AB134" i="15" s="1"/>
  <c r="AB63" i="15"/>
  <c r="AB76" i="15" s="1"/>
  <c r="AB89" i="15" s="1"/>
  <c r="AB121" i="15" s="1"/>
  <c r="AB116" i="17"/>
  <c r="AB48" i="17"/>
  <c r="AB61" i="17" s="1"/>
  <c r="AB74" i="17" s="1"/>
  <c r="AB129" i="17" s="1"/>
  <c r="AC168" i="15"/>
  <c r="AC182" i="15" s="1"/>
  <c r="AC52" i="15"/>
  <c r="AB107" i="15"/>
  <c r="AB62" i="15"/>
  <c r="AB75" i="15" s="1"/>
  <c r="AB88" i="15" s="1"/>
  <c r="AB120" i="15" s="1"/>
  <c r="AB114" i="19"/>
  <c r="AB66" i="19"/>
  <c r="AB79" i="19" s="1"/>
  <c r="AC4" i="21"/>
  <c r="AC4" i="23"/>
  <c r="AC4" i="25"/>
  <c r="AC4" i="19"/>
  <c r="AC4" i="18"/>
  <c r="AC4" i="17"/>
  <c r="AC4" i="15"/>
  <c r="AC4" i="14"/>
  <c r="AC4" i="12"/>
  <c r="AC212" i="19"/>
  <c r="AC53" i="19"/>
  <c r="AE11" i="19"/>
  <c r="AE97" i="19"/>
  <c r="AE111" i="18"/>
  <c r="AE11" i="18"/>
  <c r="AE11" i="17"/>
  <c r="AE108" i="17"/>
  <c r="AE97" i="15"/>
  <c r="AE11" i="15"/>
  <c r="AE21" i="14"/>
  <c r="AE23" i="14" s="1"/>
  <c r="AC63" i="18"/>
  <c r="AC199" i="18"/>
  <c r="R5" i="15"/>
  <c r="R5" i="25"/>
  <c r="R5" i="21"/>
  <c r="R5" i="23"/>
  <c r="R5" i="19"/>
  <c r="R5" i="18"/>
  <c r="R5" i="17"/>
  <c r="R5" i="14"/>
  <c r="Q54" i="10"/>
  <c r="R5" i="12"/>
  <c r="AB112" i="17"/>
  <c r="AB44" i="17"/>
  <c r="AB57" i="17" s="1"/>
  <c r="AB70" i="17" s="1"/>
  <c r="AB125" i="17" s="1"/>
  <c r="AC166" i="17"/>
  <c r="AC36" i="17"/>
  <c r="AB109" i="15"/>
  <c r="AB135" i="15" s="1"/>
  <c r="AB64" i="15"/>
  <c r="AB77" i="15" s="1"/>
  <c r="AB90" i="15" s="1"/>
  <c r="AB122" i="15" s="1"/>
  <c r="AB118" i="17"/>
  <c r="AB50" i="17"/>
  <c r="AB63" i="17" s="1"/>
  <c r="AB76" i="17" s="1"/>
  <c r="AB131" i="17" s="1"/>
  <c r="AD17" i="19"/>
  <c r="AD16" i="19"/>
  <c r="AD13" i="19"/>
  <c r="AD14" i="19"/>
  <c r="AD24" i="19"/>
  <c r="AD22" i="19"/>
  <c r="AD23" i="19"/>
  <c r="AD21" i="19"/>
  <c r="AD20" i="19"/>
  <c r="AD19" i="19"/>
  <c r="AD18" i="19"/>
  <c r="AC169" i="15"/>
  <c r="AC183" i="15" s="1"/>
  <c r="AC53" i="15"/>
  <c r="AC195" i="18"/>
  <c r="AC59" i="18"/>
  <c r="AB123" i="17"/>
  <c r="AB55" i="17"/>
  <c r="AB68" i="17" s="1"/>
  <c r="AB81" i="17" s="1"/>
  <c r="AB136" i="17" s="1"/>
  <c r="AB106" i="15"/>
  <c r="AB61" i="15"/>
  <c r="AB74" i="15" s="1"/>
  <c r="AB87" i="15" s="1"/>
  <c r="AB119" i="15" s="1"/>
  <c r="AD307" i="19"/>
  <c r="AD238" i="18"/>
  <c r="AD204" i="15"/>
  <c r="AD207" i="17"/>
  <c r="AD41" i="10"/>
  <c r="AD64" i="14"/>
  <c r="AD33" i="14"/>
  <c r="AC211" i="19"/>
  <c r="AC52" i="19"/>
  <c r="AB101" i="15"/>
  <c r="AB56" i="15"/>
  <c r="AB69" i="15" s="1"/>
  <c r="AB82" i="15" s="1"/>
  <c r="AB114" i="15" s="1"/>
  <c r="AC202" i="19"/>
  <c r="AC43" i="19"/>
  <c r="AC198" i="18"/>
  <c r="AC62" i="18"/>
  <c r="AB123" i="18"/>
  <c r="AB78" i="18"/>
  <c r="AB91" i="18" s="1"/>
  <c r="AB104" i="18" s="1"/>
  <c r="AB136" i="18" s="1"/>
  <c r="AC170" i="17"/>
  <c r="AC40" i="17"/>
  <c r="AB106" i="19"/>
  <c r="AB58" i="19"/>
  <c r="AB71" i="19" s="1"/>
  <c r="AB120" i="18"/>
  <c r="AB75" i="18"/>
  <c r="AB88" i="18" s="1"/>
  <c r="AB101" i="18" s="1"/>
  <c r="AB133" i="18" s="1"/>
  <c r="AC170" i="15"/>
  <c r="AC184" i="15" s="1"/>
  <c r="AC54" i="15"/>
  <c r="AB119" i="18"/>
  <c r="AB74" i="18"/>
  <c r="AB87" i="18" s="1"/>
  <c r="AB100" i="18" s="1"/>
  <c r="AB132" i="18" s="1"/>
  <c r="AB115" i="17"/>
  <c r="AB47" i="17"/>
  <c r="AB60" i="17" s="1"/>
  <c r="AB73" i="17" s="1"/>
  <c r="AB128" i="17" s="1"/>
  <c r="AB115" i="18"/>
  <c r="AB70" i="18"/>
  <c r="AB83" i="18" s="1"/>
  <c r="AB96" i="18" s="1"/>
  <c r="AB128" i="18" s="1"/>
  <c r="AB122" i="17"/>
  <c r="AB54" i="17"/>
  <c r="AB67" i="17" s="1"/>
  <c r="AB80" i="17" s="1"/>
  <c r="AB135" i="17" s="1"/>
  <c r="AC213" i="19"/>
  <c r="AC54" i="19"/>
  <c r="AG10" i="19"/>
  <c r="AG196" i="19"/>
  <c r="AG98" i="19"/>
  <c r="AG184" i="18"/>
  <c r="AG112" i="18"/>
  <c r="AG10" i="18"/>
  <c r="AG10" i="17"/>
  <c r="AG109" i="17"/>
  <c r="AG152" i="15"/>
  <c r="AG155" i="17"/>
  <c r="AG98" i="15"/>
  <c r="AG10" i="15"/>
  <c r="AG20" i="10"/>
  <c r="AH19" i="10"/>
  <c r="AB121" i="17"/>
  <c r="AB53" i="17"/>
  <c r="AB66" i="17" s="1"/>
  <c r="AB79" i="17" s="1"/>
  <c r="AB134" i="17" s="1"/>
  <c r="AF21" i="10"/>
  <c r="AF3" i="25"/>
  <c r="AF3" i="21"/>
  <c r="AF3" i="23"/>
  <c r="AF3" i="19"/>
  <c r="AF3" i="18"/>
  <c r="AF3" i="17"/>
  <c r="AF3" i="15"/>
  <c r="AF24" i="10"/>
  <c r="AF52" i="10" s="1"/>
  <c r="AF51" i="10"/>
  <c r="AF36" i="10"/>
  <c r="AF3" i="12"/>
  <c r="AF3" i="14"/>
  <c r="AC200" i="18"/>
  <c r="AC64" i="18"/>
  <c r="AB122" i="18"/>
  <c r="AB77" i="18"/>
  <c r="AB90" i="18" s="1"/>
  <c r="AB103" i="18" s="1"/>
  <c r="AB135" i="18" s="1"/>
  <c r="AC31" i="17"/>
  <c r="AC161" i="17"/>
  <c r="AB110" i="15"/>
  <c r="AB136" i="15" s="1"/>
  <c r="AB65" i="15"/>
  <c r="AB78" i="15" s="1"/>
  <c r="AB91" i="15" s="1"/>
  <c r="AB123" i="15" s="1"/>
  <c r="AC171" i="17"/>
  <c r="AC41" i="17"/>
  <c r="AD17" i="15"/>
  <c r="AD16" i="15"/>
  <c r="AD15" i="15"/>
  <c r="AD14" i="15"/>
  <c r="AD13" i="15"/>
  <c r="AD24" i="15"/>
  <c r="AD23" i="15"/>
  <c r="AD22" i="15"/>
  <c r="AD21" i="15"/>
  <c r="AD20" i="15"/>
  <c r="AD19" i="15"/>
  <c r="AD18" i="15"/>
  <c r="AC47" i="15"/>
  <c r="AC163" i="15"/>
  <c r="AC159" i="15"/>
  <c r="AC43" i="15"/>
  <c r="AC207" i="19"/>
  <c r="AC48" i="19"/>
  <c r="AC203" i="19"/>
  <c r="AC44" i="19"/>
  <c r="AB105" i="15"/>
  <c r="AB60" i="15"/>
  <c r="AB73" i="15" s="1"/>
  <c r="AB86" i="15" s="1"/>
  <c r="AB118" i="15" s="1"/>
  <c r="AB111" i="19"/>
  <c r="AB63" i="19"/>
  <c r="AB76" i="19" s="1"/>
  <c r="AB116" i="18"/>
  <c r="AB71" i="18"/>
  <c r="AB84" i="18" s="1"/>
  <c r="AB97" i="18" s="1"/>
  <c r="AB129" i="18" s="1"/>
  <c r="AB112" i="15"/>
  <c r="AB138" i="15" s="1"/>
  <c r="AB67" i="15"/>
  <c r="AB80" i="15" s="1"/>
  <c r="AB93" i="15" s="1"/>
  <c r="AB125" i="15" s="1"/>
  <c r="AC65" i="18"/>
  <c r="AC201" i="18"/>
  <c r="AC172" i="17"/>
  <c r="AC42" i="17"/>
  <c r="AB109" i="19"/>
  <c r="AB61" i="19"/>
  <c r="AB74" i="19" s="1"/>
  <c r="AB115" i="19"/>
  <c r="AB67" i="19"/>
  <c r="AB80" i="19" s="1"/>
  <c r="AC164" i="15"/>
  <c r="AC48" i="15"/>
  <c r="AC160" i="15"/>
  <c r="AC44" i="15"/>
  <c r="AB113" i="19"/>
  <c r="AB65" i="19"/>
  <c r="AB78" i="19" s="1"/>
  <c r="AB105" i="19"/>
  <c r="AB57" i="19"/>
  <c r="AB70" i="19" s="1"/>
  <c r="AB59" i="15"/>
  <c r="AB72" i="15" s="1"/>
  <c r="AB85" i="15" s="1"/>
  <c r="AB117" i="15" s="1"/>
  <c r="AB104" i="15"/>
  <c r="AC206" i="19"/>
  <c r="AC47" i="19"/>
  <c r="AD15" i="19"/>
  <c r="AC45" i="19"/>
  <c r="AC204" i="19"/>
  <c r="AB82" i="19" l="1"/>
  <c r="AB117" i="19" s="1"/>
  <c r="AB83" i="19"/>
  <c r="AB118" i="19" s="1"/>
  <c r="AB93" i="19"/>
  <c r="AB128" i="19" s="1"/>
  <c r="AB84" i="19"/>
  <c r="AB119" i="19" s="1"/>
  <c r="AB92" i="19"/>
  <c r="AB127" i="19" s="1"/>
  <c r="AB88" i="19"/>
  <c r="AB123" i="19" s="1"/>
  <c r="AB91" i="19"/>
  <c r="AB126" i="19" s="1"/>
  <c r="AB87" i="19"/>
  <c r="AB122" i="19" s="1"/>
  <c r="AB90" i="19"/>
  <c r="AB125" i="19" s="1"/>
  <c r="AB85" i="19"/>
  <c r="AB120" i="19" s="1"/>
  <c r="AB89" i="19"/>
  <c r="AB124" i="19" s="1"/>
  <c r="AB86" i="19"/>
  <c r="AB121" i="19" s="1"/>
  <c r="R38" i="18"/>
  <c r="R168" i="18" s="1"/>
  <c r="R37" i="18"/>
  <c r="R167" i="18" s="1"/>
  <c r="R36" i="18"/>
  <c r="R166" i="18" s="1"/>
  <c r="R35" i="18"/>
  <c r="R165" i="18" s="1"/>
  <c r="R34" i="18"/>
  <c r="R164" i="18" s="1"/>
  <c r="R33" i="18"/>
  <c r="R163" i="18" s="1"/>
  <c r="R32" i="18"/>
  <c r="R162" i="18" s="1"/>
  <c r="R28" i="18"/>
  <c r="R158" i="18" s="1"/>
  <c r="R30" i="18"/>
  <c r="R160" i="18" s="1"/>
  <c r="R29" i="18"/>
  <c r="R159" i="18" s="1"/>
  <c r="R31" i="18"/>
  <c r="R161" i="18" s="1"/>
  <c r="R27" i="18"/>
  <c r="R157" i="18" s="1"/>
  <c r="AA180" i="15"/>
  <c r="AB180" i="15"/>
  <c r="W180" i="15"/>
  <c r="V180" i="15"/>
  <c r="X180" i="15"/>
  <c r="S34" i="14"/>
  <c r="S36" i="14" s="1"/>
  <c r="S99" i="15" s="1"/>
  <c r="Z132" i="15" s="1"/>
  <c r="Z192" i="15" s="1"/>
  <c r="U180" i="15"/>
  <c r="Z180" i="15"/>
  <c r="AC180" i="15"/>
  <c r="AB133" i="15"/>
  <c r="AB193" i="15" s="1"/>
  <c r="AI11" i="10"/>
  <c r="AI30" i="10" s="1"/>
  <c r="AI31" i="10" s="1"/>
  <c r="AI45" i="10" s="1"/>
  <c r="AI46" i="10" s="1"/>
  <c r="AJ10" i="10"/>
  <c r="U133" i="15"/>
  <c r="U193" i="15" s="1"/>
  <c r="W133" i="15"/>
  <c r="W193" i="15" s="1"/>
  <c r="T133" i="15"/>
  <c r="T193" i="15" s="1"/>
  <c r="T157" i="15"/>
  <c r="Y179" i="15" s="1"/>
  <c r="V133" i="15"/>
  <c r="V193" i="15" s="1"/>
  <c r="X133" i="15"/>
  <c r="X193" i="15" s="1"/>
  <c r="Y133" i="15"/>
  <c r="Y193" i="15" s="1"/>
  <c r="Z133" i="15"/>
  <c r="Z193" i="15" s="1"/>
  <c r="AB198" i="15"/>
  <c r="AB197" i="15"/>
  <c r="AB195" i="15"/>
  <c r="AC101" i="15"/>
  <c r="AC56" i="15"/>
  <c r="AC69" i="15" s="1"/>
  <c r="AC82" i="15" s="1"/>
  <c r="AC114" i="15" s="1"/>
  <c r="AD168" i="15"/>
  <c r="AD182" i="15" s="1"/>
  <c r="AD52" i="15"/>
  <c r="AC122" i="17"/>
  <c r="AC54" i="17"/>
  <c r="AC67" i="17" s="1"/>
  <c r="AC80" i="17" s="1"/>
  <c r="AC135" i="17" s="1"/>
  <c r="AC122" i="18"/>
  <c r="AC77" i="18"/>
  <c r="AC90" i="18" s="1"/>
  <c r="AC103" i="18" s="1"/>
  <c r="AC135" i="18" s="1"/>
  <c r="AE20" i="19"/>
  <c r="AD50" i="19"/>
  <c r="AD209" i="19"/>
  <c r="AE17" i="19"/>
  <c r="AD206" i="19"/>
  <c r="AD47" i="19"/>
  <c r="AD194" i="18"/>
  <c r="AD58" i="18"/>
  <c r="AC114" i="17"/>
  <c r="AC46" i="17"/>
  <c r="AC59" i="17" s="1"/>
  <c r="AC72" i="17" s="1"/>
  <c r="AC127" i="17" s="1"/>
  <c r="AC115" i="18"/>
  <c r="AC70" i="18"/>
  <c r="AC83" i="18" s="1"/>
  <c r="AC96" i="18" s="1"/>
  <c r="AC128" i="18" s="1"/>
  <c r="AD36" i="17"/>
  <c r="AD166" i="17"/>
  <c r="AD169" i="15"/>
  <c r="AD183" i="15" s="1"/>
  <c r="AD53" i="15"/>
  <c r="AC104" i="19"/>
  <c r="AC56" i="19"/>
  <c r="AC69" i="19" s="1"/>
  <c r="AD4" i="23"/>
  <c r="AD4" i="25"/>
  <c r="AD4" i="19"/>
  <c r="AD4" i="21"/>
  <c r="AD4" i="18"/>
  <c r="AD4" i="17"/>
  <c r="AD4" i="15"/>
  <c r="AD4" i="12"/>
  <c r="AD4" i="14"/>
  <c r="AD210" i="19"/>
  <c r="AD51" i="19"/>
  <c r="AE18" i="17"/>
  <c r="AE16" i="17"/>
  <c r="AE15" i="17"/>
  <c r="AE17" i="17"/>
  <c r="AE13" i="17"/>
  <c r="AE14" i="17"/>
  <c r="AE24" i="17"/>
  <c r="AE23" i="17"/>
  <c r="AE22" i="17"/>
  <c r="AE21" i="17"/>
  <c r="AE20" i="17"/>
  <c r="AE19" i="17"/>
  <c r="AC112" i="19"/>
  <c r="AC64" i="19"/>
  <c r="AC77" i="19" s="1"/>
  <c r="AD63" i="18"/>
  <c r="AD199" i="18"/>
  <c r="AD59" i="18"/>
  <c r="AD195" i="18"/>
  <c r="AC118" i="18"/>
  <c r="AC73" i="18"/>
  <c r="AC86" i="18" s="1"/>
  <c r="AC99" i="18" s="1"/>
  <c r="AC131" i="18" s="1"/>
  <c r="AD169" i="17"/>
  <c r="AD39" i="17"/>
  <c r="AC111" i="19"/>
  <c r="AC63" i="19"/>
  <c r="AC76" i="19" s="1"/>
  <c r="AD170" i="15"/>
  <c r="AD184" i="15" s="1"/>
  <c r="AD54" i="15"/>
  <c r="AC117" i="18"/>
  <c r="AC72" i="18"/>
  <c r="AC85" i="18" s="1"/>
  <c r="AC98" i="18" s="1"/>
  <c r="AC130" i="18" s="1"/>
  <c r="AD212" i="19"/>
  <c r="AD53" i="19"/>
  <c r="Q5" i="15"/>
  <c r="Q5" i="25"/>
  <c r="Q5" i="21"/>
  <c r="Q5" i="23"/>
  <c r="Q5" i="19"/>
  <c r="Q5" i="18"/>
  <c r="Q5" i="17"/>
  <c r="P54" i="10"/>
  <c r="Q5" i="14"/>
  <c r="Q5" i="12"/>
  <c r="AE18" i="18"/>
  <c r="AE16" i="18"/>
  <c r="AE15" i="18"/>
  <c r="AE24" i="18"/>
  <c r="AE14" i="18"/>
  <c r="AE23" i="18"/>
  <c r="AE13" i="18"/>
  <c r="AE22" i="18"/>
  <c r="AE21" i="18"/>
  <c r="AE20" i="18"/>
  <c r="AE19" i="18"/>
  <c r="AB194" i="15"/>
  <c r="S59" i="14"/>
  <c r="S65" i="14" s="1"/>
  <c r="S67" i="14" s="1"/>
  <c r="S155" i="15" s="1"/>
  <c r="AD198" i="18"/>
  <c r="AD62" i="18"/>
  <c r="AD204" i="18"/>
  <c r="AD68" i="18"/>
  <c r="AD163" i="17"/>
  <c r="AD33" i="17"/>
  <c r="AC104" i="15"/>
  <c r="AC59" i="15"/>
  <c r="AC72" i="15" s="1"/>
  <c r="AC85" i="15" s="1"/>
  <c r="AC117" i="15" s="1"/>
  <c r="AD40" i="17"/>
  <c r="AD170" i="17"/>
  <c r="AC115" i="17"/>
  <c r="AC47" i="17"/>
  <c r="AC60" i="17" s="1"/>
  <c r="AC73" i="17" s="1"/>
  <c r="AC128" i="17" s="1"/>
  <c r="AE307" i="19"/>
  <c r="AE238" i="18"/>
  <c r="AE204" i="15"/>
  <c r="AE207" i="17"/>
  <c r="AE41" i="10"/>
  <c r="AE33" i="14"/>
  <c r="AE64" i="14"/>
  <c r="AC113" i="17"/>
  <c r="AC45" i="17"/>
  <c r="AC106" i="19"/>
  <c r="AC58" i="19"/>
  <c r="AC71" i="19" s="1"/>
  <c r="AD45" i="19"/>
  <c r="AD204" i="19"/>
  <c r="AC60" i="15"/>
  <c r="AC73" i="15" s="1"/>
  <c r="AC86" i="15" s="1"/>
  <c r="AC118" i="15" s="1"/>
  <c r="AC105" i="15"/>
  <c r="AD159" i="15"/>
  <c r="AD43" i="15"/>
  <c r="AB196" i="15"/>
  <c r="AC115" i="19"/>
  <c r="AC67" i="19"/>
  <c r="AC80" i="19" s="1"/>
  <c r="AC121" i="17"/>
  <c r="AC53" i="17"/>
  <c r="AC66" i="17" s="1"/>
  <c r="AC79" i="17" s="1"/>
  <c r="AC134" i="17" s="1"/>
  <c r="AD211" i="19"/>
  <c r="AD52" i="19"/>
  <c r="R13" i="14"/>
  <c r="R15" i="14" s="1"/>
  <c r="R26" i="14" s="1"/>
  <c r="R28" i="14" s="1"/>
  <c r="R56" i="14" s="1"/>
  <c r="R43" i="14"/>
  <c r="R45" i="14" s="1"/>
  <c r="R50" i="14" s="1"/>
  <c r="R52" i="14" s="1"/>
  <c r="R57" i="14" s="1"/>
  <c r="AC126" i="18"/>
  <c r="AC81" i="18"/>
  <c r="AC94" i="18" s="1"/>
  <c r="AC107" i="18" s="1"/>
  <c r="AC139" i="18" s="1"/>
  <c r="AC116" i="18"/>
  <c r="AC71" i="18"/>
  <c r="AC84" i="18" s="1"/>
  <c r="AC97" i="18" s="1"/>
  <c r="AC129" i="18" s="1"/>
  <c r="AD65" i="18"/>
  <c r="AD201" i="18"/>
  <c r="AE17" i="18"/>
  <c r="AD197" i="18"/>
  <c r="AD61" i="18"/>
  <c r="AD41" i="17"/>
  <c r="AD171" i="17"/>
  <c r="AC108" i="19"/>
  <c r="AC60" i="19"/>
  <c r="AC73" i="19" s="1"/>
  <c r="AC102" i="15"/>
  <c r="AC57" i="15"/>
  <c r="AC70" i="15" s="1"/>
  <c r="AC83" i="15" s="1"/>
  <c r="AC115" i="15" s="1"/>
  <c r="AC123" i="17"/>
  <c r="AC55" i="17"/>
  <c r="AC68" i="17" s="1"/>
  <c r="AC81" i="17" s="1"/>
  <c r="AC136" i="17" s="1"/>
  <c r="AC105" i="19"/>
  <c r="AC57" i="19"/>
  <c r="AC70" i="19" s="1"/>
  <c r="AD48" i="15"/>
  <c r="AD164" i="15"/>
  <c r="AD160" i="15"/>
  <c r="AD44" i="15"/>
  <c r="AF38" i="10"/>
  <c r="AF39" i="10"/>
  <c r="AC111" i="15"/>
  <c r="AC137" i="15" s="1"/>
  <c r="AC66" i="15"/>
  <c r="AC79" i="15" s="1"/>
  <c r="AC92" i="15" s="1"/>
  <c r="AC124" i="15" s="1"/>
  <c r="AD54" i="19"/>
  <c r="AD213" i="19"/>
  <c r="AC121" i="18"/>
  <c r="AC76" i="18"/>
  <c r="AC89" i="18" s="1"/>
  <c r="AC102" i="18" s="1"/>
  <c r="AC134" i="18" s="1"/>
  <c r="AD64" i="18"/>
  <c r="AD200" i="18"/>
  <c r="AD196" i="18"/>
  <c r="AD60" i="18"/>
  <c r="AC108" i="15"/>
  <c r="AC134" i="15" s="1"/>
  <c r="AC63" i="15"/>
  <c r="AC76" i="15" s="1"/>
  <c r="AC89" i="15" s="1"/>
  <c r="AC121" i="15" s="1"/>
  <c r="AD172" i="17"/>
  <c r="AD42" i="17"/>
  <c r="AD164" i="17"/>
  <c r="AD34" i="17"/>
  <c r="AC125" i="18"/>
  <c r="AC80" i="18"/>
  <c r="AC93" i="18" s="1"/>
  <c r="AC106" i="18" s="1"/>
  <c r="AC138" i="18" s="1"/>
  <c r="AC103" i="15"/>
  <c r="AC58" i="15"/>
  <c r="AC71" i="15" s="1"/>
  <c r="AC84" i="15" s="1"/>
  <c r="AC116" i="15" s="1"/>
  <c r="AC116" i="17"/>
  <c r="AC48" i="17"/>
  <c r="AC61" i="17" s="1"/>
  <c r="AC74" i="17" s="1"/>
  <c r="AC129" i="17" s="1"/>
  <c r="AC124" i="18"/>
  <c r="AC79" i="18"/>
  <c r="AC92" i="18" s="1"/>
  <c r="AC105" i="18" s="1"/>
  <c r="AC137" i="18" s="1"/>
  <c r="AD165" i="15"/>
  <c r="AD49" i="15"/>
  <c r="AD161" i="15"/>
  <c r="AD45" i="15"/>
  <c r="AC112" i="17"/>
  <c r="AC44" i="17"/>
  <c r="AC57" i="17" s="1"/>
  <c r="AC70" i="17" s="1"/>
  <c r="AC125" i="17" s="1"/>
  <c r="AF44" i="25"/>
  <c r="AF43" i="25"/>
  <c r="AF26" i="25"/>
  <c r="AF28" i="25"/>
  <c r="AF25" i="25"/>
  <c r="AF27" i="25"/>
  <c r="AH196" i="19"/>
  <c r="AH10" i="19"/>
  <c r="AH98" i="19"/>
  <c r="AH10" i="18"/>
  <c r="AH112" i="18"/>
  <c r="AH184" i="18"/>
  <c r="AH109" i="17"/>
  <c r="AH152" i="15"/>
  <c r="AH155" i="17"/>
  <c r="AH10" i="17"/>
  <c r="AH98" i="15"/>
  <c r="AH10" i="15"/>
  <c r="AH20" i="10"/>
  <c r="AI19" i="10"/>
  <c r="AC112" i="15"/>
  <c r="AC138" i="15" s="1"/>
  <c r="AC67" i="15"/>
  <c r="AC80" i="15" s="1"/>
  <c r="AC93" i="15" s="1"/>
  <c r="AC125" i="15" s="1"/>
  <c r="AC113" i="19"/>
  <c r="AC65" i="19"/>
  <c r="AC78" i="19" s="1"/>
  <c r="AD203" i="19"/>
  <c r="AD44" i="19"/>
  <c r="AC117" i="17"/>
  <c r="AC49" i="17"/>
  <c r="AC62" i="17" s="1"/>
  <c r="AC75" i="17" s="1"/>
  <c r="AC130" i="17" s="1"/>
  <c r="AE18" i="19"/>
  <c r="AE15" i="19"/>
  <c r="AE13" i="19"/>
  <c r="AE14" i="19"/>
  <c r="AE24" i="19"/>
  <c r="AE22" i="19"/>
  <c r="AE23" i="19"/>
  <c r="AE19" i="19"/>
  <c r="AE21" i="19"/>
  <c r="AC110" i="15"/>
  <c r="AC136" i="15" s="1"/>
  <c r="AC65" i="15"/>
  <c r="AC78" i="15" s="1"/>
  <c r="AC91" i="15" s="1"/>
  <c r="AC123" i="15" s="1"/>
  <c r="AC119" i="18"/>
  <c r="AC74" i="18"/>
  <c r="AC87" i="18" s="1"/>
  <c r="AC100" i="18" s="1"/>
  <c r="AC132" i="18" s="1"/>
  <c r="AD66" i="18"/>
  <c r="AD202" i="18"/>
  <c r="AD32" i="17"/>
  <c r="AD162" i="17"/>
  <c r="AC118" i="17"/>
  <c r="AC50" i="17"/>
  <c r="AC63" i="17" s="1"/>
  <c r="AC76" i="17" s="1"/>
  <c r="AC131" i="17" s="1"/>
  <c r="AC106" i="15"/>
  <c r="AC61" i="15"/>
  <c r="AC74" i="15" s="1"/>
  <c r="AC87" i="15" s="1"/>
  <c r="AC119" i="15" s="1"/>
  <c r="AC109" i="19"/>
  <c r="AC61" i="19"/>
  <c r="AC74" i="19" s="1"/>
  <c r="AD166" i="15"/>
  <c r="AD180" i="15" s="1"/>
  <c r="AD50" i="15"/>
  <c r="AD162" i="15"/>
  <c r="AD46" i="15"/>
  <c r="AF97" i="19"/>
  <c r="AF11" i="19"/>
  <c r="AF111" i="18"/>
  <c r="AF11" i="18"/>
  <c r="AF108" i="17"/>
  <c r="AF11" i="17"/>
  <c r="AF11" i="15"/>
  <c r="AF97" i="15"/>
  <c r="AF21" i="14"/>
  <c r="AF23" i="14" s="1"/>
  <c r="AG21" i="10"/>
  <c r="AG3" i="25"/>
  <c r="AG3" i="21"/>
  <c r="AG3" i="19"/>
  <c r="AG3" i="23"/>
  <c r="AG3" i="18"/>
  <c r="AG3" i="17"/>
  <c r="AG3" i="15"/>
  <c r="AG3" i="14"/>
  <c r="AG24" i="10"/>
  <c r="AG52" i="10" s="1"/>
  <c r="AG3" i="12"/>
  <c r="AG36" i="10"/>
  <c r="AG51" i="10"/>
  <c r="AD207" i="19"/>
  <c r="AD48" i="19"/>
  <c r="AD202" i="19"/>
  <c r="AD43" i="19"/>
  <c r="AE18" i="15"/>
  <c r="AE17" i="15"/>
  <c r="AE16" i="15"/>
  <c r="AE15" i="15"/>
  <c r="AE14" i="15"/>
  <c r="AE13" i="15"/>
  <c r="AE24" i="15"/>
  <c r="AE23" i="15"/>
  <c r="AE22" i="15"/>
  <c r="AE21" i="15"/>
  <c r="AE20" i="15"/>
  <c r="AE19" i="15"/>
  <c r="AC114" i="19"/>
  <c r="AC66" i="19"/>
  <c r="AC79" i="19" s="1"/>
  <c r="AD203" i="18"/>
  <c r="AD67" i="18"/>
  <c r="AC119" i="17"/>
  <c r="AC51" i="17"/>
  <c r="AC64" i="17" s="1"/>
  <c r="AC77" i="17" s="1"/>
  <c r="AC132" i="17" s="1"/>
  <c r="AC110" i="19"/>
  <c r="AC62" i="19"/>
  <c r="AC75" i="19" s="1"/>
  <c r="AD167" i="17"/>
  <c r="AD37" i="17"/>
  <c r="AD161" i="17"/>
  <c r="AD31" i="17"/>
  <c r="AC107" i="19"/>
  <c r="AC59" i="19"/>
  <c r="AC72" i="19" s="1"/>
  <c r="AC107" i="15"/>
  <c r="AC133" i="15" s="1"/>
  <c r="AC62" i="15"/>
  <c r="AC75" i="15" s="1"/>
  <c r="AC88" i="15" s="1"/>
  <c r="AC120" i="15" s="1"/>
  <c r="AC123" i="18"/>
  <c r="AC78" i="18"/>
  <c r="AC91" i="18" s="1"/>
  <c r="AC104" i="18" s="1"/>
  <c r="AC136" i="18" s="1"/>
  <c r="AD167" i="15"/>
  <c r="AD181" i="15" s="1"/>
  <c r="AD51" i="15"/>
  <c r="AD163" i="15"/>
  <c r="AD47" i="15"/>
  <c r="AC120" i="18"/>
  <c r="AC75" i="18"/>
  <c r="AC88" i="18" s="1"/>
  <c r="AC101" i="18" s="1"/>
  <c r="AC133" i="18" s="1"/>
  <c r="AD208" i="19"/>
  <c r="AD49" i="19"/>
  <c r="AE16" i="19"/>
  <c r="AD46" i="19"/>
  <c r="AD205" i="19"/>
  <c r="AC120" i="17"/>
  <c r="AC52" i="17"/>
  <c r="AC65" i="17" s="1"/>
  <c r="AC78" i="17" s="1"/>
  <c r="AC133" i="17" s="1"/>
  <c r="AC109" i="15"/>
  <c r="AC135" i="15" s="1"/>
  <c r="AC64" i="15"/>
  <c r="AC77" i="15" s="1"/>
  <c r="AC90" i="15" s="1"/>
  <c r="AC122" i="15" s="1"/>
  <c r="AD193" i="18"/>
  <c r="AD57" i="18"/>
  <c r="AD168" i="17"/>
  <c r="AD38" i="17"/>
  <c r="AD165" i="17"/>
  <c r="AD35" i="17"/>
  <c r="AC89" i="19" l="1"/>
  <c r="AC124" i="19" s="1"/>
  <c r="AC83" i="19"/>
  <c r="AC118" i="19" s="1"/>
  <c r="AC90" i="19"/>
  <c r="AC125" i="19" s="1"/>
  <c r="AC87" i="19"/>
  <c r="AC122" i="19" s="1"/>
  <c r="AC93" i="19"/>
  <c r="AC128" i="19" s="1"/>
  <c r="AC82" i="19"/>
  <c r="AC117" i="19" s="1"/>
  <c r="AC86" i="19"/>
  <c r="AC121" i="19" s="1"/>
  <c r="AC85" i="19"/>
  <c r="AC120" i="19" s="1"/>
  <c r="AC84" i="19"/>
  <c r="AC119" i="19" s="1"/>
  <c r="AC91" i="19"/>
  <c r="AC126" i="19" s="1"/>
  <c r="AC88" i="19"/>
  <c r="AC123" i="19" s="1"/>
  <c r="AC92" i="19"/>
  <c r="AC127" i="19" s="1"/>
  <c r="Q31" i="18"/>
  <c r="Q161" i="18" s="1"/>
  <c r="Q34" i="18"/>
  <c r="Q164" i="18" s="1"/>
  <c r="Q32" i="18"/>
  <c r="Q162" i="18" s="1"/>
  <c r="Q33" i="18"/>
  <c r="Q163" i="18" s="1"/>
  <c r="Q38" i="18"/>
  <c r="Q168" i="18" s="1"/>
  <c r="Q37" i="18"/>
  <c r="Q167" i="18" s="1"/>
  <c r="Q36" i="18"/>
  <c r="Q166" i="18" s="1"/>
  <c r="Q35" i="18"/>
  <c r="Q165" i="18" s="1"/>
  <c r="Q29" i="18"/>
  <c r="Q159" i="18" s="1"/>
  <c r="Q30" i="18"/>
  <c r="Q160" i="18" s="1"/>
  <c r="Q27" i="18"/>
  <c r="Q157" i="18" s="1"/>
  <c r="Q28" i="18"/>
  <c r="Q158" i="18" s="1"/>
  <c r="S11" i="21"/>
  <c r="S8" i="23"/>
  <c r="S12" i="25" s="1"/>
  <c r="S19" i="25" s="1"/>
  <c r="S154" i="15"/>
  <c r="S157" i="15" s="1"/>
  <c r="X178" i="15" s="1"/>
  <c r="R34" i="14"/>
  <c r="R36" i="14" s="1"/>
  <c r="R154" i="15" s="1"/>
  <c r="AA179" i="15"/>
  <c r="Z179" i="15"/>
  <c r="W179" i="15"/>
  <c r="V179" i="15"/>
  <c r="X179" i="15"/>
  <c r="AD179" i="15"/>
  <c r="U179" i="15"/>
  <c r="AC179" i="15"/>
  <c r="AB179" i="15"/>
  <c r="T179" i="15"/>
  <c r="AK10" i="10"/>
  <c r="AJ11" i="10"/>
  <c r="AJ30" i="10" s="1"/>
  <c r="AJ31" i="10" s="1"/>
  <c r="AJ45" i="10" s="1"/>
  <c r="AJ46" i="10" s="1"/>
  <c r="AC196" i="15"/>
  <c r="R59" i="14"/>
  <c r="R65" i="14" s="1"/>
  <c r="R67" i="14" s="1"/>
  <c r="R155" i="15" s="1"/>
  <c r="AC195" i="15"/>
  <c r="AC193" i="15"/>
  <c r="AC198" i="15"/>
  <c r="AC194" i="15"/>
  <c r="AE160" i="15"/>
  <c r="AE44" i="15"/>
  <c r="AF19" i="15"/>
  <c r="AF18" i="15"/>
  <c r="AF17" i="15"/>
  <c r="AF16" i="15"/>
  <c r="AF15" i="15"/>
  <c r="AF14" i="15"/>
  <c r="AF13" i="15"/>
  <c r="AF24" i="15"/>
  <c r="AF23" i="15"/>
  <c r="AF22" i="15"/>
  <c r="AF21" i="15"/>
  <c r="AF20" i="15"/>
  <c r="AE204" i="19"/>
  <c r="AE45" i="19"/>
  <c r="AD103" i="15"/>
  <c r="AD58" i="15"/>
  <c r="AD71" i="15" s="1"/>
  <c r="AD84" i="15" s="1"/>
  <c r="AD116" i="15" s="1"/>
  <c r="AD123" i="18"/>
  <c r="AD78" i="18"/>
  <c r="AD91" i="18" s="1"/>
  <c r="AD104" i="18" s="1"/>
  <c r="AD136" i="18" s="1"/>
  <c r="AE66" i="18"/>
  <c r="AE202" i="18"/>
  <c r="AE168" i="17"/>
  <c r="AE38" i="17"/>
  <c r="AE33" i="17"/>
  <c r="AE163" i="17"/>
  <c r="AE47" i="19"/>
  <c r="AE206" i="19"/>
  <c r="AD119" i="17"/>
  <c r="AD51" i="17"/>
  <c r="AD64" i="17" s="1"/>
  <c r="AD77" i="17" s="1"/>
  <c r="AD132" i="17" s="1"/>
  <c r="AE165" i="15"/>
  <c r="AE179" i="15" s="1"/>
  <c r="AE49" i="15"/>
  <c r="AE161" i="15"/>
  <c r="AE45" i="15"/>
  <c r="AF19" i="17"/>
  <c r="AF15" i="17"/>
  <c r="AF17" i="17"/>
  <c r="AF16" i="17"/>
  <c r="AF13" i="17"/>
  <c r="AF14" i="17"/>
  <c r="AF24" i="17"/>
  <c r="AF23" i="17"/>
  <c r="AF22" i="17"/>
  <c r="AF21" i="17"/>
  <c r="AF20" i="17"/>
  <c r="AD108" i="15"/>
  <c r="AD134" i="15" s="1"/>
  <c r="AD63" i="15"/>
  <c r="AD76" i="15" s="1"/>
  <c r="AD89" i="15" s="1"/>
  <c r="AD121" i="15" s="1"/>
  <c r="AE210" i="19"/>
  <c r="AE51" i="19"/>
  <c r="AE48" i="19"/>
  <c r="AE207" i="19"/>
  <c r="AD115" i="19"/>
  <c r="AD67" i="19"/>
  <c r="AD80" i="19" s="1"/>
  <c r="AD106" i="15"/>
  <c r="AD132" i="15" s="1"/>
  <c r="AD61" i="15"/>
  <c r="AD74" i="15" s="1"/>
  <c r="AD87" i="15" s="1"/>
  <c r="AD119" i="15" s="1"/>
  <c r="AD120" i="18"/>
  <c r="AD75" i="18"/>
  <c r="AD88" i="18" s="1"/>
  <c r="AD101" i="18" s="1"/>
  <c r="AD133" i="18" s="1"/>
  <c r="AE193" i="18"/>
  <c r="AE57" i="18"/>
  <c r="Q13" i="14"/>
  <c r="Q15" i="14" s="1"/>
  <c r="Q26" i="14" s="1"/>
  <c r="Q28" i="14" s="1"/>
  <c r="Q34" i="14" s="1"/>
  <c r="Q36" i="14" s="1"/>
  <c r="Q11" i="21" s="1"/>
  <c r="Q43" i="14"/>
  <c r="Q45" i="14" s="1"/>
  <c r="Q50" i="14" s="1"/>
  <c r="Q52" i="14" s="1"/>
  <c r="Q57" i="14" s="1"/>
  <c r="AD112" i="15"/>
  <c r="AD138" i="15" s="1"/>
  <c r="AD67" i="15"/>
  <c r="AD80" i="15" s="1"/>
  <c r="AD93" i="15" s="1"/>
  <c r="AD125" i="15" s="1"/>
  <c r="AE169" i="17"/>
  <c r="AE39" i="17"/>
  <c r="AE34" i="17"/>
  <c r="AE164" i="17"/>
  <c r="AD107" i="19"/>
  <c r="AD59" i="19"/>
  <c r="AD72" i="19" s="1"/>
  <c r="AD85" i="19" s="1"/>
  <c r="AE166" i="15"/>
  <c r="AE180" i="15" s="1"/>
  <c r="AE50" i="15"/>
  <c r="AE162" i="15"/>
  <c r="AE46" i="15"/>
  <c r="AG39" i="10"/>
  <c r="AG38" i="10"/>
  <c r="AD113" i="17"/>
  <c r="AD45" i="17"/>
  <c r="AE208" i="19"/>
  <c r="AE49" i="19"/>
  <c r="AI98" i="19"/>
  <c r="AI196" i="19"/>
  <c r="AI10" i="19"/>
  <c r="AI10" i="18"/>
  <c r="AI112" i="18"/>
  <c r="AI184" i="18"/>
  <c r="AI109" i="17"/>
  <c r="AI152" i="15"/>
  <c r="AI155" i="17"/>
  <c r="AI10" i="17"/>
  <c r="AI98" i="15"/>
  <c r="AI10" i="15"/>
  <c r="AI20" i="10"/>
  <c r="AJ19" i="10"/>
  <c r="AD107" i="15"/>
  <c r="AD133" i="15" s="1"/>
  <c r="AD62" i="15"/>
  <c r="AD75" i="15" s="1"/>
  <c r="AD88" i="15" s="1"/>
  <c r="AD120" i="15" s="1"/>
  <c r="AD118" i="18"/>
  <c r="AD73" i="18"/>
  <c r="AD86" i="18" s="1"/>
  <c r="AD99" i="18" s="1"/>
  <c r="AD131" i="18" s="1"/>
  <c r="AE4" i="23"/>
  <c r="AE4" i="25"/>
  <c r="AE4" i="21"/>
  <c r="AE4" i="19"/>
  <c r="AE4" i="18"/>
  <c r="AE4" i="17"/>
  <c r="AE4" i="15"/>
  <c r="AE4" i="12"/>
  <c r="AE4" i="14"/>
  <c r="AD121" i="17"/>
  <c r="AD53" i="17"/>
  <c r="AD66" i="17" s="1"/>
  <c r="AD79" i="17" s="1"/>
  <c r="AD134" i="17" s="1"/>
  <c r="AE203" i="18"/>
  <c r="AE67" i="18"/>
  <c r="P5" i="15"/>
  <c r="P5" i="25"/>
  <c r="P5" i="21"/>
  <c r="P5" i="23"/>
  <c r="P5" i="19"/>
  <c r="P5" i="18"/>
  <c r="P5" i="17"/>
  <c r="O54" i="10"/>
  <c r="P5" i="12"/>
  <c r="P5" i="14"/>
  <c r="AD114" i="19"/>
  <c r="AD66" i="19"/>
  <c r="AD79" i="19" s="1"/>
  <c r="AD117" i="18"/>
  <c r="AD72" i="18"/>
  <c r="AD85" i="18" s="1"/>
  <c r="AD98" i="18" s="1"/>
  <c r="AD130" i="18" s="1"/>
  <c r="AE40" i="17"/>
  <c r="AE170" i="17"/>
  <c r="AF18" i="17"/>
  <c r="AE36" i="17"/>
  <c r="AE166" i="17"/>
  <c r="AD111" i="19"/>
  <c r="AD63" i="19"/>
  <c r="AD76" i="19" s="1"/>
  <c r="AF16" i="19"/>
  <c r="AE205" i="19"/>
  <c r="AE46" i="19"/>
  <c r="AD105" i="15"/>
  <c r="AD60" i="15"/>
  <c r="AD73" i="15" s="1"/>
  <c r="AD86" i="15" s="1"/>
  <c r="AD118" i="15" s="1"/>
  <c r="AE167" i="15"/>
  <c r="AE181" i="15" s="1"/>
  <c r="AE51" i="15"/>
  <c r="AE163" i="15"/>
  <c r="AE47" i="15"/>
  <c r="AF19" i="18"/>
  <c r="AF17" i="18"/>
  <c r="AF18" i="18"/>
  <c r="AF16" i="18"/>
  <c r="AF24" i="18"/>
  <c r="AF15" i="18"/>
  <c r="AF14" i="18"/>
  <c r="AF13" i="18"/>
  <c r="AF23" i="18"/>
  <c r="AF22" i="18"/>
  <c r="AF20" i="18"/>
  <c r="AF21" i="18"/>
  <c r="AE212" i="19"/>
  <c r="AE53" i="19"/>
  <c r="AH21" i="10"/>
  <c r="AH3" i="25"/>
  <c r="AH3" i="21"/>
  <c r="AH3" i="23"/>
  <c r="AH3" i="19"/>
  <c r="AH3" i="18"/>
  <c r="AH3" i="17"/>
  <c r="AH3" i="15"/>
  <c r="AH36" i="10"/>
  <c r="AH3" i="14"/>
  <c r="AH51" i="10"/>
  <c r="AH24" i="10"/>
  <c r="AH52" i="10" s="1"/>
  <c r="AH3" i="12"/>
  <c r="AC197" i="15"/>
  <c r="AD122" i="17"/>
  <c r="AD54" i="17"/>
  <c r="AD67" i="17" s="1"/>
  <c r="AD80" i="17" s="1"/>
  <c r="AD135" i="17" s="1"/>
  <c r="AD106" i="19"/>
  <c r="AD58" i="19"/>
  <c r="AD71" i="19" s="1"/>
  <c r="AE194" i="18"/>
  <c r="AE58" i="18"/>
  <c r="AE171" i="17"/>
  <c r="AE41" i="17"/>
  <c r="AD112" i="19"/>
  <c r="AD64" i="19"/>
  <c r="AD77" i="19" s="1"/>
  <c r="AE209" i="19"/>
  <c r="AE50" i="19"/>
  <c r="AD115" i="18"/>
  <c r="AD70" i="18"/>
  <c r="AD83" i="18" s="1"/>
  <c r="AD96" i="18" s="1"/>
  <c r="AD128" i="18" s="1"/>
  <c r="AD110" i="19"/>
  <c r="AD62" i="19"/>
  <c r="AD75" i="19" s="1"/>
  <c r="AE168" i="15"/>
  <c r="AE182" i="15" s="1"/>
  <c r="AE52" i="15"/>
  <c r="AE164" i="15"/>
  <c r="AE48" i="15"/>
  <c r="AG44" i="25"/>
  <c r="AG25" i="25"/>
  <c r="AG27" i="25"/>
  <c r="AG28" i="25"/>
  <c r="AG43" i="25"/>
  <c r="AG26" i="25"/>
  <c r="AD124" i="18"/>
  <c r="AD79" i="18"/>
  <c r="AD92" i="18" s="1"/>
  <c r="AD105" i="18" s="1"/>
  <c r="AD137" i="18" s="1"/>
  <c r="AE211" i="19"/>
  <c r="AE52" i="19"/>
  <c r="AD105" i="19"/>
  <c r="AD57" i="19"/>
  <c r="AD70" i="19" s="1"/>
  <c r="AD115" i="17"/>
  <c r="AD47" i="17"/>
  <c r="AD60" i="17" s="1"/>
  <c r="AD73" i="17" s="1"/>
  <c r="AD128" i="17" s="1"/>
  <c r="AD119" i="18"/>
  <c r="AD74" i="18"/>
  <c r="AD87" i="18" s="1"/>
  <c r="AD100" i="18" s="1"/>
  <c r="AD132" i="18" s="1"/>
  <c r="AE204" i="18"/>
  <c r="AE68" i="18"/>
  <c r="AD121" i="18"/>
  <c r="AD76" i="18"/>
  <c r="AD89" i="18" s="1"/>
  <c r="AD102" i="18" s="1"/>
  <c r="AD134" i="18" s="1"/>
  <c r="AE172" i="17"/>
  <c r="AE42" i="17"/>
  <c r="AD111" i="15"/>
  <c r="AD137" i="15" s="1"/>
  <c r="AD66" i="15"/>
  <c r="AD79" i="15" s="1"/>
  <c r="AD92" i="15" s="1"/>
  <c r="AD124" i="15" s="1"/>
  <c r="AD116" i="18"/>
  <c r="AD71" i="18"/>
  <c r="AD84" i="18" s="1"/>
  <c r="AD97" i="18" s="1"/>
  <c r="AD129" i="18" s="1"/>
  <c r="AD110" i="15"/>
  <c r="AD136" i="15" s="1"/>
  <c r="AD65" i="15"/>
  <c r="AD78" i="15" s="1"/>
  <c r="AD91" i="15" s="1"/>
  <c r="AD123" i="15" s="1"/>
  <c r="AD109" i="15"/>
  <c r="AD135" i="15" s="1"/>
  <c r="AD64" i="15"/>
  <c r="AD77" i="15" s="1"/>
  <c r="AD90" i="15" s="1"/>
  <c r="AD122" i="15" s="1"/>
  <c r="AD112" i="17"/>
  <c r="AD44" i="17"/>
  <c r="AD57" i="17" s="1"/>
  <c r="AD70" i="17" s="1"/>
  <c r="AD125" i="17" s="1"/>
  <c r="AD125" i="18"/>
  <c r="AD80" i="18"/>
  <c r="AD93" i="18" s="1"/>
  <c r="AD106" i="18" s="1"/>
  <c r="AD138" i="18" s="1"/>
  <c r="AE169" i="15"/>
  <c r="AE183" i="15" s="1"/>
  <c r="AE53" i="15"/>
  <c r="AD104" i="19"/>
  <c r="AD56" i="19"/>
  <c r="AD69" i="19" s="1"/>
  <c r="AG11" i="19"/>
  <c r="AG97" i="19"/>
  <c r="AG111" i="18"/>
  <c r="AG11" i="18"/>
  <c r="AG108" i="17"/>
  <c r="AG11" i="17"/>
  <c r="AG11" i="15"/>
  <c r="AG97" i="15"/>
  <c r="AG21" i="14"/>
  <c r="AG23" i="14" s="1"/>
  <c r="AF19" i="19"/>
  <c r="AF18" i="19"/>
  <c r="AF17" i="19"/>
  <c r="AF15" i="19"/>
  <c r="AF13" i="19"/>
  <c r="AF14" i="19"/>
  <c r="AF24" i="19"/>
  <c r="AF22" i="19"/>
  <c r="AF20" i="19"/>
  <c r="AF23" i="19"/>
  <c r="AF21" i="19"/>
  <c r="AE213" i="19"/>
  <c r="AE54" i="19"/>
  <c r="AD122" i="18"/>
  <c r="AD77" i="18"/>
  <c r="AD90" i="18" s="1"/>
  <c r="AD103" i="18" s="1"/>
  <c r="AD135" i="18" s="1"/>
  <c r="AF307" i="19"/>
  <c r="AF238" i="18"/>
  <c r="AF204" i="15"/>
  <c r="AF207" i="17"/>
  <c r="AF64" i="14"/>
  <c r="AF41" i="10"/>
  <c r="AF33" i="14"/>
  <c r="AD114" i="17"/>
  <c r="AD46" i="17"/>
  <c r="AD59" i="17" s="1"/>
  <c r="AD72" i="17" s="1"/>
  <c r="AD127" i="17" s="1"/>
  <c r="AE199" i="18"/>
  <c r="AE63" i="18"/>
  <c r="AE195" i="18"/>
  <c r="AE59" i="18"/>
  <c r="AD120" i="17"/>
  <c r="AD52" i="17"/>
  <c r="AD65" i="17" s="1"/>
  <c r="AD78" i="17" s="1"/>
  <c r="AD133" i="17" s="1"/>
  <c r="AE32" i="17"/>
  <c r="AE162" i="17"/>
  <c r="AE170" i="15"/>
  <c r="AE184" i="15" s="1"/>
  <c r="AE54" i="15"/>
  <c r="AE203" i="19"/>
  <c r="AE44" i="19"/>
  <c r="AD123" i="17"/>
  <c r="AD55" i="17"/>
  <c r="AD68" i="17" s="1"/>
  <c r="AD81" i="17" s="1"/>
  <c r="AD136" i="17" s="1"/>
  <c r="AD102" i="15"/>
  <c r="AD57" i="15"/>
  <c r="AD70" i="15" s="1"/>
  <c r="AD83" i="15" s="1"/>
  <c r="AD115" i="15" s="1"/>
  <c r="AE61" i="18"/>
  <c r="AE197" i="18"/>
  <c r="AD101" i="15"/>
  <c r="AD56" i="15"/>
  <c r="AD69" i="15" s="1"/>
  <c r="AD82" i="15" s="1"/>
  <c r="AD114" i="15" s="1"/>
  <c r="AC58" i="17"/>
  <c r="AC71" i="17" s="1"/>
  <c r="AC126" i="17" s="1"/>
  <c r="AE200" i="18"/>
  <c r="AE64" i="18"/>
  <c r="AE196" i="18"/>
  <c r="AE60" i="18"/>
  <c r="AE161" i="17"/>
  <c r="AE31" i="17"/>
  <c r="AD108" i="19"/>
  <c r="AD60" i="19"/>
  <c r="AD73" i="19" s="1"/>
  <c r="AD116" i="17"/>
  <c r="AD48" i="17"/>
  <c r="AD61" i="17" s="1"/>
  <c r="AD74" i="17" s="1"/>
  <c r="AD129" i="17" s="1"/>
  <c r="AD118" i="17"/>
  <c r="AD50" i="17"/>
  <c r="AD63" i="17" s="1"/>
  <c r="AD76" i="17" s="1"/>
  <c r="AD131" i="17" s="1"/>
  <c r="AE159" i="15"/>
  <c r="AE43" i="15"/>
  <c r="AD109" i="19"/>
  <c r="AD61" i="19"/>
  <c r="AD74" i="19" s="1"/>
  <c r="AD104" i="15"/>
  <c r="AD59" i="15"/>
  <c r="AD72" i="15" s="1"/>
  <c r="AD85" i="15" s="1"/>
  <c r="AD117" i="15" s="1"/>
  <c r="AE202" i="19"/>
  <c r="AE43" i="19"/>
  <c r="AD113" i="19"/>
  <c r="AD65" i="19"/>
  <c r="AD78" i="19" s="1"/>
  <c r="AD126" i="18"/>
  <c r="AD81" i="18"/>
  <c r="AD94" i="18" s="1"/>
  <c r="AD107" i="18" s="1"/>
  <c r="AD139" i="18" s="1"/>
  <c r="AE201" i="18"/>
  <c r="AE65" i="18"/>
  <c r="AE198" i="18"/>
  <c r="AE62" i="18"/>
  <c r="AE167" i="17"/>
  <c r="AE37" i="17"/>
  <c r="AE165" i="17"/>
  <c r="AE35" i="17"/>
  <c r="AD117" i="17"/>
  <c r="AD49" i="17"/>
  <c r="AD62" i="17" s="1"/>
  <c r="AD75" i="17" s="1"/>
  <c r="AD130" i="17" s="1"/>
  <c r="Y132" i="15"/>
  <c r="Y192" i="15" s="1"/>
  <c r="U132" i="15"/>
  <c r="U192" i="15" s="1"/>
  <c r="T132" i="15"/>
  <c r="T192" i="15" s="1"/>
  <c r="AC132" i="15"/>
  <c r="AC192" i="15" s="1"/>
  <c r="AB132" i="15"/>
  <c r="AB192" i="15" s="1"/>
  <c r="X132" i="15"/>
  <c r="X192" i="15" s="1"/>
  <c r="W132" i="15"/>
  <c r="W192" i="15" s="1"/>
  <c r="V132" i="15"/>
  <c r="V192" i="15" s="1"/>
  <c r="AA132" i="15"/>
  <c r="AA192" i="15" s="1"/>
  <c r="S132" i="15"/>
  <c r="S192" i="15" s="1"/>
  <c r="AD91" i="19" l="1"/>
  <c r="AD126" i="19" s="1"/>
  <c r="AD93" i="19"/>
  <c r="AD128" i="19" s="1"/>
  <c r="AD84" i="19"/>
  <c r="AD119" i="19" s="1"/>
  <c r="AD89" i="19"/>
  <c r="AD124" i="19" s="1"/>
  <c r="AD82" i="19"/>
  <c r="AD117" i="19" s="1"/>
  <c r="AD90" i="19"/>
  <c r="AD125" i="19" s="1"/>
  <c r="AD92" i="19"/>
  <c r="AD127" i="19" s="1"/>
  <c r="AD87" i="19"/>
  <c r="AD122" i="19" s="1"/>
  <c r="AD86" i="19"/>
  <c r="AD121" i="19" s="1"/>
  <c r="AD83" i="19"/>
  <c r="AD118" i="19" s="1"/>
  <c r="AD88" i="19"/>
  <c r="AD123" i="19" s="1"/>
  <c r="P34" i="18"/>
  <c r="P164" i="18" s="1"/>
  <c r="P30" i="18"/>
  <c r="P160" i="18" s="1"/>
  <c r="P37" i="18"/>
  <c r="P167" i="18" s="1"/>
  <c r="P38" i="18"/>
  <c r="P168" i="18" s="1"/>
  <c r="P33" i="18"/>
  <c r="P163" i="18" s="1"/>
  <c r="P36" i="18"/>
  <c r="P166" i="18" s="1"/>
  <c r="P32" i="18"/>
  <c r="P162" i="18" s="1"/>
  <c r="P35" i="18"/>
  <c r="P165" i="18" s="1"/>
  <c r="P31" i="18"/>
  <c r="P161" i="18" s="1"/>
  <c r="P29" i="18"/>
  <c r="P159" i="18" s="1"/>
  <c r="P28" i="18"/>
  <c r="P158" i="18" s="1"/>
  <c r="P27" i="18"/>
  <c r="P157" i="18" s="1"/>
  <c r="R99" i="15"/>
  <c r="T131" i="15" s="1"/>
  <c r="T191" i="15" s="1"/>
  <c r="R8" i="23"/>
  <c r="R12" i="25" s="1"/>
  <c r="R19" i="25" s="1"/>
  <c r="R11" i="21"/>
  <c r="AD192" i="15"/>
  <c r="U178" i="15"/>
  <c r="AD178" i="15"/>
  <c r="W178" i="15"/>
  <c r="V178" i="15"/>
  <c r="AC178" i="15"/>
  <c r="Z178" i="15"/>
  <c r="T178" i="15"/>
  <c r="AB178" i="15"/>
  <c r="AA178" i="15"/>
  <c r="S178" i="15"/>
  <c r="Y178" i="15"/>
  <c r="R157" i="15"/>
  <c r="W177" i="15" s="1"/>
  <c r="AL10" i="10"/>
  <c r="AK11" i="10"/>
  <c r="AK30" i="10" s="1"/>
  <c r="AK31" i="10" s="1"/>
  <c r="AK45" i="10" s="1"/>
  <c r="AK46" i="10" s="1"/>
  <c r="AD195" i="15"/>
  <c r="AD193" i="15"/>
  <c r="AD194" i="15"/>
  <c r="AF203" i="19"/>
  <c r="AF44" i="19"/>
  <c r="AF39" i="17"/>
  <c r="AF169" i="17"/>
  <c r="AF164" i="15"/>
  <c r="AF48" i="15"/>
  <c r="AE116" i="17"/>
  <c r="AE48" i="17"/>
  <c r="AE61" i="17" s="1"/>
  <c r="AE74" i="17" s="1"/>
  <c r="AE129" i="17" s="1"/>
  <c r="AE118" i="18"/>
  <c r="AE73" i="18"/>
  <c r="AE86" i="18" s="1"/>
  <c r="AE99" i="18" s="1"/>
  <c r="AE131" i="18" s="1"/>
  <c r="AF4" i="14"/>
  <c r="AF4" i="25"/>
  <c r="AF4" i="21"/>
  <c r="AF4" i="23"/>
  <c r="AF4" i="19"/>
  <c r="AF4" i="18"/>
  <c r="AF4" i="17"/>
  <c r="AF4" i="15"/>
  <c r="AF4" i="12"/>
  <c r="AE115" i="19"/>
  <c r="AE67" i="19"/>
  <c r="AE80" i="19" s="1"/>
  <c r="AF202" i="19"/>
  <c r="AF43" i="19"/>
  <c r="AG20" i="17"/>
  <c r="AG19" i="17"/>
  <c r="AG18" i="17"/>
  <c r="AG15" i="17"/>
  <c r="AG17" i="17"/>
  <c r="AG16" i="17"/>
  <c r="AG13" i="17"/>
  <c r="AG14" i="17"/>
  <c r="AG24" i="17"/>
  <c r="AG23" i="17"/>
  <c r="AG22" i="17"/>
  <c r="AG21" i="17"/>
  <c r="AE111" i="15"/>
  <c r="AE137" i="15" s="1"/>
  <c r="AE66" i="15"/>
  <c r="AE79" i="15" s="1"/>
  <c r="AE92" i="15" s="1"/>
  <c r="AE124" i="15" s="1"/>
  <c r="AE122" i="17"/>
  <c r="AE54" i="17"/>
  <c r="AE67" i="17" s="1"/>
  <c r="AE80" i="17" s="1"/>
  <c r="AE135" i="17" s="1"/>
  <c r="AF201" i="18"/>
  <c r="AF65" i="18"/>
  <c r="AF196" i="18"/>
  <c r="AF60" i="18"/>
  <c r="AE117" i="17"/>
  <c r="AE49" i="17"/>
  <c r="AE62" i="17" s="1"/>
  <c r="AE75" i="17" s="1"/>
  <c r="AE130" i="17" s="1"/>
  <c r="P13" i="14"/>
  <c r="P15" i="14" s="1"/>
  <c r="P26" i="14" s="1"/>
  <c r="P28" i="14" s="1"/>
  <c r="P34" i="14" s="1"/>
  <c r="P36" i="14" s="1"/>
  <c r="P11" i="21" s="1"/>
  <c r="P43" i="14"/>
  <c r="P45" i="14" s="1"/>
  <c r="P50" i="14" s="1"/>
  <c r="P52" i="14" s="1"/>
  <c r="P57" i="14" s="1"/>
  <c r="AG307" i="19"/>
  <c r="AG238" i="18"/>
  <c r="AG204" i="15"/>
  <c r="AG207" i="17"/>
  <c r="AG41" i="10"/>
  <c r="AG64" i="14"/>
  <c r="AG33" i="14"/>
  <c r="AE115" i="18"/>
  <c r="AE70" i="18"/>
  <c r="AE83" i="18" s="1"/>
  <c r="AE96" i="18" s="1"/>
  <c r="AE128" i="18" s="1"/>
  <c r="AF170" i="17"/>
  <c r="AF40" i="17"/>
  <c r="AF37" i="17"/>
  <c r="AF167" i="17"/>
  <c r="AE108" i="19"/>
  <c r="AE60" i="19"/>
  <c r="AE73" i="19" s="1"/>
  <c r="AF169" i="15"/>
  <c r="AF183" i="15" s="1"/>
  <c r="AF53" i="15"/>
  <c r="AF165" i="15"/>
  <c r="AF49" i="15"/>
  <c r="AF204" i="18"/>
  <c r="AF68" i="18"/>
  <c r="Q154" i="15"/>
  <c r="AE119" i="18"/>
  <c r="AE74" i="18"/>
  <c r="AE87" i="18" s="1"/>
  <c r="AE100" i="18" s="1"/>
  <c r="AE132" i="18" s="1"/>
  <c r="AE117" i="18"/>
  <c r="AE72" i="18"/>
  <c r="AE85" i="18" s="1"/>
  <c r="AE98" i="18" s="1"/>
  <c r="AE130" i="18" s="1"/>
  <c r="AF45" i="19"/>
  <c r="AF204" i="19"/>
  <c r="AD196" i="15"/>
  <c r="AF200" i="18"/>
  <c r="AF64" i="18"/>
  <c r="AF198" i="18"/>
  <c r="AF62" i="18"/>
  <c r="AF166" i="17"/>
  <c r="AF36" i="17"/>
  <c r="AE110" i="19"/>
  <c r="AE62" i="19"/>
  <c r="AE75" i="19" s="1"/>
  <c r="AE115" i="17"/>
  <c r="AE47" i="17"/>
  <c r="AE60" i="17" s="1"/>
  <c r="AE73" i="17" s="1"/>
  <c r="AE128" i="17" s="1"/>
  <c r="AE109" i="19"/>
  <c r="AE61" i="19"/>
  <c r="AE74" i="19" s="1"/>
  <c r="AF41" i="17"/>
  <c r="AF171" i="17"/>
  <c r="AE103" i="15"/>
  <c r="AE58" i="15"/>
  <c r="AE71" i="15" s="1"/>
  <c r="AE84" i="15" s="1"/>
  <c r="AE116" i="15" s="1"/>
  <c r="AF170" i="15"/>
  <c r="AF184" i="15" s="1"/>
  <c r="AF54" i="15"/>
  <c r="Q8" i="23"/>
  <c r="Q12" i="25" s="1"/>
  <c r="Q19" i="25" s="1"/>
  <c r="AE118" i="17"/>
  <c r="AE50" i="17"/>
  <c r="AE63" i="17" s="1"/>
  <c r="AE76" i="17" s="1"/>
  <c r="AE131" i="17" s="1"/>
  <c r="AE122" i="18"/>
  <c r="AE77" i="18"/>
  <c r="AE90" i="18" s="1"/>
  <c r="AE103" i="18" s="1"/>
  <c r="AE135" i="18" s="1"/>
  <c r="AF210" i="19"/>
  <c r="AF51" i="19"/>
  <c r="AF206" i="19"/>
  <c r="AF47" i="19"/>
  <c r="AE126" i="18"/>
  <c r="AE81" i="18"/>
  <c r="AE94" i="18" s="1"/>
  <c r="AE107" i="18" s="1"/>
  <c r="AE139" i="18" s="1"/>
  <c r="AE113" i="19"/>
  <c r="AE65" i="19"/>
  <c r="AE78" i="19" s="1"/>
  <c r="AE116" i="18"/>
  <c r="AE71" i="18"/>
  <c r="AE84" i="18" s="1"/>
  <c r="AE97" i="18" s="1"/>
  <c r="AE129" i="18" s="1"/>
  <c r="AF202" i="18"/>
  <c r="AF66" i="18"/>
  <c r="AF61" i="18"/>
  <c r="AF197" i="18"/>
  <c r="AE59" i="19"/>
  <c r="AE72" i="19" s="1"/>
  <c r="AE107" i="19"/>
  <c r="O5" i="15"/>
  <c r="O5" i="23"/>
  <c r="O5" i="25"/>
  <c r="O5" i="19"/>
  <c r="O5" i="21"/>
  <c r="O5" i="18"/>
  <c r="O5" i="17"/>
  <c r="O5" i="12"/>
  <c r="N54" i="10"/>
  <c r="O5" i="14"/>
  <c r="AE125" i="18"/>
  <c r="AE80" i="18"/>
  <c r="AE93" i="18" s="1"/>
  <c r="AE106" i="18" s="1"/>
  <c r="AE138" i="18" s="1"/>
  <c r="AE104" i="15"/>
  <c r="AE59" i="15"/>
  <c r="AE72" i="15" s="1"/>
  <c r="AE85" i="15" s="1"/>
  <c r="AE117" i="15" s="1"/>
  <c r="AE120" i="17"/>
  <c r="AE52" i="17"/>
  <c r="AE65" i="17" s="1"/>
  <c r="AE78" i="17" s="1"/>
  <c r="AE133" i="17" s="1"/>
  <c r="AE112" i="19"/>
  <c r="AE64" i="19"/>
  <c r="AE77" i="19" s="1"/>
  <c r="AF172" i="17"/>
  <c r="AF42" i="17"/>
  <c r="AE114" i="17"/>
  <c r="AE46" i="17"/>
  <c r="AE59" i="17" s="1"/>
  <c r="AE72" i="17" s="1"/>
  <c r="AE127" i="17" s="1"/>
  <c r="AF159" i="15"/>
  <c r="AF43" i="15"/>
  <c r="AF163" i="17"/>
  <c r="AF33" i="17"/>
  <c r="AF168" i="15"/>
  <c r="AF182" i="15" s="1"/>
  <c r="AF52" i="15"/>
  <c r="Q99" i="15"/>
  <c r="Q130" i="15" s="1"/>
  <c r="Q190" i="15" s="1"/>
  <c r="AG20" i="18"/>
  <c r="AG17" i="18"/>
  <c r="AG18" i="18"/>
  <c r="AG16" i="18"/>
  <c r="AG24" i="18"/>
  <c r="AG15" i="18"/>
  <c r="AG14" i="18"/>
  <c r="AG13" i="18"/>
  <c r="AG23" i="18"/>
  <c r="AG22" i="18"/>
  <c r="AG21" i="18"/>
  <c r="AE112" i="15"/>
  <c r="AE138" i="15" s="1"/>
  <c r="AE67" i="15"/>
  <c r="AE80" i="15" s="1"/>
  <c r="AE93" i="15" s="1"/>
  <c r="AE125" i="15" s="1"/>
  <c r="AE121" i="18"/>
  <c r="AE76" i="18"/>
  <c r="AE89" i="18" s="1"/>
  <c r="AE102" i="18" s="1"/>
  <c r="AE134" i="18" s="1"/>
  <c r="AG23" i="19"/>
  <c r="AF53" i="19"/>
  <c r="AF212" i="19"/>
  <c r="AF207" i="19"/>
  <c r="AF48" i="19"/>
  <c r="AF203" i="18"/>
  <c r="AF67" i="18"/>
  <c r="AG19" i="18"/>
  <c r="AF199" i="18"/>
  <c r="AF63" i="18"/>
  <c r="AE121" i="17"/>
  <c r="AE53" i="17"/>
  <c r="AE66" i="17" s="1"/>
  <c r="AE79" i="17" s="1"/>
  <c r="AE134" i="17" s="1"/>
  <c r="AJ98" i="19"/>
  <c r="AJ10" i="19"/>
  <c r="AJ196" i="19"/>
  <c r="AJ10" i="18"/>
  <c r="AJ112" i="18"/>
  <c r="AJ184" i="18"/>
  <c r="AJ155" i="17"/>
  <c r="AJ10" i="17"/>
  <c r="AJ109" i="17"/>
  <c r="AJ152" i="15"/>
  <c r="AJ98" i="15"/>
  <c r="AJ10" i="15"/>
  <c r="AJ20" i="10"/>
  <c r="AK19" i="10"/>
  <c r="AD58" i="17"/>
  <c r="AD71" i="17" s="1"/>
  <c r="AD126" i="17" s="1"/>
  <c r="AF32" i="17"/>
  <c r="AF162" i="17"/>
  <c r="AE62" i="15"/>
  <c r="AE75" i="15" s="1"/>
  <c r="AE88" i="15" s="1"/>
  <c r="AE120" i="15" s="1"/>
  <c r="AE107" i="15"/>
  <c r="AE133" i="15" s="1"/>
  <c r="AE119" i="17"/>
  <c r="AE51" i="17"/>
  <c r="AE64" i="17" s="1"/>
  <c r="AE77" i="17" s="1"/>
  <c r="AE132" i="17" s="1"/>
  <c r="AE106" i="19"/>
  <c r="AE58" i="19"/>
  <c r="AE71" i="19" s="1"/>
  <c r="AF160" i="15"/>
  <c r="AF44" i="15"/>
  <c r="AE120" i="18"/>
  <c r="AE75" i="18"/>
  <c r="AE88" i="18" s="1"/>
  <c r="AE101" i="18" s="1"/>
  <c r="AE133" i="18" s="1"/>
  <c r="AE104" i="19"/>
  <c r="AE56" i="19"/>
  <c r="AE69" i="19" s="1"/>
  <c r="AF50" i="19"/>
  <c r="AF209" i="19"/>
  <c r="AF208" i="19"/>
  <c r="AF49" i="19"/>
  <c r="AE106" i="15"/>
  <c r="AE61" i="15"/>
  <c r="AE74" i="15" s="1"/>
  <c r="AE87" i="15" s="1"/>
  <c r="AE119" i="15" s="1"/>
  <c r="AE111" i="19"/>
  <c r="AE63" i="19"/>
  <c r="AE76" i="19" s="1"/>
  <c r="AH28" i="25"/>
  <c r="AH43" i="25"/>
  <c r="AH44" i="25"/>
  <c r="AH25" i="25"/>
  <c r="AH26" i="25"/>
  <c r="AH27" i="25"/>
  <c r="AF193" i="18"/>
  <c r="AF57" i="18"/>
  <c r="AE105" i="15"/>
  <c r="AE60" i="15"/>
  <c r="AE73" i="15" s="1"/>
  <c r="AE86" i="15" s="1"/>
  <c r="AE118" i="15" s="1"/>
  <c r="AG16" i="19"/>
  <c r="AF46" i="19"/>
  <c r="AF205" i="19"/>
  <c r="AI21" i="10"/>
  <c r="AI3" i="25"/>
  <c r="AI3" i="23"/>
  <c r="AI3" i="19"/>
  <c r="AI3" i="21"/>
  <c r="AI3" i="18"/>
  <c r="AI3" i="17"/>
  <c r="AI3" i="15"/>
  <c r="AI3" i="12"/>
  <c r="AI51" i="10"/>
  <c r="AI3" i="14"/>
  <c r="AI36" i="10"/>
  <c r="AI24" i="10"/>
  <c r="AI52" i="10" s="1"/>
  <c r="AE108" i="15"/>
  <c r="AE134" i="15" s="1"/>
  <c r="AE63" i="15"/>
  <c r="AE76" i="15" s="1"/>
  <c r="AE89" i="15" s="1"/>
  <c r="AE121" i="15" s="1"/>
  <c r="AF161" i="17"/>
  <c r="AF31" i="17"/>
  <c r="AF161" i="15"/>
  <c r="AF45" i="15"/>
  <c r="AG20" i="15"/>
  <c r="AG19" i="15"/>
  <c r="AG18" i="15"/>
  <c r="AG17" i="15"/>
  <c r="AG16" i="15"/>
  <c r="AG15" i="15"/>
  <c r="AG14" i="15"/>
  <c r="AG13" i="15"/>
  <c r="AG24" i="15"/>
  <c r="AG23" i="15"/>
  <c r="AG22" i="15"/>
  <c r="AG21" i="15"/>
  <c r="AF211" i="19"/>
  <c r="AF52" i="19"/>
  <c r="AG20" i="19"/>
  <c r="AG19" i="19"/>
  <c r="AG18" i="19"/>
  <c r="AG17" i="19"/>
  <c r="AG15" i="19"/>
  <c r="AG13" i="19"/>
  <c r="AG14" i="19"/>
  <c r="AG24" i="19"/>
  <c r="AG22" i="19"/>
  <c r="AG21" i="19"/>
  <c r="AD197" i="15"/>
  <c r="AH39" i="10"/>
  <c r="AH38" i="10"/>
  <c r="AH97" i="19"/>
  <c r="AH11" i="19"/>
  <c r="AH111" i="18"/>
  <c r="AH11" i="18"/>
  <c r="AH108" i="17"/>
  <c r="AH11" i="17"/>
  <c r="AH11" i="15"/>
  <c r="AH97" i="15"/>
  <c r="AH21" i="14"/>
  <c r="AH23" i="14" s="1"/>
  <c r="AF58" i="18"/>
  <c r="AF194" i="18"/>
  <c r="AD198" i="15"/>
  <c r="AF34" i="17"/>
  <c r="AF164" i="17"/>
  <c r="AF50" i="15"/>
  <c r="AF166" i="15"/>
  <c r="AF180" i="15" s="1"/>
  <c r="AF162" i="15"/>
  <c r="AF46" i="15"/>
  <c r="AE102" i="15"/>
  <c r="AE57" i="15"/>
  <c r="AE70" i="15" s="1"/>
  <c r="AE83" i="15" s="1"/>
  <c r="AE115" i="15" s="1"/>
  <c r="Q56" i="14"/>
  <c r="Q59" i="14" s="1"/>
  <c r="Q65" i="14" s="1"/>
  <c r="Q67" i="14" s="1"/>
  <c r="Q155" i="15" s="1"/>
  <c r="AE123" i="18"/>
  <c r="AE78" i="18"/>
  <c r="AE91" i="18" s="1"/>
  <c r="AE104" i="18" s="1"/>
  <c r="AE136" i="18" s="1"/>
  <c r="AE101" i="15"/>
  <c r="AE56" i="15"/>
  <c r="AE69" i="15" s="1"/>
  <c r="AE82" i="15" s="1"/>
  <c r="AE114" i="15" s="1"/>
  <c r="AE112" i="17"/>
  <c r="AE44" i="17"/>
  <c r="AE57" i="17" s="1"/>
  <c r="AE70" i="17" s="1"/>
  <c r="AE125" i="17" s="1"/>
  <c r="AE105" i="19"/>
  <c r="AE57" i="19"/>
  <c r="AE70" i="19" s="1"/>
  <c r="AE113" i="17"/>
  <c r="AE45" i="17"/>
  <c r="AF213" i="19"/>
  <c r="AF54" i="19"/>
  <c r="AE123" i="17"/>
  <c r="AE55" i="17"/>
  <c r="AE68" i="17" s="1"/>
  <c r="AE81" i="17" s="1"/>
  <c r="AE136" i="17" s="1"/>
  <c r="AE110" i="15"/>
  <c r="AE136" i="15" s="1"/>
  <c r="AE65" i="15"/>
  <c r="AE78" i="15" s="1"/>
  <c r="AE91" i="15" s="1"/>
  <c r="AE123" i="15" s="1"/>
  <c r="AE114" i="19"/>
  <c r="AE66" i="19"/>
  <c r="AE79" i="19" s="1"/>
  <c r="AF59" i="18"/>
  <c r="AF195" i="18"/>
  <c r="AE109" i="15"/>
  <c r="AE135" i="15" s="1"/>
  <c r="AE64" i="15"/>
  <c r="AE77" i="15" s="1"/>
  <c r="AE90" i="15" s="1"/>
  <c r="AE122" i="15" s="1"/>
  <c r="AD120" i="19"/>
  <c r="AF38" i="17"/>
  <c r="AF168" i="17"/>
  <c r="AF165" i="17"/>
  <c r="AF35" i="17"/>
  <c r="AE124" i="18"/>
  <c r="AE79" i="18"/>
  <c r="AE92" i="18" s="1"/>
  <c r="AE105" i="18" s="1"/>
  <c r="AE137" i="18" s="1"/>
  <c r="AF167" i="15"/>
  <c r="AF181" i="15" s="1"/>
  <c r="AF51" i="15"/>
  <c r="AF163" i="15"/>
  <c r="AF47" i="15"/>
  <c r="AE89" i="19" l="1"/>
  <c r="AE124" i="19" s="1"/>
  <c r="AE82" i="19"/>
  <c r="AE117" i="19" s="1"/>
  <c r="AE87" i="19"/>
  <c r="AE122" i="19" s="1"/>
  <c r="AE83" i="19"/>
  <c r="AE118" i="19" s="1"/>
  <c r="AE86" i="19"/>
  <c r="AE121" i="19" s="1"/>
  <c r="AE90" i="19"/>
  <c r="AE125" i="19" s="1"/>
  <c r="AE93" i="19"/>
  <c r="AE128" i="19" s="1"/>
  <c r="AE123" i="19"/>
  <c r="AE88" i="19"/>
  <c r="AE91" i="19"/>
  <c r="AE126" i="19" s="1"/>
  <c r="AE92" i="19"/>
  <c r="AE127" i="19" s="1"/>
  <c r="AE84" i="19"/>
  <c r="AE119" i="19" s="1"/>
  <c r="AE85" i="19"/>
  <c r="AE120" i="19" s="1"/>
  <c r="O38" i="18"/>
  <c r="O168" i="18" s="1"/>
  <c r="O37" i="18"/>
  <c r="O167" i="18" s="1"/>
  <c r="O36" i="18"/>
  <c r="O166" i="18" s="1"/>
  <c r="O35" i="18"/>
  <c r="O165" i="18" s="1"/>
  <c r="O34" i="18"/>
  <c r="O164" i="18" s="1"/>
  <c r="O33" i="18"/>
  <c r="O163" i="18" s="1"/>
  <c r="O32" i="18"/>
  <c r="O162" i="18" s="1"/>
  <c r="O31" i="18"/>
  <c r="O161" i="18" s="1"/>
  <c r="O30" i="18"/>
  <c r="O160" i="18" s="1"/>
  <c r="O29" i="18"/>
  <c r="O159" i="18" s="1"/>
  <c r="O27" i="18"/>
  <c r="O157" i="18" s="1"/>
  <c r="O28" i="18"/>
  <c r="O158" i="18" s="1"/>
  <c r="AC131" i="15"/>
  <c r="AC191" i="15" s="1"/>
  <c r="W131" i="15"/>
  <c r="W191" i="15" s="1"/>
  <c r="Y131" i="15"/>
  <c r="Y191" i="15" s="1"/>
  <c r="X131" i="15"/>
  <c r="X191" i="15" s="1"/>
  <c r="AB131" i="15"/>
  <c r="AB191" i="15" s="1"/>
  <c r="Z131" i="15"/>
  <c r="Z191" i="15" s="1"/>
  <c r="AA131" i="15"/>
  <c r="AA191" i="15" s="1"/>
  <c r="U131" i="15"/>
  <c r="U191" i="15" s="1"/>
  <c r="R131" i="15"/>
  <c r="R191" i="15" s="1"/>
  <c r="S131" i="15"/>
  <c r="S191" i="15" s="1"/>
  <c r="V131" i="15"/>
  <c r="V191" i="15" s="1"/>
  <c r="P56" i="14"/>
  <c r="P59" i="14" s="1"/>
  <c r="P65" i="14" s="1"/>
  <c r="P67" i="14" s="1"/>
  <c r="P155" i="15" s="1"/>
  <c r="P154" i="15"/>
  <c r="P99" i="15"/>
  <c r="W129" i="15" s="1"/>
  <c r="W189" i="15" s="1"/>
  <c r="Z177" i="15"/>
  <c r="V177" i="15"/>
  <c r="R177" i="15"/>
  <c r="AC177" i="15"/>
  <c r="U177" i="15"/>
  <c r="AB177" i="15"/>
  <c r="T177" i="15"/>
  <c r="AA177" i="15"/>
  <c r="S177" i="15"/>
  <c r="Y177" i="15"/>
  <c r="X177" i="15"/>
  <c r="AM10" i="10"/>
  <c r="AL11" i="10"/>
  <c r="AL30" i="10" s="1"/>
  <c r="AL31" i="10" s="1"/>
  <c r="AL45" i="10" s="1"/>
  <c r="AL46" i="10" s="1"/>
  <c r="P8" i="23"/>
  <c r="P12" i="25" s="1"/>
  <c r="P19" i="25" s="1"/>
  <c r="Q157" i="15"/>
  <c r="U176" i="15" s="1"/>
  <c r="AE195" i="15"/>
  <c r="AE193" i="15"/>
  <c r="V130" i="15"/>
  <c r="V190" i="15" s="1"/>
  <c r="AG160" i="15"/>
  <c r="AG44" i="15"/>
  <c r="AF119" i="18"/>
  <c r="AF74" i="18"/>
  <c r="AF87" i="18" s="1"/>
  <c r="AF100" i="18" s="1"/>
  <c r="AF132" i="18" s="1"/>
  <c r="AG4" i="25"/>
  <c r="AG4" i="21"/>
  <c r="AG4" i="23"/>
  <c r="AG4" i="19"/>
  <c r="AG4" i="18"/>
  <c r="AG4" i="17"/>
  <c r="AG4" i="15"/>
  <c r="AG4" i="12"/>
  <c r="AG4" i="14"/>
  <c r="Y130" i="15"/>
  <c r="Y190" i="15" s="1"/>
  <c r="R130" i="15"/>
  <c r="R190" i="15" s="1"/>
  <c r="AE58" i="17"/>
  <c r="AE71" i="17" s="1"/>
  <c r="AE126" i="17" s="1"/>
  <c r="AG213" i="19"/>
  <c r="AG54" i="19"/>
  <c r="AF113" i="19"/>
  <c r="AF65" i="19"/>
  <c r="AF78" i="19" s="1"/>
  <c r="AG161" i="15"/>
  <c r="AG45" i="15"/>
  <c r="AF112" i="17"/>
  <c r="AF44" i="17"/>
  <c r="AF57" i="17" s="1"/>
  <c r="AF70" i="17" s="1"/>
  <c r="AF125" i="17" s="1"/>
  <c r="AI97" i="19"/>
  <c r="AI11" i="19"/>
  <c r="AI11" i="18"/>
  <c r="AI111" i="18"/>
  <c r="AI108" i="17"/>
  <c r="AI11" i="17"/>
  <c r="AI97" i="15"/>
  <c r="AI11" i="15"/>
  <c r="AI21" i="14"/>
  <c r="AI23" i="14" s="1"/>
  <c r="AH19" i="18"/>
  <c r="AG199" i="18"/>
  <c r="AG63" i="18"/>
  <c r="AG58" i="18"/>
  <c r="AG194" i="18"/>
  <c r="AF110" i="15"/>
  <c r="AF136" i="15" s="1"/>
  <c r="AF65" i="15"/>
  <c r="AF78" i="15" s="1"/>
  <c r="AF91" i="15" s="1"/>
  <c r="AF123" i="15" s="1"/>
  <c r="AF123" i="17"/>
  <c r="AF55" i="17"/>
  <c r="AF68" i="17" s="1"/>
  <c r="AF81" i="17" s="1"/>
  <c r="AF136" i="17" s="1"/>
  <c r="AF124" i="18"/>
  <c r="AF79" i="18"/>
  <c r="AF92" i="18" s="1"/>
  <c r="AF105" i="18" s="1"/>
  <c r="AF137" i="18" s="1"/>
  <c r="AF108" i="19"/>
  <c r="AF60" i="19"/>
  <c r="AF73" i="19" s="1"/>
  <c r="AF118" i="17"/>
  <c r="AF50" i="17"/>
  <c r="AF63" i="17" s="1"/>
  <c r="AF76" i="17" s="1"/>
  <c r="AF131" i="17" s="1"/>
  <c r="AF118" i="18"/>
  <c r="AF73" i="18"/>
  <c r="AF86" i="18" s="1"/>
  <c r="AF99" i="18" s="1"/>
  <c r="AF131" i="18" s="1"/>
  <c r="AG162" i="17"/>
  <c r="AG32" i="17"/>
  <c r="AF104" i="19"/>
  <c r="AF56" i="19"/>
  <c r="AF69" i="19" s="1"/>
  <c r="Z130" i="15"/>
  <c r="Z190" i="15" s="1"/>
  <c r="AF104" i="15"/>
  <c r="AF59" i="15"/>
  <c r="AF72" i="15" s="1"/>
  <c r="AF85" i="15" s="1"/>
  <c r="AF117" i="15" s="1"/>
  <c r="AF116" i="18"/>
  <c r="AF71" i="18"/>
  <c r="AF84" i="18" s="1"/>
  <c r="AF97" i="18" s="1"/>
  <c r="AF129" i="18" s="1"/>
  <c r="AH21" i="19"/>
  <c r="AH20" i="19"/>
  <c r="AH19" i="19"/>
  <c r="AH16" i="19"/>
  <c r="AH17" i="19"/>
  <c r="AH18" i="19"/>
  <c r="AH15" i="19"/>
  <c r="AH13" i="19"/>
  <c r="AH14" i="19"/>
  <c r="AH24" i="19"/>
  <c r="AH23" i="19"/>
  <c r="AH22" i="19"/>
  <c r="AG203" i="19"/>
  <c r="AG44" i="19"/>
  <c r="AG162" i="15"/>
  <c r="AG46" i="15"/>
  <c r="AF125" i="18"/>
  <c r="AF80" i="18"/>
  <c r="AF93" i="18" s="1"/>
  <c r="AF106" i="18" s="1"/>
  <c r="AF138" i="18" s="1"/>
  <c r="AG59" i="18"/>
  <c r="AG195" i="18"/>
  <c r="AF112" i="15"/>
  <c r="AF138" i="15" s="1"/>
  <c r="AF67" i="15"/>
  <c r="AF80" i="15" s="1"/>
  <c r="AF93" i="15" s="1"/>
  <c r="AF125" i="15" s="1"/>
  <c r="AF122" i="18"/>
  <c r="AF77" i="18"/>
  <c r="AF90" i="18" s="1"/>
  <c r="AF103" i="18" s="1"/>
  <c r="AF135" i="18" s="1"/>
  <c r="AF106" i="19"/>
  <c r="AF58" i="19"/>
  <c r="AF71" i="19" s="1"/>
  <c r="AF107" i="15"/>
  <c r="AF62" i="15"/>
  <c r="AF75" i="15" s="1"/>
  <c r="AF88" i="15" s="1"/>
  <c r="AF120" i="15" s="1"/>
  <c r="AF121" i="17"/>
  <c r="AF53" i="17"/>
  <c r="AF66" i="17" s="1"/>
  <c r="AF79" i="17" s="1"/>
  <c r="AF134" i="17" s="1"/>
  <c r="AG161" i="17"/>
  <c r="AG31" i="17"/>
  <c r="AF106" i="15"/>
  <c r="AF61" i="15"/>
  <c r="AF74" i="15" s="1"/>
  <c r="AF87" i="15" s="1"/>
  <c r="AF119" i="15" s="1"/>
  <c r="AJ21" i="10"/>
  <c r="AJ3" i="25"/>
  <c r="AJ3" i="21"/>
  <c r="AJ3" i="23"/>
  <c r="AJ3" i="19"/>
  <c r="AJ3" i="18"/>
  <c r="AJ3" i="17"/>
  <c r="AJ3" i="15"/>
  <c r="AJ24" i="10"/>
  <c r="AJ52" i="10" s="1"/>
  <c r="AJ3" i="12"/>
  <c r="AJ3" i="14"/>
  <c r="AJ51" i="10"/>
  <c r="AJ36" i="10"/>
  <c r="W130" i="15"/>
  <c r="W190" i="15" s="1"/>
  <c r="AG202" i="19"/>
  <c r="AG43" i="19"/>
  <c r="AG51" i="15"/>
  <c r="AG167" i="15"/>
  <c r="AG181" i="15" s="1"/>
  <c r="AG163" i="15"/>
  <c r="AG47" i="15"/>
  <c r="AF107" i="19"/>
  <c r="AF59" i="19"/>
  <c r="AF72" i="19" s="1"/>
  <c r="AF110" i="19"/>
  <c r="AF62" i="19"/>
  <c r="AF75" i="19" s="1"/>
  <c r="AF102" i="15"/>
  <c r="AF57" i="15"/>
  <c r="AF70" i="15" s="1"/>
  <c r="AF83" i="15" s="1"/>
  <c r="AF115" i="15" s="1"/>
  <c r="AG204" i="18"/>
  <c r="AG68" i="18"/>
  <c r="AF114" i="17"/>
  <c r="AF46" i="17"/>
  <c r="AF59" i="17" s="1"/>
  <c r="AF72" i="17" s="1"/>
  <c r="AF127" i="17" s="1"/>
  <c r="O13" i="14"/>
  <c r="O15" i="14" s="1"/>
  <c r="O26" i="14" s="1"/>
  <c r="O28" i="14" s="1"/>
  <c r="O34" i="14" s="1"/>
  <c r="O36" i="14" s="1"/>
  <c r="O11" i="21" s="1"/>
  <c r="O43" i="14"/>
  <c r="O45" i="14" s="1"/>
  <c r="O50" i="14" s="1"/>
  <c r="O52" i="14" s="1"/>
  <c r="O57" i="14" s="1"/>
  <c r="AF112" i="19"/>
  <c r="AF64" i="19"/>
  <c r="AF77" i="19" s="1"/>
  <c r="AF123" i="18"/>
  <c r="AF78" i="18"/>
  <c r="AF91" i="18" s="1"/>
  <c r="AF104" i="18" s="1"/>
  <c r="AF136" i="18" s="1"/>
  <c r="AG164" i="17"/>
  <c r="AG34" i="17"/>
  <c r="AH21" i="18"/>
  <c r="AH17" i="18"/>
  <c r="AH18" i="18"/>
  <c r="AH16" i="18"/>
  <c r="AH24" i="18"/>
  <c r="AH15" i="18"/>
  <c r="AH14" i="18"/>
  <c r="AH13" i="18"/>
  <c r="AH23" i="18"/>
  <c r="AH22" i="18"/>
  <c r="AG193" i="18"/>
  <c r="AG57" i="18"/>
  <c r="AF120" i="18"/>
  <c r="AF75" i="18"/>
  <c r="AF88" i="18" s="1"/>
  <c r="AF101" i="18" s="1"/>
  <c r="AF133" i="18" s="1"/>
  <c r="AF126" i="18"/>
  <c r="AF81" i="18"/>
  <c r="AF94" i="18" s="1"/>
  <c r="AF107" i="18" s="1"/>
  <c r="AF139" i="18" s="1"/>
  <c r="AH20" i="17"/>
  <c r="AG168" i="17"/>
  <c r="AG38" i="17"/>
  <c r="AB130" i="15"/>
  <c r="AB190" i="15" s="1"/>
  <c r="AF116" i="17"/>
  <c r="AF48" i="17"/>
  <c r="AF61" i="17" s="1"/>
  <c r="AF74" i="17" s="1"/>
  <c r="AF129" i="17" s="1"/>
  <c r="AE196" i="15"/>
  <c r="AH307" i="19"/>
  <c r="AH238" i="18"/>
  <c r="AH204" i="15"/>
  <c r="AH207" i="17"/>
  <c r="AH41" i="10"/>
  <c r="AH64" i="14"/>
  <c r="AH33" i="14"/>
  <c r="AG204" i="19"/>
  <c r="AG45" i="19"/>
  <c r="AG168" i="15"/>
  <c r="AG182" i="15" s="1"/>
  <c r="AG52" i="15"/>
  <c r="AG164" i="15"/>
  <c r="AG48" i="15"/>
  <c r="AE194" i="15"/>
  <c r="AG205" i="19"/>
  <c r="AG46" i="19"/>
  <c r="AF113" i="17"/>
  <c r="AF45" i="17"/>
  <c r="AF109" i="19"/>
  <c r="AF61" i="19"/>
  <c r="AF74" i="19" s="1"/>
  <c r="AE198" i="15"/>
  <c r="AG60" i="18"/>
  <c r="AG196" i="18"/>
  <c r="N5" i="15"/>
  <c r="N5" i="23"/>
  <c r="N5" i="25"/>
  <c r="N5" i="21"/>
  <c r="N5" i="19"/>
  <c r="N5" i="18"/>
  <c r="N5" i="17"/>
  <c r="N5" i="14"/>
  <c r="N5" i="12"/>
  <c r="AF111" i="15"/>
  <c r="AF137" i="15" s="1"/>
  <c r="AF66" i="15"/>
  <c r="AF79" i="15" s="1"/>
  <c r="AF92" i="15" s="1"/>
  <c r="AF124" i="15" s="1"/>
  <c r="AE197" i="15"/>
  <c r="AG165" i="17"/>
  <c r="AG35" i="17"/>
  <c r="AF109" i="15"/>
  <c r="AF135" i="15" s="1"/>
  <c r="AF64" i="15"/>
  <c r="AF77" i="15" s="1"/>
  <c r="AF90" i="15" s="1"/>
  <c r="AF122" i="15" s="1"/>
  <c r="AG172" i="17"/>
  <c r="AG42" i="17"/>
  <c r="S130" i="15"/>
  <c r="S190" i="15" s="1"/>
  <c r="T130" i="15"/>
  <c r="T190" i="15" s="1"/>
  <c r="AF117" i="18"/>
  <c r="AF72" i="18"/>
  <c r="AF85" i="18" s="1"/>
  <c r="AF98" i="18" s="1"/>
  <c r="AF130" i="18" s="1"/>
  <c r="AF63" i="15"/>
  <c r="AF76" i="15" s="1"/>
  <c r="AF89" i="15" s="1"/>
  <c r="AF121" i="15" s="1"/>
  <c r="AF108" i="15"/>
  <c r="AF134" i="15" s="1"/>
  <c r="AH21" i="15"/>
  <c r="AH20" i="15"/>
  <c r="AH19" i="15"/>
  <c r="AH18" i="15"/>
  <c r="AH17" i="15"/>
  <c r="AH16" i="15"/>
  <c r="AH15" i="15"/>
  <c r="AH14" i="15"/>
  <c r="AH13" i="15"/>
  <c r="AH24" i="15"/>
  <c r="AH23" i="15"/>
  <c r="AH22" i="15"/>
  <c r="AG206" i="19"/>
  <c r="AG47" i="19"/>
  <c r="AG169" i="15"/>
  <c r="AG183" i="15" s="1"/>
  <c r="AG53" i="15"/>
  <c r="AG165" i="15"/>
  <c r="AG49" i="15"/>
  <c r="AG65" i="18"/>
  <c r="AG201" i="18"/>
  <c r="AG198" i="18"/>
  <c r="AG62" i="18"/>
  <c r="AF101" i="15"/>
  <c r="AF56" i="15"/>
  <c r="AF69" i="15" s="1"/>
  <c r="AF82" i="15" s="1"/>
  <c r="AF114" i="15" s="1"/>
  <c r="AG169" i="17"/>
  <c r="AG39" i="17"/>
  <c r="AG163" i="17"/>
  <c r="AG33" i="17"/>
  <c r="AF120" i="17"/>
  <c r="AF52" i="17"/>
  <c r="AF65" i="17" s="1"/>
  <c r="AF78" i="17" s="1"/>
  <c r="AF133" i="17" s="1"/>
  <c r="AG209" i="19"/>
  <c r="AG50" i="19"/>
  <c r="U130" i="15"/>
  <c r="U190" i="15" s="1"/>
  <c r="AF105" i="15"/>
  <c r="AF60" i="15"/>
  <c r="AF73" i="15" s="1"/>
  <c r="AF86" i="15" s="1"/>
  <c r="AF118" i="15" s="1"/>
  <c r="AH21" i="17"/>
  <c r="AH18" i="17"/>
  <c r="AH19" i="17"/>
  <c r="AH15" i="17"/>
  <c r="AH16" i="17"/>
  <c r="AH17" i="17"/>
  <c r="AH13" i="17"/>
  <c r="AH14" i="17"/>
  <c r="AH24" i="17"/>
  <c r="AH23" i="17"/>
  <c r="AH22" i="17"/>
  <c r="AG207" i="19"/>
  <c r="AG48" i="19"/>
  <c r="AG170" i="15"/>
  <c r="AG184" i="15" s="1"/>
  <c r="AG54" i="15"/>
  <c r="AG166" i="15"/>
  <c r="AG50" i="15"/>
  <c r="AI38" i="10"/>
  <c r="AI39" i="10"/>
  <c r="AF111" i="19"/>
  <c r="AF63" i="19"/>
  <c r="AF76" i="19" s="1"/>
  <c r="AG202" i="18"/>
  <c r="AG66" i="18"/>
  <c r="AG197" i="18"/>
  <c r="AG61" i="18"/>
  <c r="AF117" i="17"/>
  <c r="AF49" i="17"/>
  <c r="AF62" i="17" s="1"/>
  <c r="AF75" i="17" s="1"/>
  <c r="AF130" i="17" s="1"/>
  <c r="AG170" i="17"/>
  <c r="AG40" i="17"/>
  <c r="AG36" i="17"/>
  <c r="AG166" i="17"/>
  <c r="AF105" i="19"/>
  <c r="AF57" i="19"/>
  <c r="AF70" i="19" s="1"/>
  <c r="AG211" i="19"/>
  <c r="AG52" i="19"/>
  <c r="AI25" i="25"/>
  <c r="AI27" i="25"/>
  <c r="AI44" i="25"/>
  <c r="AI26" i="25"/>
  <c r="AI28" i="25"/>
  <c r="AI43" i="25"/>
  <c r="AG212" i="19"/>
  <c r="AG53" i="19"/>
  <c r="AA130" i="15"/>
  <c r="AA190" i="15" s="1"/>
  <c r="X130" i="15"/>
  <c r="X190" i="15" s="1"/>
  <c r="AF119" i="17"/>
  <c r="AF51" i="17"/>
  <c r="AF64" i="17" s="1"/>
  <c r="AF77" i="17" s="1"/>
  <c r="AF132" i="17" s="1"/>
  <c r="AF115" i="19"/>
  <c r="AF67" i="19"/>
  <c r="AF80" i="19" s="1"/>
  <c r="AF115" i="17"/>
  <c r="AF47" i="17"/>
  <c r="AF60" i="17" s="1"/>
  <c r="AF73" i="17" s="1"/>
  <c r="AF128" i="17" s="1"/>
  <c r="AG210" i="19"/>
  <c r="AG51" i="19"/>
  <c r="AG208" i="19"/>
  <c r="AG49" i="19"/>
  <c r="AG159" i="15"/>
  <c r="AG43" i="15"/>
  <c r="AF103" i="15"/>
  <c r="AF58" i="15"/>
  <c r="AF71" i="15" s="1"/>
  <c r="AF84" i="15" s="1"/>
  <c r="AF116" i="15" s="1"/>
  <c r="AF115" i="18"/>
  <c r="AF70" i="18"/>
  <c r="AF83" i="18" s="1"/>
  <c r="AF96" i="18" s="1"/>
  <c r="AF128" i="18" s="1"/>
  <c r="AK196" i="19"/>
  <c r="AK98" i="19"/>
  <c r="AK10" i="19"/>
  <c r="AK10" i="18"/>
  <c r="AK112" i="18"/>
  <c r="AK184" i="18"/>
  <c r="AK155" i="17"/>
  <c r="AK10" i="17"/>
  <c r="AK109" i="17"/>
  <c r="AK152" i="15"/>
  <c r="AK98" i="15"/>
  <c r="AK10" i="15"/>
  <c r="AL19" i="10"/>
  <c r="AK20" i="10"/>
  <c r="AF121" i="18"/>
  <c r="AF76" i="18"/>
  <c r="AF89" i="18" s="1"/>
  <c r="AF102" i="18" s="1"/>
  <c r="AF134" i="18" s="1"/>
  <c r="AF66" i="19"/>
  <c r="AF79" i="19" s="1"/>
  <c r="AF114" i="19"/>
  <c r="AG203" i="18"/>
  <c r="AG67" i="18"/>
  <c r="AH20" i="18"/>
  <c r="AG200" i="18"/>
  <c r="AG64" i="18"/>
  <c r="AF122" i="17"/>
  <c r="AF54" i="17"/>
  <c r="AF67" i="17" s="1"/>
  <c r="AF80" i="17" s="1"/>
  <c r="AF135" i="17" s="1"/>
  <c r="AG171" i="17"/>
  <c r="AG41" i="17"/>
  <c r="AG167" i="17"/>
  <c r="AG37" i="17"/>
  <c r="AF91" i="19" l="1"/>
  <c r="AF126" i="19" s="1"/>
  <c r="AF86" i="19"/>
  <c r="AF121" i="19" s="1"/>
  <c r="AF85" i="19"/>
  <c r="AF120" i="19" s="1"/>
  <c r="AF92" i="19"/>
  <c r="AF127" i="19" s="1"/>
  <c r="AF89" i="19"/>
  <c r="AF124" i="19" s="1"/>
  <c r="AF87" i="19"/>
  <c r="AF122" i="19" s="1"/>
  <c r="AF90" i="19"/>
  <c r="AF125" i="19" s="1"/>
  <c r="AF82" i="19"/>
  <c r="AF117" i="19" s="1"/>
  <c r="AF93" i="19"/>
  <c r="AF128" i="19" s="1"/>
  <c r="AF83" i="19"/>
  <c r="AF118" i="19" s="1"/>
  <c r="AF88" i="19"/>
  <c r="AF123" i="19" s="1"/>
  <c r="AF84" i="19"/>
  <c r="AF119" i="19" s="1"/>
  <c r="N38" i="18"/>
  <c r="N168" i="18" s="1"/>
  <c r="N37" i="18"/>
  <c r="N167" i="18" s="1"/>
  <c r="N34" i="18"/>
  <c r="N164" i="18" s="1"/>
  <c r="N30" i="18"/>
  <c r="N160" i="18" s="1"/>
  <c r="N33" i="18"/>
  <c r="N163" i="18" s="1"/>
  <c r="N35" i="18"/>
  <c r="N165" i="18" s="1"/>
  <c r="N28" i="18"/>
  <c r="N158" i="18" s="1"/>
  <c r="N29" i="18"/>
  <c r="N159" i="18" s="1"/>
  <c r="N31" i="18"/>
  <c r="N161" i="18" s="1"/>
  <c r="N36" i="18"/>
  <c r="N166" i="18" s="1"/>
  <c r="N32" i="18"/>
  <c r="N162" i="18" s="1"/>
  <c r="N27" i="18"/>
  <c r="N157" i="18" s="1"/>
  <c r="P129" i="15"/>
  <c r="P189" i="15" s="1"/>
  <c r="Q129" i="15"/>
  <c r="Q189" i="15" s="1"/>
  <c r="Y129" i="15"/>
  <c r="Y189" i="15" s="1"/>
  <c r="R129" i="15"/>
  <c r="R189" i="15" s="1"/>
  <c r="P157" i="15"/>
  <c r="Q175" i="15" s="1"/>
  <c r="O56" i="14"/>
  <c r="O59" i="14" s="1"/>
  <c r="O65" i="14" s="1"/>
  <c r="O67" i="14" s="1"/>
  <c r="O155" i="15" s="1"/>
  <c r="Z129" i="15"/>
  <c r="Z189" i="15" s="1"/>
  <c r="T129" i="15"/>
  <c r="T189" i="15" s="1"/>
  <c r="X129" i="15"/>
  <c r="X189" i="15" s="1"/>
  <c r="U129" i="15"/>
  <c r="U189" i="15" s="1"/>
  <c r="V129" i="15"/>
  <c r="V189" i="15" s="1"/>
  <c r="AA129" i="15"/>
  <c r="AA189" i="15" s="1"/>
  <c r="S129" i="15"/>
  <c r="S189" i="15" s="1"/>
  <c r="S176" i="15"/>
  <c r="T176" i="15"/>
  <c r="R176" i="15"/>
  <c r="AB176" i="15"/>
  <c r="Q176" i="15"/>
  <c r="AA176" i="15"/>
  <c r="Z176" i="15"/>
  <c r="Y176" i="15"/>
  <c r="W176" i="15"/>
  <c r="AN10" i="10"/>
  <c r="AM11" i="10"/>
  <c r="AM30" i="10" s="1"/>
  <c r="AM31" i="10" s="1"/>
  <c r="AM45" i="10" s="1"/>
  <c r="AM46" i="10" s="1"/>
  <c r="X176" i="15"/>
  <c r="V176" i="15"/>
  <c r="O8" i="23"/>
  <c r="O12" i="25" s="1"/>
  <c r="O19" i="25" s="1"/>
  <c r="O154" i="15"/>
  <c r="O99" i="15"/>
  <c r="U128" i="15" s="1"/>
  <c r="U188" i="15" s="1"/>
  <c r="AF196" i="15"/>
  <c r="AF197" i="15"/>
  <c r="AF195" i="15"/>
  <c r="AF198" i="15"/>
  <c r="AG114" i="19"/>
  <c r="AG66" i="19"/>
  <c r="AG79" i="19" s="1"/>
  <c r="AG107" i="15"/>
  <c r="AG62" i="15"/>
  <c r="AG75" i="15" s="1"/>
  <c r="AG88" i="15" s="1"/>
  <c r="AG120" i="15" s="1"/>
  <c r="AG123" i="17"/>
  <c r="AG55" i="17"/>
  <c r="AG68" i="17" s="1"/>
  <c r="AG81" i="17" s="1"/>
  <c r="AG136" i="17" s="1"/>
  <c r="AH211" i="19"/>
  <c r="AH52" i="19"/>
  <c r="AH208" i="19"/>
  <c r="AH49" i="19"/>
  <c r="AG125" i="18"/>
  <c r="AG80" i="18"/>
  <c r="AG93" i="18" s="1"/>
  <c r="AG106" i="18" s="1"/>
  <c r="AG138" i="18" s="1"/>
  <c r="AG101" i="15"/>
  <c r="AG56" i="15"/>
  <c r="AG69" i="15" s="1"/>
  <c r="AG82" i="15" s="1"/>
  <c r="AG114" i="15" s="1"/>
  <c r="AG119" i="18"/>
  <c r="AG74" i="18"/>
  <c r="AG87" i="18" s="1"/>
  <c r="AG100" i="18" s="1"/>
  <c r="AG132" i="18" s="1"/>
  <c r="AG109" i="19"/>
  <c r="AG61" i="19"/>
  <c r="AG74" i="19" s="1"/>
  <c r="AH164" i="17"/>
  <c r="AH34" i="17"/>
  <c r="AG111" i="19"/>
  <c r="AG63" i="19"/>
  <c r="AG76" i="19" s="1"/>
  <c r="AG111" i="15"/>
  <c r="AG137" i="15" s="1"/>
  <c r="AG66" i="15"/>
  <c r="AG79" i="15" s="1"/>
  <c r="AG92" i="15" s="1"/>
  <c r="AG124" i="15" s="1"/>
  <c r="AH160" i="15"/>
  <c r="AH44" i="15"/>
  <c r="AF194" i="15"/>
  <c r="N13" i="14"/>
  <c r="N15" i="14" s="1"/>
  <c r="N26" i="14" s="1"/>
  <c r="N28" i="14" s="1"/>
  <c r="N34" i="14" s="1"/>
  <c r="N43" i="14"/>
  <c r="N45" i="14" s="1"/>
  <c r="N50" i="14" s="1"/>
  <c r="N52" i="14" s="1"/>
  <c r="N57" i="14" s="1"/>
  <c r="AG110" i="15"/>
  <c r="AG136" i="15" s="1"/>
  <c r="AG65" i="15"/>
  <c r="AG78" i="15" s="1"/>
  <c r="AG91" i="15" s="1"/>
  <c r="AG123" i="15" s="1"/>
  <c r="AH202" i="18"/>
  <c r="AH66" i="18"/>
  <c r="AH197" i="18"/>
  <c r="AH61" i="18"/>
  <c r="AG105" i="15"/>
  <c r="AG60" i="15"/>
  <c r="AG73" i="15" s="1"/>
  <c r="AG86" i="15" s="1"/>
  <c r="AG118" i="15" s="1"/>
  <c r="AH213" i="19"/>
  <c r="AH54" i="19"/>
  <c r="AH50" i="19"/>
  <c r="AH209" i="19"/>
  <c r="AG116" i="18"/>
  <c r="AG71" i="18"/>
  <c r="AG84" i="18" s="1"/>
  <c r="AG97" i="18" s="1"/>
  <c r="AG129" i="18" s="1"/>
  <c r="AG115" i="18"/>
  <c r="AG70" i="18"/>
  <c r="AG83" i="18" s="1"/>
  <c r="AG96" i="18" s="1"/>
  <c r="AG128" i="18" s="1"/>
  <c r="AG118" i="17"/>
  <c r="AG50" i="17"/>
  <c r="AG63" i="17" s="1"/>
  <c r="AG76" i="17" s="1"/>
  <c r="AG131" i="17" s="1"/>
  <c r="AH167" i="15"/>
  <c r="AH51" i="15"/>
  <c r="AH163" i="17"/>
  <c r="AH33" i="17"/>
  <c r="AH161" i="15"/>
  <c r="AH45" i="15"/>
  <c r="AG118" i="18"/>
  <c r="AG73" i="18"/>
  <c r="AG86" i="18" s="1"/>
  <c r="AG99" i="18" s="1"/>
  <c r="AG131" i="18" s="1"/>
  <c r="AI20" i="17"/>
  <c r="AH168" i="17"/>
  <c r="AH38" i="17"/>
  <c r="AH203" i="18"/>
  <c r="AH67" i="18"/>
  <c r="AI21" i="18"/>
  <c r="AH201" i="18"/>
  <c r="AH65" i="18"/>
  <c r="AH203" i="19"/>
  <c r="AH44" i="19"/>
  <c r="AH210" i="19"/>
  <c r="AH51" i="19"/>
  <c r="AG113" i="17"/>
  <c r="AG45" i="17"/>
  <c r="AG121" i="18"/>
  <c r="AG76" i="18"/>
  <c r="AG89" i="18" s="1"/>
  <c r="AG102" i="18" s="1"/>
  <c r="AG134" i="18" s="1"/>
  <c r="AG112" i="15"/>
  <c r="AG138" i="15" s="1"/>
  <c r="AG67" i="15"/>
  <c r="AG80" i="15" s="1"/>
  <c r="AG93" i="15" s="1"/>
  <c r="AG125" i="15" s="1"/>
  <c r="AH166" i="15"/>
  <c r="AH50" i="15"/>
  <c r="AG106" i="15"/>
  <c r="AG61" i="15"/>
  <c r="AG74" i="15" s="1"/>
  <c r="AG87" i="15" s="1"/>
  <c r="AG119" i="15" s="1"/>
  <c r="AI20" i="18"/>
  <c r="AH64" i="18"/>
  <c r="AH200" i="18"/>
  <c r="AH198" i="18"/>
  <c r="AH62" i="18"/>
  <c r="AG122" i="17"/>
  <c r="AG54" i="17"/>
  <c r="AG67" i="17" s="1"/>
  <c r="AG80" i="17" s="1"/>
  <c r="AG135" i="17" s="1"/>
  <c r="AG62" i="19"/>
  <c r="AG75" i="19" s="1"/>
  <c r="AG110" i="19"/>
  <c r="AG124" i="18"/>
  <c r="AG79" i="18"/>
  <c r="AG92" i="18" s="1"/>
  <c r="AG105" i="18" s="1"/>
  <c r="AG137" i="18" s="1"/>
  <c r="AH170" i="17"/>
  <c r="AH40" i="17"/>
  <c r="AH37" i="17"/>
  <c r="AH167" i="17"/>
  <c r="AG120" i="18"/>
  <c r="AG75" i="18"/>
  <c r="AG88" i="18" s="1"/>
  <c r="AG101" i="18" s="1"/>
  <c r="AG133" i="18" s="1"/>
  <c r="AG108" i="19"/>
  <c r="AG60" i="19"/>
  <c r="AG73" i="19" s="1"/>
  <c r="AH162" i="15"/>
  <c r="AH46" i="15"/>
  <c r="AG116" i="17"/>
  <c r="AG48" i="17"/>
  <c r="AG61" i="17" s="1"/>
  <c r="AG74" i="17" s="1"/>
  <c r="AG129" i="17" s="1"/>
  <c r="AG106" i="19"/>
  <c r="AG58" i="19"/>
  <c r="AG71" i="19" s="1"/>
  <c r="AH193" i="18"/>
  <c r="AH57" i="18"/>
  <c r="AG115" i="17"/>
  <c r="AG47" i="17"/>
  <c r="AG60" i="17" s="1"/>
  <c r="AG73" i="17" s="1"/>
  <c r="AG128" i="17" s="1"/>
  <c r="AJ25" i="25"/>
  <c r="AJ27" i="25"/>
  <c r="AJ44" i="25"/>
  <c r="AJ43" i="25"/>
  <c r="AJ26" i="25"/>
  <c r="AJ28" i="25"/>
  <c r="AG104" i="15"/>
  <c r="AG59" i="15"/>
  <c r="AG72" i="15" s="1"/>
  <c r="AG85" i="15" s="1"/>
  <c r="AG117" i="15" s="1"/>
  <c r="AH43" i="19"/>
  <c r="AH202" i="19"/>
  <c r="AI22" i="18"/>
  <c r="AI19" i="18"/>
  <c r="AI18" i="18"/>
  <c r="AI17" i="18"/>
  <c r="AI16" i="18"/>
  <c r="AI24" i="18"/>
  <c r="AI15" i="18"/>
  <c r="AI14" i="18"/>
  <c r="AI23" i="18"/>
  <c r="AI13" i="18"/>
  <c r="AH161" i="17"/>
  <c r="AH31" i="17"/>
  <c r="AH170" i="15"/>
  <c r="AH184" i="15" s="1"/>
  <c r="AH54" i="15"/>
  <c r="AH165" i="17"/>
  <c r="AH35" i="17"/>
  <c r="AG103" i="15"/>
  <c r="AG58" i="15"/>
  <c r="AG71" i="15" s="1"/>
  <c r="AG84" i="15" s="1"/>
  <c r="AG116" i="15" s="1"/>
  <c r="AG117" i="17"/>
  <c r="AG49" i="17"/>
  <c r="AG62" i="17" s="1"/>
  <c r="AG75" i="17" s="1"/>
  <c r="AG130" i="17" s="1"/>
  <c r="AI307" i="19"/>
  <c r="AI238" i="18"/>
  <c r="AI207" i="17"/>
  <c r="AI204" i="15"/>
  <c r="AI64" i="14"/>
  <c r="AI41" i="10"/>
  <c r="AI33" i="14"/>
  <c r="AH171" i="17"/>
  <c r="AH41" i="17"/>
  <c r="AH166" i="17"/>
  <c r="AH36" i="17"/>
  <c r="AH163" i="15"/>
  <c r="AH47" i="15"/>
  <c r="AH194" i="18"/>
  <c r="AH58" i="18"/>
  <c r="AG64" i="15"/>
  <c r="AG77" i="15" s="1"/>
  <c r="AG90" i="15" s="1"/>
  <c r="AG122" i="15" s="1"/>
  <c r="AG109" i="15"/>
  <c r="AG135" i="15" s="1"/>
  <c r="AJ97" i="19"/>
  <c r="AJ11" i="19"/>
  <c r="AJ11" i="18"/>
  <c r="AJ111" i="18"/>
  <c r="AJ108" i="17"/>
  <c r="AJ11" i="17"/>
  <c r="AJ97" i="15"/>
  <c r="AJ11" i="15"/>
  <c r="AJ21" i="14"/>
  <c r="AJ23" i="14" s="1"/>
  <c r="AG117" i="18"/>
  <c r="AG72" i="18"/>
  <c r="AG85" i="18" s="1"/>
  <c r="AG98" i="18" s="1"/>
  <c r="AG130" i="18" s="1"/>
  <c r="AH204" i="19"/>
  <c r="AH45" i="19"/>
  <c r="AH199" i="18"/>
  <c r="AH63" i="18"/>
  <c r="AI22" i="19"/>
  <c r="AI21" i="19"/>
  <c r="AI20" i="19"/>
  <c r="AI19" i="19"/>
  <c r="AI16" i="19"/>
  <c r="AI17" i="19"/>
  <c r="AI18" i="19"/>
  <c r="AI15" i="19"/>
  <c r="AI13" i="19"/>
  <c r="AI14" i="19"/>
  <c r="AI24" i="19"/>
  <c r="AI23" i="19"/>
  <c r="AG115" i="19"/>
  <c r="AG67" i="19"/>
  <c r="AG80" i="19" s="1"/>
  <c r="AK21" i="10"/>
  <c r="AK3" i="21"/>
  <c r="AK3" i="23"/>
  <c r="AK3" i="25"/>
  <c r="AK3" i="19"/>
  <c r="AK3" i="18"/>
  <c r="AK3" i="17"/>
  <c r="AK3" i="15"/>
  <c r="AK24" i="10"/>
  <c r="AK52" i="10" s="1"/>
  <c r="AK3" i="12"/>
  <c r="AK36" i="10"/>
  <c r="AK3" i="14"/>
  <c r="AK51" i="10"/>
  <c r="AG113" i="19"/>
  <c r="AG65" i="19"/>
  <c r="AG78" i="19" s="1"/>
  <c r="AH205" i="19"/>
  <c r="AH46" i="19"/>
  <c r="AL98" i="19"/>
  <c r="AL196" i="19"/>
  <c r="AL10" i="19"/>
  <c r="AL10" i="18"/>
  <c r="AL112" i="18"/>
  <c r="AL184" i="18"/>
  <c r="AL155" i="17"/>
  <c r="AL10" i="17"/>
  <c r="AL152" i="15"/>
  <c r="AL109" i="17"/>
  <c r="AL98" i="15"/>
  <c r="AL10" i="15"/>
  <c r="AL20" i="10"/>
  <c r="AM19" i="10"/>
  <c r="AH159" i="15"/>
  <c r="AH43" i="15"/>
  <c r="AG107" i="19"/>
  <c r="AG59" i="19"/>
  <c r="AG72" i="19" s="1"/>
  <c r="AG119" i="17"/>
  <c r="AG51" i="17"/>
  <c r="AG64" i="17" s="1"/>
  <c r="AG77" i="17" s="1"/>
  <c r="AG132" i="17" s="1"/>
  <c r="AJ38" i="10"/>
  <c r="AJ39" i="10"/>
  <c r="AI22" i="17"/>
  <c r="AI18" i="17"/>
  <c r="AI19" i="17"/>
  <c r="AI16" i="17"/>
  <c r="AI17" i="17"/>
  <c r="AI15" i="17"/>
  <c r="AI13" i="17"/>
  <c r="AI14" i="17"/>
  <c r="AI24" i="17"/>
  <c r="AI23" i="17"/>
  <c r="AG112" i="19"/>
  <c r="AG64" i="19"/>
  <c r="AG77" i="19" s="1"/>
  <c r="AG121" i="17"/>
  <c r="AG53" i="17"/>
  <c r="AG66" i="17" s="1"/>
  <c r="AG79" i="17" s="1"/>
  <c r="AG134" i="17" s="1"/>
  <c r="AG108" i="15"/>
  <c r="AG63" i="15"/>
  <c r="AG76" i="15" s="1"/>
  <c r="AG89" i="15" s="1"/>
  <c r="AG121" i="15" s="1"/>
  <c r="AH172" i="17"/>
  <c r="AH42" i="17"/>
  <c r="AI21" i="17"/>
  <c r="AH169" i="17"/>
  <c r="AH39" i="17"/>
  <c r="AG114" i="17"/>
  <c r="AG46" i="17"/>
  <c r="AG59" i="17" s="1"/>
  <c r="AG72" i="17" s="1"/>
  <c r="AG127" i="17" s="1"/>
  <c r="AH52" i="15"/>
  <c r="AH168" i="15"/>
  <c r="AH182" i="15" s="1"/>
  <c r="AH164" i="15"/>
  <c r="AH48" i="15"/>
  <c r="AH195" i="18"/>
  <c r="AH59" i="18"/>
  <c r="AG126" i="18"/>
  <c r="AG81" i="18"/>
  <c r="AG94" i="18" s="1"/>
  <c r="AG107" i="18" s="1"/>
  <c r="AG139" i="18" s="1"/>
  <c r="AG104" i="19"/>
  <c r="AG56" i="19"/>
  <c r="AG69" i="19" s="1"/>
  <c r="AG105" i="19"/>
  <c r="AG57" i="19"/>
  <c r="AG70" i="19" s="1"/>
  <c r="AH207" i="19"/>
  <c r="AH48" i="19"/>
  <c r="AG102" i="15"/>
  <c r="AG57" i="15"/>
  <c r="AG70" i="15" s="1"/>
  <c r="AG83" i="15" s="1"/>
  <c r="AG115" i="15" s="1"/>
  <c r="AG120" i="17"/>
  <c r="AG52" i="17"/>
  <c r="AG65" i="17" s="1"/>
  <c r="AG78" i="17" s="1"/>
  <c r="AG133" i="17" s="1"/>
  <c r="AH4" i="25"/>
  <c r="AH4" i="21"/>
  <c r="AH4" i="23"/>
  <c r="AH4" i="19"/>
  <c r="AH4" i="18"/>
  <c r="AH4" i="17"/>
  <c r="AH4" i="15"/>
  <c r="AH4" i="14"/>
  <c r="AH4" i="12"/>
  <c r="AH196" i="18"/>
  <c r="AH60" i="18"/>
  <c r="AG112" i="17"/>
  <c r="AG44" i="17"/>
  <c r="AG57" i="17" s="1"/>
  <c r="AG70" i="17" s="1"/>
  <c r="AG125" i="17" s="1"/>
  <c r="AH212" i="19"/>
  <c r="AH53" i="19"/>
  <c r="AG122" i="18"/>
  <c r="AG77" i="18"/>
  <c r="AG90" i="18" s="1"/>
  <c r="AG103" i="18" s="1"/>
  <c r="AG135" i="18" s="1"/>
  <c r="AH32" i="17"/>
  <c r="AH162" i="17"/>
  <c r="AG123" i="18"/>
  <c r="AG78" i="18"/>
  <c r="AG91" i="18" s="1"/>
  <c r="AG104" i="18" s="1"/>
  <c r="AG136" i="18" s="1"/>
  <c r="AH169" i="15"/>
  <c r="AH183" i="15" s="1"/>
  <c r="AH53" i="15"/>
  <c r="AH165" i="15"/>
  <c r="AH49" i="15"/>
  <c r="AF58" i="17"/>
  <c r="AF71" i="17" s="1"/>
  <c r="AF126" i="17" s="1"/>
  <c r="AH204" i="18"/>
  <c r="AH68" i="18"/>
  <c r="AH47" i="19"/>
  <c r="AH206" i="19"/>
  <c r="AI22" i="15"/>
  <c r="AI21" i="15"/>
  <c r="AI20" i="15"/>
  <c r="AI19" i="15"/>
  <c r="AI18" i="15"/>
  <c r="AI17" i="15"/>
  <c r="AI16" i="15"/>
  <c r="AI15" i="15"/>
  <c r="AI14" i="15"/>
  <c r="AI13" i="15"/>
  <c r="AI24" i="15"/>
  <c r="AI23" i="15"/>
  <c r="AG87" i="19" l="1"/>
  <c r="AG122" i="19" s="1"/>
  <c r="AG92" i="19"/>
  <c r="AG127" i="19" s="1"/>
  <c r="AG90" i="19"/>
  <c r="AG125" i="19" s="1"/>
  <c r="AG85" i="19"/>
  <c r="AG120" i="19" s="1"/>
  <c r="AG83" i="19"/>
  <c r="AG118" i="19" s="1"/>
  <c r="AG86" i="19"/>
  <c r="AG121" i="19" s="1"/>
  <c r="AG82" i="19"/>
  <c r="AG117" i="19" s="1"/>
  <c r="AG93" i="19"/>
  <c r="AG128" i="19" s="1"/>
  <c r="AG84" i="19"/>
  <c r="AG119" i="19" s="1"/>
  <c r="AG89" i="19"/>
  <c r="AG124" i="19" s="1"/>
  <c r="AG91" i="19"/>
  <c r="AG126" i="19" s="1"/>
  <c r="AG88" i="19"/>
  <c r="AG123" i="19" s="1"/>
  <c r="N36" i="14"/>
  <c r="N154" i="15" s="1"/>
  <c r="Z175" i="15"/>
  <c r="X175" i="15"/>
  <c r="V175" i="15"/>
  <c r="P175" i="15"/>
  <c r="U175" i="15"/>
  <c r="AA175" i="15"/>
  <c r="Y175" i="15"/>
  <c r="T175" i="15"/>
  <c r="R175" i="15"/>
  <c r="S175" i="15"/>
  <c r="W175" i="15"/>
  <c r="T128" i="15"/>
  <c r="T188" i="15" s="1"/>
  <c r="P128" i="15"/>
  <c r="P188" i="15" s="1"/>
  <c r="O157" i="15"/>
  <c r="T174" i="15" s="1"/>
  <c r="AN11" i="10"/>
  <c r="AN30" i="10" s="1"/>
  <c r="AN31" i="10" s="1"/>
  <c r="AN45" i="10" s="1"/>
  <c r="AN46" i="10" s="1"/>
  <c r="AO10" i="10"/>
  <c r="O128" i="15"/>
  <c r="O188" i="15" s="1"/>
  <c r="Z128" i="15"/>
  <c r="Z188" i="15" s="1"/>
  <c r="Y128" i="15"/>
  <c r="Y188" i="15" s="1"/>
  <c r="R128" i="15"/>
  <c r="R188" i="15" s="1"/>
  <c r="V128" i="15"/>
  <c r="V188" i="15" s="1"/>
  <c r="S128" i="15"/>
  <c r="S188" i="15" s="1"/>
  <c r="W128" i="15"/>
  <c r="W188" i="15" s="1"/>
  <c r="Q128" i="15"/>
  <c r="Q188" i="15" s="1"/>
  <c r="X128" i="15"/>
  <c r="X188" i="15" s="1"/>
  <c r="AK54" i="10"/>
  <c r="AJ54" i="10" s="1"/>
  <c r="AJ5" i="25" s="1"/>
  <c r="AG196" i="15"/>
  <c r="AG195" i="15"/>
  <c r="AI203" i="19"/>
  <c r="AI44" i="19"/>
  <c r="AI59" i="18"/>
  <c r="AI195" i="18"/>
  <c r="AH104" i="19"/>
  <c r="AH56" i="19"/>
  <c r="AH69" i="19" s="1"/>
  <c r="AH112" i="19"/>
  <c r="AH64" i="19"/>
  <c r="AH77" i="19" s="1"/>
  <c r="AH114" i="17"/>
  <c r="AH46" i="17"/>
  <c r="AH59" i="17" s="1"/>
  <c r="AH72" i="17" s="1"/>
  <c r="AH127" i="17" s="1"/>
  <c r="AH115" i="17"/>
  <c r="AH47" i="17"/>
  <c r="AH60" i="17" s="1"/>
  <c r="AH73" i="17" s="1"/>
  <c r="AH128" i="17" s="1"/>
  <c r="N56" i="14"/>
  <c r="N59" i="14" s="1"/>
  <c r="N65" i="14" s="1"/>
  <c r="N67" i="14" s="1"/>
  <c r="N155" i="15" s="1"/>
  <c r="N157" i="15" s="1"/>
  <c r="AI160" i="15"/>
  <c r="AI44" i="15"/>
  <c r="AI168" i="15"/>
  <c r="AI52" i="15"/>
  <c r="AI164" i="17"/>
  <c r="AI34" i="17"/>
  <c r="AK39" i="10"/>
  <c r="AK38" i="10"/>
  <c r="AI202" i="19"/>
  <c r="AI43" i="19"/>
  <c r="AJ22" i="19"/>
  <c r="AI211" i="19"/>
  <c r="AI52" i="19"/>
  <c r="AJ23" i="15"/>
  <c r="AJ22" i="15"/>
  <c r="AJ21" i="15"/>
  <c r="AJ20" i="15"/>
  <c r="AJ19" i="15"/>
  <c r="AJ18" i="15"/>
  <c r="AJ17" i="15"/>
  <c r="AJ16" i="15"/>
  <c r="AJ15" i="15"/>
  <c r="AJ14" i="15"/>
  <c r="AJ13" i="15"/>
  <c r="AJ24" i="15"/>
  <c r="AH112" i="15"/>
  <c r="AH138" i="15" s="1"/>
  <c r="AH67" i="15"/>
  <c r="AH80" i="15" s="1"/>
  <c r="AH93" i="15" s="1"/>
  <c r="AH125" i="15" s="1"/>
  <c r="AI204" i="18"/>
  <c r="AI68" i="18"/>
  <c r="AH104" i="15"/>
  <c r="AH59" i="15"/>
  <c r="AH72" i="15" s="1"/>
  <c r="AH85" i="15" s="1"/>
  <c r="AH117" i="15" s="1"/>
  <c r="AH121" i="17"/>
  <c r="AH53" i="17"/>
  <c r="AH66" i="17" s="1"/>
  <c r="AH79" i="17" s="1"/>
  <c r="AH134" i="17" s="1"/>
  <c r="AH120" i="18"/>
  <c r="AH75" i="18"/>
  <c r="AH88" i="18" s="1"/>
  <c r="AH101" i="18" s="1"/>
  <c r="AH133" i="18" s="1"/>
  <c r="AH119" i="17"/>
  <c r="AH51" i="17"/>
  <c r="AH64" i="17" s="1"/>
  <c r="AH77" i="17" s="1"/>
  <c r="AH132" i="17" s="1"/>
  <c r="AH119" i="18"/>
  <c r="AH74" i="18"/>
  <c r="AH87" i="18" s="1"/>
  <c r="AH100" i="18" s="1"/>
  <c r="AH132" i="18" s="1"/>
  <c r="AH118" i="17"/>
  <c r="AH50" i="17"/>
  <c r="AH63" i="17" s="1"/>
  <c r="AH76" i="17" s="1"/>
  <c r="AH131" i="17" s="1"/>
  <c r="AI196" i="18"/>
  <c r="AI60" i="18"/>
  <c r="AI162" i="15"/>
  <c r="AI46" i="15"/>
  <c r="AH108" i="19"/>
  <c r="AH60" i="19"/>
  <c r="AH73" i="19" s="1"/>
  <c r="AH113" i="17"/>
  <c r="AH45" i="17"/>
  <c r="AH123" i="17"/>
  <c r="AH55" i="17"/>
  <c r="AH68" i="17" s="1"/>
  <c r="AH81" i="17" s="1"/>
  <c r="AH136" i="17" s="1"/>
  <c r="AI171" i="17"/>
  <c r="AI41" i="17"/>
  <c r="AI166" i="17"/>
  <c r="AI36" i="17"/>
  <c r="AH101" i="15"/>
  <c r="AH56" i="15"/>
  <c r="AH69" i="15" s="1"/>
  <c r="AH82" i="15" s="1"/>
  <c r="AH114" i="15" s="1"/>
  <c r="AH107" i="19"/>
  <c r="AH59" i="19"/>
  <c r="AH72" i="19" s="1"/>
  <c r="AK97" i="19"/>
  <c r="AK11" i="19"/>
  <c r="AK111" i="18"/>
  <c r="AK11" i="18"/>
  <c r="AK108" i="17"/>
  <c r="AK11" i="17"/>
  <c r="AK97" i="15"/>
  <c r="AK11" i="15"/>
  <c r="AK21" i="14"/>
  <c r="AK23" i="14" s="1"/>
  <c r="AI207" i="19"/>
  <c r="AI48" i="19"/>
  <c r="AJ23" i="17"/>
  <c r="AJ21" i="17"/>
  <c r="AJ22" i="17"/>
  <c r="AJ19" i="17"/>
  <c r="AJ18" i="17"/>
  <c r="AJ17" i="17"/>
  <c r="AJ15" i="17"/>
  <c r="AJ16" i="17"/>
  <c r="AJ13" i="17"/>
  <c r="AJ14" i="17"/>
  <c r="AJ24" i="17"/>
  <c r="AH112" i="17"/>
  <c r="AH44" i="17"/>
  <c r="AH57" i="17" s="1"/>
  <c r="AH70" i="17" s="1"/>
  <c r="AH125" i="17" s="1"/>
  <c r="AI197" i="18"/>
  <c r="AI61" i="18"/>
  <c r="AH115" i="18"/>
  <c r="AH70" i="18"/>
  <c r="AH83" i="18" s="1"/>
  <c r="AH96" i="18" s="1"/>
  <c r="AH128" i="18" s="1"/>
  <c r="AG198" i="15"/>
  <c r="AJ20" i="17"/>
  <c r="AI38" i="17"/>
  <c r="AI168" i="17"/>
  <c r="AH124" i="18"/>
  <c r="AH79" i="18"/>
  <c r="AH92" i="18" s="1"/>
  <c r="AH105" i="18" s="1"/>
  <c r="AH137" i="18" s="1"/>
  <c r="AH106" i="15"/>
  <c r="AH61" i="15"/>
  <c r="AH74" i="15" s="1"/>
  <c r="AH87" i="15" s="1"/>
  <c r="AH119" i="15" s="1"/>
  <c r="AI45" i="19"/>
  <c r="AI204" i="19"/>
  <c r="AH121" i="18"/>
  <c r="AH76" i="18"/>
  <c r="AH89" i="18" s="1"/>
  <c r="AH102" i="18" s="1"/>
  <c r="AH134" i="18" s="1"/>
  <c r="AH122" i="17"/>
  <c r="AH54" i="17"/>
  <c r="AH67" i="17" s="1"/>
  <c r="AH80" i="17" s="1"/>
  <c r="AH135" i="17" s="1"/>
  <c r="AH105" i="19"/>
  <c r="AH57" i="19"/>
  <c r="AH70" i="19" s="1"/>
  <c r="AH102" i="15"/>
  <c r="AH57" i="15"/>
  <c r="AH70" i="15" s="1"/>
  <c r="AH83" i="15" s="1"/>
  <c r="AH115" i="15" s="1"/>
  <c r="N11" i="21"/>
  <c r="AI163" i="15"/>
  <c r="AI47" i="15"/>
  <c r="AH107" i="15"/>
  <c r="AH62" i="15"/>
  <c r="AH75" i="15" s="1"/>
  <c r="AH88" i="15" s="1"/>
  <c r="AH120" i="15" s="1"/>
  <c r="AI42" i="17"/>
  <c r="AI172" i="17"/>
  <c r="AI170" i="17"/>
  <c r="AI40" i="17"/>
  <c r="AI206" i="19"/>
  <c r="AI47" i="19"/>
  <c r="AH106" i="19"/>
  <c r="AH58" i="19"/>
  <c r="AH71" i="19" s="1"/>
  <c r="AH116" i="18"/>
  <c r="AH71" i="18"/>
  <c r="AH84" i="18" s="1"/>
  <c r="AH97" i="18" s="1"/>
  <c r="AH129" i="18" s="1"/>
  <c r="AI198" i="18"/>
  <c r="AI62" i="18"/>
  <c r="AH122" i="18"/>
  <c r="AH77" i="18"/>
  <c r="AH90" i="18" s="1"/>
  <c r="AH103" i="18" s="1"/>
  <c r="AH135" i="18" s="1"/>
  <c r="AH123" i="18"/>
  <c r="AH78" i="18"/>
  <c r="AH91" i="18" s="1"/>
  <c r="AH104" i="18" s="1"/>
  <c r="AH136" i="18" s="1"/>
  <c r="AH111" i="19"/>
  <c r="AH63" i="19"/>
  <c r="AH76" i="19" s="1"/>
  <c r="AH113" i="19"/>
  <c r="AH65" i="19"/>
  <c r="AH78" i="19" s="1"/>
  <c r="AI167" i="15"/>
  <c r="AI51" i="15"/>
  <c r="AI165" i="17"/>
  <c r="AI35" i="17"/>
  <c r="AI210" i="19"/>
  <c r="AI51" i="19"/>
  <c r="AH117" i="17"/>
  <c r="AH49" i="17"/>
  <c r="AH62" i="17" s="1"/>
  <c r="AH75" i="17" s="1"/>
  <c r="AH130" i="17" s="1"/>
  <c r="AH108" i="15"/>
  <c r="AH63" i="15"/>
  <c r="AH76" i="15" s="1"/>
  <c r="AH89" i="15" s="1"/>
  <c r="AH121" i="15" s="1"/>
  <c r="AI164" i="15"/>
  <c r="AI48" i="15"/>
  <c r="AH109" i="19"/>
  <c r="AH61" i="19"/>
  <c r="AH74" i="19" s="1"/>
  <c r="AH65" i="15"/>
  <c r="AH78" i="15" s="1"/>
  <c r="AH91" i="15" s="1"/>
  <c r="AH123" i="15" s="1"/>
  <c r="AH110" i="15"/>
  <c r="AH136" i="15" s="1"/>
  <c r="AI162" i="17"/>
  <c r="AI32" i="17"/>
  <c r="AM196" i="19"/>
  <c r="AM98" i="19"/>
  <c r="AM10" i="19"/>
  <c r="AM112" i="18"/>
  <c r="AM184" i="18"/>
  <c r="AM10" i="18"/>
  <c r="AM155" i="17"/>
  <c r="AM10" i="17"/>
  <c r="AM109" i="17"/>
  <c r="AM152" i="15"/>
  <c r="AM98" i="15"/>
  <c r="AM10" i="15"/>
  <c r="AN19" i="10"/>
  <c r="AM20" i="10"/>
  <c r="AI205" i="19"/>
  <c r="AI46" i="19"/>
  <c r="AI4" i="12"/>
  <c r="AI4" i="25"/>
  <c r="AI4" i="23"/>
  <c r="AI4" i="19"/>
  <c r="AI4" i="21"/>
  <c r="AI4" i="18"/>
  <c r="AI4" i="17"/>
  <c r="AI4" i="15"/>
  <c r="AI4" i="14"/>
  <c r="AI193" i="18"/>
  <c r="AI57" i="18"/>
  <c r="AI199" i="18"/>
  <c r="AI63" i="18"/>
  <c r="AJ20" i="18"/>
  <c r="AI200" i="18"/>
  <c r="AI64" i="18"/>
  <c r="AH115" i="19"/>
  <c r="AH67" i="19"/>
  <c r="AH80" i="19" s="1"/>
  <c r="AG197" i="15"/>
  <c r="AI159" i="15"/>
  <c r="AI43" i="15"/>
  <c r="AH126" i="18"/>
  <c r="AH81" i="18"/>
  <c r="AH94" i="18" s="1"/>
  <c r="AH107" i="18" s="1"/>
  <c r="AH139" i="18" s="1"/>
  <c r="AH117" i="18"/>
  <c r="AH72" i="18"/>
  <c r="AH85" i="18" s="1"/>
  <c r="AH98" i="18" s="1"/>
  <c r="AH130" i="18" s="1"/>
  <c r="AH120" i="17"/>
  <c r="AH52" i="17"/>
  <c r="AH65" i="17" s="1"/>
  <c r="AH78" i="17" s="1"/>
  <c r="AH133" i="17" s="1"/>
  <c r="AI161" i="15"/>
  <c r="AI45" i="15"/>
  <c r="AI39" i="17"/>
  <c r="AI169" i="17"/>
  <c r="AH109" i="15"/>
  <c r="AH64" i="15"/>
  <c r="AH77" i="15" s="1"/>
  <c r="AH90" i="15" s="1"/>
  <c r="AH122" i="15" s="1"/>
  <c r="AI53" i="15"/>
  <c r="AI169" i="15"/>
  <c r="AI183" i="15" s="1"/>
  <c r="AI165" i="15"/>
  <c r="AI49" i="15"/>
  <c r="AH111" i="15"/>
  <c r="AH137" i="15" s="1"/>
  <c r="AH66" i="15"/>
  <c r="AH79" i="15" s="1"/>
  <c r="AH92" i="15" s="1"/>
  <c r="AH124" i="15" s="1"/>
  <c r="AH114" i="19"/>
  <c r="AH66" i="19"/>
  <c r="AH79" i="19" s="1"/>
  <c r="AH118" i="18"/>
  <c r="AH73" i="18"/>
  <c r="AH86" i="18" s="1"/>
  <c r="AH99" i="18" s="1"/>
  <c r="AH131" i="18" s="1"/>
  <c r="AI31" i="17"/>
  <c r="AI161" i="17"/>
  <c r="AJ307" i="19"/>
  <c r="AJ238" i="18"/>
  <c r="AJ207" i="17"/>
  <c r="AJ204" i="15"/>
  <c r="AJ41" i="10"/>
  <c r="AJ33" i="14"/>
  <c r="AJ64" i="14"/>
  <c r="AL21" i="10"/>
  <c r="AL3" i="23"/>
  <c r="AL3" i="25"/>
  <c r="AL3" i="21"/>
  <c r="AL3" i="19"/>
  <c r="AL3" i="18"/>
  <c r="AL3" i="17"/>
  <c r="AL3" i="15"/>
  <c r="AL3" i="14"/>
  <c r="AL3" i="12"/>
  <c r="AL36" i="10"/>
  <c r="AL51" i="10"/>
  <c r="AL24" i="10"/>
  <c r="AL52" i="10" s="1"/>
  <c r="AI212" i="19"/>
  <c r="AI53" i="19"/>
  <c r="AI49" i="19"/>
  <c r="AI208" i="19"/>
  <c r="AJ23" i="18"/>
  <c r="AJ22" i="18"/>
  <c r="AJ21" i="18"/>
  <c r="AJ19" i="18"/>
  <c r="AJ18" i="18"/>
  <c r="AJ17" i="18"/>
  <c r="AJ16" i="18"/>
  <c r="AJ15" i="18"/>
  <c r="AJ24" i="18"/>
  <c r="AJ14" i="18"/>
  <c r="AJ13" i="18"/>
  <c r="AH105" i="15"/>
  <c r="AH60" i="15"/>
  <c r="AH73" i="15" s="1"/>
  <c r="AH86" i="15" s="1"/>
  <c r="AH118" i="15" s="1"/>
  <c r="AI203" i="18"/>
  <c r="AI67" i="18"/>
  <c r="AI202" i="18"/>
  <c r="AI66" i="18"/>
  <c r="AG58" i="17"/>
  <c r="AG71" i="17" s="1"/>
  <c r="AG126" i="17" s="1"/>
  <c r="AI201" i="18"/>
  <c r="AI65" i="18"/>
  <c r="AH103" i="15"/>
  <c r="AH58" i="15"/>
  <c r="AH71" i="15" s="1"/>
  <c r="AH84" i="15" s="1"/>
  <c r="AH116" i="15" s="1"/>
  <c r="AI37" i="17"/>
  <c r="AI167" i="17"/>
  <c r="AH110" i="19"/>
  <c r="AH62" i="19"/>
  <c r="AH75" i="19" s="1"/>
  <c r="AI170" i="15"/>
  <c r="AI184" i="15" s="1"/>
  <c r="AI54" i="15"/>
  <c r="AI166" i="15"/>
  <c r="AI50" i="15"/>
  <c r="AI163" i="17"/>
  <c r="AI33" i="17"/>
  <c r="AI213" i="19"/>
  <c r="AI54" i="19"/>
  <c r="AI209" i="19"/>
  <c r="AI50" i="19"/>
  <c r="AJ23" i="19"/>
  <c r="AJ21" i="19"/>
  <c r="AJ20" i="19"/>
  <c r="AJ19" i="19"/>
  <c r="AJ16" i="19"/>
  <c r="AJ17" i="19"/>
  <c r="AJ18" i="19"/>
  <c r="AJ15" i="19"/>
  <c r="AJ13" i="19"/>
  <c r="AJ14" i="19"/>
  <c r="AJ24" i="19"/>
  <c r="AH116" i="17"/>
  <c r="AH48" i="17"/>
  <c r="AH61" i="17" s="1"/>
  <c r="AH74" i="17" s="1"/>
  <c r="AH129" i="17" s="1"/>
  <c r="AI58" i="18"/>
  <c r="AI194" i="18"/>
  <c r="AH125" i="18"/>
  <c r="AH80" i="18"/>
  <c r="AH93" i="18" s="1"/>
  <c r="AH106" i="18" s="1"/>
  <c r="AH138" i="18" s="1"/>
  <c r="AH93" i="19" l="1"/>
  <c r="AH128" i="19" s="1"/>
  <c r="AH84" i="19"/>
  <c r="AH119" i="19" s="1"/>
  <c r="AH92" i="19"/>
  <c r="AH127" i="19" s="1"/>
  <c r="AH88" i="19"/>
  <c r="AH123" i="19" s="1"/>
  <c r="AH85" i="19"/>
  <c r="AH120" i="19" s="1"/>
  <c r="AH90" i="19"/>
  <c r="AH125" i="19" s="1"/>
  <c r="AH91" i="19"/>
  <c r="AH126" i="19" s="1"/>
  <c r="AH82" i="19"/>
  <c r="AH117" i="19" s="1"/>
  <c r="AH87" i="19"/>
  <c r="AH122" i="19" s="1"/>
  <c r="AH89" i="19"/>
  <c r="AH124" i="19" s="1"/>
  <c r="AH83" i="19"/>
  <c r="AH118" i="19" s="1"/>
  <c r="AH86" i="19"/>
  <c r="AH121" i="19" s="1"/>
  <c r="N8" i="23"/>
  <c r="N12" i="25" s="1"/>
  <c r="N19" i="25" s="1"/>
  <c r="N99" i="15"/>
  <c r="N127" i="15" s="1"/>
  <c r="N187" i="15" s="1"/>
  <c r="V174" i="15"/>
  <c r="Z174" i="15"/>
  <c r="W174" i="15"/>
  <c r="S174" i="15"/>
  <c r="R174" i="15"/>
  <c r="P174" i="15"/>
  <c r="Y174" i="15"/>
  <c r="X174" i="15"/>
  <c r="Q127" i="15"/>
  <c r="Q187" i="15" s="1"/>
  <c r="Q174" i="15"/>
  <c r="O174" i="15"/>
  <c r="U174" i="15"/>
  <c r="AO11" i="10"/>
  <c r="AO30" i="10" s="1"/>
  <c r="AO31" i="10" s="1"/>
  <c r="AO45" i="10" s="1"/>
  <c r="AO46" i="10" s="1"/>
  <c r="AP10" i="10"/>
  <c r="AK5" i="14"/>
  <c r="AK13" i="14" s="1"/>
  <c r="AK15" i="14" s="1"/>
  <c r="AK26" i="14" s="1"/>
  <c r="AK28" i="14" s="1"/>
  <c r="AK5" i="18"/>
  <c r="AI54" i="10"/>
  <c r="AH54" i="10" s="1"/>
  <c r="AK5" i="17"/>
  <c r="AJ5" i="17"/>
  <c r="AJ5" i="18"/>
  <c r="AJ38" i="18" s="1"/>
  <c r="AJ168" i="18" s="1"/>
  <c r="AK5" i="19"/>
  <c r="AJ5" i="19"/>
  <c r="AK5" i="25"/>
  <c r="AJ5" i="23"/>
  <c r="AK5" i="23"/>
  <c r="AJ5" i="15"/>
  <c r="AK5" i="21"/>
  <c r="AJ5" i="12"/>
  <c r="AK5" i="12"/>
  <c r="AK5" i="15"/>
  <c r="AJ5" i="21"/>
  <c r="AJ5" i="14"/>
  <c r="AJ13" i="14" s="1"/>
  <c r="AJ15" i="14" s="1"/>
  <c r="AJ26" i="14" s="1"/>
  <c r="AJ28" i="14" s="1"/>
  <c r="AJ34" i="14" s="1"/>
  <c r="AJ36" i="14" s="1"/>
  <c r="AJ11" i="21" s="1"/>
  <c r="AI108" i="19"/>
  <c r="AI60" i="19"/>
  <c r="AI73" i="19" s="1"/>
  <c r="AI106" i="19"/>
  <c r="AI58" i="19"/>
  <c r="AI71" i="19" s="1"/>
  <c r="AJ32" i="17"/>
  <c r="AJ162" i="17"/>
  <c r="AJ169" i="17"/>
  <c r="AJ39" i="17"/>
  <c r="AH58" i="17"/>
  <c r="AH71" i="17" s="1"/>
  <c r="AH126" i="17" s="1"/>
  <c r="AJ170" i="15"/>
  <c r="AJ184" i="15" s="1"/>
  <c r="AJ54" i="15"/>
  <c r="AJ166" i="15"/>
  <c r="AJ50" i="15"/>
  <c r="AJ208" i="19"/>
  <c r="AJ49" i="19"/>
  <c r="AJ193" i="18"/>
  <c r="AJ57" i="18"/>
  <c r="AJ201" i="18"/>
  <c r="AJ65" i="18"/>
  <c r="AI112" i="17"/>
  <c r="AI44" i="17"/>
  <c r="AI57" i="17" s="1"/>
  <c r="AI70" i="17" s="1"/>
  <c r="AI125" i="17" s="1"/>
  <c r="AM21" i="10"/>
  <c r="AM3" i="23"/>
  <c r="AM3" i="25"/>
  <c r="AM3" i="19"/>
  <c r="AM3" i="21"/>
  <c r="AM3" i="18"/>
  <c r="AM3" i="17"/>
  <c r="AM3" i="15"/>
  <c r="AM24" i="10"/>
  <c r="AM52" i="10" s="1"/>
  <c r="AM3" i="14"/>
  <c r="AM3" i="12"/>
  <c r="AM51" i="10"/>
  <c r="AM36" i="10"/>
  <c r="AH196" i="15"/>
  <c r="AI123" i="17"/>
  <c r="AI55" i="17"/>
  <c r="AI68" i="17" s="1"/>
  <c r="AI81" i="17" s="1"/>
  <c r="AI136" i="17" s="1"/>
  <c r="AJ31" i="17"/>
  <c r="AJ161" i="17"/>
  <c r="AK23" i="17"/>
  <c r="AJ171" i="17"/>
  <c r="AJ41" i="17"/>
  <c r="AK24" i="18"/>
  <c r="AK20" i="18"/>
  <c r="AK22" i="18"/>
  <c r="AK21" i="18"/>
  <c r="AK35" i="18" s="1"/>
  <c r="AK165" i="18" s="1"/>
  <c r="AK19" i="18"/>
  <c r="AK17" i="18"/>
  <c r="AK18" i="18"/>
  <c r="AK16" i="18"/>
  <c r="AK15" i="18"/>
  <c r="AK14" i="18"/>
  <c r="AK13" i="18"/>
  <c r="AJ159" i="15"/>
  <c r="AJ43" i="15"/>
  <c r="AJ167" i="15"/>
  <c r="AJ51" i="15"/>
  <c r="AK307" i="19"/>
  <c r="AK238" i="18"/>
  <c r="AK207" i="17"/>
  <c r="AK204" i="15"/>
  <c r="AK64" i="14"/>
  <c r="AK33" i="14"/>
  <c r="AK41" i="10"/>
  <c r="AJ199" i="18"/>
  <c r="AJ63" i="18"/>
  <c r="AN196" i="19"/>
  <c r="AN98" i="19"/>
  <c r="AN10" i="19"/>
  <c r="AN112" i="18"/>
  <c r="AN184" i="18"/>
  <c r="AN10" i="18"/>
  <c r="AN10" i="17"/>
  <c r="AN109" i="17"/>
  <c r="AN152" i="15"/>
  <c r="AN155" i="17"/>
  <c r="AN10" i="15"/>
  <c r="AN98" i="15"/>
  <c r="AN20" i="10"/>
  <c r="AO19" i="10"/>
  <c r="AI117" i="17"/>
  <c r="AI49" i="17"/>
  <c r="AI62" i="17" s="1"/>
  <c r="AI75" i="17" s="1"/>
  <c r="AI130" i="17" s="1"/>
  <c r="AJ168" i="15"/>
  <c r="AJ52" i="15"/>
  <c r="AJ203" i="19"/>
  <c r="AJ44" i="19"/>
  <c r="AJ51" i="19"/>
  <c r="AJ210" i="19"/>
  <c r="AI114" i="17"/>
  <c r="AI46" i="17"/>
  <c r="AI59" i="17" s="1"/>
  <c r="AI72" i="17" s="1"/>
  <c r="AI127" i="17" s="1"/>
  <c r="AI124" i="18"/>
  <c r="AI79" i="18"/>
  <c r="AI92" i="18" s="1"/>
  <c r="AI105" i="18" s="1"/>
  <c r="AI137" i="18" s="1"/>
  <c r="AJ204" i="18"/>
  <c r="AJ68" i="18"/>
  <c r="AK23" i="18"/>
  <c r="AJ203" i="18"/>
  <c r="AJ67" i="18"/>
  <c r="AJ4" i="14"/>
  <c r="AJ4" i="25"/>
  <c r="AJ4" i="21"/>
  <c r="AJ4" i="23"/>
  <c r="AJ4" i="19"/>
  <c r="AJ4" i="18"/>
  <c r="AJ4" i="17"/>
  <c r="AJ4" i="15"/>
  <c r="AJ4" i="12"/>
  <c r="AI111" i="15"/>
  <c r="AI137" i="15" s="1"/>
  <c r="AI66" i="15"/>
  <c r="AI79" i="15" s="1"/>
  <c r="AI92" i="15" s="1"/>
  <c r="AI124" i="15" s="1"/>
  <c r="AI122" i="18"/>
  <c r="AI77" i="18"/>
  <c r="AI90" i="18" s="1"/>
  <c r="AI103" i="18" s="1"/>
  <c r="AI135" i="18" s="1"/>
  <c r="AI107" i="19"/>
  <c r="AI59" i="19"/>
  <c r="AI72" i="19" s="1"/>
  <c r="AI119" i="18"/>
  <c r="AI74" i="18"/>
  <c r="AI87" i="18" s="1"/>
  <c r="AI100" i="18" s="1"/>
  <c r="AI132" i="18" s="1"/>
  <c r="AJ33" i="17"/>
  <c r="AJ163" i="17"/>
  <c r="AK24" i="19"/>
  <c r="AK22" i="19"/>
  <c r="AK21" i="19"/>
  <c r="AK20" i="19"/>
  <c r="AK16" i="19"/>
  <c r="AK19" i="19"/>
  <c r="AK17" i="19"/>
  <c r="AK18" i="19"/>
  <c r="AK15" i="19"/>
  <c r="AK13" i="19"/>
  <c r="AK14" i="19"/>
  <c r="AJ161" i="15"/>
  <c r="AJ45" i="15"/>
  <c r="AJ169" i="15"/>
  <c r="AJ53" i="15"/>
  <c r="AI115" i="17"/>
  <c r="AI47" i="17"/>
  <c r="AI60" i="17" s="1"/>
  <c r="AI73" i="17" s="1"/>
  <c r="AI128" i="17" s="1"/>
  <c r="AI117" i="18"/>
  <c r="AI72" i="18"/>
  <c r="AI85" i="18" s="1"/>
  <c r="AI98" i="18" s="1"/>
  <c r="AI130" i="18" s="1"/>
  <c r="AI109" i="15"/>
  <c r="AI64" i="15"/>
  <c r="AI77" i="15" s="1"/>
  <c r="AI90" i="15" s="1"/>
  <c r="AI122" i="15" s="1"/>
  <c r="AJ43" i="19"/>
  <c r="AJ202" i="19"/>
  <c r="AK23" i="19"/>
  <c r="AJ53" i="19"/>
  <c r="AJ212" i="19"/>
  <c r="AI118" i="17"/>
  <c r="AI50" i="17"/>
  <c r="AI63" i="17" s="1"/>
  <c r="AI76" i="17" s="1"/>
  <c r="AI131" i="17" s="1"/>
  <c r="AJ195" i="18"/>
  <c r="AJ59" i="18"/>
  <c r="AI112" i="19"/>
  <c r="AI64" i="19"/>
  <c r="AI77" i="19" s="1"/>
  <c r="AI105" i="15"/>
  <c r="AI60" i="15"/>
  <c r="AI73" i="15" s="1"/>
  <c r="AI86" i="15" s="1"/>
  <c r="AI118" i="15" s="1"/>
  <c r="AJ165" i="17"/>
  <c r="AJ35" i="17"/>
  <c r="AI122" i="17"/>
  <c r="AI54" i="17"/>
  <c r="AI67" i="17" s="1"/>
  <c r="AI80" i="17" s="1"/>
  <c r="AI135" i="17" s="1"/>
  <c r="AI104" i="15"/>
  <c r="AI59" i="15"/>
  <c r="AI72" i="15" s="1"/>
  <c r="AI85" i="15" s="1"/>
  <c r="AI117" i="15" s="1"/>
  <c r="AI126" i="18"/>
  <c r="AI81" i="18"/>
  <c r="AI94" i="18" s="1"/>
  <c r="AI107" i="18" s="1"/>
  <c r="AI139" i="18" s="1"/>
  <c r="AJ162" i="15"/>
  <c r="AJ46" i="15"/>
  <c r="AI113" i="19"/>
  <c r="AI65" i="19"/>
  <c r="AI78" i="19" s="1"/>
  <c r="AI105" i="19"/>
  <c r="AI57" i="19"/>
  <c r="AI70" i="19" s="1"/>
  <c r="AJ45" i="19"/>
  <c r="AJ204" i="19"/>
  <c r="AI111" i="19"/>
  <c r="AI63" i="19"/>
  <c r="AI76" i="19" s="1"/>
  <c r="AI108" i="15"/>
  <c r="AI63" i="15"/>
  <c r="AI76" i="15" s="1"/>
  <c r="AI89" i="15" s="1"/>
  <c r="AI121" i="15" s="1"/>
  <c r="AI125" i="18"/>
  <c r="AI80" i="18"/>
  <c r="AI93" i="18" s="1"/>
  <c r="AI106" i="18" s="1"/>
  <c r="AI138" i="18" s="1"/>
  <c r="AJ60" i="18"/>
  <c r="AJ196" i="18"/>
  <c r="AI110" i="19"/>
  <c r="AI62" i="19"/>
  <c r="AI75" i="19" s="1"/>
  <c r="AJ200" i="18"/>
  <c r="AJ64" i="18"/>
  <c r="AI106" i="15"/>
  <c r="AI61" i="15"/>
  <c r="AI74" i="15" s="1"/>
  <c r="AI87" i="15" s="1"/>
  <c r="AI119" i="15" s="1"/>
  <c r="AJ166" i="17"/>
  <c r="AJ36" i="17"/>
  <c r="AK24" i="15"/>
  <c r="AK23" i="15"/>
  <c r="AK22" i="15"/>
  <c r="AK21" i="15"/>
  <c r="AK20" i="15"/>
  <c r="AK19" i="15"/>
  <c r="AK18" i="15"/>
  <c r="AK17" i="15"/>
  <c r="AK16" i="15"/>
  <c r="AK15" i="15"/>
  <c r="AK14" i="15"/>
  <c r="AK13" i="15"/>
  <c r="AJ163" i="15"/>
  <c r="AJ47" i="15"/>
  <c r="AI110" i="15"/>
  <c r="AI65" i="15"/>
  <c r="AI78" i="15" s="1"/>
  <c r="AI91" i="15" s="1"/>
  <c r="AI123" i="15" s="1"/>
  <c r="AJ46" i="19"/>
  <c r="AJ205" i="19"/>
  <c r="AL97" i="19"/>
  <c r="AL11" i="19"/>
  <c r="AL111" i="18"/>
  <c r="AL11" i="18"/>
  <c r="AL11" i="17"/>
  <c r="AL108" i="17"/>
  <c r="AL97" i="15"/>
  <c r="AL11" i="15"/>
  <c r="AL21" i="14"/>
  <c r="AL23" i="14" s="1"/>
  <c r="AI103" i="15"/>
  <c r="AI58" i="15"/>
  <c r="AI71" i="15" s="1"/>
  <c r="AI84" i="15" s="1"/>
  <c r="AI116" i="15" s="1"/>
  <c r="AI115" i="18"/>
  <c r="AI70" i="18"/>
  <c r="AI83" i="18" s="1"/>
  <c r="AI96" i="18" s="1"/>
  <c r="AI128" i="18" s="1"/>
  <c r="AJ213" i="19"/>
  <c r="AJ54" i="19"/>
  <c r="AJ202" i="18"/>
  <c r="AJ66" i="18"/>
  <c r="AI109" i="19"/>
  <c r="AI61" i="19"/>
  <c r="AI74" i="19" s="1"/>
  <c r="AJ160" i="15"/>
  <c r="AJ44" i="15"/>
  <c r="AJ207" i="19"/>
  <c r="AJ48" i="19"/>
  <c r="AJ61" i="18"/>
  <c r="AJ197" i="18"/>
  <c r="AI114" i="19"/>
  <c r="AI66" i="19"/>
  <c r="AI79" i="19" s="1"/>
  <c r="AL38" i="10"/>
  <c r="AL39" i="10"/>
  <c r="AI101" i="15"/>
  <c r="AI56" i="15"/>
  <c r="AI69" i="15" s="1"/>
  <c r="AI82" i="15" s="1"/>
  <c r="AI114" i="15" s="1"/>
  <c r="AI121" i="18"/>
  <c r="AI76" i="18"/>
  <c r="AI89" i="18" s="1"/>
  <c r="AI102" i="18" s="1"/>
  <c r="AI134" i="18" s="1"/>
  <c r="AI116" i="17"/>
  <c r="AI48" i="17"/>
  <c r="AI61" i="17" s="1"/>
  <c r="AI74" i="17" s="1"/>
  <c r="AI129" i="17" s="1"/>
  <c r="AI121" i="17"/>
  <c r="AI53" i="17"/>
  <c r="AI66" i="17" s="1"/>
  <c r="AI79" i="17" s="1"/>
  <c r="AI134" i="17" s="1"/>
  <c r="AI119" i="17"/>
  <c r="AI51" i="17"/>
  <c r="AI64" i="17" s="1"/>
  <c r="AI77" i="17" s="1"/>
  <c r="AI132" i="17" s="1"/>
  <c r="AJ37" i="17"/>
  <c r="AJ167" i="17"/>
  <c r="AI118" i="18"/>
  <c r="AI73" i="18"/>
  <c r="AI86" i="18" s="1"/>
  <c r="AI99" i="18" s="1"/>
  <c r="AI131" i="18" s="1"/>
  <c r="AJ164" i="15"/>
  <c r="AJ48" i="15"/>
  <c r="AJ211" i="19"/>
  <c r="AJ52" i="19"/>
  <c r="AI107" i="15"/>
  <c r="AI62" i="15"/>
  <c r="AI75" i="15" s="1"/>
  <c r="AI88" i="15" s="1"/>
  <c r="AI120" i="15" s="1"/>
  <c r="AJ50" i="19"/>
  <c r="AJ209" i="19"/>
  <c r="AJ194" i="18"/>
  <c r="AJ58" i="18"/>
  <c r="AI120" i="18"/>
  <c r="AI75" i="18"/>
  <c r="AI88" i="18" s="1"/>
  <c r="AI101" i="18" s="1"/>
  <c r="AI133" i="18" s="1"/>
  <c r="AJ34" i="17"/>
  <c r="AJ164" i="17"/>
  <c r="AI116" i="18"/>
  <c r="AI71" i="18"/>
  <c r="AI84" i="18" s="1"/>
  <c r="AI97" i="18" s="1"/>
  <c r="AI129" i="18" s="1"/>
  <c r="AJ47" i="19"/>
  <c r="AJ206" i="19"/>
  <c r="AI115" i="19"/>
  <c r="AI67" i="19"/>
  <c r="AI80" i="19" s="1"/>
  <c r="AI112" i="15"/>
  <c r="AI138" i="15" s="1"/>
  <c r="AI67" i="15"/>
  <c r="AI80" i="15" s="1"/>
  <c r="AI93" i="15" s="1"/>
  <c r="AI125" i="15" s="1"/>
  <c r="AI123" i="18"/>
  <c r="AI78" i="18"/>
  <c r="AI91" i="18" s="1"/>
  <c r="AI104" i="18" s="1"/>
  <c r="AI136" i="18" s="1"/>
  <c r="AJ198" i="18"/>
  <c r="AJ62" i="18"/>
  <c r="AH197" i="15"/>
  <c r="AI120" i="17"/>
  <c r="AI52" i="17"/>
  <c r="AI65" i="17" s="1"/>
  <c r="AI78" i="17" s="1"/>
  <c r="AI133" i="17" s="1"/>
  <c r="AI113" i="17"/>
  <c r="AI45" i="17"/>
  <c r="AK20" i="17"/>
  <c r="AJ168" i="17"/>
  <c r="AJ38" i="17"/>
  <c r="AJ42" i="17"/>
  <c r="AJ172" i="17"/>
  <c r="AJ170" i="17"/>
  <c r="AJ40" i="17"/>
  <c r="AK24" i="17"/>
  <c r="AK21" i="17"/>
  <c r="AK22" i="17"/>
  <c r="AK19" i="17"/>
  <c r="AK18" i="17"/>
  <c r="AK16" i="17"/>
  <c r="AK15" i="17"/>
  <c r="AK17" i="17"/>
  <c r="AK13" i="17"/>
  <c r="AK14" i="17"/>
  <c r="AH198" i="15"/>
  <c r="AJ165" i="15"/>
  <c r="AJ49" i="15"/>
  <c r="AI104" i="19"/>
  <c r="AI56" i="19"/>
  <c r="AI69" i="19" s="1"/>
  <c r="AI102" i="15"/>
  <c r="AI57" i="15"/>
  <c r="AI70" i="15" s="1"/>
  <c r="AI83" i="15" s="1"/>
  <c r="AI115" i="15" s="1"/>
  <c r="N173" i="15"/>
  <c r="O173" i="15"/>
  <c r="P173" i="15"/>
  <c r="Q173" i="15"/>
  <c r="R173" i="15"/>
  <c r="S173" i="15"/>
  <c r="T173" i="15"/>
  <c r="U173" i="15"/>
  <c r="V173" i="15"/>
  <c r="W173" i="15"/>
  <c r="X173" i="15"/>
  <c r="Y173" i="15"/>
  <c r="P127" i="15" l="1"/>
  <c r="P187" i="15" s="1"/>
  <c r="V127" i="15"/>
  <c r="V187" i="15" s="1"/>
  <c r="T127" i="15"/>
  <c r="T187" i="15" s="1"/>
  <c r="AI88" i="19"/>
  <c r="AI123" i="19" s="1"/>
  <c r="AI89" i="19"/>
  <c r="AI124" i="19" s="1"/>
  <c r="AI85" i="19"/>
  <c r="AI120" i="19" s="1"/>
  <c r="AI86" i="19"/>
  <c r="AI121" i="19" s="1"/>
  <c r="AI82" i="19"/>
  <c r="AI117" i="19" s="1"/>
  <c r="AI5" i="17"/>
  <c r="AI93" i="19"/>
  <c r="AI128" i="19" s="1"/>
  <c r="AI83" i="19"/>
  <c r="AI118" i="19" s="1"/>
  <c r="AI90" i="19"/>
  <c r="AI125" i="19" s="1"/>
  <c r="AI5" i="23"/>
  <c r="AI92" i="19"/>
  <c r="AI127" i="19" s="1"/>
  <c r="AI87" i="19"/>
  <c r="AI122" i="19" s="1"/>
  <c r="AI91" i="19"/>
  <c r="AI126" i="19" s="1"/>
  <c r="AI84" i="19"/>
  <c r="AI119" i="19" s="1"/>
  <c r="X127" i="15"/>
  <c r="X187" i="15" s="1"/>
  <c r="O127" i="15"/>
  <c r="O187" i="15" s="1"/>
  <c r="U127" i="15"/>
  <c r="U187" i="15" s="1"/>
  <c r="S127" i="15"/>
  <c r="S187" i="15" s="1"/>
  <c r="W127" i="15"/>
  <c r="W187" i="15" s="1"/>
  <c r="Y127" i="15"/>
  <c r="Y187" i="15" s="1"/>
  <c r="Y200" i="15" s="1"/>
  <c r="R127" i="15"/>
  <c r="R187" i="15" s="1"/>
  <c r="AJ34" i="18"/>
  <c r="AJ164" i="18" s="1"/>
  <c r="AK27" i="18"/>
  <c r="AK157" i="18" s="1"/>
  <c r="AK36" i="18"/>
  <c r="AK166" i="18" s="1"/>
  <c r="AK28" i="18"/>
  <c r="AK158" i="18" s="1"/>
  <c r="AK34" i="18"/>
  <c r="AK164" i="18" s="1"/>
  <c r="AK29" i="18"/>
  <c r="AK159" i="18" s="1"/>
  <c r="AK38" i="18"/>
  <c r="AK168" i="18" s="1"/>
  <c r="AJ28" i="18"/>
  <c r="AJ158" i="18" s="1"/>
  <c r="AK32" i="18"/>
  <c r="AK162" i="18" s="1"/>
  <c r="AJ32" i="18"/>
  <c r="AJ162" i="18" s="1"/>
  <c r="AJ31" i="18"/>
  <c r="AJ161" i="18" s="1"/>
  <c r="AK37" i="18"/>
  <c r="AK167" i="18" s="1"/>
  <c r="AK33" i="18"/>
  <c r="AK163" i="18" s="1"/>
  <c r="AJ36" i="18"/>
  <c r="AJ166" i="18" s="1"/>
  <c r="AJ30" i="18"/>
  <c r="AJ160" i="18" s="1"/>
  <c r="AK30" i="18"/>
  <c r="AK160" i="18" s="1"/>
  <c r="AJ35" i="18"/>
  <c r="AJ165" i="18" s="1"/>
  <c r="AJ29" i="18"/>
  <c r="AJ159" i="18" s="1"/>
  <c r="AJ27" i="18"/>
  <c r="AJ157" i="18" s="1"/>
  <c r="AJ37" i="18"/>
  <c r="AJ167" i="18" s="1"/>
  <c r="AK31" i="18"/>
  <c r="AK161" i="18" s="1"/>
  <c r="AJ33" i="18"/>
  <c r="AJ163" i="18" s="1"/>
  <c r="Y140" i="15"/>
  <c r="Y145" i="15" s="1"/>
  <c r="Y147" i="15" s="1"/>
  <c r="Y209" i="15" s="1"/>
  <c r="Y213" i="15" s="1"/>
  <c r="Y87" i="17" s="1"/>
  <c r="Y91" i="17" s="1"/>
  <c r="Y97" i="17" s="1"/>
  <c r="Y100" i="17" s="1"/>
  <c r="Y103" i="17" s="1"/>
  <c r="Y156" i="17" s="1"/>
  <c r="AI5" i="18"/>
  <c r="AI5" i="19"/>
  <c r="AI5" i="21"/>
  <c r="AI5" i="14"/>
  <c r="AI5" i="25"/>
  <c r="AI5" i="12"/>
  <c r="AI5" i="15"/>
  <c r="AQ10" i="10"/>
  <c r="AP11" i="10"/>
  <c r="AP30" i="10" s="1"/>
  <c r="AP31" i="10" s="1"/>
  <c r="AP45" i="10" s="1"/>
  <c r="AP46" i="10" s="1"/>
  <c r="AK43" i="14"/>
  <c r="AK45" i="14" s="1"/>
  <c r="AK50" i="14" s="1"/>
  <c r="AK52" i="14" s="1"/>
  <c r="AK57" i="14" s="1"/>
  <c r="AJ43" i="14"/>
  <c r="AJ45" i="14" s="1"/>
  <c r="AJ50" i="14" s="1"/>
  <c r="AJ52" i="14" s="1"/>
  <c r="AJ57" i="14" s="1"/>
  <c r="AJ154" i="15"/>
  <c r="AJ8" i="23"/>
  <c r="AJ12" i="25" s="1"/>
  <c r="AJ19" i="25" s="1"/>
  <c r="AJ99" i="15"/>
  <c r="AJ56" i="14"/>
  <c r="AI198" i="15"/>
  <c r="AL23" i="17"/>
  <c r="AK41" i="17"/>
  <c r="AK171" i="17"/>
  <c r="AK170" i="17"/>
  <c r="AK40" i="17"/>
  <c r="AJ120" i="18"/>
  <c r="AJ75" i="18"/>
  <c r="AJ88" i="18" s="1"/>
  <c r="AJ101" i="18" s="1"/>
  <c r="AJ133" i="18" s="1"/>
  <c r="AK56" i="14"/>
  <c r="AK34" i="14"/>
  <c r="AK36" i="14" s="1"/>
  <c r="AJ119" i="18"/>
  <c r="AJ74" i="18"/>
  <c r="AJ87" i="18" s="1"/>
  <c r="AJ100" i="18" s="1"/>
  <c r="AJ132" i="18" s="1"/>
  <c r="AJ124" i="18"/>
  <c r="AJ79" i="18"/>
  <c r="AJ92" i="18" s="1"/>
  <c r="AJ105" i="18" s="1"/>
  <c r="AJ137" i="18" s="1"/>
  <c r="AK160" i="15"/>
  <c r="AK44" i="15"/>
  <c r="AK168" i="15"/>
  <c r="AK52" i="15"/>
  <c r="AK43" i="19"/>
  <c r="AK202" i="19"/>
  <c r="AK52" i="19"/>
  <c r="AK211" i="19"/>
  <c r="AJ101" i="15"/>
  <c r="AJ56" i="15"/>
  <c r="AJ69" i="15" s="1"/>
  <c r="AJ82" i="15" s="1"/>
  <c r="AJ114" i="15" s="1"/>
  <c r="AK199" i="18"/>
  <c r="AK63" i="18"/>
  <c r="AK210" i="19"/>
  <c r="AK51" i="19"/>
  <c r="AK197" i="18"/>
  <c r="AK61" i="18"/>
  <c r="AJ123" i="18"/>
  <c r="AJ78" i="18"/>
  <c r="AJ91" i="18" s="1"/>
  <c r="AJ104" i="18" s="1"/>
  <c r="AJ136" i="18" s="1"/>
  <c r="AK32" i="17"/>
  <c r="AK162" i="17"/>
  <c r="AK169" i="17"/>
  <c r="AK39" i="17"/>
  <c r="AK168" i="17"/>
  <c r="AK38" i="17"/>
  <c r="AJ108" i="19"/>
  <c r="AJ60" i="19"/>
  <c r="AJ73" i="19" s="1"/>
  <c r="AJ116" i="18"/>
  <c r="AJ71" i="18"/>
  <c r="AJ84" i="18" s="1"/>
  <c r="AJ97" i="18" s="1"/>
  <c r="AJ129" i="18" s="1"/>
  <c r="AJ113" i="19"/>
  <c r="AJ65" i="19"/>
  <c r="AJ78" i="19" s="1"/>
  <c r="AJ109" i="19"/>
  <c r="AJ61" i="19"/>
  <c r="AJ74" i="19" s="1"/>
  <c r="AL13" i="15"/>
  <c r="AL24" i="15"/>
  <c r="AL23" i="15"/>
  <c r="AL22" i="15"/>
  <c r="AL21" i="15"/>
  <c r="AL20" i="15"/>
  <c r="AL19" i="15"/>
  <c r="AL18" i="15"/>
  <c r="AL17" i="15"/>
  <c r="AL16" i="15"/>
  <c r="AL15" i="15"/>
  <c r="AL14" i="15"/>
  <c r="AK161" i="15"/>
  <c r="AK45" i="15"/>
  <c r="AK169" i="15"/>
  <c r="AK53" i="15"/>
  <c r="AJ114" i="19"/>
  <c r="AJ66" i="19"/>
  <c r="AJ79" i="19" s="1"/>
  <c r="AJ92" i="19" s="1"/>
  <c r="AK45" i="19"/>
  <c r="AK204" i="19"/>
  <c r="AK54" i="19"/>
  <c r="AK213" i="19"/>
  <c r="AJ125" i="18"/>
  <c r="AJ80" i="18"/>
  <c r="AJ93" i="18" s="1"/>
  <c r="AJ106" i="18" s="1"/>
  <c r="AJ138" i="18" s="1"/>
  <c r="AK201" i="18"/>
  <c r="AK65" i="18"/>
  <c r="AJ112" i="17"/>
  <c r="AJ44" i="17"/>
  <c r="AJ57" i="17" s="1"/>
  <c r="AJ70" i="17" s="1"/>
  <c r="AJ125" i="17" s="1"/>
  <c r="AM11" i="19"/>
  <c r="AM97" i="19"/>
  <c r="AM111" i="18"/>
  <c r="AM11" i="18"/>
  <c r="AM11" i="17"/>
  <c r="AM108" i="17"/>
  <c r="AM97" i="15"/>
  <c r="AM11" i="15"/>
  <c r="AM21" i="14"/>
  <c r="AM23" i="14" s="1"/>
  <c r="AJ115" i="18"/>
  <c r="AJ70" i="18"/>
  <c r="AJ83" i="18" s="1"/>
  <c r="AJ96" i="18" s="1"/>
  <c r="AJ128" i="18" s="1"/>
  <c r="AH5" i="15"/>
  <c r="AH5" i="25"/>
  <c r="AH5" i="21"/>
  <c r="AH5" i="23"/>
  <c r="AH5" i="19"/>
  <c r="AH5" i="18"/>
  <c r="AH5" i="17"/>
  <c r="AH5" i="12"/>
  <c r="AH5" i="14"/>
  <c r="AG54" i="10"/>
  <c r="AJ108" i="15"/>
  <c r="AJ63" i="15"/>
  <c r="AJ76" i="15" s="1"/>
  <c r="AJ89" i="15" s="1"/>
  <c r="AJ121" i="15" s="1"/>
  <c r="AK167" i="17"/>
  <c r="AK37" i="17"/>
  <c r="AJ119" i="17"/>
  <c r="AJ51" i="17"/>
  <c r="AJ64" i="17" s="1"/>
  <c r="AJ77" i="17" s="1"/>
  <c r="AJ132" i="17" s="1"/>
  <c r="AK31" i="17"/>
  <c r="AK161" i="17"/>
  <c r="AK172" i="17"/>
  <c r="AK42" i="17"/>
  <c r="AJ118" i="17"/>
  <c r="AJ50" i="17"/>
  <c r="AJ63" i="17" s="1"/>
  <c r="AJ76" i="17" s="1"/>
  <c r="AJ131" i="17" s="1"/>
  <c r="AJ115" i="19"/>
  <c r="AJ67" i="19"/>
  <c r="AJ80" i="19" s="1"/>
  <c r="AJ107" i="19"/>
  <c r="AJ59" i="19"/>
  <c r="AJ72" i="19" s="1"/>
  <c r="AK162" i="15"/>
  <c r="AK46" i="15"/>
  <c r="AK170" i="15"/>
  <c r="AK54" i="15"/>
  <c r="AK53" i="19"/>
  <c r="AK212" i="19"/>
  <c r="AK207" i="19"/>
  <c r="AK48" i="19"/>
  <c r="AO98" i="19"/>
  <c r="AO10" i="19"/>
  <c r="AO196" i="19"/>
  <c r="AO184" i="18"/>
  <c r="AO112" i="18"/>
  <c r="AO10" i="18"/>
  <c r="AO10" i="17"/>
  <c r="AO109" i="17"/>
  <c r="AO152" i="15"/>
  <c r="AO155" i="17"/>
  <c r="AO98" i="15"/>
  <c r="AO10" i="15"/>
  <c r="AO20" i="10"/>
  <c r="AP19" i="10"/>
  <c r="AK193" i="18"/>
  <c r="AK57" i="18"/>
  <c r="AK202" i="18"/>
  <c r="AK66" i="18"/>
  <c r="AJ113" i="17"/>
  <c r="AJ45" i="17"/>
  <c r="AK203" i="19"/>
  <c r="AK44" i="19"/>
  <c r="AK165" i="17"/>
  <c r="AK35" i="17"/>
  <c r="AJ121" i="17"/>
  <c r="AJ53" i="17"/>
  <c r="AJ66" i="17" s="1"/>
  <c r="AJ79" i="17" s="1"/>
  <c r="AJ134" i="17" s="1"/>
  <c r="AI58" i="17"/>
  <c r="AI71" i="17" s="1"/>
  <c r="AI126" i="17" s="1"/>
  <c r="AJ106" i="15"/>
  <c r="AJ61" i="15"/>
  <c r="AJ74" i="15" s="1"/>
  <c r="AJ87" i="15" s="1"/>
  <c r="AJ119" i="15" s="1"/>
  <c r="AK163" i="15"/>
  <c r="AK47" i="15"/>
  <c r="AJ117" i="17"/>
  <c r="AJ49" i="17"/>
  <c r="AJ62" i="17" s="1"/>
  <c r="AJ75" i="17" s="1"/>
  <c r="AJ130" i="17" s="1"/>
  <c r="AJ104" i="15"/>
  <c r="AJ59" i="15"/>
  <c r="AJ72" i="15" s="1"/>
  <c r="AJ85" i="15" s="1"/>
  <c r="AJ117" i="15" s="1"/>
  <c r="AJ116" i="17"/>
  <c r="AJ48" i="17"/>
  <c r="AJ61" i="17" s="1"/>
  <c r="AJ74" i="17" s="1"/>
  <c r="AJ129" i="17" s="1"/>
  <c r="AJ111" i="15"/>
  <c r="AJ66" i="15"/>
  <c r="AJ79" i="15" s="1"/>
  <c r="AJ92" i="15" s="1"/>
  <c r="AJ124" i="15" s="1"/>
  <c r="AK206" i="19"/>
  <c r="AK47" i="19"/>
  <c r="AJ114" i="17"/>
  <c r="AJ46" i="17"/>
  <c r="AJ59" i="17" s="1"/>
  <c r="AJ72" i="17" s="1"/>
  <c r="AJ127" i="17" s="1"/>
  <c r="AI197" i="15"/>
  <c r="AL23" i="18"/>
  <c r="AK67" i="18"/>
  <c r="AK203" i="18"/>
  <c r="AJ112" i="19"/>
  <c r="AJ64" i="19"/>
  <c r="AJ77" i="19" s="1"/>
  <c r="AN21" i="10"/>
  <c r="AN3" i="25"/>
  <c r="AN3" i="21"/>
  <c r="AN3" i="19"/>
  <c r="AN3" i="23"/>
  <c r="AN3" i="18"/>
  <c r="AN3" i="17"/>
  <c r="AN3" i="15"/>
  <c r="AN3" i="14"/>
  <c r="AN3" i="12"/>
  <c r="AN24" i="10"/>
  <c r="AN52" i="10" s="1"/>
  <c r="AN36" i="10"/>
  <c r="AN51" i="10"/>
  <c r="AK194" i="18"/>
  <c r="AK58" i="18"/>
  <c r="AK200" i="18"/>
  <c r="AK64" i="18"/>
  <c r="AJ110" i="19"/>
  <c r="AJ62" i="19"/>
  <c r="AJ75" i="19" s="1"/>
  <c r="AJ67" i="15"/>
  <c r="AJ80" i="15" s="1"/>
  <c r="AJ93" i="15" s="1"/>
  <c r="AJ125" i="15" s="1"/>
  <c r="AJ112" i="15"/>
  <c r="AJ138" i="15" s="1"/>
  <c r="AJ120" i="17"/>
  <c r="AJ52" i="17"/>
  <c r="AJ65" i="17" s="1"/>
  <c r="AJ78" i="17" s="1"/>
  <c r="AJ133" i="17" s="1"/>
  <c r="AK163" i="17"/>
  <c r="AK33" i="17"/>
  <c r="AJ111" i="19"/>
  <c r="AJ63" i="19"/>
  <c r="AJ76" i="19" s="1"/>
  <c r="AL307" i="19"/>
  <c r="AL238" i="18"/>
  <c r="AL204" i="15"/>
  <c r="AL207" i="17"/>
  <c r="AL41" i="10"/>
  <c r="AL64" i="14"/>
  <c r="AL33" i="14"/>
  <c r="AJ102" i="15"/>
  <c r="AJ57" i="15"/>
  <c r="AJ70" i="15" s="1"/>
  <c r="AJ83" i="15" s="1"/>
  <c r="AJ115" i="15" s="1"/>
  <c r="AL13" i="17"/>
  <c r="AL20" i="17"/>
  <c r="AL24" i="17"/>
  <c r="AL22" i="17"/>
  <c r="AL21" i="17"/>
  <c r="AL19" i="17"/>
  <c r="AL18" i="17"/>
  <c r="AL16" i="17"/>
  <c r="AL15" i="17"/>
  <c r="AL17" i="17"/>
  <c r="AL14" i="17"/>
  <c r="AK164" i="15"/>
  <c r="AK48" i="15"/>
  <c r="AJ118" i="18"/>
  <c r="AJ73" i="18"/>
  <c r="AJ86" i="18" s="1"/>
  <c r="AJ99" i="18" s="1"/>
  <c r="AJ131" i="18" s="1"/>
  <c r="AJ106" i="19"/>
  <c r="AJ58" i="19"/>
  <c r="AJ71" i="19" s="1"/>
  <c r="AJ117" i="18"/>
  <c r="AJ72" i="18"/>
  <c r="AJ85" i="18" s="1"/>
  <c r="AJ98" i="18" s="1"/>
  <c r="AJ130" i="18" s="1"/>
  <c r="AJ104" i="19"/>
  <c r="AJ56" i="19"/>
  <c r="AJ69" i="19" s="1"/>
  <c r="AL19" i="19"/>
  <c r="AK208" i="19"/>
  <c r="AK49" i="19"/>
  <c r="AJ126" i="18"/>
  <c r="AJ81" i="18"/>
  <c r="AJ94" i="18" s="1"/>
  <c r="AJ107" i="18" s="1"/>
  <c r="AJ139" i="18" s="1"/>
  <c r="AJ105" i="19"/>
  <c r="AJ57" i="19"/>
  <c r="AJ70" i="19" s="1"/>
  <c r="AJ121" i="18"/>
  <c r="AJ76" i="18"/>
  <c r="AJ89" i="18" s="1"/>
  <c r="AJ102" i="18" s="1"/>
  <c r="AJ134" i="18" s="1"/>
  <c r="AK195" i="18"/>
  <c r="AK59" i="18"/>
  <c r="AL24" i="18"/>
  <c r="AK68" i="18"/>
  <c r="AK204" i="18"/>
  <c r="AL13" i="19"/>
  <c r="AL23" i="19"/>
  <c r="AL24" i="19"/>
  <c r="AL22" i="19"/>
  <c r="AL21" i="19"/>
  <c r="AL20" i="19"/>
  <c r="AL16" i="19"/>
  <c r="AL17" i="19"/>
  <c r="AL18" i="19"/>
  <c r="AL15" i="19"/>
  <c r="AL14" i="19"/>
  <c r="AK167" i="15"/>
  <c r="AK51" i="15"/>
  <c r="AK4" i="12"/>
  <c r="AK4" i="21"/>
  <c r="AK4" i="23"/>
  <c r="AK4" i="25"/>
  <c r="AK4" i="19"/>
  <c r="AK4" i="18"/>
  <c r="AK4" i="17"/>
  <c r="AK4" i="15"/>
  <c r="AK4" i="14"/>
  <c r="AK164" i="17"/>
  <c r="AK34" i="17"/>
  <c r="AL13" i="18"/>
  <c r="AL20" i="18"/>
  <c r="AL22" i="18"/>
  <c r="AL21" i="18"/>
  <c r="AL19" i="18"/>
  <c r="AL17" i="18"/>
  <c r="AL18" i="18"/>
  <c r="AL16" i="18"/>
  <c r="AL15" i="18"/>
  <c r="AL14" i="18"/>
  <c r="AJ105" i="15"/>
  <c r="AJ60" i="15"/>
  <c r="AJ73" i="15" s="1"/>
  <c r="AJ86" i="15" s="1"/>
  <c r="AJ118" i="15" s="1"/>
  <c r="AK165" i="15"/>
  <c r="AK49" i="15"/>
  <c r="AJ103" i="15"/>
  <c r="AJ58" i="15"/>
  <c r="AJ71" i="15" s="1"/>
  <c r="AJ84" i="15" s="1"/>
  <c r="AJ116" i="15" s="1"/>
  <c r="AK205" i="19"/>
  <c r="AK46" i="19"/>
  <c r="AK196" i="18"/>
  <c r="AK60" i="18"/>
  <c r="AJ122" i="17"/>
  <c r="AJ54" i="17"/>
  <c r="AJ67" i="17" s="1"/>
  <c r="AJ80" i="17" s="1"/>
  <c r="AJ135" i="17" s="1"/>
  <c r="AM38" i="10"/>
  <c r="AM39" i="10"/>
  <c r="AK43" i="15"/>
  <c r="AK159" i="15"/>
  <c r="AJ122" i="18"/>
  <c r="AJ77" i="18"/>
  <c r="AJ90" i="18" s="1"/>
  <c r="AJ103" i="18" s="1"/>
  <c r="AJ135" i="18" s="1"/>
  <c r="AI13" i="14"/>
  <c r="AI15" i="14" s="1"/>
  <c r="AI26" i="14" s="1"/>
  <c r="AI28" i="14" s="1"/>
  <c r="AI34" i="14" s="1"/>
  <c r="AI36" i="14" s="1"/>
  <c r="AI8" i="23" s="1"/>
  <c r="AI12" i="25" s="1"/>
  <c r="AI19" i="25" s="1"/>
  <c r="AI43" i="14"/>
  <c r="AI45" i="14" s="1"/>
  <c r="AI50" i="14" s="1"/>
  <c r="AI52" i="14" s="1"/>
  <c r="AI57" i="14" s="1"/>
  <c r="AJ107" i="15"/>
  <c r="AJ62" i="15"/>
  <c r="AJ75" i="15" s="1"/>
  <c r="AJ88" i="15" s="1"/>
  <c r="AJ120" i="15" s="1"/>
  <c r="AK166" i="17"/>
  <c r="AK36" i="17"/>
  <c r="AJ123" i="17"/>
  <c r="AJ55" i="17"/>
  <c r="AJ68" i="17" s="1"/>
  <c r="AJ81" i="17" s="1"/>
  <c r="AJ136" i="17" s="1"/>
  <c r="AJ115" i="17"/>
  <c r="AJ47" i="17"/>
  <c r="AJ60" i="17" s="1"/>
  <c r="AJ73" i="17" s="1"/>
  <c r="AJ128" i="17" s="1"/>
  <c r="AK166" i="15"/>
  <c r="AK50" i="15"/>
  <c r="AK209" i="19"/>
  <c r="AK50" i="19"/>
  <c r="AJ110" i="15"/>
  <c r="AJ65" i="15"/>
  <c r="AJ78" i="15" s="1"/>
  <c r="AJ91" i="15" s="1"/>
  <c r="AJ123" i="15" s="1"/>
  <c r="AJ109" i="15"/>
  <c r="AJ64" i="15"/>
  <c r="AJ77" i="15" s="1"/>
  <c r="AJ90" i="15" s="1"/>
  <c r="AJ122" i="15" s="1"/>
  <c r="AK198" i="18"/>
  <c r="AK62" i="18"/>
  <c r="AJ82" i="19" l="1"/>
  <c r="AJ117" i="19" s="1"/>
  <c r="AJ83" i="19"/>
  <c r="AJ118" i="19" s="1"/>
  <c r="AJ90" i="19"/>
  <c r="AJ125" i="19" s="1"/>
  <c r="AJ86" i="19"/>
  <c r="AJ121" i="19" s="1"/>
  <c r="AJ85" i="19"/>
  <c r="AJ120" i="19" s="1"/>
  <c r="AJ87" i="19"/>
  <c r="AJ122" i="19" s="1"/>
  <c r="AJ84" i="19"/>
  <c r="AJ119" i="19" s="1"/>
  <c r="AJ93" i="19"/>
  <c r="AJ128" i="19" s="1"/>
  <c r="AJ91" i="19"/>
  <c r="AJ126" i="19" s="1"/>
  <c r="AJ89" i="19"/>
  <c r="AJ124" i="19" s="1"/>
  <c r="AJ88" i="19"/>
  <c r="AJ123" i="19" s="1"/>
  <c r="Y211" i="15"/>
  <c r="Y215" i="15" s="1"/>
  <c r="Y12" i="23" s="1"/>
  <c r="AI32" i="18"/>
  <c r="AI162" i="18" s="1"/>
  <c r="AI29" i="18"/>
  <c r="AI159" i="18" s="1"/>
  <c r="AI27" i="18"/>
  <c r="AI157" i="18" s="1"/>
  <c r="AI38" i="18"/>
  <c r="AI168" i="18" s="1"/>
  <c r="AI33" i="18"/>
  <c r="AI163" i="18" s="1"/>
  <c r="AI30" i="18"/>
  <c r="AI160" i="18" s="1"/>
  <c r="AI34" i="18"/>
  <c r="AI164" i="18" s="1"/>
  <c r="AI31" i="18"/>
  <c r="AI161" i="18" s="1"/>
  <c r="AI37" i="18"/>
  <c r="AI167" i="18" s="1"/>
  <c r="AI36" i="18"/>
  <c r="AI166" i="18" s="1"/>
  <c r="AI35" i="18"/>
  <c r="AI165" i="18" s="1"/>
  <c r="AI28" i="18"/>
  <c r="AI158" i="18" s="1"/>
  <c r="AH38" i="18"/>
  <c r="AH168" i="18" s="1"/>
  <c r="AH36" i="18"/>
  <c r="AH166" i="18" s="1"/>
  <c r="AH31" i="18"/>
  <c r="AH161" i="18" s="1"/>
  <c r="AH37" i="18"/>
  <c r="AH167" i="18" s="1"/>
  <c r="AH35" i="18"/>
  <c r="AH165" i="18" s="1"/>
  <c r="AH27" i="18"/>
  <c r="AH157" i="18" s="1"/>
  <c r="AH30" i="18"/>
  <c r="AH160" i="18" s="1"/>
  <c r="AH28" i="18"/>
  <c r="AH158" i="18" s="1"/>
  <c r="AH34" i="18"/>
  <c r="AH164" i="18" s="1"/>
  <c r="AH33" i="18"/>
  <c r="AH163" i="18" s="1"/>
  <c r="AH32" i="18"/>
  <c r="AH162" i="18" s="1"/>
  <c r="AH29" i="18"/>
  <c r="AH159" i="18" s="1"/>
  <c r="Y110" i="17"/>
  <c r="AA149" i="17" s="1"/>
  <c r="AA200" i="17" s="1"/>
  <c r="Y148" i="15"/>
  <c r="Y210" i="15" s="1"/>
  <c r="Y214" i="15" s="1"/>
  <c r="Y113" i="18"/>
  <c r="AJ152" i="18" s="1"/>
  <c r="AJ232" i="18" s="1"/>
  <c r="Y10" i="23"/>
  <c r="Y13" i="25" s="1"/>
  <c r="Y20" i="25" s="1"/>
  <c r="Y186" i="18"/>
  <c r="Y12" i="21"/>
  <c r="AJ137" i="15"/>
  <c r="AJ197" i="15" s="1"/>
  <c r="AK59" i="14"/>
  <c r="AK65" i="14" s="1"/>
  <c r="AK67" i="14" s="1"/>
  <c r="AK155" i="15" s="1"/>
  <c r="AQ11" i="10"/>
  <c r="AQ30" i="10" s="1"/>
  <c r="AQ31" i="10" s="1"/>
  <c r="AQ45" i="10" s="1"/>
  <c r="AQ46" i="10" s="1"/>
  <c r="AR10" i="10"/>
  <c r="AJ59" i="14"/>
  <c r="AJ65" i="14" s="1"/>
  <c r="AJ67" i="14" s="1"/>
  <c r="AJ155" i="15" s="1"/>
  <c r="AJ157" i="15" s="1"/>
  <c r="AI99" i="15"/>
  <c r="AI11" i="21"/>
  <c r="AI56" i="14"/>
  <c r="AI59" i="14" s="1"/>
  <c r="AI65" i="14" s="1"/>
  <c r="AI67" i="14" s="1"/>
  <c r="AI155" i="15" s="1"/>
  <c r="AI154" i="15"/>
  <c r="AK120" i="18"/>
  <c r="AK75" i="18"/>
  <c r="AK88" i="18" s="1"/>
  <c r="AK101" i="18" s="1"/>
  <c r="AK133" i="18" s="1"/>
  <c r="AK108" i="15"/>
  <c r="AK63" i="15"/>
  <c r="AK76" i="15" s="1"/>
  <c r="AK89" i="15" s="1"/>
  <c r="AK121" i="15" s="1"/>
  <c r="AL203" i="19"/>
  <c r="AL44" i="19"/>
  <c r="AL213" i="19"/>
  <c r="AL54" i="19"/>
  <c r="AL165" i="17"/>
  <c r="AL35" i="17"/>
  <c r="AL38" i="17"/>
  <c r="AL168" i="17"/>
  <c r="AM14" i="15"/>
  <c r="AM13" i="15"/>
  <c r="AM24" i="15"/>
  <c r="AM23" i="15"/>
  <c r="AM22" i="15"/>
  <c r="AM21" i="15"/>
  <c r="AM20" i="15"/>
  <c r="AM19" i="15"/>
  <c r="AM18" i="15"/>
  <c r="AM17" i="15"/>
  <c r="AM16" i="15"/>
  <c r="AM15" i="15"/>
  <c r="AL160" i="15"/>
  <c r="AL44" i="15"/>
  <c r="AL168" i="15"/>
  <c r="AL52" i="15"/>
  <c r="AK104" i="19"/>
  <c r="AK56" i="19"/>
  <c r="AK69" i="19" s="1"/>
  <c r="AK107" i="19"/>
  <c r="AK59" i="19"/>
  <c r="AK72" i="19" s="1"/>
  <c r="AL194" i="18"/>
  <c r="AL58" i="18"/>
  <c r="AL200" i="18"/>
  <c r="AL64" i="18"/>
  <c r="AK126" i="18"/>
  <c r="AK81" i="18"/>
  <c r="AK94" i="18" s="1"/>
  <c r="AK107" i="18" s="1"/>
  <c r="AK139" i="18" s="1"/>
  <c r="AK101" i="15"/>
  <c r="AK56" i="15"/>
  <c r="AK69" i="15" s="1"/>
  <c r="AK82" i="15" s="1"/>
  <c r="AK114" i="15" s="1"/>
  <c r="AL59" i="18"/>
  <c r="AL195" i="18"/>
  <c r="AM13" i="18"/>
  <c r="AL193" i="18"/>
  <c r="AL57" i="18"/>
  <c r="AL204" i="19"/>
  <c r="AL45" i="19"/>
  <c r="AM23" i="19"/>
  <c r="AL53" i="19"/>
  <c r="AL212" i="19"/>
  <c r="AM24" i="18"/>
  <c r="AL204" i="18"/>
  <c r="AL68" i="18"/>
  <c r="AL163" i="17"/>
  <c r="AL33" i="17"/>
  <c r="AM13" i="17"/>
  <c r="AL161" i="17"/>
  <c r="AL31" i="17"/>
  <c r="AJ198" i="15"/>
  <c r="AK122" i="18"/>
  <c r="AK77" i="18"/>
  <c r="AK90" i="18" s="1"/>
  <c r="AK103" i="18" s="1"/>
  <c r="AK135" i="18" s="1"/>
  <c r="AN97" i="19"/>
  <c r="AN11" i="19"/>
  <c r="AN111" i="18"/>
  <c r="AN11" i="18"/>
  <c r="AN108" i="17"/>
  <c r="AN11" i="17"/>
  <c r="AN97" i="15"/>
  <c r="AN11" i="15"/>
  <c r="AN21" i="14"/>
  <c r="AN23" i="14" s="1"/>
  <c r="AJ58" i="17"/>
  <c r="AJ71" i="17" s="1"/>
  <c r="AJ126" i="17" s="1"/>
  <c r="AK115" i="18"/>
  <c r="AK70" i="18"/>
  <c r="AK83" i="18" s="1"/>
  <c r="AK96" i="18" s="1"/>
  <c r="AK128" i="18" s="1"/>
  <c r="AK109" i="19"/>
  <c r="AK61" i="19"/>
  <c r="AK74" i="19" s="1"/>
  <c r="AK106" i="19"/>
  <c r="AK58" i="19"/>
  <c r="AK71" i="19" s="1"/>
  <c r="AL161" i="15"/>
  <c r="AL45" i="15"/>
  <c r="AL169" i="15"/>
  <c r="AL53" i="15"/>
  <c r="AK113" i="17"/>
  <c r="AK45" i="17"/>
  <c r="AK121" i="18"/>
  <c r="AK76" i="18"/>
  <c r="AK89" i="18" s="1"/>
  <c r="AK102" i="18" s="1"/>
  <c r="AK134" i="18" s="1"/>
  <c r="AK110" i="15"/>
  <c r="AK65" i="15"/>
  <c r="AK78" i="15" s="1"/>
  <c r="AK91" i="15" s="1"/>
  <c r="AK123" i="15" s="1"/>
  <c r="AK11" i="21"/>
  <c r="AK8" i="23"/>
  <c r="AK12" i="25" s="1"/>
  <c r="AK99" i="15"/>
  <c r="AK154" i="15"/>
  <c r="AL196" i="18"/>
  <c r="AL60" i="18"/>
  <c r="AK115" i="17"/>
  <c r="AK47" i="17"/>
  <c r="AK60" i="17" s="1"/>
  <c r="AK73" i="17" s="1"/>
  <c r="AK128" i="17" s="1"/>
  <c r="AL207" i="19"/>
  <c r="AL48" i="19"/>
  <c r="AL202" i="19"/>
  <c r="AL43" i="19"/>
  <c r="AK117" i="18"/>
  <c r="AK72" i="18"/>
  <c r="AK85" i="18" s="1"/>
  <c r="AK98" i="18" s="1"/>
  <c r="AK130" i="18" s="1"/>
  <c r="AK62" i="19"/>
  <c r="AK75" i="19" s="1"/>
  <c r="AK110" i="19"/>
  <c r="AL164" i="17"/>
  <c r="AL34" i="17"/>
  <c r="AK108" i="19"/>
  <c r="AK60" i="19"/>
  <c r="AK73" i="19" s="1"/>
  <c r="AK112" i="17"/>
  <c r="AK44" i="17"/>
  <c r="AK57" i="17" s="1"/>
  <c r="AK70" i="17" s="1"/>
  <c r="AK125" i="17" s="1"/>
  <c r="AK123" i="18"/>
  <c r="AK78" i="18"/>
  <c r="AK91" i="18" s="1"/>
  <c r="AK104" i="18" s="1"/>
  <c r="AK136" i="18" s="1"/>
  <c r="AJ127" i="19"/>
  <c r="AL162" i="15"/>
  <c r="AL46" i="15"/>
  <c r="AL170" i="15"/>
  <c r="AL54" i="15"/>
  <c r="AG5" i="15"/>
  <c r="AG5" i="25"/>
  <c r="AG5" i="21"/>
  <c r="AG5" i="23"/>
  <c r="AG5" i="19"/>
  <c r="AG5" i="18"/>
  <c r="AG5" i="17"/>
  <c r="AG5" i="14"/>
  <c r="AG5" i="12"/>
  <c r="AF54" i="10"/>
  <c r="AM14" i="17"/>
  <c r="AM24" i="17"/>
  <c r="AM20" i="17"/>
  <c r="AM22" i="17"/>
  <c r="AM21" i="17"/>
  <c r="AM18" i="17"/>
  <c r="AM19" i="17"/>
  <c r="AM17" i="17"/>
  <c r="AM15" i="17"/>
  <c r="AM16" i="17"/>
  <c r="AL163" i="15"/>
  <c r="AL47" i="15"/>
  <c r="AL159" i="15"/>
  <c r="AL43" i="15"/>
  <c r="AK102" i="15"/>
  <c r="AK57" i="15"/>
  <c r="AK70" i="15" s="1"/>
  <c r="AK83" i="15" s="1"/>
  <c r="AK115" i="15" s="1"/>
  <c r="AP196" i="19"/>
  <c r="AP10" i="19"/>
  <c r="AP98" i="19"/>
  <c r="AP10" i="18"/>
  <c r="AP112" i="18"/>
  <c r="AP184" i="18"/>
  <c r="AP109" i="17"/>
  <c r="AP152" i="15"/>
  <c r="AP155" i="17"/>
  <c r="AP10" i="17"/>
  <c r="AP98" i="15"/>
  <c r="AP10" i="15"/>
  <c r="AP20" i="10"/>
  <c r="AQ19" i="10"/>
  <c r="AK107" i="15"/>
  <c r="AK62" i="15"/>
  <c r="AK75" i="15" s="1"/>
  <c r="AK88" i="15" s="1"/>
  <c r="AK120" i="15" s="1"/>
  <c r="AL61" i="18"/>
  <c r="AL197" i="18"/>
  <c r="AL205" i="19"/>
  <c r="AL46" i="19"/>
  <c r="AL208" i="19"/>
  <c r="AL49" i="19"/>
  <c r="AL37" i="17"/>
  <c r="AL167" i="17"/>
  <c r="AK105" i="15"/>
  <c r="AK60" i="15"/>
  <c r="AK73" i="15" s="1"/>
  <c r="AK86" i="15" s="1"/>
  <c r="AK118" i="15" s="1"/>
  <c r="AK116" i="17"/>
  <c r="AK48" i="17"/>
  <c r="AK61" i="17" s="1"/>
  <c r="AK74" i="17" s="1"/>
  <c r="AK129" i="17" s="1"/>
  <c r="AO21" i="10"/>
  <c r="AO3" i="25"/>
  <c r="AO3" i="21"/>
  <c r="AO3" i="19"/>
  <c r="AO3" i="23"/>
  <c r="AO3" i="18"/>
  <c r="AO3" i="17"/>
  <c r="AO3" i="15"/>
  <c r="AO3" i="14"/>
  <c r="AO3" i="12"/>
  <c r="AO24" i="10"/>
  <c r="AO52" i="10" s="1"/>
  <c r="AO36" i="10"/>
  <c r="AO51" i="10"/>
  <c r="AK114" i="19"/>
  <c r="AK66" i="19"/>
  <c r="AK79" i="19" s="1"/>
  <c r="AH13" i="14"/>
  <c r="AH15" i="14" s="1"/>
  <c r="AH26" i="14" s="1"/>
  <c r="AH28" i="14" s="1"/>
  <c r="AH34" i="14" s="1"/>
  <c r="AH36" i="14" s="1"/>
  <c r="AH99" i="15" s="1"/>
  <c r="AH135" i="15" s="1"/>
  <c r="AH195" i="15" s="1"/>
  <c r="AH43" i="14"/>
  <c r="AH45" i="14" s="1"/>
  <c r="AH50" i="14" s="1"/>
  <c r="AH52" i="14" s="1"/>
  <c r="AH57" i="14" s="1"/>
  <c r="AM14" i="18"/>
  <c r="AM23" i="18"/>
  <c r="AM20" i="18"/>
  <c r="AM21" i="18"/>
  <c r="AM22" i="18"/>
  <c r="AM19" i="18"/>
  <c r="AM17" i="18"/>
  <c r="AM18" i="18"/>
  <c r="AM16" i="18"/>
  <c r="AM15" i="18"/>
  <c r="AK111" i="15"/>
  <c r="AK137" i="15" s="1"/>
  <c r="AK66" i="15"/>
  <c r="AK79" i="15" s="1"/>
  <c r="AK92" i="15" s="1"/>
  <c r="AK124" i="15" s="1"/>
  <c r="AL164" i="15"/>
  <c r="AL48" i="15"/>
  <c r="AK119" i="17"/>
  <c r="AK51" i="17"/>
  <c r="AK64" i="17" s="1"/>
  <c r="AK77" i="17" s="1"/>
  <c r="AK132" i="17" s="1"/>
  <c r="AL198" i="18"/>
  <c r="AL62" i="18"/>
  <c r="AK116" i="18"/>
  <c r="AK71" i="18"/>
  <c r="AK84" i="18" s="1"/>
  <c r="AK97" i="18" s="1"/>
  <c r="AK129" i="18" s="1"/>
  <c r="AL199" i="18"/>
  <c r="AL63" i="18"/>
  <c r="AL209" i="19"/>
  <c r="AL50" i="19"/>
  <c r="AK106" i="15"/>
  <c r="AK61" i="15"/>
  <c r="AK74" i="15" s="1"/>
  <c r="AK87" i="15" s="1"/>
  <c r="AK119" i="15" s="1"/>
  <c r="AL39" i="17"/>
  <c r="AL169" i="17"/>
  <c r="AK114" i="17"/>
  <c r="AK46" i="17"/>
  <c r="AK59" i="17" s="1"/>
  <c r="AK72" i="17" s="1"/>
  <c r="AK127" i="17" s="1"/>
  <c r="AK125" i="18"/>
  <c r="AK80" i="18"/>
  <c r="AK93" i="18" s="1"/>
  <c r="AK106" i="18" s="1"/>
  <c r="AK138" i="18" s="1"/>
  <c r="AK112" i="15"/>
  <c r="AK67" i="15"/>
  <c r="AK80" i="15" s="1"/>
  <c r="AK93" i="15" s="1"/>
  <c r="AK125" i="15" s="1"/>
  <c r="AL165" i="15"/>
  <c r="AL49" i="15"/>
  <c r="AK119" i="18"/>
  <c r="AK74" i="18"/>
  <c r="AK87" i="18" s="1"/>
  <c r="AK100" i="18" s="1"/>
  <c r="AK132" i="18" s="1"/>
  <c r="AK121" i="17"/>
  <c r="AK53" i="17"/>
  <c r="AK66" i="17" s="1"/>
  <c r="AK79" i="17" s="1"/>
  <c r="AK134" i="17" s="1"/>
  <c r="AM307" i="19"/>
  <c r="AM238" i="18"/>
  <c r="AM204" i="15"/>
  <c r="AM207" i="17"/>
  <c r="AM64" i="14"/>
  <c r="AM33" i="14"/>
  <c r="AM41" i="10"/>
  <c r="AL206" i="19"/>
  <c r="AL47" i="19"/>
  <c r="AL166" i="17"/>
  <c r="AL36" i="17"/>
  <c r="AK111" i="19"/>
  <c r="AK63" i="19"/>
  <c r="AK76" i="19" s="1"/>
  <c r="AK117" i="17"/>
  <c r="AK49" i="17"/>
  <c r="AK62" i="17" s="1"/>
  <c r="AK75" i="17" s="1"/>
  <c r="AK130" i="17" s="1"/>
  <c r="AK118" i="18"/>
  <c r="AK73" i="18"/>
  <c r="AK86" i="18" s="1"/>
  <c r="AK99" i="18" s="1"/>
  <c r="AK131" i="18" s="1"/>
  <c r="AL65" i="18"/>
  <c r="AL201" i="18"/>
  <c r="AK109" i="15"/>
  <c r="AK64" i="15"/>
  <c r="AK77" i="15" s="1"/>
  <c r="AK90" i="15" s="1"/>
  <c r="AK122" i="15" s="1"/>
  <c r="AL210" i="19"/>
  <c r="AL51" i="19"/>
  <c r="AL170" i="17"/>
  <c r="AL40" i="17"/>
  <c r="AL4" i="23"/>
  <c r="AL4" i="25"/>
  <c r="AL4" i="21"/>
  <c r="AL4" i="19"/>
  <c r="AL4" i="18"/>
  <c r="AL4" i="17"/>
  <c r="AL4" i="15"/>
  <c r="AL4" i="14"/>
  <c r="AL4" i="12"/>
  <c r="AN39" i="10"/>
  <c r="AN38" i="10"/>
  <c r="AL67" i="18"/>
  <c r="AL203" i="18"/>
  <c r="AK118" i="17"/>
  <c r="AK50" i="17"/>
  <c r="AK63" i="17" s="1"/>
  <c r="AK76" i="17" s="1"/>
  <c r="AK131" i="17" s="1"/>
  <c r="AK103" i="15"/>
  <c r="AK58" i="15"/>
  <c r="AK71" i="15" s="1"/>
  <c r="AK84" i="15" s="1"/>
  <c r="AK116" i="15" s="1"/>
  <c r="AL166" i="15"/>
  <c r="AL50" i="15"/>
  <c r="AK120" i="17"/>
  <c r="AK52" i="17"/>
  <c r="AK65" i="17" s="1"/>
  <c r="AK78" i="17" s="1"/>
  <c r="AK133" i="17" s="1"/>
  <c r="AK113" i="19"/>
  <c r="AK65" i="19"/>
  <c r="AK78" i="19" s="1"/>
  <c r="AK122" i="17"/>
  <c r="AK54" i="17"/>
  <c r="AK67" i="17" s="1"/>
  <c r="AK80" i="17" s="1"/>
  <c r="AK135" i="17" s="1"/>
  <c r="AL202" i="18"/>
  <c r="AL66" i="18"/>
  <c r="AL211" i="19"/>
  <c r="AL52" i="19"/>
  <c r="AL32" i="17"/>
  <c r="AL162" i="17"/>
  <c r="AL172" i="17"/>
  <c r="AL42" i="17"/>
  <c r="AK105" i="19"/>
  <c r="AK57" i="19"/>
  <c r="AK70" i="19" s="1"/>
  <c r="AK124" i="18"/>
  <c r="AK79" i="18"/>
  <c r="AK92" i="18" s="1"/>
  <c r="AK105" i="18" s="1"/>
  <c r="AK137" i="18" s="1"/>
  <c r="AK104" i="15"/>
  <c r="AK59" i="15"/>
  <c r="AK72" i="15" s="1"/>
  <c r="AK85" i="15" s="1"/>
  <c r="AK117" i="15" s="1"/>
  <c r="AK123" i="17"/>
  <c r="AK55" i="17"/>
  <c r="AK68" i="17" s="1"/>
  <c r="AK81" i="17" s="1"/>
  <c r="AK136" i="17" s="1"/>
  <c r="AM14" i="19"/>
  <c r="AM13" i="19"/>
  <c r="AM24" i="19"/>
  <c r="AM22" i="19"/>
  <c r="AM21" i="19"/>
  <c r="AM19" i="19"/>
  <c r="AM20" i="19"/>
  <c r="AM16" i="19"/>
  <c r="AM17" i="19"/>
  <c r="AM18" i="19"/>
  <c r="AM15" i="19"/>
  <c r="AK115" i="19"/>
  <c r="AK67" i="19"/>
  <c r="AK80" i="19" s="1"/>
  <c r="AL167" i="15"/>
  <c r="AL51" i="15"/>
  <c r="AK64" i="19"/>
  <c r="AK77" i="19" s="1"/>
  <c r="AK112" i="19"/>
  <c r="AM23" i="17"/>
  <c r="AL171" i="17"/>
  <c r="AL41" i="17"/>
  <c r="AK89" i="19" l="1"/>
  <c r="AK124" i="19" s="1"/>
  <c r="AK85" i="19"/>
  <c r="AK120" i="19" s="1"/>
  <c r="AK92" i="19"/>
  <c r="AK127" i="19" s="1"/>
  <c r="AK83" i="19"/>
  <c r="AK118" i="19" s="1"/>
  <c r="AK88" i="19"/>
  <c r="AK123" i="19" s="1"/>
  <c r="AK82" i="19"/>
  <c r="AK117" i="19" s="1"/>
  <c r="AK93" i="19"/>
  <c r="AK128" i="19" s="1"/>
  <c r="AK90" i="19"/>
  <c r="AK125" i="19" s="1"/>
  <c r="AK84" i="19"/>
  <c r="AK119" i="19" s="1"/>
  <c r="AK91" i="19"/>
  <c r="AK126" i="19" s="1"/>
  <c r="AK86" i="19"/>
  <c r="AK121" i="19" s="1"/>
  <c r="AK87" i="19"/>
  <c r="AK122" i="19" s="1"/>
  <c r="Y88" i="17"/>
  <c r="Y90" i="17" s="1"/>
  <c r="Y92" i="17" s="1"/>
  <c r="Y98" i="17" s="1"/>
  <c r="Y188" i="18" s="1"/>
  <c r="AK19" i="25"/>
  <c r="AK25" i="25"/>
  <c r="Y187" i="18"/>
  <c r="Y13" i="21"/>
  <c r="Y9" i="23"/>
  <c r="AG36" i="18"/>
  <c r="AG166" i="18" s="1"/>
  <c r="AG27" i="18"/>
  <c r="AG157" i="18" s="1"/>
  <c r="AG31" i="18"/>
  <c r="AG161" i="18" s="1"/>
  <c r="AG35" i="18"/>
  <c r="AG165" i="18" s="1"/>
  <c r="AG37" i="18"/>
  <c r="AG167" i="18" s="1"/>
  <c r="AG33" i="18"/>
  <c r="AG163" i="18" s="1"/>
  <c r="AG34" i="18"/>
  <c r="AG164" i="18" s="1"/>
  <c r="AG28" i="18"/>
  <c r="AG158" i="18" s="1"/>
  <c r="AG32" i="18"/>
  <c r="AG162" i="18" s="1"/>
  <c r="AG29" i="18"/>
  <c r="AG159" i="18" s="1"/>
  <c r="AG38" i="18"/>
  <c r="AG168" i="18" s="1"/>
  <c r="AG30" i="18"/>
  <c r="AG160" i="18" s="1"/>
  <c r="AK136" i="15"/>
  <c r="AK196" i="15" s="1"/>
  <c r="AD149" i="17"/>
  <c r="AD200" i="17" s="1"/>
  <c r="AG149" i="17"/>
  <c r="AG200" i="17" s="1"/>
  <c r="AH149" i="17"/>
  <c r="AH200" i="17" s="1"/>
  <c r="AC149" i="17"/>
  <c r="AC200" i="17" s="1"/>
  <c r="Y149" i="17"/>
  <c r="Y200" i="17" s="1"/>
  <c r="Z149" i="17"/>
  <c r="Z200" i="17" s="1"/>
  <c r="AJ149" i="17"/>
  <c r="AJ200" i="17" s="1"/>
  <c r="AB149" i="17"/>
  <c r="AB200" i="17" s="1"/>
  <c r="AF149" i="17"/>
  <c r="AF200" i="17" s="1"/>
  <c r="AI149" i="17"/>
  <c r="AI200" i="17" s="1"/>
  <c r="AE149" i="17"/>
  <c r="AE200" i="17" s="1"/>
  <c r="AF152" i="18"/>
  <c r="AF232" i="18" s="1"/>
  <c r="Z152" i="18"/>
  <c r="Z232" i="18" s="1"/>
  <c r="AA152" i="18"/>
  <c r="AA232" i="18" s="1"/>
  <c r="AH152" i="18"/>
  <c r="AH232" i="18" s="1"/>
  <c r="AC152" i="18"/>
  <c r="AC232" i="18" s="1"/>
  <c r="AI152" i="18"/>
  <c r="AI232" i="18" s="1"/>
  <c r="AB152" i="18"/>
  <c r="AB232" i="18" s="1"/>
  <c r="AD152" i="18"/>
  <c r="AD232" i="18" s="1"/>
  <c r="AE152" i="18"/>
  <c r="AE232" i="18" s="1"/>
  <c r="Y152" i="18"/>
  <c r="Y232" i="18" s="1"/>
  <c r="AG152" i="18"/>
  <c r="AG232" i="18" s="1"/>
  <c r="AI136" i="15"/>
  <c r="AI196" i="15" s="1"/>
  <c r="AJ136" i="15"/>
  <c r="AJ196" i="15" s="1"/>
  <c r="AH11" i="21"/>
  <c r="AK157" i="15"/>
  <c r="AK184" i="15" s="1"/>
  <c r="AR11" i="10"/>
  <c r="AR30" i="10" s="1"/>
  <c r="AR31" i="10" s="1"/>
  <c r="AR45" i="10" s="1"/>
  <c r="AR46" i="10" s="1"/>
  <c r="AS10" i="10"/>
  <c r="AJ183" i="15"/>
  <c r="AK183" i="15"/>
  <c r="AL183" i="15"/>
  <c r="AI157" i="15"/>
  <c r="AL182" i="15" s="1"/>
  <c r="AH8" i="23"/>
  <c r="AH12" i="25" s="1"/>
  <c r="AH19" i="25" s="1"/>
  <c r="AH154" i="15"/>
  <c r="AH56" i="14"/>
  <c r="AH59" i="14" s="1"/>
  <c r="AH65" i="14" s="1"/>
  <c r="AH67" i="14" s="1"/>
  <c r="AH155" i="15" s="1"/>
  <c r="AK197" i="15"/>
  <c r="AK138" i="15"/>
  <c r="AK198" i="15" s="1"/>
  <c r="AM204" i="19"/>
  <c r="AM45" i="19"/>
  <c r="AM213" i="19"/>
  <c r="AM54" i="19"/>
  <c r="AL125" i="18"/>
  <c r="AL80" i="18"/>
  <c r="AL93" i="18" s="1"/>
  <c r="AL106" i="18" s="1"/>
  <c r="AL138" i="18" s="1"/>
  <c r="AL121" i="17"/>
  <c r="AL53" i="17"/>
  <c r="AL66" i="17" s="1"/>
  <c r="AL79" i="17" s="1"/>
  <c r="AL134" i="17" s="1"/>
  <c r="AM66" i="18"/>
  <c r="AM202" i="18"/>
  <c r="AL110" i="19"/>
  <c r="AL62" i="19"/>
  <c r="AL75" i="19" s="1"/>
  <c r="AQ98" i="19"/>
  <c r="AQ196" i="19"/>
  <c r="AQ10" i="19"/>
  <c r="AQ10" i="18"/>
  <c r="AQ112" i="18"/>
  <c r="AQ184" i="18"/>
  <c r="AQ109" i="17"/>
  <c r="AQ152" i="15"/>
  <c r="AQ155" i="17"/>
  <c r="AQ10" i="17"/>
  <c r="AQ98" i="15"/>
  <c r="AQ10" i="15"/>
  <c r="AQ20" i="10"/>
  <c r="AR19" i="10"/>
  <c r="AL101" i="15"/>
  <c r="AL56" i="15"/>
  <c r="AL69" i="15" s="1"/>
  <c r="AL82" i="15" s="1"/>
  <c r="AL114" i="15" s="1"/>
  <c r="AM166" i="17"/>
  <c r="AM36" i="17"/>
  <c r="AG13" i="14"/>
  <c r="AG15" i="14" s="1"/>
  <c r="AG26" i="14" s="1"/>
  <c r="AG28" i="14" s="1"/>
  <c r="AG56" i="14" s="1"/>
  <c r="AG43" i="14"/>
  <c r="AG45" i="14" s="1"/>
  <c r="AG50" i="14" s="1"/>
  <c r="AG52" i="14" s="1"/>
  <c r="AG57" i="14" s="1"/>
  <c r="AL112" i="15"/>
  <c r="AL138" i="15" s="1"/>
  <c r="AL67" i="15"/>
  <c r="AL80" i="15" s="1"/>
  <c r="AL93" i="15" s="1"/>
  <c r="AL125" i="15" s="1"/>
  <c r="AL111" i="15"/>
  <c r="AL137" i="15" s="1"/>
  <c r="AL66" i="15"/>
  <c r="AL79" i="15" s="1"/>
  <c r="AL92" i="15" s="1"/>
  <c r="AL124" i="15" s="1"/>
  <c r="AL112" i="17"/>
  <c r="AL44" i="17"/>
  <c r="AL57" i="17" s="1"/>
  <c r="AL70" i="17" s="1"/>
  <c r="AL125" i="17" s="1"/>
  <c r="AL116" i="18"/>
  <c r="AL71" i="18"/>
  <c r="AL84" i="18" s="1"/>
  <c r="AL97" i="18" s="1"/>
  <c r="AL129" i="18" s="1"/>
  <c r="AL57" i="15"/>
  <c r="AL70" i="15" s="1"/>
  <c r="AL83" i="15" s="1"/>
  <c r="AL115" i="15" s="1"/>
  <c r="AL102" i="15"/>
  <c r="AM167" i="15"/>
  <c r="AM51" i="15"/>
  <c r="AL115" i="19"/>
  <c r="AL67" i="19"/>
  <c r="AL80" i="19" s="1"/>
  <c r="AN23" i="17"/>
  <c r="AM171" i="17"/>
  <c r="AM41" i="17"/>
  <c r="AM207" i="19"/>
  <c r="AM48" i="19"/>
  <c r="AM43" i="19"/>
  <c r="AM202" i="19"/>
  <c r="AL124" i="18"/>
  <c r="AL79" i="18"/>
  <c r="AL92" i="18" s="1"/>
  <c r="AL105" i="18" s="1"/>
  <c r="AL137" i="18" s="1"/>
  <c r="AL108" i="15"/>
  <c r="AL63" i="15"/>
  <c r="AL76" i="15" s="1"/>
  <c r="AL89" i="15" s="1"/>
  <c r="AL121" i="15" s="1"/>
  <c r="AL107" i="15"/>
  <c r="AL62" i="15"/>
  <c r="AL75" i="15" s="1"/>
  <c r="AL88" i="15" s="1"/>
  <c r="AL120" i="15" s="1"/>
  <c r="AM201" i="18"/>
  <c r="AM65" i="18"/>
  <c r="AP21" i="10"/>
  <c r="AP3" i="25"/>
  <c r="AP3" i="21"/>
  <c r="AP3" i="23"/>
  <c r="AP3" i="19"/>
  <c r="AP3" i="18"/>
  <c r="AP3" i="17"/>
  <c r="AP3" i="15"/>
  <c r="AP24" i="10"/>
  <c r="AP52" i="10" s="1"/>
  <c r="AP36" i="10"/>
  <c r="AP51" i="10"/>
  <c r="AP3" i="12"/>
  <c r="AP3" i="14"/>
  <c r="AM169" i="17"/>
  <c r="AM39" i="17"/>
  <c r="AN15" i="18"/>
  <c r="AN13" i="18"/>
  <c r="AN24" i="18"/>
  <c r="AN23" i="18"/>
  <c r="AN20" i="18"/>
  <c r="AN22" i="18"/>
  <c r="AN21" i="18"/>
  <c r="AN19" i="18"/>
  <c r="AN18" i="18"/>
  <c r="AN17" i="18"/>
  <c r="AN16" i="18"/>
  <c r="AL66" i="19"/>
  <c r="AL79" i="19" s="1"/>
  <c r="AL114" i="19"/>
  <c r="AL117" i="18"/>
  <c r="AL72" i="18"/>
  <c r="AL85" i="18" s="1"/>
  <c r="AL98" i="18" s="1"/>
  <c r="AL130" i="18" s="1"/>
  <c r="AM168" i="15"/>
  <c r="AM52" i="15"/>
  <c r="AM206" i="19"/>
  <c r="AM47" i="19"/>
  <c r="AM203" i="19"/>
  <c r="AM44" i="19"/>
  <c r="AL112" i="19"/>
  <c r="AL64" i="19"/>
  <c r="AL77" i="19" s="1"/>
  <c r="AL117" i="17"/>
  <c r="AL49" i="17"/>
  <c r="AL62" i="17" s="1"/>
  <c r="AL75" i="17" s="1"/>
  <c r="AL130" i="17" s="1"/>
  <c r="AL120" i="17"/>
  <c r="AL52" i="17"/>
  <c r="AL65" i="17" s="1"/>
  <c r="AL78" i="17" s="1"/>
  <c r="AL133" i="17" s="1"/>
  <c r="AM200" i="18"/>
  <c r="AM64" i="18"/>
  <c r="AO39" i="10"/>
  <c r="AO38" i="10"/>
  <c r="AL107" i="19"/>
  <c r="AL59" i="19"/>
  <c r="AL72" i="19" s="1"/>
  <c r="AL105" i="15"/>
  <c r="AL60" i="15"/>
  <c r="AL73" i="15" s="1"/>
  <c r="AL86" i="15" s="1"/>
  <c r="AL118" i="15" s="1"/>
  <c r="AM170" i="17"/>
  <c r="AM40" i="17"/>
  <c r="AL104" i="15"/>
  <c r="AL59" i="15"/>
  <c r="AL72" i="15" s="1"/>
  <c r="AL85" i="15" s="1"/>
  <c r="AL117" i="15" s="1"/>
  <c r="AL103" i="15"/>
  <c r="AL58" i="15"/>
  <c r="AL71" i="15" s="1"/>
  <c r="AL84" i="15" s="1"/>
  <c r="AL116" i="15" s="1"/>
  <c r="AM161" i="17"/>
  <c r="AM31" i="17"/>
  <c r="AN23" i="19"/>
  <c r="AM53" i="19"/>
  <c r="AM212" i="19"/>
  <c r="AM45" i="15"/>
  <c r="AM161" i="15"/>
  <c r="AM169" i="15"/>
  <c r="AM183" i="15" s="1"/>
  <c r="AM53" i="15"/>
  <c r="AL105" i="19"/>
  <c r="AL57" i="19"/>
  <c r="AL70" i="19" s="1"/>
  <c r="AM205" i="19"/>
  <c r="AM46" i="19"/>
  <c r="AL123" i="17"/>
  <c r="AL55" i="17"/>
  <c r="AL68" i="17" s="1"/>
  <c r="AL81" i="17" s="1"/>
  <c r="AL136" i="17" s="1"/>
  <c r="AL120" i="18"/>
  <c r="AL75" i="18"/>
  <c r="AL88" i="18" s="1"/>
  <c r="AL101" i="18" s="1"/>
  <c r="AL133" i="18" s="1"/>
  <c r="AM195" i="18"/>
  <c r="AM59" i="18"/>
  <c r="AM67" i="18"/>
  <c r="AM203" i="18"/>
  <c r="AM168" i="17"/>
  <c r="AM38" i="17"/>
  <c r="AL118" i="18"/>
  <c r="AL73" i="18"/>
  <c r="AL86" i="18" s="1"/>
  <c r="AL99" i="18" s="1"/>
  <c r="AL131" i="18" s="1"/>
  <c r="AN15" i="19"/>
  <c r="AN14" i="19"/>
  <c r="AN13" i="19"/>
  <c r="AN24" i="19"/>
  <c r="AN22" i="19"/>
  <c r="AN21" i="19"/>
  <c r="AN20" i="19"/>
  <c r="AN19" i="19"/>
  <c r="AN16" i="19"/>
  <c r="AN18" i="19"/>
  <c r="AN17" i="19"/>
  <c r="AL114" i="17"/>
  <c r="AL46" i="17"/>
  <c r="AL59" i="17" s="1"/>
  <c r="AL72" i="17" s="1"/>
  <c r="AL127" i="17" s="1"/>
  <c r="AL106" i="19"/>
  <c r="AL58" i="19"/>
  <c r="AL71" i="19" s="1"/>
  <c r="AM162" i="15"/>
  <c r="AM46" i="15"/>
  <c r="AM170" i="15"/>
  <c r="AM54" i="15"/>
  <c r="AL109" i="15"/>
  <c r="AL135" i="15" s="1"/>
  <c r="AL64" i="15"/>
  <c r="AL77" i="15" s="1"/>
  <c r="AL90" i="15" s="1"/>
  <c r="AL122" i="15" s="1"/>
  <c r="AM209" i="19"/>
  <c r="AM50" i="19"/>
  <c r="AL108" i="19"/>
  <c r="AL60" i="19"/>
  <c r="AL73" i="19" s="1"/>
  <c r="AM60" i="18"/>
  <c r="AM196" i="18"/>
  <c r="AN14" i="18"/>
  <c r="AM194" i="18"/>
  <c r="AM58" i="18"/>
  <c r="AM34" i="17"/>
  <c r="AM164" i="17"/>
  <c r="AM172" i="17"/>
  <c r="AM42" i="17"/>
  <c r="AM163" i="15"/>
  <c r="AM47" i="15"/>
  <c r="AM159" i="15"/>
  <c r="AM43" i="15"/>
  <c r="AM208" i="19"/>
  <c r="AM49" i="19"/>
  <c r="AN307" i="19"/>
  <c r="AN238" i="18"/>
  <c r="AN204" i="15"/>
  <c r="AN207" i="17"/>
  <c r="AN41" i="10"/>
  <c r="AN33" i="14"/>
  <c r="AN64" i="14"/>
  <c r="AL111" i="19"/>
  <c r="AL63" i="19"/>
  <c r="AL76" i="19" s="1"/>
  <c r="AM62" i="18"/>
  <c r="AM198" i="18"/>
  <c r="AO97" i="19"/>
  <c r="AO11" i="19"/>
  <c r="AO111" i="18"/>
  <c r="AO11" i="18"/>
  <c r="AO108" i="17"/>
  <c r="AO11" i="17"/>
  <c r="AO97" i="15"/>
  <c r="AO11" i="15"/>
  <c r="AO21" i="14"/>
  <c r="AO23" i="14" s="1"/>
  <c r="AL119" i="18"/>
  <c r="AL74" i="18"/>
  <c r="AL87" i="18" s="1"/>
  <c r="AL100" i="18" s="1"/>
  <c r="AL132" i="18" s="1"/>
  <c r="AM163" i="17"/>
  <c r="AM33" i="17"/>
  <c r="AM32" i="17"/>
  <c r="AM162" i="17"/>
  <c r="AL104" i="19"/>
  <c r="AL56" i="19"/>
  <c r="AL69" i="19" s="1"/>
  <c r="AN15" i="15"/>
  <c r="AN14" i="15"/>
  <c r="AN13" i="15"/>
  <c r="AN24" i="15"/>
  <c r="AN23" i="15"/>
  <c r="AN22" i="15"/>
  <c r="AN21" i="15"/>
  <c r="AN20" i="15"/>
  <c r="AN19" i="15"/>
  <c r="AN18" i="15"/>
  <c r="AN17" i="15"/>
  <c r="AN16" i="15"/>
  <c r="AL126" i="18"/>
  <c r="AL81" i="18"/>
  <c r="AL94" i="18" s="1"/>
  <c r="AL107" i="18" s="1"/>
  <c r="AL139" i="18" s="1"/>
  <c r="AL115" i="18"/>
  <c r="AL70" i="18"/>
  <c r="AL83" i="18" s="1"/>
  <c r="AL96" i="18" s="1"/>
  <c r="AL128" i="18" s="1"/>
  <c r="AM164" i="15"/>
  <c r="AM48" i="15"/>
  <c r="AM160" i="15"/>
  <c r="AM44" i="15"/>
  <c r="AL119" i="17"/>
  <c r="AL51" i="17"/>
  <c r="AL64" i="17" s="1"/>
  <c r="AL77" i="17" s="1"/>
  <c r="AL132" i="17" s="1"/>
  <c r="AM51" i="19"/>
  <c r="AM210" i="19"/>
  <c r="AL113" i="17"/>
  <c r="AL45" i="17"/>
  <c r="AL58" i="17" s="1"/>
  <c r="AM4" i="23"/>
  <c r="AM4" i="25"/>
  <c r="AM4" i="21"/>
  <c r="AM4" i="19"/>
  <c r="AM4" i="18"/>
  <c r="AM4" i="17"/>
  <c r="AM4" i="15"/>
  <c r="AM4" i="12"/>
  <c r="AM4" i="14"/>
  <c r="AM197" i="18"/>
  <c r="AM61" i="18"/>
  <c r="AM165" i="17"/>
  <c r="AM35" i="17"/>
  <c r="AF5" i="15"/>
  <c r="AF5" i="25"/>
  <c r="AF5" i="21"/>
  <c r="AF5" i="23"/>
  <c r="AF5" i="19"/>
  <c r="AF5" i="18"/>
  <c r="AF5" i="17"/>
  <c r="AF5" i="12"/>
  <c r="AE54" i="10"/>
  <c r="AF5" i="14"/>
  <c r="AK58" i="17"/>
  <c r="AK71" i="17" s="1"/>
  <c r="AK126" i="17" s="1"/>
  <c r="AL122" i="18"/>
  <c r="AL77" i="18"/>
  <c r="AL90" i="18" s="1"/>
  <c r="AL103" i="18" s="1"/>
  <c r="AL135" i="18" s="1"/>
  <c r="AL110" i="15"/>
  <c r="AL136" i="15" s="1"/>
  <c r="AL65" i="15"/>
  <c r="AL78" i="15" s="1"/>
  <c r="AL91" i="15" s="1"/>
  <c r="AL123" i="15" s="1"/>
  <c r="AM165" i="15"/>
  <c r="AM49" i="15"/>
  <c r="AL116" i="17"/>
  <c r="AL48" i="17"/>
  <c r="AL61" i="17" s="1"/>
  <c r="AL74" i="17" s="1"/>
  <c r="AL129" i="17" s="1"/>
  <c r="AL122" i="17"/>
  <c r="AL54" i="17"/>
  <c r="AL67" i="17" s="1"/>
  <c r="AL80" i="17" s="1"/>
  <c r="AL135" i="17" s="1"/>
  <c r="AM52" i="19"/>
  <c r="AM211" i="19"/>
  <c r="AL113" i="19"/>
  <c r="AL65" i="19"/>
  <c r="AL78" i="19" s="1"/>
  <c r="AL123" i="18"/>
  <c r="AL78" i="18"/>
  <c r="AL91" i="18" s="1"/>
  <c r="AL104" i="18" s="1"/>
  <c r="AL136" i="18" s="1"/>
  <c r="AL121" i="18"/>
  <c r="AL76" i="18"/>
  <c r="AL89" i="18" s="1"/>
  <c r="AL102" i="18" s="1"/>
  <c r="AL134" i="18" s="1"/>
  <c r="AL106" i="15"/>
  <c r="AL61" i="15"/>
  <c r="AL74" i="15" s="1"/>
  <c r="AL87" i="15" s="1"/>
  <c r="AL119" i="15" s="1"/>
  <c r="AM199" i="18"/>
  <c r="AM63" i="18"/>
  <c r="AL118" i="17"/>
  <c r="AL50" i="17"/>
  <c r="AL63" i="17" s="1"/>
  <c r="AL76" i="17" s="1"/>
  <c r="AL131" i="17" s="1"/>
  <c r="AM167" i="17"/>
  <c r="AM37" i="17"/>
  <c r="AL115" i="17"/>
  <c r="AL47" i="17"/>
  <c r="AL60" i="17" s="1"/>
  <c r="AL73" i="17" s="1"/>
  <c r="AL128" i="17" s="1"/>
  <c r="AL109" i="19"/>
  <c r="AL61" i="19"/>
  <c r="AL74" i="19" s="1"/>
  <c r="AN15" i="17"/>
  <c r="AN14" i="17"/>
  <c r="AN13" i="17"/>
  <c r="AN24" i="17"/>
  <c r="AN20" i="17"/>
  <c r="AN22" i="17"/>
  <c r="AN21" i="17"/>
  <c r="AN18" i="17"/>
  <c r="AN19" i="17"/>
  <c r="AN17" i="17"/>
  <c r="AN16" i="17"/>
  <c r="AM204" i="18"/>
  <c r="AM68" i="18"/>
  <c r="AM193" i="18"/>
  <c r="AM57" i="18"/>
  <c r="AM166" i="15"/>
  <c r="AM50" i="15"/>
  <c r="AK135" i="15"/>
  <c r="AK195" i="15" s="1"/>
  <c r="AJ135" i="15"/>
  <c r="AJ195" i="15" s="1"/>
  <c r="AI135" i="15"/>
  <c r="AI195" i="15" s="1"/>
  <c r="AL89" i="19" l="1"/>
  <c r="AL124" i="19" s="1"/>
  <c r="AL86" i="19"/>
  <c r="AL121" i="19" s="1"/>
  <c r="AL93" i="19"/>
  <c r="AL128" i="19" s="1"/>
  <c r="AL83" i="19"/>
  <c r="AL118" i="19" s="1"/>
  <c r="AL84" i="19"/>
  <c r="AL119" i="19" s="1"/>
  <c r="AL85" i="19"/>
  <c r="AL120" i="19" s="1"/>
  <c r="AL88" i="19"/>
  <c r="AL123" i="19" s="1"/>
  <c r="AL90" i="19"/>
  <c r="AL125" i="19" s="1"/>
  <c r="AL87" i="19"/>
  <c r="AL122" i="19" s="1"/>
  <c r="AL91" i="19"/>
  <c r="AL126" i="19" s="1"/>
  <c r="AL82" i="19"/>
  <c r="AL117" i="19" s="1"/>
  <c r="AL92" i="19"/>
  <c r="AL127" i="19" s="1"/>
  <c r="Y101" i="17"/>
  <c r="Y189" i="18" s="1"/>
  <c r="Y191" i="18" s="1"/>
  <c r="AF29" i="18"/>
  <c r="AF159" i="18" s="1"/>
  <c r="AF37" i="18"/>
  <c r="AF167" i="18" s="1"/>
  <c r="AF38" i="18"/>
  <c r="AF168" i="18" s="1"/>
  <c r="AF33" i="18"/>
  <c r="AF163" i="18" s="1"/>
  <c r="AF28" i="18"/>
  <c r="AF158" i="18" s="1"/>
  <c r="AF35" i="18"/>
  <c r="AF165" i="18" s="1"/>
  <c r="AF27" i="18"/>
  <c r="AF157" i="18" s="1"/>
  <c r="AF30" i="18"/>
  <c r="AF160" i="18" s="1"/>
  <c r="AF34" i="18"/>
  <c r="AF164" i="18" s="1"/>
  <c r="AF32" i="18"/>
  <c r="AF162" i="18" s="1"/>
  <c r="AF31" i="18"/>
  <c r="AF161" i="18" s="1"/>
  <c r="AF36" i="18"/>
  <c r="AF166" i="18" s="1"/>
  <c r="AM184" i="15"/>
  <c r="AL184" i="15"/>
  <c r="AK182" i="15"/>
  <c r="AS11" i="10"/>
  <c r="AS30" i="10" s="1"/>
  <c r="AS31" i="10" s="1"/>
  <c r="AS45" i="10" s="1"/>
  <c r="AS46" i="10" s="1"/>
  <c r="AT10" i="10"/>
  <c r="AJ182" i="15"/>
  <c r="AI182" i="15"/>
  <c r="AM182" i="15"/>
  <c r="AH157" i="15"/>
  <c r="AH181" i="15" s="1"/>
  <c r="AL195" i="15"/>
  <c r="AG34" i="14"/>
  <c r="AG36" i="14" s="1"/>
  <c r="AG8" i="23" s="1"/>
  <c r="AG12" i="25" s="1"/>
  <c r="AG19" i="25" s="1"/>
  <c r="AL196" i="15"/>
  <c r="AN166" i="17"/>
  <c r="AN36" i="17"/>
  <c r="AM113" i="19"/>
  <c r="AM65" i="19"/>
  <c r="AM78" i="19" s="1"/>
  <c r="AN165" i="15"/>
  <c r="AN49" i="15"/>
  <c r="AN161" i="15"/>
  <c r="AN45" i="15"/>
  <c r="AO16" i="19"/>
  <c r="AO15" i="19"/>
  <c r="AO23" i="19"/>
  <c r="AO14" i="19"/>
  <c r="AO13" i="19"/>
  <c r="AO24" i="19"/>
  <c r="AO22" i="19"/>
  <c r="AO21" i="19"/>
  <c r="AO20" i="19"/>
  <c r="AO19" i="19"/>
  <c r="AO18" i="19"/>
  <c r="AO17" i="19"/>
  <c r="AN4" i="25"/>
  <c r="AN4" i="21"/>
  <c r="AN4" i="23"/>
  <c r="AN4" i="19"/>
  <c r="AN4" i="18"/>
  <c r="AN4" i="17"/>
  <c r="AN4" i="15"/>
  <c r="AN4" i="12"/>
  <c r="AN4" i="14"/>
  <c r="AM112" i="15"/>
  <c r="AM138" i="15" s="1"/>
  <c r="AM67" i="15"/>
  <c r="AM80" i="15" s="1"/>
  <c r="AM93" i="15" s="1"/>
  <c r="AM125" i="15" s="1"/>
  <c r="AN206" i="19"/>
  <c r="AN47" i="19"/>
  <c r="AN202" i="19"/>
  <c r="AN43" i="19"/>
  <c r="AM125" i="18"/>
  <c r="AM80" i="18"/>
  <c r="AM93" i="18" s="1"/>
  <c r="AM106" i="18" s="1"/>
  <c r="AM138" i="18" s="1"/>
  <c r="AM114" i="19"/>
  <c r="AM66" i="19"/>
  <c r="AM79" i="19" s="1"/>
  <c r="AM121" i="17"/>
  <c r="AM53" i="17"/>
  <c r="AM66" i="17" s="1"/>
  <c r="AM79" i="17" s="1"/>
  <c r="AM134" i="17" s="1"/>
  <c r="AN63" i="18"/>
  <c r="AN199" i="18"/>
  <c r="AM120" i="17"/>
  <c r="AM52" i="17"/>
  <c r="AM65" i="17" s="1"/>
  <c r="AM78" i="17" s="1"/>
  <c r="AM133" i="17" s="1"/>
  <c r="AM104" i="19"/>
  <c r="AM56" i="19"/>
  <c r="AM69" i="19" s="1"/>
  <c r="AM109" i="15"/>
  <c r="AM135" i="15" s="1"/>
  <c r="AM64" i="15"/>
  <c r="AM77" i="15" s="1"/>
  <c r="AM90" i="15" s="1"/>
  <c r="AM122" i="15" s="1"/>
  <c r="AM115" i="18"/>
  <c r="AM70" i="18"/>
  <c r="AM83" i="18" s="1"/>
  <c r="AM96" i="18" s="1"/>
  <c r="AM128" i="18" s="1"/>
  <c r="AN169" i="17"/>
  <c r="AN39" i="17"/>
  <c r="AN166" i="15"/>
  <c r="AN50" i="15"/>
  <c r="AM105" i="15"/>
  <c r="AM60" i="15"/>
  <c r="AM73" i="15" s="1"/>
  <c r="AM86" i="15" s="1"/>
  <c r="AM118" i="15" s="1"/>
  <c r="AM118" i="18"/>
  <c r="AM73" i="18"/>
  <c r="AM86" i="18" s="1"/>
  <c r="AM99" i="18" s="1"/>
  <c r="AM131" i="18" s="1"/>
  <c r="AN207" i="19"/>
  <c r="AN48" i="19"/>
  <c r="AN203" i="19"/>
  <c r="AN44" i="19"/>
  <c r="AM117" i="18"/>
  <c r="AM72" i="18"/>
  <c r="AM85" i="18" s="1"/>
  <c r="AM98" i="18" s="1"/>
  <c r="AM130" i="18" s="1"/>
  <c r="AN212" i="19"/>
  <c r="AN53" i="19"/>
  <c r="AO307" i="19"/>
  <c r="AO238" i="18"/>
  <c r="AO204" i="15"/>
  <c r="AO207" i="17"/>
  <c r="AO33" i="14"/>
  <c r="AO41" i="10"/>
  <c r="AO64" i="14"/>
  <c r="AN65" i="18"/>
  <c r="AN201" i="18"/>
  <c r="AM109" i="19"/>
  <c r="AM61" i="19"/>
  <c r="AM74" i="19" s="1"/>
  <c r="AL197" i="15"/>
  <c r="AN170" i="17"/>
  <c r="AN40" i="17"/>
  <c r="AM112" i="19"/>
  <c r="AM64" i="19"/>
  <c r="AM77" i="19" s="1"/>
  <c r="AN167" i="15"/>
  <c r="AN51" i="15"/>
  <c r="AO16" i="15"/>
  <c r="AO15" i="15"/>
  <c r="AO14" i="15"/>
  <c r="AO13" i="15"/>
  <c r="AO24" i="15"/>
  <c r="AO23" i="15"/>
  <c r="AO22" i="15"/>
  <c r="AO21" i="15"/>
  <c r="AO20" i="15"/>
  <c r="AO19" i="15"/>
  <c r="AO18" i="15"/>
  <c r="AO17" i="15"/>
  <c r="AM104" i="15"/>
  <c r="AM59" i="15"/>
  <c r="AM72" i="15" s="1"/>
  <c r="AM85" i="15" s="1"/>
  <c r="AM117" i="15" s="1"/>
  <c r="AN46" i="19"/>
  <c r="AN205" i="19"/>
  <c r="AN204" i="19"/>
  <c r="AN45" i="19"/>
  <c r="AM112" i="17"/>
  <c r="AM44" i="17"/>
  <c r="AM57" i="17" s="1"/>
  <c r="AM70" i="17" s="1"/>
  <c r="AM125" i="17" s="1"/>
  <c r="AN202" i="18"/>
  <c r="AN66" i="18"/>
  <c r="AR98" i="19"/>
  <c r="AR196" i="19"/>
  <c r="AR10" i="19"/>
  <c r="AR10" i="18"/>
  <c r="AR112" i="18"/>
  <c r="AR184" i="18"/>
  <c r="AR155" i="17"/>
  <c r="AR10" i="17"/>
  <c r="AR109" i="17"/>
  <c r="AR152" i="15"/>
  <c r="AR98" i="15"/>
  <c r="AR10" i="15"/>
  <c r="AR20" i="10"/>
  <c r="AS19" i="10"/>
  <c r="AM126" i="18"/>
  <c r="AM81" i="18"/>
  <c r="AM94" i="18" s="1"/>
  <c r="AM107" i="18" s="1"/>
  <c r="AM139" i="18" s="1"/>
  <c r="AN168" i="17"/>
  <c r="AN38" i="17"/>
  <c r="AN168" i="15"/>
  <c r="AN182" i="15" s="1"/>
  <c r="AN52" i="15"/>
  <c r="AM120" i="18"/>
  <c r="AM75" i="18"/>
  <c r="AM88" i="18" s="1"/>
  <c r="AM101" i="18" s="1"/>
  <c r="AM133" i="18" s="1"/>
  <c r="AM123" i="17"/>
  <c r="AM55" i="17"/>
  <c r="AM68" i="17" s="1"/>
  <c r="AM81" i="17" s="1"/>
  <c r="AM136" i="17" s="1"/>
  <c r="AN208" i="19"/>
  <c r="AN49" i="19"/>
  <c r="AM111" i="15"/>
  <c r="AM137" i="15" s="1"/>
  <c r="AM66" i="15"/>
  <c r="AM79" i="15" s="1"/>
  <c r="AM92" i="15" s="1"/>
  <c r="AM124" i="15" s="1"/>
  <c r="AM122" i="18"/>
  <c r="AM77" i="18"/>
  <c r="AM90" i="18" s="1"/>
  <c r="AM103" i="18" s="1"/>
  <c r="AM135" i="18" s="1"/>
  <c r="AM105" i="19"/>
  <c r="AM57" i="19"/>
  <c r="AM70" i="19" s="1"/>
  <c r="AN200" i="18"/>
  <c r="AN64" i="18"/>
  <c r="AM122" i="17"/>
  <c r="AM54" i="17"/>
  <c r="AM67" i="17" s="1"/>
  <c r="AM80" i="17" s="1"/>
  <c r="AM135" i="17" s="1"/>
  <c r="AL198" i="15"/>
  <c r="AQ21" i="10"/>
  <c r="AQ3" i="25"/>
  <c r="AQ3" i="23"/>
  <c r="AQ3" i="21"/>
  <c r="AQ3" i="19"/>
  <c r="AQ3" i="18"/>
  <c r="AQ3" i="17"/>
  <c r="AQ3" i="15"/>
  <c r="AQ3" i="14"/>
  <c r="AQ51" i="10"/>
  <c r="AQ24" i="10"/>
  <c r="AQ52" i="10" s="1"/>
  <c r="AQ3" i="12"/>
  <c r="AQ36" i="10"/>
  <c r="AN172" i="17"/>
  <c r="AN42" i="17"/>
  <c r="AM119" i="18"/>
  <c r="AM74" i="18"/>
  <c r="AM87" i="18" s="1"/>
  <c r="AM100" i="18" s="1"/>
  <c r="AM132" i="18" s="1"/>
  <c r="AN169" i="15"/>
  <c r="AN183" i="15" s="1"/>
  <c r="AN53" i="15"/>
  <c r="AM113" i="17"/>
  <c r="AM45" i="17"/>
  <c r="AM58" i="17" s="1"/>
  <c r="AM71" i="17" s="1"/>
  <c r="AM126" i="17" s="1"/>
  <c r="AO16" i="17"/>
  <c r="AO15" i="17"/>
  <c r="AO23" i="17"/>
  <c r="AO14" i="17"/>
  <c r="AO13" i="17"/>
  <c r="AO20" i="17"/>
  <c r="AO24" i="17"/>
  <c r="AO22" i="17"/>
  <c r="AO21" i="17"/>
  <c r="AO19" i="17"/>
  <c r="AO18" i="17"/>
  <c r="AO17" i="17"/>
  <c r="AM111" i="19"/>
  <c r="AM63" i="19"/>
  <c r="AM76" i="19" s="1"/>
  <c r="AN209" i="19"/>
  <c r="AN50" i="19"/>
  <c r="AN203" i="18"/>
  <c r="AN67" i="18"/>
  <c r="AM115" i="19"/>
  <c r="AM67" i="19"/>
  <c r="AM80" i="19" s="1"/>
  <c r="AN164" i="17"/>
  <c r="AN34" i="17"/>
  <c r="AN161" i="17"/>
  <c r="AN31" i="17"/>
  <c r="AM118" i="17"/>
  <c r="AM50" i="17"/>
  <c r="AM63" i="17" s="1"/>
  <c r="AM76" i="17" s="1"/>
  <c r="AM131" i="17" s="1"/>
  <c r="AM121" i="18"/>
  <c r="AM76" i="18"/>
  <c r="AM89" i="18" s="1"/>
  <c r="AM102" i="18" s="1"/>
  <c r="AM134" i="18" s="1"/>
  <c r="AM107" i="15"/>
  <c r="AM62" i="15"/>
  <c r="AM75" i="15" s="1"/>
  <c r="AM88" i="15" s="1"/>
  <c r="AM120" i="15" s="1"/>
  <c r="AF13" i="14"/>
  <c r="AF15" i="14" s="1"/>
  <c r="AF26" i="14" s="1"/>
  <c r="AF28" i="14" s="1"/>
  <c r="AF34" i="14" s="1"/>
  <c r="AF36" i="14" s="1"/>
  <c r="AF8" i="23" s="1"/>
  <c r="AF12" i="25" s="1"/>
  <c r="AF19" i="25" s="1"/>
  <c r="AF43" i="14"/>
  <c r="AF45" i="14" s="1"/>
  <c r="AF50" i="14" s="1"/>
  <c r="AF52" i="14" s="1"/>
  <c r="AF57" i="14" s="1"/>
  <c r="AM102" i="15"/>
  <c r="AM57" i="15"/>
  <c r="AM70" i="15" s="1"/>
  <c r="AM83" i="15" s="1"/>
  <c r="AM115" i="15" s="1"/>
  <c r="AN46" i="15"/>
  <c r="AN162" i="15"/>
  <c r="AN170" i="15"/>
  <c r="AN184" i="15" s="1"/>
  <c r="AN54" i="15"/>
  <c r="AM114" i="17"/>
  <c r="AM46" i="17"/>
  <c r="AM59" i="17" s="1"/>
  <c r="AM72" i="17" s="1"/>
  <c r="AM127" i="17" s="1"/>
  <c r="AM110" i="19"/>
  <c r="AM62" i="19"/>
  <c r="AM75" i="19" s="1"/>
  <c r="AM116" i="18"/>
  <c r="AM71" i="18"/>
  <c r="AM84" i="18" s="1"/>
  <c r="AM97" i="18" s="1"/>
  <c r="AM129" i="18" s="1"/>
  <c r="AN51" i="19"/>
  <c r="AN210" i="19"/>
  <c r="AM119" i="17"/>
  <c r="AM51" i="17"/>
  <c r="AM64" i="17" s="1"/>
  <c r="AM77" i="17" s="1"/>
  <c r="AM132" i="17" s="1"/>
  <c r="AM108" i="19"/>
  <c r="AM60" i="19"/>
  <c r="AM73" i="19" s="1"/>
  <c r="AN196" i="18"/>
  <c r="AN60" i="18"/>
  <c r="AN68" i="18"/>
  <c r="AN204" i="18"/>
  <c r="AP38" i="10"/>
  <c r="AP39" i="10"/>
  <c r="AN41" i="17"/>
  <c r="AN171" i="17"/>
  <c r="AG59" i="14"/>
  <c r="AG65" i="14" s="1"/>
  <c r="AG67" i="14" s="1"/>
  <c r="AG155" i="15" s="1"/>
  <c r="AN165" i="17"/>
  <c r="AN35" i="17"/>
  <c r="AN162" i="17"/>
  <c r="AN32" i="17"/>
  <c r="AE5" i="15"/>
  <c r="AE5" i="23"/>
  <c r="AE5" i="25"/>
  <c r="AE5" i="21"/>
  <c r="AE5" i="19"/>
  <c r="AE5" i="18"/>
  <c r="AE5" i="17"/>
  <c r="AD54" i="10"/>
  <c r="AE5" i="14"/>
  <c r="AE5" i="12"/>
  <c r="AN163" i="15"/>
  <c r="AN47" i="15"/>
  <c r="AN159" i="15"/>
  <c r="AN43" i="15"/>
  <c r="AO16" i="18"/>
  <c r="AO15" i="18"/>
  <c r="AO14" i="18"/>
  <c r="AO24" i="18"/>
  <c r="AO13" i="18"/>
  <c r="AO23" i="18"/>
  <c r="AO20" i="18"/>
  <c r="AO21" i="18"/>
  <c r="AO22" i="18"/>
  <c r="AO19" i="18"/>
  <c r="AO18" i="18"/>
  <c r="AO17" i="18"/>
  <c r="AM115" i="17"/>
  <c r="AM47" i="17"/>
  <c r="AM60" i="17" s="1"/>
  <c r="AM73" i="17" s="1"/>
  <c r="AM128" i="17" s="1"/>
  <c r="AN211" i="19"/>
  <c r="AN52" i="19"/>
  <c r="AM103" i="15"/>
  <c r="AM58" i="15"/>
  <c r="AM71" i="15" s="1"/>
  <c r="AM84" i="15" s="1"/>
  <c r="AM116" i="15" s="1"/>
  <c r="AN61" i="18"/>
  <c r="AN197" i="18"/>
  <c r="AN193" i="18"/>
  <c r="AN57" i="18"/>
  <c r="AP97" i="19"/>
  <c r="AP11" i="19"/>
  <c r="AP111" i="18"/>
  <c r="AP11" i="18"/>
  <c r="AP108" i="17"/>
  <c r="AP11" i="17"/>
  <c r="AP11" i="15"/>
  <c r="AP97" i="15"/>
  <c r="AP21" i="14"/>
  <c r="AP23" i="14" s="1"/>
  <c r="AM117" i="17"/>
  <c r="AM49" i="17"/>
  <c r="AM62" i="17" s="1"/>
  <c r="AM75" i="17" s="1"/>
  <c r="AM130" i="17" s="1"/>
  <c r="AM106" i="19"/>
  <c r="AM58" i="19"/>
  <c r="AM71" i="19" s="1"/>
  <c r="AM108" i="15"/>
  <c r="AM63" i="15"/>
  <c r="AM76" i="15" s="1"/>
  <c r="AM89" i="15" s="1"/>
  <c r="AM121" i="15" s="1"/>
  <c r="AN37" i="17"/>
  <c r="AN167" i="17"/>
  <c r="AN163" i="17"/>
  <c r="AN33" i="17"/>
  <c r="AM116" i="17"/>
  <c r="AM48" i="17"/>
  <c r="AM61" i="17" s="1"/>
  <c r="AM74" i="17" s="1"/>
  <c r="AM129" i="17" s="1"/>
  <c r="AL71" i="17"/>
  <c r="AL126" i="17" s="1"/>
  <c r="AM106" i="15"/>
  <c r="AM61" i="15"/>
  <c r="AM74" i="15" s="1"/>
  <c r="AM87" i="15" s="1"/>
  <c r="AM119" i="15" s="1"/>
  <c r="AN164" i="15"/>
  <c r="AN48" i="15"/>
  <c r="AN160" i="15"/>
  <c r="AN44" i="15"/>
  <c r="AM101" i="15"/>
  <c r="AM56" i="15"/>
  <c r="AM69" i="15" s="1"/>
  <c r="AM82" i="15" s="1"/>
  <c r="AM114" i="15" s="1"/>
  <c r="AN194" i="18"/>
  <c r="AN58" i="18"/>
  <c r="AN54" i="19"/>
  <c r="AN213" i="19"/>
  <c r="AM107" i="19"/>
  <c r="AM59" i="19"/>
  <c r="AM72" i="19" s="1"/>
  <c r="AM110" i="15"/>
  <c r="AM136" i="15" s="1"/>
  <c r="AM65" i="15"/>
  <c r="AM78" i="15" s="1"/>
  <c r="AM91" i="15" s="1"/>
  <c r="AM123" i="15" s="1"/>
  <c r="AN198" i="18"/>
  <c r="AN62" i="18"/>
  <c r="AN195" i="18"/>
  <c r="AN59" i="18"/>
  <c r="AM123" i="18"/>
  <c r="AM78" i="18"/>
  <c r="AM91" i="18" s="1"/>
  <c r="AM104" i="18" s="1"/>
  <c r="AM136" i="18" s="1"/>
  <c r="AM124" i="18"/>
  <c r="AM79" i="18"/>
  <c r="AM92" i="18" s="1"/>
  <c r="AM105" i="18" s="1"/>
  <c r="AM137" i="18" s="1"/>
  <c r="Y104" i="17" l="1"/>
  <c r="Y157" i="17" s="1"/>
  <c r="Y159" i="17" s="1"/>
  <c r="AD186" i="17" s="1"/>
  <c r="AM86" i="19"/>
  <c r="AM121" i="19" s="1"/>
  <c r="AM87" i="19"/>
  <c r="AM122" i="19" s="1"/>
  <c r="AM92" i="19"/>
  <c r="AM127" i="19" s="1"/>
  <c r="AM85" i="19"/>
  <c r="AM120" i="19" s="1"/>
  <c r="AM91" i="19"/>
  <c r="AM126" i="19" s="1"/>
  <c r="AM88" i="19"/>
  <c r="AM123" i="19" s="1"/>
  <c r="AM84" i="19"/>
  <c r="AM119" i="19" s="1"/>
  <c r="AM83" i="19"/>
  <c r="AM118" i="19" s="1"/>
  <c r="AM90" i="19"/>
  <c r="AM125" i="19" s="1"/>
  <c r="AM82" i="19"/>
  <c r="AM117" i="19" s="1"/>
  <c r="AM89" i="19"/>
  <c r="AM124" i="19" s="1"/>
  <c r="AM93" i="19"/>
  <c r="AM128" i="19" s="1"/>
  <c r="AI218" i="18"/>
  <c r="AB218" i="18"/>
  <c r="AA218" i="18"/>
  <c r="Z218" i="18"/>
  <c r="AG218" i="18"/>
  <c r="AF218" i="18"/>
  <c r="AE218" i="18"/>
  <c r="AH218" i="18"/>
  <c r="Y218" i="18"/>
  <c r="AC218" i="18"/>
  <c r="AJ218" i="18"/>
  <c r="AD218" i="18"/>
  <c r="AG11" i="21"/>
  <c r="AE38" i="18"/>
  <c r="AE168" i="18" s="1"/>
  <c r="AE34" i="18"/>
  <c r="AE164" i="18" s="1"/>
  <c r="AE30" i="18"/>
  <c r="AE160" i="18" s="1"/>
  <c r="AE35" i="18"/>
  <c r="AE165" i="18" s="1"/>
  <c r="AE32" i="18"/>
  <c r="AE162" i="18" s="1"/>
  <c r="AE36" i="18"/>
  <c r="AE166" i="18" s="1"/>
  <c r="AE33" i="18"/>
  <c r="AE163" i="18" s="1"/>
  <c r="AE27" i="18"/>
  <c r="AE157" i="18" s="1"/>
  <c r="AE29" i="18"/>
  <c r="AE159" i="18" s="1"/>
  <c r="AE37" i="18"/>
  <c r="AE167" i="18" s="1"/>
  <c r="AE31" i="18"/>
  <c r="AE161" i="18" s="1"/>
  <c r="AE28" i="18"/>
  <c r="AE158" i="18" s="1"/>
  <c r="AK181" i="15"/>
  <c r="AM181" i="15"/>
  <c r="AL181" i="15"/>
  <c r="AJ181" i="15"/>
  <c r="AN181" i="15"/>
  <c r="AI181" i="15"/>
  <c r="AG154" i="15"/>
  <c r="AG157" i="15" s="1"/>
  <c r="AN180" i="15" s="1"/>
  <c r="AG99" i="15"/>
  <c r="AH134" i="15" s="1"/>
  <c r="AH194" i="15" s="1"/>
  <c r="AT11" i="10"/>
  <c r="AT30" i="10" s="1"/>
  <c r="AT31" i="10" s="1"/>
  <c r="AT45" i="10" s="1"/>
  <c r="AT46" i="10" s="1"/>
  <c r="AU10" i="10"/>
  <c r="AF154" i="15"/>
  <c r="AM196" i="15"/>
  <c r="AF11" i="21"/>
  <c r="AF99" i="15"/>
  <c r="AK133" i="15" s="1"/>
  <c r="AK193" i="15" s="1"/>
  <c r="AF56" i="14"/>
  <c r="AF59" i="14" s="1"/>
  <c r="AF65" i="14" s="1"/>
  <c r="AF67" i="14" s="1"/>
  <c r="AF155" i="15" s="1"/>
  <c r="AP17" i="17"/>
  <c r="AP23" i="17"/>
  <c r="AP15" i="17"/>
  <c r="AP14" i="17"/>
  <c r="AP13" i="17"/>
  <c r="AP24" i="17"/>
  <c r="AP20" i="17"/>
  <c r="AP22" i="17"/>
  <c r="AP21" i="17"/>
  <c r="AP19" i="17"/>
  <c r="AP18" i="17"/>
  <c r="AO61" i="18"/>
  <c r="AO197" i="18"/>
  <c r="AO204" i="18"/>
  <c r="AO68" i="18"/>
  <c r="AN122" i="17"/>
  <c r="AN54" i="17"/>
  <c r="AN67" i="17" s="1"/>
  <c r="AN80" i="17" s="1"/>
  <c r="AN135" i="17" s="1"/>
  <c r="AP307" i="19"/>
  <c r="AP238" i="18"/>
  <c r="AP204" i="15"/>
  <c r="AP207" i="17"/>
  <c r="AP64" i="14"/>
  <c r="AP33" i="14"/>
  <c r="AP41" i="10"/>
  <c r="AO172" i="17"/>
  <c r="AO42" i="17"/>
  <c r="AO164" i="15"/>
  <c r="AO48" i="15"/>
  <c r="AO160" i="15"/>
  <c r="AO44" i="15"/>
  <c r="AO210" i="19"/>
  <c r="AO51" i="19"/>
  <c r="AN103" i="15"/>
  <c r="AN58" i="15"/>
  <c r="AN71" i="15" s="1"/>
  <c r="AN84" i="15" s="1"/>
  <c r="AN116" i="15" s="1"/>
  <c r="AN119" i="18"/>
  <c r="AN74" i="18"/>
  <c r="AN87" i="18" s="1"/>
  <c r="AN100" i="18" s="1"/>
  <c r="AN132" i="18" s="1"/>
  <c r="AO198" i="18"/>
  <c r="AO62" i="18"/>
  <c r="AO194" i="18"/>
  <c r="AO58" i="18"/>
  <c r="AE13" i="14"/>
  <c r="AE15" i="14" s="1"/>
  <c r="AE26" i="14" s="1"/>
  <c r="AE28" i="14" s="1"/>
  <c r="AE34" i="14" s="1"/>
  <c r="AE36" i="14" s="1"/>
  <c r="AE11" i="21" s="1"/>
  <c r="AE43" i="14"/>
  <c r="AE45" i="14" s="1"/>
  <c r="AE50" i="14" s="1"/>
  <c r="AE52" i="14" s="1"/>
  <c r="AE57" i="14" s="1"/>
  <c r="AN112" i="15"/>
  <c r="AN138" i="15" s="1"/>
  <c r="AN67" i="15"/>
  <c r="AN80" i="15" s="1"/>
  <c r="AN93" i="15" s="1"/>
  <c r="AN125" i="15" s="1"/>
  <c r="AN115" i="17"/>
  <c r="AN47" i="17"/>
  <c r="AN60" i="17" s="1"/>
  <c r="AN73" i="17" s="1"/>
  <c r="AN128" i="17" s="1"/>
  <c r="AO168" i="17"/>
  <c r="AO38" i="17"/>
  <c r="AN111" i="15"/>
  <c r="AN137" i="15" s="1"/>
  <c r="AN66" i="15"/>
  <c r="AN79" i="15" s="1"/>
  <c r="AN92" i="15" s="1"/>
  <c r="AN124" i="15" s="1"/>
  <c r="AN106" i="19"/>
  <c r="AN58" i="19"/>
  <c r="AN71" i="19" s="1"/>
  <c r="AO165" i="15"/>
  <c r="AO49" i="15"/>
  <c r="AO161" i="15"/>
  <c r="AO45" i="15"/>
  <c r="AN123" i="18"/>
  <c r="AN78" i="18"/>
  <c r="AN91" i="18" s="1"/>
  <c r="AN104" i="18" s="1"/>
  <c r="AN136" i="18" s="1"/>
  <c r="AN114" i="19"/>
  <c r="AN66" i="19"/>
  <c r="AN79" i="19" s="1"/>
  <c r="AO211" i="19"/>
  <c r="AO52" i="19"/>
  <c r="AN102" i="15"/>
  <c r="AN57" i="15"/>
  <c r="AN70" i="15" s="1"/>
  <c r="AN83" i="15" s="1"/>
  <c r="AN115" i="15" s="1"/>
  <c r="AP17" i="18"/>
  <c r="AP15" i="18"/>
  <c r="AP14" i="18"/>
  <c r="AP13" i="18"/>
  <c r="AP24" i="18"/>
  <c r="AP23" i="18"/>
  <c r="AP20" i="18"/>
  <c r="AP22" i="18"/>
  <c r="AP21" i="18"/>
  <c r="AP19" i="18"/>
  <c r="AP18" i="18"/>
  <c r="AO199" i="18"/>
  <c r="AO63" i="18"/>
  <c r="AO195" i="18"/>
  <c r="AO59" i="18"/>
  <c r="AD5" i="15"/>
  <c r="AD5" i="23"/>
  <c r="AD5" i="25"/>
  <c r="AD5" i="21"/>
  <c r="AD5" i="19"/>
  <c r="AD5" i="18"/>
  <c r="AD5" i="17"/>
  <c r="AD5" i="12"/>
  <c r="AC54" i="10"/>
  <c r="AD5" i="14"/>
  <c r="AN113" i="17"/>
  <c r="AN45" i="17"/>
  <c r="AN126" i="18"/>
  <c r="AN81" i="18"/>
  <c r="AN94" i="18" s="1"/>
  <c r="AN107" i="18" s="1"/>
  <c r="AN139" i="18" s="1"/>
  <c r="AN112" i="19"/>
  <c r="AN64" i="19"/>
  <c r="AN77" i="19" s="1"/>
  <c r="AO161" i="17"/>
  <c r="AO31" i="17"/>
  <c r="AO166" i="15"/>
  <c r="AO50" i="15"/>
  <c r="AO162" i="15"/>
  <c r="AO46" i="15"/>
  <c r="AM198" i="15"/>
  <c r="AO213" i="19"/>
  <c r="AO54" i="19"/>
  <c r="AN107" i="15"/>
  <c r="AN62" i="15"/>
  <c r="AN75" i="15" s="1"/>
  <c r="AN88" i="15" s="1"/>
  <c r="AN120" i="15" s="1"/>
  <c r="AN114" i="17"/>
  <c r="AN46" i="17"/>
  <c r="AN59" i="17" s="1"/>
  <c r="AN72" i="17" s="1"/>
  <c r="AN127" i="17" s="1"/>
  <c r="AO202" i="18"/>
  <c r="AO66" i="18"/>
  <c r="AP16" i="18"/>
  <c r="AO60" i="18"/>
  <c r="AO196" i="18"/>
  <c r="AN118" i="18"/>
  <c r="AN73" i="18"/>
  <c r="AN86" i="18" s="1"/>
  <c r="AN99" i="18" s="1"/>
  <c r="AN131" i="18" s="1"/>
  <c r="AO165" i="17"/>
  <c r="AO35" i="17"/>
  <c r="AO32" i="17"/>
  <c r="AO162" i="17"/>
  <c r="AQ11" i="19"/>
  <c r="AQ97" i="19"/>
  <c r="AQ11" i="18"/>
  <c r="AQ111" i="18"/>
  <c r="AQ108" i="17"/>
  <c r="AQ11" i="17"/>
  <c r="AQ97" i="15"/>
  <c r="AQ11" i="15"/>
  <c r="AQ21" i="14"/>
  <c r="AQ23" i="14" s="1"/>
  <c r="AS10" i="19"/>
  <c r="AS98" i="19"/>
  <c r="AS196" i="19"/>
  <c r="AS10" i="18"/>
  <c r="AS112" i="18"/>
  <c r="AS184" i="18"/>
  <c r="AS155" i="17"/>
  <c r="AS10" i="17"/>
  <c r="AS109" i="17"/>
  <c r="AS152" i="15"/>
  <c r="AS98" i="15"/>
  <c r="AS10" i="15"/>
  <c r="AS20" i="10"/>
  <c r="AT19" i="10"/>
  <c r="AO167" i="15"/>
  <c r="AO181" i="15" s="1"/>
  <c r="AO51" i="15"/>
  <c r="AN109" i="15"/>
  <c r="AN135" i="15" s="1"/>
  <c r="AN64" i="15"/>
  <c r="AN77" i="15" s="1"/>
  <c r="AN90" i="15" s="1"/>
  <c r="AN122" i="15" s="1"/>
  <c r="AO4" i="25"/>
  <c r="AO4" i="21"/>
  <c r="AO4" i="23"/>
  <c r="AO4" i="19"/>
  <c r="AO4" i="18"/>
  <c r="AO4" i="17"/>
  <c r="AO4" i="15"/>
  <c r="AO4" i="12"/>
  <c r="AO4" i="14"/>
  <c r="AO202" i="19"/>
  <c r="AO43" i="19"/>
  <c r="AN117" i="18"/>
  <c r="AN72" i="18"/>
  <c r="AN85" i="18" s="1"/>
  <c r="AN98" i="18" s="1"/>
  <c r="AN130" i="18" s="1"/>
  <c r="AN106" i="15"/>
  <c r="AN61" i="15"/>
  <c r="AN74" i="15" s="1"/>
  <c r="AN87" i="15" s="1"/>
  <c r="AN119" i="15" s="1"/>
  <c r="AP17" i="19"/>
  <c r="AP16" i="19"/>
  <c r="AP15" i="19"/>
  <c r="AP23" i="19"/>
  <c r="AP14" i="19"/>
  <c r="AP13" i="19"/>
  <c r="AP24" i="19"/>
  <c r="AP22" i="19"/>
  <c r="AP21" i="19"/>
  <c r="AP20" i="19"/>
  <c r="AP19" i="19"/>
  <c r="AP18" i="19"/>
  <c r="AN113" i="19"/>
  <c r="AN65" i="19"/>
  <c r="AN78" i="19" s="1"/>
  <c r="AO201" i="18"/>
  <c r="AO65" i="18"/>
  <c r="AN101" i="15"/>
  <c r="AN56" i="15"/>
  <c r="AN69" i="15" s="1"/>
  <c r="AN82" i="15" s="1"/>
  <c r="AN114" i="15" s="1"/>
  <c r="AN116" i="17"/>
  <c r="AN48" i="17"/>
  <c r="AN61" i="17" s="1"/>
  <c r="AN74" i="17" s="1"/>
  <c r="AN129" i="17" s="1"/>
  <c r="AN59" i="15"/>
  <c r="AN72" i="15" s="1"/>
  <c r="AN85" i="15" s="1"/>
  <c r="AN117" i="15" s="1"/>
  <c r="AN104" i="15"/>
  <c r="AO166" i="17"/>
  <c r="AO36" i="17"/>
  <c r="AO171" i="17"/>
  <c r="AO41" i="17"/>
  <c r="AR21" i="10"/>
  <c r="AR3" i="25"/>
  <c r="AR3" i="21"/>
  <c r="AR3" i="23"/>
  <c r="AR3" i="19"/>
  <c r="AR3" i="18"/>
  <c r="AR3" i="17"/>
  <c r="AR3" i="15"/>
  <c r="AR3" i="12"/>
  <c r="AR51" i="10"/>
  <c r="AR3" i="14"/>
  <c r="AR36" i="10"/>
  <c r="AR24" i="10"/>
  <c r="AR52" i="10" s="1"/>
  <c r="AN107" i="19"/>
  <c r="AN59" i="19"/>
  <c r="AN72" i="19" s="1"/>
  <c r="AO168" i="15"/>
  <c r="AO182" i="15" s="1"/>
  <c r="AO52" i="15"/>
  <c r="AM195" i="15"/>
  <c r="AO206" i="19"/>
  <c r="AO47" i="19"/>
  <c r="AO203" i="19"/>
  <c r="AO44" i="19"/>
  <c r="AN115" i="19"/>
  <c r="AN67" i="19"/>
  <c r="AN80" i="19" s="1"/>
  <c r="AO200" i="18"/>
  <c r="AO64" i="18"/>
  <c r="AN125" i="18"/>
  <c r="AN80" i="18"/>
  <c r="AN93" i="18" s="1"/>
  <c r="AN106" i="18" s="1"/>
  <c r="AN138" i="18" s="1"/>
  <c r="AO37" i="17"/>
  <c r="AO167" i="17"/>
  <c r="AO163" i="17"/>
  <c r="AO33" i="17"/>
  <c r="AN123" i="17"/>
  <c r="AN55" i="17"/>
  <c r="AN68" i="17" s="1"/>
  <c r="AN81" i="17" s="1"/>
  <c r="AN136" i="17" s="1"/>
  <c r="AN110" i="15"/>
  <c r="AN136" i="15" s="1"/>
  <c r="AN65" i="15"/>
  <c r="AN78" i="15" s="1"/>
  <c r="AN91" i="15" s="1"/>
  <c r="AN123" i="15" s="1"/>
  <c r="AN124" i="18"/>
  <c r="AN79" i="18"/>
  <c r="AN92" i="18" s="1"/>
  <c r="AN105" i="18" s="1"/>
  <c r="AN137" i="18" s="1"/>
  <c r="AO169" i="15"/>
  <c r="AO183" i="15" s="1"/>
  <c r="AO53" i="15"/>
  <c r="AN105" i="19"/>
  <c r="AN57" i="19"/>
  <c r="AN70" i="19" s="1"/>
  <c r="AN108" i="15"/>
  <c r="AN63" i="15"/>
  <c r="AN76" i="15" s="1"/>
  <c r="AN89" i="15" s="1"/>
  <c r="AN121" i="15" s="1"/>
  <c r="AN104" i="19"/>
  <c r="AN56" i="19"/>
  <c r="AN69" i="19" s="1"/>
  <c r="AO207" i="19"/>
  <c r="AO48" i="19"/>
  <c r="AO212" i="19"/>
  <c r="AO53" i="19"/>
  <c r="AN120" i="18"/>
  <c r="AN75" i="18"/>
  <c r="AN88" i="18" s="1"/>
  <c r="AN101" i="18" s="1"/>
  <c r="AN133" i="18" s="1"/>
  <c r="AN116" i="18"/>
  <c r="AN71" i="18"/>
  <c r="AN84" i="18" s="1"/>
  <c r="AN97" i="18" s="1"/>
  <c r="AN129" i="18" s="1"/>
  <c r="AN118" i="17"/>
  <c r="AN50" i="17"/>
  <c r="AN63" i="17" s="1"/>
  <c r="AN76" i="17" s="1"/>
  <c r="AN131" i="17" s="1"/>
  <c r="AN115" i="18"/>
  <c r="AN70" i="18"/>
  <c r="AN83" i="18" s="1"/>
  <c r="AN96" i="18" s="1"/>
  <c r="AN128" i="18" s="1"/>
  <c r="AO203" i="18"/>
  <c r="AO67" i="18"/>
  <c r="AN105" i="15"/>
  <c r="AN60" i="15"/>
  <c r="AN73" i="15" s="1"/>
  <c r="AN86" i="15" s="1"/>
  <c r="AN118" i="15" s="1"/>
  <c r="AO169" i="17"/>
  <c r="AO39" i="17"/>
  <c r="AP16" i="17"/>
  <c r="AO164" i="17"/>
  <c r="AO34" i="17"/>
  <c r="AM197" i="15"/>
  <c r="AO170" i="15"/>
  <c r="AO184" i="15" s="1"/>
  <c r="AO54" i="15"/>
  <c r="AN121" i="18"/>
  <c r="AN76" i="18"/>
  <c r="AN89" i="18" s="1"/>
  <c r="AN102" i="18" s="1"/>
  <c r="AN134" i="18" s="1"/>
  <c r="AO49" i="19"/>
  <c r="AO208" i="19"/>
  <c r="AO204" i="19"/>
  <c r="AO45" i="19"/>
  <c r="AN117" i="17"/>
  <c r="AN49" i="17"/>
  <c r="AN62" i="17" s="1"/>
  <c r="AN75" i="17" s="1"/>
  <c r="AN130" i="17" s="1"/>
  <c r="AP17" i="15"/>
  <c r="AP16" i="15"/>
  <c r="AP15" i="15"/>
  <c r="AP14" i="15"/>
  <c r="AP13" i="15"/>
  <c r="AP24" i="15"/>
  <c r="AP23" i="15"/>
  <c r="AP22" i="15"/>
  <c r="AP21" i="15"/>
  <c r="AP20" i="15"/>
  <c r="AP19" i="15"/>
  <c r="AP18" i="15"/>
  <c r="AO193" i="18"/>
  <c r="AO57" i="18"/>
  <c r="AN112" i="17"/>
  <c r="AN44" i="17"/>
  <c r="AN57" i="17" s="1"/>
  <c r="AN70" i="17" s="1"/>
  <c r="AN125" i="17" s="1"/>
  <c r="AN111" i="19"/>
  <c r="AN63" i="19"/>
  <c r="AN76" i="19" s="1"/>
  <c r="AO170" i="17"/>
  <c r="AO40" i="17"/>
  <c r="AQ39" i="10"/>
  <c r="AQ38" i="10"/>
  <c r="AN122" i="18"/>
  <c r="AN77" i="18"/>
  <c r="AN90" i="18" s="1"/>
  <c r="AN103" i="18" s="1"/>
  <c r="AN135" i="18" s="1"/>
  <c r="AN110" i="19"/>
  <c r="AN62" i="19"/>
  <c r="AN75" i="19" s="1"/>
  <c r="AN119" i="17"/>
  <c r="AN51" i="17"/>
  <c r="AN64" i="17" s="1"/>
  <c r="AN77" i="17" s="1"/>
  <c r="AN132" i="17" s="1"/>
  <c r="AO163" i="15"/>
  <c r="AO47" i="15"/>
  <c r="AO159" i="15"/>
  <c r="AO43" i="15"/>
  <c r="AN121" i="17"/>
  <c r="AN53" i="17"/>
  <c r="AN66" i="17" s="1"/>
  <c r="AN79" i="17" s="1"/>
  <c r="AN134" i="17" s="1"/>
  <c r="AN109" i="19"/>
  <c r="AN61" i="19"/>
  <c r="AN74" i="19" s="1"/>
  <c r="AN120" i="17"/>
  <c r="AN52" i="17"/>
  <c r="AN65" i="17" s="1"/>
  <c r="AN78" i="17" s="1"/>
  <c r="AN133" i="17" s="1"/>
  <c r="AN108" i="19"/>
  <c r="AN60" i="19"/>
  <c r="AN73" i="19" s="1"/>
  <c r="AO209" i="19"/>
  <c r="AO50" i="19"/>
  <c r="AO46" i="19"/>
  <c r="AO205" i="19"/>
  <c r="AH186" i="17"/>
  <c r="AB186" i="17"/>
  <c r="AC186" i="17"/>
  <c r="AF186" i="17" l="1"/>
  <c r="AI186" i="17"/>
  <c r="Z186" i="17"/>
  <c r="AA186" i="17"/>
  <c r="AE186" i="17"/>
  <c r="Y186" i="17"/>
  <c r="AJ186" i="17"/>
  <c r="AG186" i="17"/>
  <c r="AN87" i="19"/>
  <c r="AN122" i="19" s="1"/>
  <c r="AN83" i="19"/>
  <c r="AN118" i="19" s="1"/>
  <c r="AN90" i="19"/>
  <c r="AN125" i="19" s="1"/>
  <c r="AN92" i="19"/>
  <c r="AN127" i="19" s="1"/>
  <c r="AN84" i="19"/>
  <c r="AN119" i="19" s="1"/>
  <c r="AN88" i="19"/>
  <c r="AN123" i="19" s="1"/>
  <c r="AN89" i="19"/>
  <c r="AN124" i="19" s="1"/>
  <c r="AN93" i="19"/>
  <c r="AN128" i="19" s="1"/>
  <c r="AN85" i="19"/>
  <c r="AN120" i="19" s="1"/>
  <c r="AN91" i="19"/>
  <c r="AN126" i="19" s="1"/>
  <c r="AN82" i="19"/>
  <c r="AN117" i="19" s="1"/>
  <c r="AN86" i="19"/>
  <c r="AN121" i="19" s="1"/>
  <c r="AN133" i="15"/>
  <c r="AD35" i="18"/>
  <c r="AD165" i="18" s="1"/>
  <c r="AD36" i="18"/>
  <c r="AD166" i="18" s="1"/>
  <c r="AD31" i="18"/>
  <c r="AD161" i="18" s="1"/>
  <c r="AD37" i="18"/>
  <c r="AD167" i="18" s="1"/>
  <c r="AD34" i="18"/>
  <c r="AD164" i="18" s="1"/>
  <c r="AD27" i="18"/>
  <c r="AD157" i="18" s="1"/>
  <c r="AD30" i="18"/>
  <c r="AD160" i="18" s="1"/>
  <c r="AD28" i="18"/>
  <c r="AD158" i="18" s="1"/>
  <c r="AD33" i="18"/>
  <c r="AD163" i="18" s="1"/>
  <c r="AD29" i="18"/>
  <c r="AD159" i="18" s="1"/>
  <c r="AD32" i="18"/>
  <c r="AD162" i="18" s="1"/>
  <c r="AD38" i="18"/>
  <c r="AD168" i="18" s="1"/>
  <c r="AM180" i="15"/>
  <c r="AG133" i="15"/>
  <c r="AG193" i="15" s="1"/>
  <c r="AM134" i="15"/>
  <c r="AM194" i="15" s="1"/>
  <c r="AL180" i="15"/>
  <c r="AE154" i="15"/>
  <c r="AF133" i="15"/>
  <c r="AF193" i="15" s="1"/>
  <c r="AF157" i="15"/>
  <c r="AF179" i="15" s="1"/>
  <c r="AK180" i="15"/>
  <c r="AH133" i="15"/>
  <c r="AH193" i="15" s="1"/>
  <c r="AJ133" i="15"/>
  <c r="AJ193" i="15" s="1"/>
  <c r="AI133" i="15"/>
  <c r="AI193" i="15" s="1"/>
  <c r="AG134" i="15"/>
  <c r="AG194" i="15" s="1"/>
  <c r="AH180" i="15"/>
  <c r="AN134" i="15"/>
  <c r="AN194" i="15" s="1"/>
  <c r="AJ180" i="15"/>
  <c r="AI134" i="15"/>
  <c r="AI194" i="15" s="1"/>
  <c r="AJ134" i="15"/>
  <c r="AJ194" i="15" s="1"/>
  <c r="AL133" i="15"/>
  <c r="AL193" i="15" s="1"/>
  <c r="AK134" i="15"/>
  <c r="AK194" i="15" s="1"/>
  <c r="AM133" i="15"/>
  <c r="AM193" i="15" s="1"/>
  <c r="AL134" i="15"/>
  <c r="AL194" i="15" s="1"/>
  <c r="AE8" i="23"/>
  <c r="AE12" i="25" s="1"/>
  <c r="AE19" i="25" s="1"/>
  <c r="AE99" i="15"/>
  <c r="AE132" i="15" s="1"/>
  <c r="AE192" i="15" s="1"/>
  <c r="AI180" i="15"/>
  <c r="AG180" i="15"/>
  <c r="AO180" i="15"/>
  <c r="AU11" i="10"/>
  <c r="AU30" i="10" s="1"/>
  <c r="AU31" i="10" s="1"/>
  <c r="AU45" i="10" s="1"/>
  <c r="AU46" i="10" s="1"/>
  <c r="AV10" i="10"/>
  <c r="AN193" i="15"/>
  <c r="AE56" i="14"/>
  <c r="AE59" i="14" s="1"/>
  <c r="AE65" i="14" s="1"/>
  <c r="AE67" i="14" s="1"/>
  <c r="AE155" i="15" s="1"/>
  <c r="AN195" i="15"/>
  <c r="AO108" i="19"/>
  <c r="AO60" i="19"/>
  <c r="AO73" i="19" s="1"/>
  <c r="AR39" i="10"/>
  <c r="AR38" i="10"/>
  <c r="AP210" i="19"/>
  <c r="AP51" i="19"/>
  <c r="AP206" i="19"/>
  <c r="AP47" i="19"/>
  <c r="AQ18" i="18"/>
  <c r="AQ16" i="18"/>
  <c r="AQ17" i="18"/>
  <c r="AQ14" i="18"/>
  <c r="AQ15" i="18"/>
  <c r="AQ13" i="18"/>
  <c r="AQ24" i="18"/>
  <c r="AQ23" i="18"/>
  <c r="AQ20" i="18"/>
  <c r="AQ21" i="18"/>
  <c r="AQ22" i="18"/>
  <c r="AQ19" i="18"/>
  <c r="AC5" i="15"/>
  <c r="AC5" i="21"/>
  <c r="AC5" i="23"/>
  <c r="AC5" i="25"/>
  <c r="AC5" i="19"/>
  <c r="AC5" i="18"/>
  <c r="AC5" i="17"/>
  <c r="AB54" i="10"/>
  <c r="AC5" i="14"/>
  <c r="AC5" i="12"/>
  <c r="AP202" i="18"/>
  <c r="AP66" i="18"/>
  <c r="AO103" i="15"/>
  <c r="AO58" i="15"/>
  <c r="AO71" i="15" s="1"/>
  <c r="AO84" i="15" s="1"/>
  <c r="AO116" i="15" s="1"/>
  <c r="AO119" i="17"/>
  <c r="AO51" i="17"/>
  <c r="AO64" i="17" s="1"/>
  <c r="AO77" i="17" s="1"/>
  <c r="AO132" i="17" s="1"/>
  <c r="AO116" i="18"/>
  <c r="AO71" i="18"/>
  <c r="AO84" i="18" s="1"/>
  <c r="AO97" i="18" s="1"/>
  <c r="AO129" i="18" s="1"/>
  <c r="AO64" i="19"/>
  <c r="AO77" i="19" s="1"/>
  <c r="AO112" i="19"/>
  <c r="AP4" i="25"/>
  <c r="AP4" i="21"/>
  <c r="AP4" i="23"/>
  <c r="AP4" i="19"/>
  <c r="AP4" i="18"/>
  <c r="AP4" i="17"/>
  <c r="AP4" i="15"/>
  <c r="AP4" i="14"/>
  <c r="AP4" i="12"/>
  <c r="AP170" i="17"/>
  <c r="AP40" i="17"/>
  <c r="AO111" i="19"/>
  <c r="AO63" i="19"/>
  <c r="AO76" i="19" s="1"/>
  <c r="AQ307" i="19"/>
  <c r="AQ238" i="18"/>
  <c r="AQ204" i="15"/>
  <c r="AQ207" i="17"/>
  <c r="AQ64" i="14"/>
  <c r="AQ33" i="14"/>
  <c r="AQ41" i="10"/>
  <c r="AO115" i="18"/>
  <c r="AO70" i="18"/>
  <c r="AO83" i="18" s="1"/>
  <c r="AO96" i="18" s="1"/>
  <c r="AO128" i="18" s="1"/>
  <c r="AO106" i="19"/>
  <c r="AO58" i="19"/>
  <c r="AO71" i="19" s="1"/>
  <c r="AO109" i="19"/>
  <c r="AO61" i="19"/>
  <c r="AO74" i="19" s="1"/>
  <c r="AO111" i="15"/>
  <c r="AO137" i="15" s="1"/>
  <c r="AO66" i="15"/>
  <c r="AO79" i="15" s="1"/>
  <c r="AO92" i="15" s="1"/>
  <c r="AO124" i="15" s="1"/>
  <c r="AP159" i="15"/>
  <c r="AP43" i="15"/>
  <c r="AO117" i="17"/>
  <c r="AO49" i="17"/>
  <c r="AO62" i="17" s="1"/>
  <c r="AO75" i="17" s="1"/>
  <c r="AO130" i="17" s="1"/>
  <c r="AO123" i="18"/>
  <c r="AO78" i="18"/>
  <c r="AO91" i="18" s="1"/>
  <c r="AO104" i="18" s="1"/>
  <c r="AO136" i="18" s="1"/>
  <c r="AP211" i="19"/>
  <c r="AP52" i="19"/>
  <c r="AO117" i="18"/>
  <c r="AO72" i="18"/>
  <c r="AO85" i="18" s="1"/>
  <c r="AO98" i="18" s="1"/>
  <c r="AO130" i="18" s="1"/>
  <c r="AP200" i="18"/>
  <c r="AP64" i="18"/>
  <c r="AO126" i="18"/>
  <c r="AO81" i="18"/>
  <c r="AO94" i="18" s="1"/>
  <c r="AO107" i="18" s="1"/>
  <c r="AO139" i="18" s="1"/>
  <c r="AP38" i="17"/>
  <c r="AP168" i="17"/>
  <c r="AP170" i="15"/>
  <c r="AP184" i="15" s="1"/>
  <c r="AP54" i="15"/>
  <c r="AO120" i="17"/>
  <c r="AO52" i="17"/>
  <c r="AO65" i="17" s="1"/>
  <c r="AO78" i="17" s="1"/>
  <c r="AO133" i="17" s="1"/>
  <c r="AO101" i="15"/>
  <c r="AO56" i="15"/>
  <c r="AO69" i="15" s="1"/>
  <c r="AO82" i="15" s="1"/>
  <c r="AO114" i="15" s="1"/>
  <c r="AO121" i="17"/>
  <c r="AO53" i="17"/>
  <c r="AO66" i="17" s="1"/>
  <c r="AO79" i="17" s="1"/>
  <c r="AO134" i="17" s="1"/>
  <c r="AP164" i="15"/>
  <c r="AP48" i="15"/>
  <c r="AP160" i="15"/>
  <c r="AP44" i="15"/>
  <c r="AO122" i="18"/>
  <c r="AO77" i="18"/>
  <c r="AO90" i="18" s="1"/>
  <c r="AO103" i="18" s="1"/>
  <c r="AO135" i="18" s="1"/>
  <c r="AP213" i="19"/>
  <c r="AP54" i="19"/>
  <c r="AO109" i="15"/>
  <c r="AO135" i="15" s="1"/>
  <c r="AO64" i="15"/>
  <c r="AO77" i="15" s="1"/>
  <c r="AO90" i="15" s="1"/>
  <c r="AO122" i="15" s="1"/>
  <c r="AQ18" i="19"/>
  <c r="AQ17" i="19"/>
  <c r="AQ16" i="19"/>
  <c r="AQ15" i="19"/>
  <c r="AQ23" i="19"/>
  <c r="AQ14" i="19"/>
  <c r="AQ13" i="19"/>
  <c r="AQ24" i="19"/>
  <c r="AQ22" i="19"/>
  <c r="AQ21" i="19"/>
  <c r="AQ20" i="19"/>
  <c r="AQ19" i="19"/>
  <c r="AO118" i="18"/>
  <c r="AO73" i="18"/>
  <c r="AO86" i="18" s="1"/>
  <c r="AO99" i="18" s="1"/>
  <c r="AO131" i="18" s="1"/>
  <c r="AO115" i="19"/>
  <c r="AO67" i="19"/>
  <c r="AO80" i="19" s="1"/>
  <c r="AP203" i="18"/>
  <c r="AP67" i="18"/>
  <c r="AO113" i="19"/>
  <c r="AO65" i="19"/>
  <c r="AO78" i="19" s="1"/>
  <c r="AO107" i="15"/>
  <c r="AO133" i="15" s="1"/>
  <c r="AO62" i="15"/>
  <c r="AO75" i="15" s="1"/>
  <c r="AO88" i="15" s="1"/>
  <c r="AO120" i="15" s="1"/>
  <c r="AO120" i="18"/>
  <c r="AO75" i="18"/>
  <c r="AO88" i="18" s="1"/>
  <c r="AO101" i="18" s="1"/>
  <c r="AO133" i="18" s="1"/>
  <c r="AO102" i="15"/>
  <c r="AO57" i="15"/>
  <c r="AO70" i="15" s="1"/>
  <c r="AO83" i="15" s="1"/>
  <c r="AO115" i="15" s="1"/>
  <c r="AP42" i="17"/>
  <c r="AP172" i="17"/>
  <c r="AP165" i="15"/>
  <c r="AP49" i="15"/>
  <c r="AP161" i="15"/>
  <c r="AP45" i="15"/>
  <c r="AO110" i="19"/>
  <c r="AO62" i="19"/>
  <c r="AO75" i="19" s="1"/>
  <c r="AO110" i="15"/>
  <c r="AO136" i="15" s="1"/>
  <c r="AO65" i="15"/>
  <c r="AO78" i="15" s="1"/>
  <c r="AO91" i="15" s="1"/>
  <c r="AO123" i="15" s="1"/>
  <c r="AR97" i="19"/>
  <c r="AR11" i="19"/>
  <c r="AR11" i="18"/>
  <c r="AR111" i="18"/>
  <c r="AR108" i="17"/>
  <c r="AR11" i="17"/>
  <c r="AR97" i="15"/>
  <c r="AR11" i="15"/>
  <c r="AR21" i="14"/>
  <c r="AR23" i="14" s="1"/>
  <c r="AP202" i="19"/>
  <c r="AP43" i="19"/>
  <c r="AQ18" i="15"/>
  <c r="AQ17" i="15"/>
  <c r="AQ16" i="15"/>
  <c r="AQ15" i="15"/>
  <c r="AQ14" i="15"/>
  <c r="AQ13" i="15"/>
  <c r="AQ24" i="15"/>
  <c r="AQ23" i="15"/>
  <c r="AQ22" i="15"/>
  <c r="AQ21" i="15"/>
  <c r="AQ20" i="15"/>
  <c r="AQ19" i="15"/>
  <c r="AP196" i="18"/>
  <c r="AP60" i="18"/>
  <c r="AO121" i="18"/>
  <c r="AO76" i="18"/>
  <c r="AO89" i="18" s="1"/>
  <c r="AO102" i="18" s="1"/>
  <c r="AO134" i="18" s="1"/>
  <c r="AP204" i="18"/>
  <c r="AP68" i="18"/>
  <c r="AP161" i="17"/>
  <c r="AP31" i="17"/>
  <c r="AO60" i="15"/>
  <c r="AO73" i="15" s="1"/>
  <c r="AO86" i="15" s="1"/>
  <c r="AO118" i="15" s="1"/>
  <c r="AO105" i="15"/>
  <c r="AP166" i="15"/>
  <c r="AP180" i="15" s="1"/>
  <c r="AP50" i="15"/>
  <c r="AP162" i="15"/>
  <c r="AP46" i="15"/>
  <c r="AO125" i="18"/>
  <c r="AO80" i="18"/>
  <c r="AO93" i="18" s="1"/>
  <c r="AO106" i="18" s="1"/>
  <c r="AO138" i="18" s="1"/>
  <c r="AO114" i="17"/>
  <c r="AO46" i="17"/>
  <c r="AO59" i="17" s="1"/>
  <c r="AO72" i="17" s="1"/>
  <c r="AO127" i="17" s="1"/>
  <c r="AP203" i="19"/>
  <c r="AP44" i="19"/>
  <c r="AT98" i="19"/>
  <c r="AT196" i="19"/>
  <c r="AT10" i="19"/>
  <c r="AT10" i="18"/>
  <c r="AT112" i="18"/>
  <c r="AT184" i="18"/>
  <c r="AT155" i="17"/>
  <c r="AT152" i="15"/>
  <c r="AT10" i="17"/>
  <c r="AT109" i="17"/>
  <c r="AT10" i="15"/>
  <c r="AT98" i="15"/>
  <c r="AT20" i="10"/>
  <c r="AU19" i="10"/>
  <c r="AO113" i="17"/>
  <c r="AO45" i="17"/>
  <c r="AO58" i="17" s="1"/>
  <c r="AO124" i="18"/>
  <c r="AO79" i="18"/>
  <c r="AO92" i="18" s="1"/>
  <c r="AO105" i="18" s="1"/>
  <c r="AO137" i="18" s="1"/>
  <c r="AP57" i="18"/>
  <c r="AP193" i="18"/>
  <c r="AO106" i="15"/>
  <c r="AO61" i="15"/>
  <c r="AO74" i="15" s="1"/>
  <c r="AO87" i="15" s="1"/>
  <c r="AO119" i="15" s="1"/>
  <c r="AO119" i="18"/>
  <c r="AO74" i="18"/>
  <c r="AO87" i="18" s="1"/>
  <c r="AO100" i="18" s="1"/>
  <c r="AO132" i="18" s="1"/>
  <c r="AP162" i="17"/>
  <c r="AP32" i="17"/>
  <c r="AP167" i="15"/>
  <c r="AP181" i="15" s="1"/>
  <c r="AP51" i="15"/>
  <c r="AP163" i="15"/>
  <c r="AP47" i="15"/>
  <c r="AO115" i="17"/>
  <c r="AO47" i="17"/>
  <c r="AO60" i="17" s="1"/>
  <c r="AO73" i="17" s="1"/>
  <c r="AO128" i="17" s="1"/>
  <c r="AN196" i="15"/>
  <c r="AP207" i="19"/>
  <c r="AP48" i="19"/>
  <c r="AP212" i="19"/>
  <c r="AP53" i="19"/>
  <c r="AO104" i="19"/>
  <c r="AO56" i="19"/>
  <c r="AO69" i="19" s="1"/>
  <c r="AS21" i="10"/>
  <c r="AS3" i="21"/>
  <c r="AS3" i="23"/>
  <c r="AS3" i="25"/>
  <c r="AS3" i="19"/>
  <c r="AS3" i="18"/>
  <c r="AS3" i="17"/>
  <c r="AS3" i="15"/>
  <c r="AS3" i="14"/>
  <c r="AS24" i="10"/>
  <c r="AS52" i="10" s="1"/>
  <c r="AS36" i="10"/>
  <c r="AS3" i="12"/>
  <c r="AS51" i="10"/>
  <c r="AQ18" i="17"/>
  <c r="AQ16" i="17"/>
  <c r="AQ17" i="17"/>
  <c r="AQ15" i="17"/>
  <c r="AQ23" i="17"/>
  <c r="AQ14" i="17"/>
  <c r="AQ13" i="17"/>
  <c r="AQ20" i="17"/>
  <c r="AQ24" i="17"/>
  <c r="AQ22" i="17"/>
  <c r="AQ21" i="17"/>
  <c r="AQ19" i="17"/>
  <c r="AO116" i="17"/>
  <c r="AO48" i="17"/>
  <c r="AO61" i="17" s="1"/>
  <c r="AO74" i="17" s="1"/>
  <c r="AO129" i="17" s="1"/>
  <c r="AO104" i="15"/>
  <c r="AO59" i="15"/>
  <c r="AO72" i="15" s="1"/>
  <c r="AO85" i="15" s="1"/>
  <c r="AO117" i="15" s="1"/>
  <c r="AN58" i="17"/>
  <c r="AN71" i="17" s="1"/>
  <c r="AN126" i="17" s="1"/>
  <c r="AP198" i="18"/>
  <c r="AP62" i="18"/>
  <c r="AP58" i="18"/>
  <c r="AP194" i="18"/>
  <c r="AN198" i="15"/>
  <c r="AP36" i="17"/>
  <c r="AP166" i="17"/>
  <c r="AP163" i="17"/>
  <c r="AP33" i="17"/>
  <c r="AP168" i="15"/>
  <c r="AP182" i="15" s="1"/>
  <c r="AP52" i="15"/>
  <c r="AO112" i="15"/>
  <c r="AO138" i="15" s="1"/>
  <c r="AO67" i="15"/>
  <c r="AO80" i="15" s="1"/>
  <c r="AO93" i="15" s="1"/>
  <c r="AO125" i="15" s="1"/>
  <c r="AO114" i="19"/>
  <c r="AO66" i="19"/>
  <c r="AO79" i="19" s="1"/>
  <c r="AO105" i="19"/>
  <c r="AO57" i="19"/>
  <c r="AO70" i="19" s="1"/>
  <c r="AP208" i="19"/>
  <c r="AP49" i="19"/>
  <c r="AP204" i="19"/>
  <c r="AP45" i="19"/>
  <c r="AP199" i="18"/>
  <c r="AP63" i="18"/>
  <c r="AP195" i="18"/>
  <c r="AP59" i="18"/>
  <c r="AO123" i="17"/>
  <c r="AO55" i="17"/>
  <c r="AO68" i="17" s="1"/>
  <c r="AO81" i="17" s="1"/>
  <c r="AO136" i="17" s="1"/>
  <c r="AP37" i="17"/>
  <c r="AP167" i="17"/>
  <c r="AP171" i="17"/>
  <c r="AP41" i="17"/>
  <c r="AO107" i="19"/>
  <c r="AO59" i="19"/>
  <c r="AO72" i="19" s="1"/>
  <c r="AP169" i="15"/>
  <c r="AP183" i="15" s="1"/>
  <c r="AP53" i="15"/>
  <c r="AP164" i="17"/>
  <c r="AP34" i="17"/>
  <c r="AO118" i="17"/>
  <c r="AO50" i="17"/>
  <c r="AO63" i="17" s="1"/>
  <c r="AO76" i="17" s="1"/>
  <c r="AO131" i="17" s="1"/>
  <c r="AO122" i="17"/>
  <c r="AO54" i="17"/>
  <c r="AO67" i="17" s="1"/>
  <c r="AO80" i="17" s="1"/>
  <c r="AO135" i="17" s="1"/>
  <c r="AP209" i="19"/>
  <c r="AP50" i="19"/>
  <c r="AP205" i="19"/>
  <c r="AP46" i="19"/>
  <c r="AO108" i="15"/>
  <c r="AO134" i="15" s="1"/>
  <c r="AO63" i="15"/>
  <c r="AO76" i="15" s="1"/>
  <c r="AO89" i="15" s="1"/>
  <c r="AO121" i="15" s="1"/>
  <c r="AO112" i="17"/>
  <c r="AO44" i="17"/>
  <c r="AO57" i="17" s="1"/>
  <c r="AO70" i="17" s="1"/>
  <c r="AO125" i="17" s="1"/>
  <c r="AD13" i="14"/>
  <c r="AD15" i="14" s="1"/>
  <c r="AD26" i="14" s="1"/>
  <c r="AD28" i="14" s="1"/>
  <c r="AD34" i="14" s="1"/>
  <c r="AD36" i="14" s="1"/>
  <c r="AD11" i="21" s="1"/>
  <c r="AD43" i="14"/>
  <c r="AD45" i="14" s="1"/>
  <c r="AD50" i="14" s="1"/>
  <c r="AD52" i="14" s="1"/>
  <c r="AD57" i="14" s="1"/>
  <c r="AP201" i="18"/>
  <c r="AP65" i="18"/>
  <c r="AP61" i="18"/>
  <c r="AP197" i="18"/>
  <c r="AN197" i="15"/>
  <c r="AP169" i="17"/>
  <c r="AP39" i="17"/>
  <c r="AP165" i="17"/>
  <c r="AP35" i="17"/>
  <c r="AO85" i="19" l="1"/>
  <c r="AO120" i="19" s="1"/>
  <c r="AO83" i="19"/>
  <c r="AO118" i="19" s="1"/>
  <c r="AO82" i="19"/>
  <c r="AO117" i="19" s="1"/>
  <c r="AO91" i="19"/>
  <c r="AO126" i="19" s="1"/>
  <c r="AO87" i="19"/>
  <c r="AO122" i="19" s="1"/>
  <c r="AO86" i="19"/>
  <c r="AO121" i="19" s="1"/>
  <c r="AO92" i="19"/>
  <c r="AO127" i="19" s="1"/>
  <c r="AO88" i="19"/>
  <c r="AO123" i="19" s="1"/>
  <c r="AO84" i="19"/>
  <c r="AO119" i="19" s="1"/>
  <c r="AO90" i="19"/>
  <c r="AO125" i="19" s="1"/>
  <c r="AO93" i="19"/>
  <c r="AO128" i="19" s="1"/>
  <c r="AO89" i="19"/>
  <c r="AO124" i="19" s="1"/>
  <c r="AC31" i="18"/>
  <c r="AC161" i="18" s="1"/>
  <c r="AC28" i="18"/>
  <c r="AC158" i="18" s="1"/>
  <c r="AC38" i="18"/>
  <c r="AC168" i="18" s="1"/>
  <c r="AC33" i="18"/>
  <c r="AC163" i="18" s="1"/>
  <c r="AC30" i="18"/>
  <c r="AC160" i="18" s="1"/>
  <c r="AC27" i="18"/>
  <c r="AC157" i="18" s="1"/>
  <c r="AC32" i="18"/>
  <c r="AC162" i="18" s="1"/>
  <c r="AC35" i="18"/>
  <c r="AC165" i="18" s="1"/>
  <c r="AC34" i="18"/>
  <c r="AC164" i="18" s="1"/>
  <c r="AC36" i="18"/>
  <c r="AC166" i="18" s="1"/>
  <c r="AC29" i="18"/>
  <c r="AC159" i="18" s="1"/>
  <c r="AC37" i="18"/>
  <c r="AC167" i="18" s="1"/>
  <c r="AG179" i="15"/>
  <c r="AO179" i="15"/>
  <c r="AL179" i="15"/>
  <c r="AE157" i="15"/>
  <c r="AG178" i="15" s="1"/>
  <c r="AH179" i="15"/>
  <c r="AI179" i="15"/>
  <c r="AP179" i="15"/>
  <c r="AM179" i="15"/>
  <c r="AJ179" i="15"/>
  <c r="AN179" i="15"/>
  <c r="AK179" i="15"/>
  <c r="AG132" i="15"/>
  <c r="AG192" i="15" s="1"/>
  <c r="AH132" i="15"/>
  <c r="AH192" i="15" s="1"/>
  <c r="AK132" i="15"/>
  <c r="AK192" i="15" s="1"/>
  <c r="AJ132" i="15"/>
  <c r="AJ192" i="15" s="1"/>
  <c r="AF132" i="15"/>
  <c r="AF192" i="15" s="1"/>
  <c r="AL132" i="15"/>
  <c r="AL192" i="15" s="1"/>
  <c r="AN132" i="15"/>
  <c r="AN192" i="15" s="1"/>
  <c r="AM132" i="15"/>
  <c r="AM192" i="15" s="1"/>
  <c r="AI132" i="15"/>
  <c r="AI192" i="15" s="1"/>
  <c r="AO132" i="15"/>
  <c r="AO192" i="15" s="1"/>
  <c r="AV11" i="10"/>
  <c r="AV30" i="10" s="1"/>
  <c r="AV31" i="10" s="1"/>
  <c r="AV45" i="10" s="1"/>
  <c r="AV46" i="10" s="1"/>
  <c r="AW10" i="10"/>
  <c r="AO198" i="15"/>
  <c r="AO194" i="15"/>
  <c r="AD99" i="15"/>
  <c r="AH131" i="15" s="1"/>
  <c r="AH191" i="15" s="1"/>
  <c r="AD56" i="14"/>
  <c r="AD59" i="14" s="1"/>
  <c r="AD65" i="14" s="1"/>
  <c r="AD67" i="14" s="1"/>
  <c r="AD155" i="15" s="1"/>
  <c r="AD8" i="23"/>
  <c r="AD12" i="25" s="1"/>
  <c r="AD19" i="25" s="1"/>
  <c r="AD154" i="15"/>
  <c r="AP119" i="18"/>
  <c r="AP74" i="18"/>
  <c r="AP87" i="18" s="1"/>
  <c r="AP100" i="18" s="1"/>
  <c r="AP132" i="18" s="1"/>
  <c r="AQ170" i="17"/>
  <c r="AQ40" i="17"/>
  <c r="AQ164" i="17"/>
  <c r="AQ34" i="17"/>
  <c r="AP113" i="17"/>
  <c r="AP45" i="17"/>
  <c r="AQ160" i="15"/>
  <c r="AQ44" i="15"/>
  <c r="AR19" i="15"/>
  <c r="AR18" i="15"/>
  <c r="AR17" i="15"/>
  <c r="AR16" i="15"/>
  <c r="AR15" i="15"/>
  <c r="AR14" i="15"/>
  <c r="AR13" i="15"/>
  <c r="AR24" i="15"/>
  <c r="AR23" i="15"/>
  <c r="AR22" i="15"/>
  <c r="AR21" i="15"/>
  <c r="AR20" i="15"/>
  <c r="AQ208" i="19"/>
  <c r="AQ49" i="19"/>
  <c r="AQ204" i="19"/>
  <c r="AQ45" i="19"/>
  <c r="AP102" i="15"/>
  <c r="AP57" i="15"/>
  <c r="AP70" i="15" s="1"/>
  <c r="AP83" i="15" s="1"/>
  <c r="AP115" i="15" s="1"/>
  <c r="AP122" i="18"/>
  <c r="AP77" i="18"/>
  <c r="AP90" i="18" s="1"/>
  <c r="AP103" i="18" s="1"/>
  <c r="AP135" i="18" s="1"/>
  <c r="AP124" i="18"/>
  <c r="AP79" i="18"/>
  <c r="AP92" i="18" s="1"/>
  <c r="AP105" i="18" s="1"/>
  <c r="AP137" i="18" s="1"/>
  <c r="AQ203" i="18"/>
  <c r="AQ67" i="18"/>
  <c r="AP108" i="19"/>
  <c r="AP60" i="19"/>
  <c r="AP73" i="19" s="1"/>
  <c r="AP123" i="18"/>
  <c r="AP78" i="18"/>
  <c r="AP91" i="18" s="1"/>
  <c r="AP104" i="18" s="1"/>
  <c r="AP136" i="18" s="1"/>
  <c r="AP107" i="19"/>
  <c r="AP59" i="19"/>
  <c r="AP72" i="19" s="1"/>
  <c r="AP117" i="18"/>
  <c r="AP72" i="18"/>
  <c r="AP85" i="18" s="1"/>
  <c r="AP98" i="18" s="1"/>
  <c r="AP130" i="18" s="1"/>
  <c r="AQ172" i="17"/>
  <c r="AQ42" i="17"/>
  <c r="AR18" i="17"/>
  <c r="AQ166" i="17"/>
  <c r="AQ36" i="17"/>
  <c r="AP114" i="19"/>
  <c r="AP66" i="19"/>
  <c r="AP79" i="19" s="1"/>
  <c r="AP112" i="17"/>
  <c r="AP44" i="17"/>
  <c r="AP57" i="17" s="1"/>
  <c r="AP70" i="17" s="1"/>
  <c r="AP125" i="17" s="1"/>
  <c r="AQ49" i="15"/>
  <c r="AQ165" i="15"/>
  <c r="AQ179" i="15" s="1"/>
  <c r="AQ161" i="15"/>
  <c r="AQ45" i="15"/>
  <c r="AO196" i="15"/>
  <c r="AP123" i="17"/>
  <c r="AP55" i="17"/>
  <c r="AP68" i="17" s="1"/>
  <c r="AP81" i="17" s="1"/>
  <c r="AP136" i="17" s="1"/>
  <c r="AQ209" i="19"/>
  <c r="AQ50" i="19"/>
  <c r="AQ205" i="19"/>
  <c r="AQ46" i="19"/>
  <c r="AQ204" i="18"/>
  <c r="AQ68" i="18"/>
  <c r="AP116" i="17"/>
  <c r="AP48" i="17"/>
  <c r="AP61" i="17" s="1"/>
  <c r="AP74" i="17" s="1"/>
  <c r="AP129" i="17" s="1"/>
  <c r="AP117" i="17"/>
  <c r="AP49" i="17"/>
  <c r="AP62" i="17" s="1"/>
  <c r="AP75" i="17" s="1"/>
  <c r="AP130" i="17" s="1"/>
  <c r="AQ168" i="17"/>
  <c r="AQ38" i="17"/>
  <c r="AO71" i="17"/>
  <c r="AO126" i="17" s="1"/>
  <c r="AP105" i="19"/>
  <c r="AP57" i="19"/>
  <c r="AP70" i="19" s="1"/>
  <c r="AQ166" i="15"/>
  <c r="AQ180" i="15" s="1"/>
  <c r="AQ50" i="15"/>
  <c r="AQ162" i="15"/>
  <c r="AQ46" i="15"/>
  <c r="AR19" i="17"/>
  <c r="AR17" i="17"/>
  <c r="AR16" i="17"/>
  <c r="AR15" i="17"/>
  <c r="AR23" i="17"/>
  <c r="AR14" i="17"/>
  <c r="AR13" i="17"/>
  <c r="AR20" i="17"/>
  <c r="AR24" i="17"/>
  <c r="AR21" i="17"/>
  <c r="AR22" i="17"/>
  <c r="AP125" i="18"/>
  <c r="AP80" i="18"/>
  <c r="AP93" i="18" s="1"/>
  <c r="AP106" i="18" s="1"/>
  <c r="AP138" i="18" s="1"/>
  <c r="AQ51" i="19"/>
  <c r="AQ210" i="19"/>
  <c r="AR17" i="19"/>
  <c r="AQ206" i="19"/>
  <c r="AQ47" i="19"/>
  <c r="AP106" i="15"/>
  <c r="AP132" i="15" s="1"/>
  <c r="AP61" i="15"/>
  <c r="AP74" i="15" s="1"/>
  <c r="AP87" i="15" s="1"/>
  <c r="AP119" i="15" s="1"/>
  <c r="AP112" i="15"/>
  <c r="AP138" i="15" s="1"/>
  <c r="AP67" i="15"/>
  <c r="AP80" i="15" s="1"/>
  <c r="AP93" i="15" s="1"/>
  <c r="AP125" i="15" s="1"/>
  <c r="AP101" i="15"/>
  <c r="AP56" i="15"/>
  <c r="AP69" i="15" s="1"/>
  <c r="AP82" i="15" s="1"/>
  <c r="AP114" i="15" s="1"/>
  <c r="AQ193" i="18"/>
  <c r="AQ57" i="18"/>
  <c r="AP112" i="19"/>
  <c r="AP64" i="19"/>
  <c r="AP77" i="19" s="1"/>
  <c r="AP111" i="19"/>
  <c r="AP63" i="19"/>
  <c r="AP76" i="19" s="1"/>
  <c r="AP122" i="17"/>
  <c r="AP54" i="17"/>
  <c r="AP67" i="17" s="1"/>
  <c r="AP80" i="17" s="1"/>
  <c r="AP135" i="17" s="1"/>
  <c r="AP121" i="18"/>
  <c r="AP76" i="18"/>
  <c r="AP89" i="18" s="1"/>
  <c r="AP102" i="18" s="1"/>
  <c r="AP134" i="18" s="1"/>
  <c r="AP110" i="15"/>
  <c r="AP136" i="15" s="1"/>
  <c r="AP65" i="15"/>
  <c r="AP78" i="15" s="1"/>
  <c r="AP91" i="15" s="1"/>
  <c r="AP123" i="15" s="1"/>
  <c r="AQ161" i="17"/>
  <c r="AQ31" i="17"/>
  <c r="AP109" i="19"/>
  <c r="AP61" i="19"/>
  <c r="AP74" i="19" s="1"/>
  <c r="AP104" i="15"/>
  <c r="AP59" i="15"/>
  <c r="AP72" i="15" s="1"/>
  <c r="AP85" i="15" s="1"/>
  <c r="AP117" i="15" s="1"/>
  <c r="AP126" i="18"/>
  <c r="AP81" i="18"/>
  <c r="AP94" i="18" s="1"/>
  <c r="AP107" i="18" s="1"/>
  <c r="AP139" i="18" s="1"/>
  <c r="AQ167" i="15"/>
  <c r="AQ181" i="15" s="1"/>
  <c r="AQ51" i="15"/>
  <c r="AQ163" i="15"/>
  <c r="AQ47" i="15"/>
  <c r="AQ211" i="19"/>
  <c r="AQ52" i="19"/>
  <c r="AQ207" i="19"/>
  <c r="AQ48" i="19"/>
  <c r="AC13" i="14"/>
  <c r="AC15" i="14" s="1"/>
  <c r="AC26" i="14" s="1"/>
  <c r="AC28" i="14" s="1"/>
  <c r="AC34" i="14" s="1"/>
  <c r="AC36" i="14" s="1"/>
  <c r="AC99" i="15" s="1"/>
  <c r="AG130" i="15" s="1"/>
  <c r="AG190" i="15" s="1"/>
  <c r="AC43" i="14"/>
  <c r="AC45" i="14" s="1"/>
  <c r="AC50" i="14" s="1"/>
  <c r="AC52" i="14" s="1"/>
  <c r="AC57" i="14" s="1"/>
  <c r="AQ195" i="18"/>
  <c r="AQ59" i="18"/>
  <c r="AP120" i="17"/>
  <c r="AP52" i="17"/>
  <c r="AP65" i="17" s="1"/>
  <c r="AP78" i="17" s="1"/>
  <c r="AP133" i="17" s="1"/>
  <c r="AQ162" i="17"/>
  <c r="AQ32" i="17"/>
  <c r="AS39" i="10"/>
  <c r="AS38" i="10"/>
  <c r="AP105" i="15"/>
  <c r="AP60" i="15"/>
  <c r="AP73" i="15" s="1"/>
  <c r="AP86" i="15" s="1"/>
  <c r="AP118" i="15" s="1"/>
  <c r="AU196" i="19"/>
  <c r="AU10" i="19"/>
  <c r="AU98" i="19"/>
  <c r="AU112" i="18"/>
  <c r="AU184" i="18"/>
  <c r="AU10" i="18"/>
  <c r="AU155" i="17"/>
  <c r="AU10" i="17"/>
  <c r="AU109" i="17"/>
  <c r="AU152" i="15"/>
  <c r="AU98" i="15"/>
  <c r="AU10" i="15"/>
  <c r="AV19" i="10"/>
  <c r="AU20" i="10"/>
  <c r="AQ168" i="15"/>
  <c r="AQ182" i="15" s="1"/>
  <c r="AQ52" i="15"/>
  <c r="AQ164" i="15"/>
  <c r="AQ48" i="15"/>
  <c r="AP103" i="15"/>
  <c r="AP58" i="15"/>
  <c r="AP71" i="15" s="1"/>
  <c r="AP84" i="15" s="1"/>
  <c r="AP116" i="15" s="1"/>
  <c r="AQ213" i="19"/>
  <c r="AQ54" i="19"/>
  <c r="AP113" i="19"/>
  <c r="AP65" i="19"/>
  <c r="AP78" i="19" s="1"/>
  <c r="AQ4" i="25"/>
  <c r="AQ4" i="23"/>
  <c r="AQ4" i="19"/>
  <c r="AQ4" i="21"/>
  <c r="AQ4" i="18"/>
  <c r="AQ4" i="17"/>
  <c r="AQ4" i="15"/>
  <c r="AQ4" i="14"/>
  <c r="AQ4" i="12"/>
  <c r="AB5" i="15"/>
  <c r="AB5" i="25"/>
  <c r="AB5" i="21"/>
  <c r="AB5" i="23"/>
  <c r="AB5" i="19"/>
  <c r="AB5" i="18"/>
  <c r="AB5" i="17"/>
  <c r="AB5" i="12"/>
  <c r="AB5" i="14"/>
  <c r="AA54" i="10"/>
  <c r="AQ199" i="18"/>
  <c r="AQ63" i="18"/>
  <c r="AQ194" i="18"/>
  <c r="AQ58" i="18"/>
  <c r="AR307" i="19"/>
  <c r="AR238" i="18"/>
  <c r="AR207" i="17"/>
  <c r="AR204" i="15"/>
  <c r="AR41" i="10"/>
  <c r="AR64" i="14"/>
  <c r="AR33" i="14"/>
  <c r="AP115" i="17"/>
  <c r="AP47" i="17"/>
  <c r="AP60" i="17" s="1"/>
  <c r="AP73" i="17" s="1"/>
  <c r="AP128" i="17" s="1"/>
  <c r="AP106" i="19"/>
  <c r="AP58" i="19"/>
  <c r="AP71" i="19" s="1"/>
  <c r="AP116" i="18"/>
  <c r="AP71" i="18"/>
  <c r="AP84" i="18" s="1"/>
  <c r="AP97" i="18" s="1"/>
  <c r="AP129" i="18" s="1"/>
  <c r="AQ171" i="17"/>
  <c r="AQ41" i="17"/>
  <c r="AT21" i="10"/>
  <c r="AT3" i="23"/>
  <c r="AT3" i="25"/>
  <c r="AT3" i="21"/>
  <c r="AT3" i="19"/>
  <c r="AT3" i="18"/>
  <c r="AT3" i="17"/>
  <c r="AT3" i="15"/>
  <c r="AT36" i="10"/>
  <c r="AT51" i="10"/>
  <c r="AT24" i="10"/>
  <c r="AT52" i="10" s="1"/>
  <c r="AT3" i="12"/>
  <c r="AT3" i="14"/>
  <c r="AP108" i="15"/>
  <c r="AP134" i="15" s="1"/>
  <c r="AP63" i="15"/>
  <c r="AP76" i="15" s="1"/>
  <c r="AP89" i="15" s="1"/>
  <c r="AP121" i="15" s="1"/>
  <c r="AQ169" i="15"/>
  <c r="AQ183" i="15" s="1"/>
  <c r="AQ53" i="15"/>
  <c r="AP104" i="19"/>
  <c r="AP56" i="19"/>
  <c r="AP69" i="19" s="1"/>
  <c r="AR19" i="18"/>
  <c r="AR16" i="18"/>
  <c r="AR17" i="18"/>
  <c r="AR15" i="18"/>
  <c r="AR14" i="18"/>
  <c r="AR13" i="18"/>
  <c r="AR24" i="18"/>
  <c r="AR23" i="18"/>
  <c r="AR20" i="18"/>
  <c r="AR22" i="18"/>
  <c r="AR21" i="18"/>
  <c r="AQ202" i="19"/>
  <c r="AQ43" i="19"/>
  <c r="AO195" i="15"/>
  <c r="AP119" i="17"/>
  <c r="AP51" i="17"/>
  <c r="AP64" i="17" s="1"/>
  <c r="AP77" i="17" s="1"/>
  <c r="AP132" i="17" s="1"/>
  <c r="AO197" i="15"/>
  <c r="AP121" i="17"/>
  <c r="AP53" i="17"/>
  <c r="AP66" i="17" s="1"/>
  <c r="AP79" i="17" s="1"/>
  <c r="AP134" i="17" s="1"/>
  <c r="AQ202" i="18"/>
  <c r="AQ66" i="18"/>
  <c r="AQ197" i="18"/>
  <c r="AQ61" i="18"/>
  <c r="AP118" i="17"/>
  <c r="AP50" i="17"/>
  <c r="AP63" i="17" s="1"/>
  <c r="AP76" i="17" s="1"/>
  <c r="AP131" i="17" s="1"/>
  <c r="AP120" i="18"/>
  <c r="AP75" i="18"/>
  <c r="AP88" i="18" s="1"/>
  <c r="AP101" i="18" s="1"/>
  <c r="AP133" i="18" s="1"/>
  <c r="AQ167" i="17"/>
  <c r="AQ37" i="17"/>
  <c r="AQ163" i="17"/>
  <c r="AQ33" i="17"/>
  <c r="AS97" i="19"/>
  <c r="AS11" i="19"/>
  <c r="AS111" i="18"/>
  <c r="AS11" i="18"/>
  <c r="AS108" i="17"/>
  <c r="AS11" i="17"/>
  <c r="AS97" i="15"/>
  <c r="AS11" i="15"/>
  <c r="AS21" i="14"/>
  <c r="AS23" i="14" s="1"/>
  <c r="AP109" i="15"/>
  <c r="AP135" i="15" s="1"/>
  <c r="AP64" i="15"/>
  <c r="AP77" i="15" s="1"/>
  <c r="AP90" i="15" s="1"/>
  <c r="AP122" i="15" s="1"/>
  <c r="AQ170" i="15"/>
  <c r="AQ184" i="15" s="1"/>
  <c r="AQ54" i="15"/>
  <c r="AR19" i="19"/>
  <c r="AR18" i="19"/>
  <c r="AR16" i="19"/>
  <c r="AR15" i="19"/>
  <c r="AR23" i="19"/>
  <c r="AR14" i="19"/>
  <c r="AR13" i="19"/>
  <c r="AR24" i="19"/>
  <c r="AR22" i="19"/>
  <c r="AR21" i="19"/>
  <c r="AR20" i="19"/>
  <c r="AP107" i="15"/>
  <c r="AP133" i="15" s="1"/>
  <c r="AP62" i="15"/>
  <c r="AP75" i="15" s="1"/>
  <c r="AP88" i="15" s="1"/>
  <c r="AP120" i="15" s="1"/>
  <c r="AQ203" i="19"/>
  <c r="AQ44" i="19"/>
  <c r="AP115" i="19"/>
  <c r="AP67" i="19"/>
  <c r="AP80" i="19" s="1"/>
  <c r="AQ201" i="18"/>
  <c r="AQ65" i="18"/>
  <c r="AQ196" i="18"/>
  <c r="AQ60" i="18"/>
  <c r="AP111" i="15"/>
  <c r="AP137" i="15" s="1"/>
  <c r="AP66" i="15"/>
  <c r="AP79" i="15" s="1"/>
  <c r="AP92" i="15" s="1"/>
  <c r="AP124" i="15" s="1"/>
  <c r="AP110" i="19"/>
  <c r="AP62" i="19"/>
  <c r="AP75" i="19" s="1"/>
  <c r="AP114" i="17"/>
  <c r="AP46" i="17"/>
  <c r="AP59" i="17" s="1"/>
  <c r="AP72" i="17" s="1"/>
  <c r="AP127" i="17" s="1"/>
  <c r="AQ169" i="17"/>
  <c r="AQ39" i="17"/>
  <c r="AQ35" i="17"/>
  <c r="AQ165" i="17"/>
  <c r="AP115" i="18"/>
  <c r="AP70" i="18"/>
  <c r="AP83" i="18" s="1"/>
  <c r="AP96" i="18" s="1"/>
  <c r="AP128" i="18" s="1"/>
  <c r="AP118" i="18"/>
  <c r="AP73" i="18"/>
  <c r="AP86" i="18" s="1"/>
  <c r="AP99" i="18" s="1"/>
  <c r="AP131" i="18" s="1"/>
  <c r="AQ159" i="15"/>
  <c r="AQ43" i="15"/>
  <c r="AO193" i="15"/>
  <c r="AQ212" i="19"/>
  <c r="AQ53" i="19"/>
  <c r="AQ64" i="18"/>
  <c r="AQ200" i="18"/>
  <c r="AR18" i="18"/>
  <c r="AQ198" i="18"/>
  <c r="AQ62" i="18"/>
  <c r="AP91" i="19" l="1"/>
  <c r="AP126" i="19" s="1"/>
  <c r="AP87" i="19"/>
  <c r="AP122" i="19" s="1"/>
  <c r="AP86" i="19"/>
  <c r="AP121" i="19" s="1"/>
  <c r="AP88" i="19"/>
  <c r="AP123" i="19" s="1"/>
  <c r="AP93" i="19"/>
  <c r="AP128" i="19" s="1"/>
  <c r="AP89" i="19"/>
  <c r="AP124" i="19" s="1"/>
  <c r="AP84" i="19"/>
  <c r="AP119" i="19" s="1"/>
  <c r="AP82" i="19"/>
  <c r="AP117" i="19" s="1"/>
  <c r="AP90" i="19"/>
  <c r="AP125" i="19" s="1"/>
  <c r="AP83" i="19"/>
  <c r="AP118" i="19" s="1"/>
  <c r="AP92" i="19"/>
  <c r="AP127" i="19" s="1"/>
  <c r="AP85" i="19"/>
  <c r="AP120" i="19" s="1"/>
  <c r="AB31" i="18"/>
  <c r="AB161" i="18" s="1"/>
  <c r="AB29" i="18"/>
  <c r="AB159" i="18" s="1"/>
  <c r="AB36" i="18"/>
  <c r="AB166" i="18" s="1"/>
  <c r="AB37" i="18"/>
  <c r="AB167" i="18" s="1"/>
  <c r="AB32" i="18"/>
  <c r="AB162" i="18" s="1"/>
  <c r="AB28" i="18"/>
  <c r="AB158" i="18" s="1"/>
  <c r="AB38" i="18"/>
  <c r="AB168" i="18" s="1"/>
  <c r="AB27" i="18"/>
  <c r="AB157" i="18" s="1"/>
  <c r="AB35" i="18"/>
  <c r="AB165" i="18" s="1"/>
  <c r="AB33" i="18"/>
  <c r="AB163" i="18" s="1"/>
  <c r="AB34" i="18"/>
  <c r="AB164" i="18" s="1"/>
  <c r="AB30" i="18"/>
  <c r="AB160" i="18" s="1"/>
  <c r="AF178" i="15"/>
  <c r="AE178" i="15"/>
  <c r="AP178" i="15"/>
  <c r="AH178" i="15"/>
  <c r="AN178" i="15"/>
  <c r="AM178" i="15"/>
  <c r="AL178" i="15"/>
  <c r="AK178" i="15"/>
  <c r="AJ178" i="15"/>
  <c r="AI178" i="15"/>
  <c r="AO178" i="15"/>
  <c r="AP198" i="15"/>
  <c r="AE131" i="15"/>
  <c r="AE191" i="15" s="1"/>
  <c r="AI131" i="15"/>
  <c r="AI191" i="15" s="1"/>
  <c r="AJ131" i="15"/>
  <c r="AJ191" i="15" s="1"/>
  <c r="AL131" i="15"/>
  <c r="AL191" i="15" s="1"/>
  <c r="AF131" i="15"/>
  <c r="AF191" i="15" s="1"/>
  <c r="AC8" i="23"/>
  <c r="AC12" i="25" s="1"/>
  <c r="AC19" i="25" s="1"/>
  <c r="AK131" i="15"/>
  <c r="AK191" i="15" s="1"/>
  <c r="AM131" i="15"/>
  <c r="AM191" i="15" s="1"/>
  <c r="AO131" i="15"/>
  <c r="AO191" i="15" s="1"/>
  <c r="AN131" i="15"/>
  <c r="AN191" i="15" s="1"/>
  <c r="AG131" i="15"/>
  <c r="AG191" i="15" s="1"/>
  <c r="AD131" i="15"/>
  <c r="AD191" i="15" s="1"/>
  <c r="AX10" i="10"/>
  <c r="AW11" i="10"/>
  <c r="AW30" i="10" s="1"/>
  <c r="AW31" i="10" s="1"/>
  <c r="AW45" i="10" s="1"/>
  <c r="AW46" i="10" s="1"/>
  <c r="AC11" i="21"/>
  <c r="AP193" i="15"/>
  <c r="AP194" i="15"/>
  <c r="AC154" i="15"/>
  <c r="AC56" i="14"/>
  <c r="AC59" i="14" s="1"/>
  <c r="AC65" i="14" s="1"/>
  <c r="AC67" i="14" s="1"/>
  <c r="AC155" i="15" s="1"/>
  <c r="AD157" i="15"/>
  <c r="AJ177" i="15" s="1"/>
  <c r="AP196" i="15"/>
  <c r="AP192" i="15"/>
  <c r="AR51" i="19"/>
  <c r="AR210" i="19"/>
  <c r="AR207" i="19"/>
  <c r="AR48" i="19"/>
  <c r="AR193" i="18"/>
  <c r="AR57" i="18"/>
  <c r="AQ111" i="15"/>
  <c r="AQ137" i="15" s="1"/>
  <c r="AQ66" i="15"/>
  <c r="AQ79" i="15" s="1"/>
  <c r="AQ92" i="15" s="1"/>
  <c r="AQ124" i="15" s="1"/>
  <c r="AT39" i="10"/>
  <c r="AT38" i="10"/>
  <c r="AT97" i="19"/>
  <c r="AT11" i="19"/>
  <c r="AT111" i="18"/>
  <c r="AT11" i="18"/>
  <c r="AT11" i="17"/>
  <c r="AT108" i="17"/>
  <c r="AT97" i="15"/>
  <c r="AT11" i="15"/>
  <c r="AT21" i="14"/>
  <c r="AT23" i="14" s="1"/>
  <c r="AR161" i="17"/>
  <c r="AR31" i="17"/>
  <c r="AQ126" i="18"/>
  <c r="AQ81" i="18"/>
  <c r="AQ94" i="18" s="1"/>
  <c r="AQ107" i="18" s="1"/>
  <c r="AQ139" i="18" s="1"/>
  <c r="AQ123" i="17"/>
  <c r="AQ55" i="17"/>
  <c r="AQ68" i="17" s="1"/>
  <c r="AQ81" i="17" s="1"/>
  <c r="AQ136" i="17" s="1"/>
  <c r="AR168" i="15"/>
  <c r="AR182" i="15" s="1"/>
  <c r="AR52" i="15"/>
  <c r="AR164" i="15"/>
  <c r="AR48" i="15"/>
  <c r="AQ120" i="18"/>
  <c r="AQ75" i="18"/>
  <c r="AQ88" i="18" s="1"/>
  <c r="AQ101" i="18" s="1"/>
  <c r="AQ133" i="18" s="1"/>
  <c r="AQ101" i="15"/>
  <c r="AQ56" i="15"/>
  <c r="AQ69" i="15" s="1"/>
  <c r="AQ82" i="15" s="1"/>
  <c r="AQ114" i="15" s="1"/>
  <c r="AR211" i="19"/>
  <c r="AR52" i="19"/>
  <c r="AR208" i="19"/>
  <c r="AR49" i="19"/>
  <c r="AS20" i="17"/>
  <c r="AS17" i="17"/>
  <c r="AS16" i="17"/>
  <c r="AS15" i="17"/>
  <c r="AS23" i="17"/>
  <c r="AS14" i="17"/>
  <c r="AS13" i="17"/>
  <c r="AS24" i="17"/>
  <c r="AS22" i="17"/>
  <c r="AS21" i="17"/>
  <c r="AQ118" i="17"/>
  <c r="AQ50" i="17"/>
  <c r="AQ63" i="17" s="1"/>
  <c r="AQ76" i="17" s="1"/>
  <c r="AQ131" i="17" s="1"/>
  <c r="AQ124" i="18"/>
  <c r="AQ79" i="18"/>
  <c r="AQ92" i="18" s="1"/>
  <c r="AQ105" i="18" s="1"/>
  <c r="AQ137" i="18" s="1"/>
  <c r="AQ104" i="19"/>
  <c r="AQ56" i="19"/>
  <c r="AQ69" i="19" s="1"/>
  <c r="AR194" i="18"/>
  <c r="AR58" i="18"/>
  <c r="AQ122" i="17"/>
  <c r="AQ54" i="17"/>
  <c r="AQ67" i="17" s="1"/>
  <c r="AQ80" i="17" s="1"/>
  <c r="AQ135" i="17" s="1"/>
  <c r="AQ110" i="15"/>
  <c r="AQ136" i="15" s="1"/>
  <c r="AQ65" i="15"/>
  <c r="AQ78" i="15" s="1"/>
  <c r="AQ91" i="15" s="1"/>
  <c r="AQ123" i="15" s="1"/>
  <c r="AQ117" i="18"/>
  <c r="AQ72" i="18"/>
  <c r="AQ85" i="18" s="1"/>
  <c r="AQ98" i="18" s="1"/>
  <c r="AQ130" i="18" s="1"/>
  <c r="AQ105" i="15"/>
  <c r="AQ60" i="15"/>
  <c r="AQ73" i="15" s="1"/>
  <c r="AQ86" i="15" s="1"/>
  <c r="AQ118" i="15" s="1"/>
  <c r="AQ112" i="17"/>
  <c r="AQ44" i="17"/>
  <c r="AQ57" i="17" s="1"/>
  <c r="AQ70" i="17" s="1"/>
  <c r="AQ125" i="17" s="1"/>
  <c r="AQ112" i="19"/>
  <c r="AQ64" i="19"/>
  <c r="AQ77" i="19" s="1"/>
  <c r="AR32" i="17"/>
  <c r="AR162" i="17"/>
  <c r="AQ108" i="15"/>
  <c r="AQ134" i="15" s="1"/>
  <c r="AQ63" i="15"/>
  <c r="AQ76" i="15" s="1"/>
  <c r="AQ89" i="15" s="1"/>
  <c r="AQ121" i="15" s="1"/>
  <c r="AQ103" i="15"/>
  <c r="AQ58" i="15"/>
  <c r="AQ71" i="15" s="1"/>
  <c r="AQ84" i="15" s="1"/>
  <c r="AQ116" i="15" s="1"/>
  <c r="AR169" i="15"/>
  <c r="AR183" i="15" s="1"/>
  <c r="AR53" i="15"/>
  <c r="AR165" i="15"/>
  <c r="AR49" i="15"/>
  <c r="AR213" i="19"/>
  <c r="AR54" i="19"/>
  <c r="AQ112" i="15"/>
  <c r="AQ138" i="15" s="1"/>
  <c r="AQ67" i="15"/>
  <c r="AQ80" i="15" s="1"/>
  <c r="AQ93" i="15" s="1"/>
  <c r="AQ125" i="15" s="1"/>
  <c r="AR195" i="18"/>
  <c r="AR59" i="18"/>
  <c r="AQ116" i="18"/>
  <c r="AQ71" i="18"/>
  <c r="AQ84" i="18" s="1"/>
  <c r="AQ97" i="18" s="1"/>
  <c r="AQ129" i="18" s="1"/>
  <c r="AR41" i="17"/>
  <c r="AR171" i="17"/>
  <c r="AQ119" i="17"/>
  <c r="AQ51" i="17"/>
  <c r="AQ64" i="17" s="1"/>
  <c r="AQ77" i="17" s="1"/>
  <c r="AQ132" i="17" s="1"/>
  <c r="AQ107" i="19"/>
  <c r="AQ59" i="19"/>
  <c r="AQ72" i="19" s="1"/>
  <c r="AQ125" i="18"/>
  <c r="AQ80" i="18"/>
  <c r="AQ93" i="18" s="1"/>
  <c r="AQ106" i="18" s="1"/>
  <c r="AQ138" i="18" s="1"/>
  <c r="AQ106" i="19"/>
  <c r="AQ58" i="19"/>
  <c r="AQ71" i="19" s="1"/>
  <c r="AR170" i="15"/>
  <c r="AR184" i="15" s="1"/>
  <c r="AR54" i="15"/>
  <c r="AQ102" i="15"/>
  <c r="AQ57" i="15"/>
  <c r="AQ70" i="15" s="1"/>
  <c r="AQ83" i="15" s="1"/>
  <c r="AQ115" i="15" s="1"/>
  <c r="AQ115" i="17"/>
  <c r="AQ47" i="17"/>
  <c r="AQ60" i="17" s="1"/>
  <c r="AQ73" i="17" s="1"/>
  <c r="AQ128" i="17" s="1"/>
  <c r="AS18" i="18"/>
  <c r="AR198" i="18"/>
  <c r="AR62" i="18"/>
  <c r="AQ105" i="19"/>
  <c r="AQ57" i="19"/>
  <c r="AQ70" i="19" s="1"/>
  <c r="AR202" i="19"/>
  <c r="AR43" i="19"/>
  <c r="AS20" i="18"/>
  <c r="AS16" i="18"/>
  <c r="AS17" i="18"/>
  <c r="AS14" i="18"/>
  <c r="AS15" i="18"/>
  <c r="AS13" i="18"/>
  <c r="AS24" i="18"/>
  <c r="AS23" i="18"/>
  <c r="AS21" i="18"/>
  <c r="AS22" i="18"/>
  <c r="AR201" i="18"/>
  <c r="AR65" i="18"/>
  <c r="AR197" i="18"/>
  <c r="AR61" i="18"/>
  <c r="AQ115" i="19"/>
  <c r="AQ67" i="19"/>
  <c r="AQ80" i="19" s="1"/>
  <c r="AU21" i="10"/>
  <c r="AU3" i="23"/>
  <c r="AU3" i="25"/>
  <c r="AU3" i="21"/>
  <c r="AU3" i="19"/>
  <c r="AU3" i="18"/>
  <c r="AU3" i="17"/>
  <c r="AU3" i="15"/>
  <c r="AU3" i="14"/>
  <c r="AU24" i="10"/>
  <c r="AU52" i="10" s="1"/>
  <c r="AU51" i="10"/>
  <c r="AU3" i="12"/>
  <c r="AU36" i="10"/>
  <c r="AS307" i="19"/>
  <c r="AS238" i="18"/>
  <c r="AS207" i="17"/>
  <c r="AS204" i="15"/>
  <c r="AS41" i="10"/>
  <c r="AS64" i="14"/>
  <c r="AS33" i="14"/>
  <c r="AQ109" i="15"/>
  <c r="AQ135" i="15" s="1"/>
  <c r="AQ64" i="15"/>
  <c r="AQ77" i="15" s="1"/>
  <c r="AQ90" i="15" s="1"/>
  <c r="AQ122" i="15" s="1"/>
  <c r="AR163" i="17"/>
  <c r="AR33" i="17"/>
  <c r="AR159" i="15"/>
  <c r="AR43" i="15"/>
  <c r="AQ116" i="17"/>
  <c r="AQ48" i="17"/>
  <c r="AQ61" i="17" s="1"/>
  <c r="AQ74" i="17" s="1"/>
  <c r="AQ129" i="17" s="1"/>
  <c r="AP197" i="15"/>
  <c r="AR203" i="19"/>
  <c r="AR44" i="19"/>
  <c r="AR66" i="18"/>
  <c r="AR202" i="18"/>
  <c r="AR196" i="18"/>
  <c r="AR60" i="18"/>
  <c r="AQ121" i="18"/>
  <c r="AQ76" i="18"/>
  <c r="AQ89" i="18" s="1"/>
  <c r="AQ102" i="18" s="1"/>
  <c r="AQ134" i="18" s="1"/>
  <c r="AV196" i="19"/>
  <c r="AV10" i="19"/>
  <c r="AV98" i="19"/>
  <c r="AV112" i="18"/>
  <c r="AV184" i="18"/>
  <c r="AV10" i="18"/>
  <c r="AV10" i="17"/>
  <c r="AV152" i="15"/>
  <c r="AV109" i="17"/>
  <c r="AV155" i="17"/>
  <c r="AV10" i="15"/>
  <c r="AV98" i="15"/>
  <c r="AW19" i="10"/>
  <c r="AV20" i="10"/>
  <c r="AR170" i="17"/>
  <c r="AR40" i="17"/>
  <c r="AR164" i="17"/>
  <c r="AR34" i="17"/>
  <c r="AQ111" i="19"/>
  <c r="AQ63" i="19"/>
  <c r="AQ76" i="19" s="1"/>
  <c r="AQ62" i="15"/>
  <c r="AQ75" i="15" s="1"/>
  <c r="AQ88" i="15" s="1"/>
  <c r="AQ120" i="15" s="1"/>
  <c r="AQ107" i="15"/>
  <c r="AQ133" i="15" s="1"/>
  <c r="AQ110" i="19"/>
  <c r="AQ62" i="19"/>
  <c r="AQ75" i="19" s="1"/>
  <c r="AR160" i="15"/>
  <c r="AR44" i="15"/>
  <c r="AP58" i="17"/>
  <c r="AP71" i="17" s="1"/>
  <c r="AP126" i="17" s="1"/>
  <c r="AQ121" i="17"/>
  <c r="AQ53" i="17"/>
  <c r="AQ66" i="17" s="1"/>
  <c r="AQ79" i="17" s="1"/>
  <c r="AQ134" i="17" s="1"/>
  <c r="AQ122" i="18"/>
  <c r="AQ77" i="18"/>
  <c r="AQ90" i="18" s="1"/>
  <c r="AQ103" i="18" s="1"/>
  <c r="AQ135" i="18" s="1"/>
  <c r="AQ120" i="17"/>
  <c r="AQ52" i="17"/>
  <c r="AQ65" i="17" s="1"/>
  <c r="AQ78" i="17" s="1"/>
  <c r="AQ133" i="17" s="1"/>
  <c r="AQ118" i="18"/>
  <c r="AQ73" i="18"/>
  <c r="AQ86" i="18" s="1"/>
  <c r="AQ99" i="18" s="1"/>
  <c r="AQ131" i="18" s="1"/>
  <c r="AR212" i="19"/>
  <c r="AR53" i="19"/>
  <c r="AP195" i="15"/>
  <c r="AS20" i="19"/>
  <c r="AS19" i="19"/>
  <c r="AS18" i="19"/>
  <c r="AS17" i="19"/>
  <c r="AS16" i="19"/>
  <c r="AS15" i="19"/>
  <c r="AS14" i="19"/>
  <c r="AS23" i="19"/>
  <c r="AS13" i="19"/>
  <c r="AS24" i="19"/>
  <c r="AS22" i="19"/>
  <c r="AS21" i="19"/>
  <c r="AR200" i="18"/>
  <c r="AR64" i="18"/>
  <c r="AS19" i="18"/>
  <c r="AR199" i="18"/>
  <c r="AR63" i="18"/>
  <c r="AR4" i="25"/>
  <c r="AR4" i="21"/>
  <c r="AR4" i="23"/>
  <c r="AR4" i="19"/>
  <c r="AR4" i="18"/>
  <c r="AR4" i="17"/>
  <c r="AR4" i="15"/>
  <c r="AR4" i="12"/>
  <c r="AR4" i="14"/>
  <c r="AQ113" i="17"/>
  <c r="AQ45" i="17"/>
  <c r="AQ109" i="19"/>
  <c r="AQ61" i="19"/>
  <c r="AQ74" i="19" s="1"/>
  <c r="AQ115" i="18"/>
  <c r="AQ70" i="18"/>
  <c r="AQ83" i="18" s="1"/>
  <c r="AQ96" i="18" s="1"/>
  <c r="AQ128" i="18" s="1"/>
  <c r="AQ108" i="19"/>
  <c r="AQ60" i="19"/>
  <c r="AQ73" i="19" s="1"/>
  <c r="AR169" i="17"/>
  <c r="AR39" i="17"/>
  <c r="AR35" i="17"/>
  <c r="AR165" i="17"/>
  <c r="AQ117" i="17"/>
  <c r="AQ49" i="17"/>
  <c r="AQ62" i="17" s="1"/>
  <c r="AQ75" i="17" s="1"/>
  <c r="AQ130" i="17" s="1"/>
  <c r="AR161" i="15"/>
  <c r="AR45" i="15"/>
  <c r="AQ114" i="19"/>
  <c r="AQ66" i="19"/>
  <c r="AQ79" i="19" s="1"/>
  <c r="AR204" i="19"/>
  <c r="AR45" i="19"/>
  <c r="AR67" i="18"/>
  <c r="AR203" i="18"/>
  <c r="AA5" i="15"/>
  <c r="AA5" i="25"/>
  <c r="AA5" i="23"/>
  <c r="AA5" i="19"/>
  <c r="AA5" i="21"/>
  <c r="AA5" i="18"/>
  <c r="AA5" i="17"/>
  <c r="Z54" i="10"/>
  <c r="AA5" i="14"/>
  <c r="AA5" i="12"/>
  <c r="AR172" i="17"/>
  <c r="AR42" i="17"/>
  <c r="AS19" i="17"/>
  <c r="AR167" i="17"/>
  <c r="AR37" i="17"/>
  <c r="AR50" i="15"/>
  <c r="AR166" i="15"/>
  <c r="AR180" i="15" s="1"/>
  <c r="AR162" i="15"/>
  <c r="AR46" i="15"/>
  <c r="AQ123" i="18"/>
  <c r="AQ78" i="18"/>
  <c r="AQ91" i="18" s="1"/>
  <c r="AQ104" i="18" s="1"/>
  <c r="AQ136" i="18" s="1"/>
  <c r="AR209" i="19"/>
  <c r="AR50" i="19"/>
  <c r="AR205" i="19"/>
  <c r="AR46" i="19"/>
  <c r="AS20" i="15"/>
  <c r="AS19" i="15"/>
  <c r="AS18" i="15"/>
  <c r="AS17" i="15"/>
  <c r="AS16" i="15"/>
  <c r="AS15" i="15"/>
  <c r="AS14" i="15"/>
  <c r="AS13" i="15"/>
  <c r="AS24" i="15"/>
  <c r="AS23" i="15"/>
  <c r="AS22" i="15"/>
  <c r="AS21" i="15"/>
  <c r="AQ114" i="17"/>
  <c r="AQ46" i="17"/>
  <c r="AQ59" i="17" s="1"/>
  <c r="AQ72" i="17" s="1"/>
  <c r="AQ127" i="17" s="1"/>
  <c r="AQ119" i="18"/>
  <c r="AQ74" i="18"/>
  <c r="AQ87" i="18" s="1"/>
  <c r="AQ100" i="18" s="1"/>
  <c r="AQ132" i="18" s="1"/>
  <c r="AR204" i="18"/>
  <c r="AR68" i="18"/>
  <c r="AB13" i="14"/>
  <c r="AB15" i="14" s="1"/>
  <c r="AB26" i="14" s="1"/>
  <c r="AB28" i="14" s="1"/>
  <c r="AB34" i="14" s="1"/>
  <c r="AB36" i="14" s="1"/>
  <c r="AB8" i="23" s="1"/>
  <c r="AB12" i="25" s="1"/>
  <c r="AB19" i="25" s="1"/>
  <c r="AB43" i="14"/>
  <c r="AB45" i="14" s="1"/>
  <c r="AB50" i="14" s="1"/>
  <c r="AB52" i="14" s="1"/>
  <c r="AB57" i="14" s="1"/>
  <c r="AQ106" i="15"/>
  <c r="AQ61" i="15"/>
  <c r="AQ74" i="15" s="1"/>
  <c r="AQ87" i="15" s="1"/>
  <c r="AQ119" i="15" s="1"/>
  <c r="AQ113" i="19"/>
  <c r="AQ65" i="19"/>
  <c r="AQ78" i="19" s="1"/>
  <c r="AR206" i="19"/>
  <c r="AR47" i="19"/>
  <c r="AR168" i="17"/>
  <c r="AR38" i="17"/>
  <c r="AQ104" i="15"/>
  <c r="AQ59" i="15"/>
  <c r="AQ72" i="15" s="1"/>
  <c r="AQ85" i="15" s="1"/>
  <c r="AQ117" i="15" s="1"/>
  <c r="AS18" i="17"/>
  <c r="AR166" i="17"/>
  <c r="AR36" i="17"/>
  <c r="AR167" i="15"/>
  <c r="AR181" i="15" s="1"/>
  <c r="AR51" i="15"/>
  <c r="AR163" i="15"/>
  <c r="AR47" i="15"/>
  <c r="AN130" i="15"/>
  <c r="AN190" i="15" s="1"/>
  <c r="AF130" i="15"/>
  <c r="AF190" i="15" s="1"/>
  <c r="AE130" i="15"/>
  <c r="AE190" i="15" s="1"/>
  <c r="AM130" i="15"/>
  <c r="AM190" i="15" s="1"/>
  <c r="AD130" i="15"/>
  <c r="AD190" i="15" s="1"/>
  <c r="AC130" i="15"/>
  <c r="AC190" i="15" s="1"/>
  <c r="AL130" i="15"/>
  <c r="AL190" i="15" s="1"/>
  <c r="AK130" i="15"/>
  <c r="AK190" i="15" s="1"/>
  <c r="AJ130" i="15"/>
  <c r="AJ190" i="15" s="1"/>
  <c r="AI130" i="15"/>
  <c r="AI190" i="15" s="1"/>
  <c r="AH130" i="15"/>
  <c r="AH190" i="15" s="1"/>
  <c r="AQ86" i="19" l="1"/>
  <c r="AQ121" i="19" s="1"/>
  <c r="AQ83" i="19"/>
  <c r="AQ118" i="19" s="1"/>
  <c r="AQ88" i="19"/>
  <c r="AQ123" i="19" s="1"/>
  <c r="AQ84" i="19"/>
  <c r="AQ119" i="19" s="1"/>
  <c r="AQ91" i="19"/>
  <c r="AQ126" i="19" s="1"/>
  <c r="AQ87" i="19"/>
  <c r="AQ122" i="19" s="1"/>
  <c r="AQ89" i="19"/>
  <c r="AQ124" i="19" s="1"/>
  <c r="AQ82" i="19"/>
  <c r="AQ117" i="19" s="1"/>
  <c r="AQ93" i="19"/>
  <c r="AQ128" i="19" s="1"/>
  <c r="AQ92" i="19"/>
  <c r="AQ127" i="19" s="1"/>
  <c r="AQ85" i="19"/>
  <c r="AQ120" i="19" s="1"/>
  <c r="AQ90" i="19"/>
  <c r="AQ125" i="19" s="1"/>
  <c r="AA33" i="18"/>
  <c r="AA163" i="18" s="1"/>
  <c r="AA38" i="18"/>
  <c r="AA168" i="18" s="1"/>
  <c r="AA32" i="18"/>
  <c r="AA162" i="18" s="1"/>
  <c r="AA35" i="18"/>
  <c r="AA165" i="18" s="1"/>
  <c r="AA29" i="18"/>
  <c r="AA159" i="18" s="1"/>
  <c r="AA34" i="18"/>
  <c r="AA164" i="18" s="1"/>
  <c r="AA28" i="18"/>
  <c r="AA158" i="18" s="1"/>
  <c r="AA31" i="18"/>
  <c r="AA161" i="18" s="1"/>
  <c r="AA36" i="18"/>
  <c r="AA166" i="18" s="1"/>
  <c r="AA30" i="18"/>
  <c r="AA160" i="18" s="1"/>
  <c r="AA27" i="18"/>
  <c r="AA157" i="18" s="1"/>
  <c r="AA37" i="18"/>
  <c r="AA167" i="18" s="1"/>
  <c r="AC157" i="15"/>
  <c r="AC176" i="15" s="1"/>
  <c r="AI177" i="15"/>
  <c r="AO177" i="15"/>
  <c r="AH177" i="15"/>
  <c r="AM177" i="15"/>
  <c r="AE177" i="15"/>
  <c r="AG177" i="15"/>
  <c r="AF177" i="15"/>
  <c r="AL177" i="15"/>
  <c r="AD177" i="15"/>
  <c r="AN177" i="15"/>
  <c r="AK177" i="15"/>
  <c r="AY10" i="10"/>
  <c r="AX11" i="10"/>
  <c r="AX30" i="10" s="1"/>
  <c r="AX31" i="10" s="1"/>
  <c r="AX45" i="10" s="1"/>
  <c r="AX46" i="10" s="1"/>
  <c r="AQ197" i="15"/>
  <c r="AB56" i="14"/>
  <c r="AB59" i="14" s="1"/>
  <c r="AB65" i="14" s="1"/>
  <c r="AB67" i="14" s="1"/>
  <c r="AB155" i="15" s="1"/>
  <c r="AB154" i="15"/>
  <c r="AB99" i="15"/>
  <c r="AG129" i="15" s="1"/>
  <c r="AG189" i="15" s="1"/>
  <c r="AB11" i="21"/>
  <c r="AQ195" i="15"/>
  <c r="AS161" i="15"/>
  <c r="AS45" i="15"/>
  <c r="AR111" i="19"/>
  <c r="AR63" i="19"/>
  <c r="AR76" i="19" s="1"/>
  <c r="AR118" i="17"/>
  <c r="AR50" i="17"/>
  <c r="AR63" i="17" s="1"/>
  <c r="AR76" i="17" s="1"/>
  <c r="AR131" i="17" s="1"/>
  <c r="AR125" i="18"/>
  <c r="AR80" i="18"/>
  <c r="AR93" i="18" s="1"/>
  <c r="AR106" i="18" s="1"/>
  <c r="AR138" i="18" s="1"/>
  <c r="AR121" i="18"/>
  <c r="AR76" i="18"/>
  <c r="AR89" i="18" s="1"/>
  <c r="AR102" i="18" s="1"/>
  <c r="AR134" i="18" s="1"/>
  <c r="AS202" i="19"/>
  <c r="AS43" i="19"/>
  <c r="AS209" i="19"/>
  <c r="AS50" i="19"/>
  <c r="AR121" i="17"/>
  <c r="AR53" i="17"/>
  <c r="AR66" i="17" s="1"/>
  <c r="AR79" i="17" s="1"/>
  <c r="AR134" i="17" s="1"/>
  <c r="AR124" i="18"/>
  <c r="AR79" i="18"/>
  <c r="AR92" i="18" s="1"/>
  <c r="AR105" i="18" s="1"/>
  <c r="AR137" i="18" s="1"/>
  <c r="AR114" i="17"/>
  <c r="AR46" i="17"/>
  <c r="AR59" i="17" s="1"/>
  <c r="AR72" i="17" s="1"/>
  <c r="AR127" i="17" s="1"/>
  <c r="AR123" i="18"/>
  <c r="AR78" i="18"/>
  <c r="AR91" i="18" s="1"/>
  <c r="AR104" i="18" s="1"/>
  <c r="AR136" i="18" s="1"/>
  <c r="AS194" i="18"/>
  <c r="AS58" i="18"/>
  <c r="AR120" i="18"/>
  <c r="AR75" i="18"/>
  <c r="AR88" i="18" s="1"/>
  <c r="AR101" i="18" s="1"/>
  <c r="AR133" i="18" s="1"/>
  <c r="AR113" i="17"/>
  <c r="AR45" i="17"/>
  <c r="AR58" i="17" s="1"/>
  <c r="AS164" i="17"/>
  <c r="AS34" i="17"/>
  <c r="AR105" i="15"/>
  <c r="AR60" i="15"/>
  <c r="AR73" i="15" s="1"/>
  <c r="AR86" i="15" s="1"/>
  <c r="AR118" i="15" s="1"/>
  <c r="AS162" i="15"/>
  <c r="AS46" i="15"/>
  <c r="AR106" i="19"/>
  <c r="AR58" i="19"/>
  <c r="AR71" i="19" s="1"/>
  <c r="AS212" i="19"/>
  <c r="AS53" i="19"/>
  <c r="AR105" i="19"/>
  <c r="AR57" i="19"/>
  <c r="AR70" i="19" s="1"/>
  <c r="AS197" i="18"/>
  <c r="AS61" i="18"/>
  <c r="AR117" i="18"/>
  <c r="AR72" i="18"/>
  <c r="AR85" i="18" s="1"/>
  <c r="AR98" i="18" s="1"/>
  <c r="AR130" i="18" s="1"/>
  <c r="AR111" i="15"/>
  <c r="AR137" i="15" s="1"/>
  <c r="AR66" i="15"/>
  <c r="AR79" i="15" s="1"/>
  <c r="AR92" i="15" s="1"/>
  <c r="AR124" i="15" s="1"/>
  <c r="AR116" i="18"/>
  <c r="AR71" i="18"/>
  <c r="AR84" i="18" s="1"/>
  <c r="AR97" i="18" s="1"/>
  <c r="AR129" i="18" s="1"/>
  <c r="AS39" i="17"/>
  <c r="AS169" i="17"/>
  <c r="AS165" i="17"/>
  <c r="AS35" i="17"/>
  <c r="AT21" i="17"/>
  <c r="AT18" i="17"/>
  <c r="AT16" i="17"/>
  <c r="AT17" i="17"/>
  <c r="AT15" i="17"/>
  <c r="AT23" i="17"/>
  <c r="AT14" i="17"/>
  <c r="AT13" i="17"/>
  <c r="AT24" i="17"/>
  <c r="AT22" i="17"/>
  <c r="AR119" i="17"/>
  <c r="AR51" i="17"/>
  <c r="AR64" i="17" s="1"/>
  <c r="AR77" i="17" s="1"/>
  <c r="AR132" i="17" s="1"/>
  <c r="AS51" i="15"/>
  <c r="AS167" i="15"/>
  <c r="AS181" i="15" s="1"/>
  <c r="AS163" i="15"/>
  <c r="AS47" i="15"/>
  <c r="AT19" i="17"/>
  <c r="AS167" i="17"/>
  <c r="AS37" i="17"/>
  <c r="AR116" i="17"/>
  <c r="AR48" i="17"/>
  <c r="AR61" i="17" s="1"/>
  <c r="AR74" i="17" s="1"/>
  <c r="AR129" i="17" s="1"/>
  <c r="AS199" i="18"/>
  <c r="AS63" i="18"/>
  <c r="AS203" i="19"/>
  <c r="AS44" i="19"/>
  <c r="AR114" i="19"/>
  <c r="AR66" i="19"/>
  <c r="AR79" i="19" s="1"/>
  <c r="AQ193" i="15"/>
  <c r="AV21" i="10"/>
  <c r="AV3" i="25"/>
  <c r="AV3" i="21"/>
  <c r="AV3" i="23"/>
  <c r="AV3" i="19"/>
  <c r="AV3" i="18"/>
  <c r="AV3" i="17"/>
  <c r="AV3" i="15"/>
  <c r="AV24" i="10"/>
  <c r="AV52" i="10" s="1"/>
  <c r="AV3" i="12"/>
  <c r="AV3" i="14"/>
  <c r="AV36" i="10"/>
  <c r="AV51" i="10"/>
  <c r="AS202" i="18"/>
  <c r="AS66" i="18"/>
  <c r="AS196" i="18"/>
  <c r="AS60" i="18"/>
  <c r="AT18" i="18"/>
  <c r="AS198" i="18"/>
  <c r="AS62" i="18"/>
  <c r="AR122" i="17"/>
  <c r="AR54" i="17"/>
  <c r="AR67" i="17" s="1"/>
  <c r="AR80" i="17" s="1"/>
  <c r="AR135" i="17" s="1"/>
  <c r="AQ196" i="15"/>
  <c r="AS170" i="17"/>
  <c r="AS40" i="17"/>
  <c r="AT20" i="17"/>
  <c r="AS38" i="17"/>
  <c r="AS168" i="17"/>
  <c r="AT21" i="18"/>
  <c r="AT19" i="18"/>
  <c r="AT17" i="18"/>
  <c r="AT16" i="18"/>
  <c r="AT15" i="18"/>
  <c r="AT14" i="18"/>
  <c r="AT24" i="18"/>
  <c r="AT13" i="18"/>
  <c r="AT23" i="18"/>
  <c r="AT22" i="18"/>
  <c r="AR115" i="18"/>
  <c r="AR70" i="18"/>
  <c r="AR83" i="18" s="1"/>
  <c r="AR96" i="18" s="1"/>
  <c r="AR128" i="18" s="1"/>
  <c r="AR109" i="15"/>
  <c r="AR135" i="15" s="1"/>
  <c r="AR64" i="15"/>
  <c r="AR77" i="15" s="1"/>
  <c r="AR90" i="15" s="1"/>
  <c r="AR122" i="15" s="1"/>
  <c r="AS168" i="15"/>
  <c r="AS182" i="15" s="1"/>
  <c r="AS52" i="15"/>
  <c r="AS164" i="15"/>
  <c r="AS48" i="15"/>
  <c r="AR123" i="17"/>
  <c r="AR55" i="17"/>
  <c r="AR68" i="17" s="1"/>
  <c r="AR81" i="17" s="1"/>
  <c r="AR136" i="17" s="1"/>
  <c r="AR120" i="17"/>
  <c r="AR52" i="17"/>
  <c r="AR65" i="17" s="1"/>
  <c r="AR78" i="17" s="1"/>
  <c r="AR133" i="17" s="1"/>
  <c r="AQ58" i="17"/>
  <c r="AQ71" i="17" s="1"/>
  <c r="AQ126" i="17" s="1"/>
  <c r="AR122" i="18"/>
  <c r="AR77" i="18"/>
  <c r="AR90" i="18" s="1"/>
  <c r="AR103" i="18" s="1"/>
  <c r="AR135" i="18" s="1"/>
  <c r="AS204" i="19"/>
  <c r="AS45" i="19"/>
  <c r="AW20" i="10"/>
  <c r="AW10" i="19"/>
  <c r="AW196" i="19"/>
  <c r="AW98" i="19"/>
  <c r="AW184" i="18"/>
  <c r="AW10" i="18"/>
  <c r="AW112" i="18"/>
  <c r="AW10" i="17"/>
  <c r="AW109" i="17"/>
  <c r="AW152" i="15"/>
  <c r="AW155" i="17"/>
  <c r="AW10" i="15"/>
  <c r="AW98" i="15"/>
  <c r="AX19" i="10"/>
  <c r="AU38" i="10"/>
  <c r="AU39" i="10"/>
  <c r="AS201" i="18"/>
  <c r="AS65" i="18"/>
  <c r="AT20" i="18"/>
  <c r="AS64" i="18"/>
  <c r="AS200" i="18"/>
  <c r="AS172" i="17"/>
  <c r="AS42" i="17"/>
  <c r="AR110" i="19"/>
  <c r="AR62" i="19"/>
  <c r="AR75" i="19" s="1"/>
  <c r="AR106" i="15"/>
  <c r="AR61" i="15"/>
  <c r="AR74" i="15" s="1"/>
  <c r="AR87" i="15" s="1"/>
  <c r="AR119" i="15" s="1"/>
  <c r="AR112" i="17"/>
  <c r="AR44" i="17"/>
  <c r="AR57" i="17" s="1"/>
  <c r="AR70" i="17" s="1"/>
  <c r="AR125" i="17" s="1"/>
  <c r="AR108" i="19"/>
  <c r="AR60" i="19"/>
  <c r="AR73" i="19" s="1"/>
  <c r="AR126" i="18"/>
  <c r="AR81" i="18"/>
  <c r="AR94" i="18" s="1"/>
  <c r="AR107" i="18" s="1"/>
  <c r="AR139" i="18" s="1"/>
  <c r="AS169" i="15"/>
  <c r="AS183" i="15" s="1"/>
  <c r="AS53" i="15"/>
  <c r="AS165" i="15"/>
  <c r="AS49" i="15"/>
  <c r="AR104" i="15"/>
  <c r="AR59" i="15"/>
  <c r="AR72" i="15" s="1"/>
  <c r="AR85" i="15" s="1"/>
  <c r="AR117" i="15" s="1"/>
  <c r="AS205" i="19"/>
  <c r="AS46" i="19"/>
  <c r="AS67" i="18"/>
  <c r="AS203" i="18"/>
  <c r="AR104" i="19"/>
  <c r="AR56" i="19"/>
  <c r="AR69" i="19" s="1"/>
  <c r="AQ198" i="15"/>
  <c r="AS161" i="17"/>
  <c r="AS31" i="17"/>
  <c r="AT21" i="19"/>
  <c r="AT20" i="19"/>
  <c r="AT17" i="19"/>
  <c r="AT18" i="19"/>
  <c r="AT16" i="19"/>
  <c r="AT15" i="19"/>
  <c r="AT23" i="19"/>
  <c r="AT14" i="19"/>
  <c r="AT13" i="19"/>
  <c r="AT24" i="19"/>
  <c r="AT22" i="19"/>
  <c r="AR109" i="19"/>
  <c r="AR61" i="19"/>
  <c r="AR74" i="19" s="1"/>
  <c r="AR117" i="17"/>
  <c r="AR49" i="17"/>
  <c r="AR62" i="17" s="1"/>
  <c r="AR75" i="17" s="1"/>
  <c r="AR130" i="17" s="1"/>
  <c r="AS170" i="15"/>
  <c r="AS184" i="15" s="1"/>
  <c r="AS54" i="15"/>
  <c r="AS166" i="15"/>
  <c r="AS50" i="15"/>
  <c r="AR103" i="15"/>
  <c r="AR58" i="15"/>
  <c r="AR71" i="15" s="1"/>
  <c r="AR84" i="15" s="1"/>
  <c r="AR116" i="15" s="1"/>
  <c r="AS51" i="19"/>
  <c r="AS210" i="19"/>
  <c r="AS47" i="19"/>
  <c r="AS206" i="19"/>
  <c r="AR118" i="18"/>
  <c r="AR73" i="18"/>
  <c r="AR86" i="18" s="1"/>
  <c r="AR99" i="18" s="1"/>
  <c r="AR131" i="18" s="1"/>
  <c r="AU40" i="25"/>
  <c r="AU19" i="25"/>
  <c r="AU39" i="25"/>
  <c r="AU22" i="25"/>
  <c r="AU20" i="25"/>
  <c r="AU21" i="25"/>
  <c r="AS68" i="18"/>
  <c r="AS204" i="18"/>
  <c r="AR115" i="19"/>
  <c r="AR67" i="19"/>
  <c r="AR80" i="19" s="1"/>
  <c r="AS162" i="17"/>
  <c r="AS32" i="17"/>
  <c r="AR113" i="19"/>
  <c r="AR65" i="19"/>
  <c r="AR78" i="19" s="1"/>
  <c r="AR110" i="15"/>
  <c r="AR136" i="15" s="1"/>
  <c r="AR65" i="15"/>
  <c r="AR78" i="15" s="1"/>
  <c r="AR91" i="15" s="1"/>
  <c r="AR123" i="15" s="1"/>
  <c r="AS159" i="15"/>
  <c r="AS43" i="15"/>
  <c r="AR107" i="19"/>
  <c r="AR59" i="19"/>
  <c r="AR72" i="19" s="1"/>
  <c r="AA13" i="14"/>
  <c r="AA15" i="14" s="1"/>
  <c r="AA26" i="14" s="1"/>
  <c r="AA28" i="14" s="1"/>
  <c r="AA34" i="14" s="1"/>
  <c r="AA36" i="14" s="1"/>
  <c r="AA99" i="15" s="1"/>
  <c r="AD128" i="15" s="1"/>
  <c r="AD188" i="15" s="1"/>
  <c r="AA43" i="14"/>
  <c r="AA45" i="14" s="1"/>
  <c r="AA50" i="14" s="1"/>
  <c r="AA52" i="14" s="1"/>
  <c r="AA57" i="14" s="1"/>
  <c r="AS52" i="19"/>
  <c r="AS211" i="19"/>
  <c r="AS207" i="19"/>
  <c r="AS48" i="19"/>
  <c r="AR102" i="15"/>
  <c r="AR57" i="15"/>
  <c r="AR70" i="15" s="1"/>
  <c r="AR83" i="15" s="1"/>
  <c r="AR115" i="15" s="1"/>
  <c r="AR115" i="17"/>
  <c r="AR47" i="17"/>
  <c r="AR60" i="17" s="1"/>
  <c r="AR73" i="17" s="1"/>
  <c r="AR128" i="17" s="1"/>
  <c r="AR101" i="15"/>
  <c r="AR56" i="15"/>
  <c r="AR69" i="15" s="1"/>
  <c r="AR82" i="15" s="1"/>
  <c r="AR114" i="15" s="1"/>
  <c r="AS4" i="21"/>
  <c r="AS4" i="23"/>
  <c r="AS4" i="25"/>
  <c r="AS4" i="19"/>
  <c r="AS4" i="18"/>
  <c r="AS4" i="17"/>
  <c r="AS4" i="15"/>
  <c r="AS4" i="12"/>
  <c r="AS4" i="14"/>
  <c r="AR119" i="18"/>
  <c r="AR74" i="18"/>
  <c r="AR87" i="18" s="1"/>
  <c r="AR100" i="18" s="1"/>
  <c r="AR132" i="18" s="1"/>
  <c r="AS193" i="18"/>
  <c r="AS57" i="18"/>
  <c r="AQ194" i="15"/>
  <c r="AS171" i="17"/>
  <c r="AS41" i="17"/>
  <c r="AT21" i="15"/>
  <c r="AT20" i="15"/>
  <c r="AT19" i="15"/>
  <c r="AT18" i="15"/>
  <c r="AT17" i="15"/>
  <c r="AT16" i="15"/>
  <c r="AT15" i="15"/>
  <c r="AT14" i="15"/>
  <c r="AT13" i="15"/>
  <c r="AT24" i="15"/>
  <c r="AT23" i="15"/>
  <c r="AT22" i="15"/>
  <c r="AT307" i="19"/>
  <c r="AT238" i="18"/>
  <c r="AT204" i="15"/>
  <c r="AT207" i="17"/>
  <c r="AT64" i="14"/>
  <c r="AT33" i="14"/>
  <c r="AT41" i="10"/>
  <c r="AS166" i="17"/>
  <c r="AS36" i="17"/>
  <c r="AS160" i="15"/>
  <c r="AS44" i="15"/>
  <c r="AR63" i="15"/>
  <c r="AR76" i="15" s="1"/>
  <c r="AR89" i="15" s="1"/>
  <c r="AR121" i="15" s="1"/>
  <c r="AR108" i="15"/>
  <c r="AR134" i="15" s="1"/>
  <c r="Z5" i="15"/>
  <c r="Z5" i="25"/>
  <c r="Z5" i="21"/>
  <c r="Z5" i="23"/>
  <c r="Z5" i="19"/>
  <c r="Z5" i="18"/>
  <c r="Z5" i="17"/>
  <c r="Z5" i="12"/>
  <c r="Z5" i="14"/>
  <c r="AS213" i="19"/>
  <c r="AS54" i="19"/>
  <c r="AT19" i="19"/>
  <c r="AS208" i="19"/>
  <c r="AS49" i="19"/>
  <c r="AU11" i="19"/>
  <c r="AU97" i="19"/>
  <c r="AU111" i="18"/>
  <c r="AU11" i="18"/>
  <c r="AU11" i="17"/>
  <c r="AU108" i="17"/>
  <c r="AU97" i="15"/>
  <c r="AU11" i="15"/>
  <c r="AU21" i="14"/>
  <c r="AU23" i="14" s="1"/>
  <c r="AS59" i="18"/>
  <c r="AS195" i="18"/>
  <c r="AR112" i="15"/>
  <c r="AR138" i="15" s="1"/>
  <c r="AR67" i="15"/>
  <c r="AR80" i="15" s="1"/>
  <c r="AR93" i="15" s="1"/>
  <c r="AR125" i="15" s="1"/>
  <c r="AR107" i="15"/>
  <c r="AR62" i="15"/>
  <c r="AR75" i="15" s="1"/>
  <c r="AR88" i="15" s="1"/>
  <c r="AR120" i="15" s="1"/>
  <c r="AS163" i="17"/>
  <c r="AS33" i="17"/>
  <c r="AR112" i="19"/>
  <c r="AR64" i="19"/>
  <c r="AR77" i="19" s="1"/>
  <c r="AR88" i="19" l="1"/>
  <c r="AR123" i="19" s="1"/>
  <c r="AR83" i="19"/>
  <c r="AR118" i="19" s="1"/>
  <c r="AR92" i="19"/>
  <c r="AR127" i="19" s="1"/>
  <c r="AR91" i="19"/>
  <c r="AR126" i="19" s="1"/>
  <c r="AR86" i="19"/>
  <c r="AR121" i="19" s="1"/>
  <c r="AR90" i="19"/>
  <c r="AR125" i="19" s="1"/>
  <c r="AR93" i="19"/>
  <c r="AR128" i="19" s="1"/>
  <c r="AR87" i="19"/>
  <c r="AR122" i="19" s="1"/>
  <c r="AR82" i="19"/>
  <c r="AR117" i="19" s="1"/>
  <c r="AR84" i="19"/>
  <c r="AR119" i="19" s="1"/>
  <c r="AR89" i="19"/>
  <c r="AR124" i="19" s="1"/>
  <c r="AR85" i="19"/>
  <c r="AR120" i="19" s="1"/>
  <c r="Z34" i="18"/>
  <c r="Z164" i="18" s="1"/>
  <c r="Z35" i="18"/>
  <c r="Z165" i="18" s="1"/>
  <c r="Z28" i="18"/>
  <c r="Z158" i="18" s="1"/>
  <c r="Z36" i="18"/>
  <c r="Z166" i="18" s="1"/>
  <c r="Z29" i="18"/>
  <c r="Z159" i="18" s="1"/>
  <c r="Z31" i="18"/>
  <c r="Z161" i="18" s="1"/>
  <c r="Z38" i="18"/>
  <c r="Z168" i="18" s="1"/>
  <c r="Z33" i="18"/>
  <c r="Z163" i="18" s="1"/>
  <c r="Z27" i="18"/>
  <c r="Z157" i="18" s="1"/>
  <c r="Z30" i="18"/>
  <c r="Z160" i="18" s="1"/>
  <c r="Z32" i="18"/>
  <c r="Z162" i="18" s="1"/>
  <c r="Z37" i="18"/>
  <c r="Z167" i="18" s="1"/>
  <c r="AK129" i="15"/>
  <c r="AK189" i="15" s="1"/>
  <c r="AJ129" i="15"/>
  <c r="AJ189" i="15" s="1"/>
  <c r="AH129" i="15"/>
  <c r="AH189" i="15" s="1"/>
  <c r="AM129" i="15"/>
  <c r="AM189" i="15" s="1"/>
  <c r="AD129" i="15"/>
  <c r="AD189" i="15" s="1"/>
  <c r="AB129" i="15"/>
  <c r="AB189" i="15" s="1"/>
  <c r="AJ176" i="15"/>
  <c r="AE129" i="15"/>
  <c r="AE189" i="15" s="1"/>
  <c r="AF176" i="15"/>
  <c r="AD176" i="15"/>
  <c r="AN176" i="15"/>
  <c r="AL176" i="15"/>
  <c r="AC129" i="15"/>
  <c r="AC189" i="15" s="1"/>
  <c r="AL129" i="15"/>
  <c r="AL189" i="15" s="1"/>
  <c r="AF129" i="15"/>
  <c r="AF189" i="15" s="1"/>
  <c r="AI129" i="15"/>
  <c r="AI189" i="15" s="1"/>
  <c r="AI176" i="15"/>
  <c r="AB157" i="15"/>
  <c r="AB175" i="15" s="1"/>
  <c r="AH176" i="15"/>
  <c r="AG176" i="15"/>
  <c r="AM176" i="15"/>
  <c r="AE176" i="15"/>
  <c r="AK176" i="15"/>
  <c r="AA11" i="21"/>
  <c r="AY11" i="10"/>
  <c r="AY30" i="10" s="1"/>
  <c r="AY31" i="10" s="1"/>
  <c r="AY45" i="10" s="1"/>
  <c r="AY46" i="10" s="1"/>
  <c r="AZ10" i="10"/>
  <c r="AA56" i="14"/>
  <c r="AA59" i="14" s="1"/>
  <c r="AA65" i="14" s="1"/>
  <c r="AA67" i="14" s="1"/>
  <c r="AA155" i="15" s="1"/>
  <c r="AA154" i="15"/>
  <c r="AA8" i="23"/>
  <c r="AA12" i="25" s="1"/>
  <c r="AA19" i="25" s="1"/>
  <c r="AR198" i="15"/>
  <c r="AR194" i="15"/>
  <c r="AU22" i="18"/>
  <c r="AU21" i="18"/>
  <c r="AU18" i="18"/>
  <c r="AU20" i="18"/>
  <c r="AU19" i="18"/>
  <c r="AU16" i="18"/>
  <c r="AU17" i="18"/>
  <c r="AU14" i="18"/>
  <c r="AU15" i="18"/>
  <c r="AU13" i="18"/>
  <c r="AU24" i="18"/>
  <c r="AU23" i="18"/>
  <c r="AT4" i="12"/>
  <c r="AT4" i="23"/>
  <c r="AT4" i="25"/>
  <c r="AT4" i="19"/>
  <c r="AT4" i="21"/>
  <c r="AT4" i="18"/>
  <c r="AT4" i="17"/>
  <c r="AT4" i="15"/>
  <c r="AT4" i="14"/>
  <c r="AT169" i="15"/>
  <c r="AT183" i="15" s="1"/>
  <c r="AT53" i="15"/>
  <c r="AT165" i="15"/>
  <c r="AT49" i="15"/>
  <c r="AS112" i="15"/>
  <c r="AS138" i="15" s="1"/>
  <c r="AS67" i="15"/>
  <c r="AS80" i="15" s="1"/>
  <c r="AS93" i="15" s="1"/>
  <c r="AS125" i="15" s="1"/>
  <c r="AT202" i="19"/>
  <c r="AT43" i="19"/>
  <c r="AU21" i="19"/>
  <c r="AT210" i="19"/>
  <c r="AT51" i="19"/>
  <c r="AS107" i="19"/>
  <c r="AS59" i="19"/>
  <c r="AS72" i="19" s="1"/>
  <c r="AS110" i="15"/>
  <c r="AS136" i="15" s="1"/>
  <c r="AS65" i="15"/>
  <c r="AS78" i="15" s="1"/>
  <c r="AS91" i="15" s="1"/>
  <c r="AS123" i="15" s="1"/>
  <c r="AT193" i="18"/>
  <c r="AT57" i="18"/>
  <c r="AS120" i="18"/>
  <c r="AS75" i="18"/>
  <c r="AS88" i="18" s="1"/>
  <c r="AS101" i="18" s="1"/>
  <c r="AS133" i="18" s="1"/>
  <c r="AT165" i="17"/>
  <c r="AT35" i="17"/>
  <c r="AR71" i="17"/>
  <c r="AR126" i="17" s="1"/>
  <c r="Z13" i="14"/>
  <c r="Z15" i="14" s="1"/>
  <c r="Z26" i="14" s="1"/>
  <c r="Z28" i="14" s="1"/>
  <c r="Z56" i="14" s="1"/>
  <c r="Z43" i="14"/>
  <c r="Z45" i="14" s="1"/>
  <c r="Z50" i="14" s="1"/>
  <c r="Z52" i="14" s="1"/>
  <c r="Z57" i="14" s="1"/>
  <c r="AT170" i="15"/>
  <c r="AT184" i="15" s="1"/>
  <c r="AT54" i="15"/>
  <c r="AT166" i="15"/>
  <c r="AT50" i="15"/>
  <c r="AS108" i="19"/>
  <c r="AS60" i="19"/>
  <c r="AS73" i="19" s="1"/>
  <c r="AT203" i="19"/>
  <c r="AT44" i="19"/>
  <c r="AS112" i="17"/>
  <c r="AS44" i="17"/>
  <c r="AS57" i="17" s="1"/>
  <c r="AS70" i="17" s="1"/>
  <c r="AS125" i="17" s="1"/>
  <c r="AT204" i="18"/>
  <c r="AT68" i="18"/>
  <c r="AS119" i="17"/>
  <c r="AS51" i="17"/>
  <c r="AS64" i="17" s="1"/>
  <c r="AS77" i="17" s="1"/>
  <c r="AS132" i="17" s="1"/>
  <c r="AS118" i="17"/>
  <c r="AS50" i="17"/>
  <c r="AS63" i="17" s="1"/>
  <c r="AS76" i="17" s="1"/>
  <c r="AS131" i="17" s="1"/>
  <c r="AT164" i="17"/>
  <c r="AT34" i="17"/>
  <c r="AS117" i="18"/>
  <c r="AS72" i="18"/>
  <c r="AS85" i="18" s="1"/>
  <c r="AS98" i="18" s="1"/>
  <c r="AS130" i="18" s="1"/>
  <c r="AT159" i="15"/>
  <c r="AT43" i="15"/>
  <c r="AT167" i="15"/>
  <c r="AT51" i="15"/>
  <c r="AS109" i="19"/>
  <c r="AS61" i="19"/>
  <c r="AS74" i="19" s="1"/>
  <c r="AS113" i="17"/>
  <c r="AS45" i="17"/>
  <c r="AS58" i="17" s="1"/>
  <c r="AS71" i="17" s="1"/>
  <c r="AS126" i="17" s="1"/>
  <c r="AT212" i="19"/>
  <c r="AT53" i="19"/>
  <c r="AS123" i="17"/>
  <c r="AS55" i="17"/>
  <c r="AS68" i="17" s="1"/>
  <c r="AS81" i="17" s="1"/>
  <c r="AS136" i="17" s="1"/>
  <c r="AT194" i="18"/>
  <c r="AT58" i="18"/>
  <c r="AU20" i="17"/>
  <c r="AT168" i="17"/>
  <c r="AT38" i="17"/>
  <c r="AT62" i="18"/>
  <c r="AT198" i="18"/>
  <c r="AT170" i="17"/>
  <c r="AT40" i="17"/>
  <c r="AT166" i="17"/>
  <c r="AT36" i="17"/>
  <c r="AS104" i="15"/>
  <c r="AS59" i="15"/>
  <c r="AS72" i="15" s="1"/>
  <c r="AS85" i="15" s="1"/>
  <c r="AS117" i="15" s="1"/>
  <c r="AS111" i="19"/>
  <c r="AS63" i="19"/>
  <c r="AS76" i="19" s="1"/>
  <c r="AS114" i="17"/>
  <c r="AS46" i="17"/>
  <c r="AS59" i="17" s="1"/>
  <c r="AS72" i="17" s="1"/>
  <c r="AS127" i="17" s="1"/>
  <c r="AU22" i="19"/>
  <c r="AU19" i="19"/>
  <c r="AU20" i="19"/>
  <c r="AU18" i="19"/>
  <c r="AU17" i="19"/>
  <c r="AU16" i="19"/>
  <c r="AU15" i="19"/>
  <c r="AU23" i="19"/>
  <c r="AU14" i="19"/>
  <c r="AU13" i="19"/>
  <c r="AU24" i="19"/>
  <c r="AT160" i="15"/>
  <c r="AT44" i="15"/>
  <c r="AS122" i="17"/>
  <c r="AS54" i="17"/>
  <c r="AS67" i="17" s="1"/>
  <c r="AS80" i="17" s="1"/>
  <c r="AS135" i="17" s="1"/>
  <c r="AS112" i="19"/>
  <c r="AS64" i="19"/>
  <c r="AS77" i="19" s="1"/>
  <c r="AT204" i="19"/>
  <c r="AT45" i="19"/>
  <c r="AW21" i="10"/>
  <c r="AW3" i="25"/>
  <c r="AW3" i="21"/>
  <c r="AW3" i="23"/>
  <c r="AW3" i="19"/>
  <c r="AW3" i="18"/>
  <c r="AW3" i="17"/>
  <c r="AW3" i="15"/>
  <c r="AW51" i="10"/>
  <c r="AW36" i="10"/>
  <c r="AW24" i="10"/>
  <c r="AW52" i="10" s="1"/>
  <c r="AW3" i="14"/>
  <c r="AW3" i="12"/>
  <c r="AR195" i="15"/>
  <c r="AT195" i="18"/>
  <c r="AT59" i="18"/>
  <c r="AS121" i="17"/>
  <c r="AS53" i="17"/>
  <c r="AS66" i="17" s="1"/>
  <c r="AS79" i="17" s="1"/>
  <c r="AS134" i="17" s="1"/>
  <c r="AS118" i="18"/>
  <c r="AS73" i="18"/>
  <c r="AS86" i="18" s="1"/>
  <c r="AS99" i="18" s="1"/>
  <c r="AS131" i="18" s="1"/>
  <c r="AS105" i="19"/>
  <c r="AS57" i="19"/>
  <c r="AS70" i="19" s="1"/>
  <c r="AT167" i="17"/>
  <c r="AT37" i="17"/>
  <c r="AT172" i="17"/>
  <c r="AT42" i="17"/>
  <c r="AU21" i="17"/>
  <c r="AT169" i="17"/>
  <c r="AT39" i="17"/>
  <c r="AR197" i="15"/>
  <c r="AU22" i="15"/>
  <c r="AU21" i="15"/>
  <c r="AU20" i="15"/>
  <c r="AU19" i="15"/>
  <c r="AU18" i="15"/>
  <c r="AU17" i="15"/>
  <c r="AU16" i="15"/>
  <c r="AU15" i="15"/>
  <c r="AU14" i="15"/>
  <c r="AU13" i="15"/>
  <c r="AU24" i="15"/>
  <c r="AU23" i="15"/>
  <c r="AS110" i="19"/>
  <c r="AS62" i="19"/>
  <c r="AS75" i="19" s="1"/>
  <c r="AS102" i="15"/>
  <c r="AS57" i="15"/>
  <c r="AS70" i="15" s="1"/>
  <c r="AS83" i="15" s="1"/>
  <c r="AS115" i="15" s="1"/>
  <c r="AT161" i="15"/>
  <c r="AT45" i="15"/>
  <c r="AS101" i="15"/>
  <c r="AS56" i="15"/>
  <c r="AS69" i="15" s="1"/>
  <c r="AS82" i="15" s="1"/>
  <c r="AS114" i="15" s="1"/>
  <c r="AT205" i="19"/>
  <c r="AT46" i="19"/>
  <c r="AS107" i="15"/>
  <c r="AS62" i="15"/>
  <c r="AS75" i="15" s="1"/>
  <c r="AS88" i="15" s="1"/>
  <c r="AS120" i="15" s="1"/>
  <c r="AS106" i="19"/>
  <c r="AS58" i="19"/>
  <c r="AS71" i="19" s="1"/>
  <c r="AT60" i="18"/>
  <c r="AT196" i="18"/>
  <c r="AV38" i="10"/>
  <c r="AV39" i="10"/>
  <c r="AS105" i="15"/>
  <c r="AS60" i="15"/>
  <c r="AS73" i="15" s="1"/>
  <c r="AS86" i="15" s="1"/>
  <c r="AS118" i="15" s="1"/>
  <c r="AT31" i="17"/>
  <c r="AT161" i="17"/>
  <c r="AS116" i="17"/>
  <c r="AS48" i="17"/>
  <c r="AS61" i="17" s="1"/>
  <c r="AS74" i="17" s="1"/>
  <c r="AS129" i="17" s="1"/>
  <c r="AS116" i="18"/>
  <c r="AS71" i="18"/>
  <c r="AS84" i="18" s="1"/>
  <c r="AS97" i="18" s="1"/>
  <c r="AS129" i="18" s="1"/>
  <c r="AS104" i="19"/>
  <c r="AS56" i="19"/>
  <c r="AS69" i="19" s="1"/>
  <c r="AS113" i="19"/>
  <c r="AS65" i="19"/>
  <c r="AS78" i="19" s="1"/>
  <c r="AT48" i="19"/>
  <c r="AT207" i="19"/>
  <c r="AS122" i="18"/>
  <c r="AS77" i="18"/>
  <c r="AS90" i="18" s="1"/>
  <c r="AS103" i="18" s="1"/>
  <c r="AS135" i="18" s="1"/>
  <c r="AU307" i="19"/>
  <c r="AU238" i="18"/>
  <c r="AU204" i="15"/>
  <c r="AU207" i="17"/>
  <c r="AU41" i="10"/>
  <c r="AU33" i="14"/>
  <c r="AU64" i="14"/>
  <c r="AT197" i="18"/>
  <c r="AT61" i="18"/>
  <c r="AS124" i="18"/>
  <c r="AS79" i="18"/>
  <c r="AS92" i="18" s="1"/>
  <c r="AS105" i="18" s="1"/>
  <c r="AS137" i="18" s="1"/>
  <c r="AS121" i="18"/>
  <c r="AS76" i="18"/>
  <c r="AS89" i="18" s="1"/>
  <c r="AS102" i="18" s="1"/>
  <c r="AS134" i="18" s="1"/>
  <c r="AT162" i="17"/>
  <c r="AT32" i="17"/>
  <c r="AT49" i="19"/>
  <c r="AT208" i="19"/>
  <c r="AS117" i="17"/>
  <c r="AS49" i="17"/>
  <c r="AS62" i="17" s="1"/>
  <c r="AS75" i="17" s="1"/>
  <c r="AS130" i="17" s="1"/>
  <c r="AT163" i="15"/>
  <c r="AT47" i="15"/>
  <c r="AS115" i="18"/>
  <c r="AS70" i="18"/>
  <c r="AS83" i="18" s="1"/>
  <c r="AS96" i="18" s="1"/>
  <c r="AS128" i="18" s="1"/>
  <c r="AS108" i="15"/>
  <c r="AS63" i="15"/>
  <c r="AS76" i="15" s="1"/>
  <c r="AS89" i="15" s="1"/>
  <c r="AS121" i="15" s="1"/>
  <c r="AT211" i="19"/>
  <c r="AT52" i="19"/>
  <c r="AT206" i="19"/>
  <c r="AT47" i="19"/>
  <c r="AS111" i="15"/>
  <c r="AS137" i="15" s="1"/>
  <c r="AS66" i="15"/>
  <c r="AS79" i="15" s="1"/>
  <c r="AS92" i="15" s="1"/>
  <c r="AS124" i="15" s="1"/>
  <c r="AT200" i="18"/>
  <c r="AT64" i="18"/>
  <c r="AX20" i="10"/>
  <c r="AX196" i="19"/>
  <c r="AX10" i="19"/>
  <c r="AX98" i="19"/>
  <c r="AX10" i="18"/>
  <c r="AX112" i="18"/>
  <c r="AX184" i="18"/>
  <c r="AX109" i="17"/>
  <c r="AX152" i="15"/>
  <c r="AX155" i="17"/>
  <c r="AX10" i="17"/>
  <c r="AX98" i="15"/>
  <c r="AX10" i="15"/>
  <c r="AY19" i="10"/>
  <c r="AS106" i="15"/>
  <c r="AS61" i="15"/>
  <c r="AS74" i="15" s="1"/>
  <c r="AS87" i="15" s="1"/>
  <c r="AS119" i="15" s="1"/>
  <c r="AT202" i="18"/>
  <c r="AT66" i="18"/>
  <c r="AT63" i="18"/>
  <c r="AT199" i="18"/>
  <c r="AV22" i="25"/>
  <c r="AV19" i="25"/>
  <c r="AV39" i="25"/>
  <c r="AV20" i="25"/>
  <c r="AV40" i="25"/>
  <c r="AV21" i="25"/>
  <c r="AT171" i="17"/>
  <c r="AT41" i="17"/>
  <c r="AS119" i="18"/>
  <c r="AS74" i="18"/>
  <c r="AS87" i="18" s="1"/>
  <c r="AS100" i="18" s="1"/>
  <c r="AS132" i="18" s="1"/>
  <c r="AS114" i="19"/>
  <c r="AS66" i="19"/>
  <c r="AS79" i="19" s="1"/>
  <c r="AS115" i="17"/>
  <c r="AS47" i="17"/>
  <c r="AS60" i="17" s="1"/>
  <c r="AS73" i="17" s="1"/>
  <c r="AS128" i="17" s="1"/>
  <c r="AS103" i="15"/>
  <c r="AS58" i="15"/>
  <c r="AS71" i="15" s="1"/>
  <c r="AS84" i="15" s="1"/>
  <c r="AS116" i="15" s="1"/>
  <c r="AT162" i="15"/>
  <c r="AT46" i="15"/>
  <c r="AU22" i="17"/>
  <c r="AU19" i="17"/>
  <c r="AU18" i="17"/>
  <c r="AU17" i="17"/>
  <c r="AU16" i="17"/>
  <c r="AU15" i="17"/>
  <c r="AU23" i="17"/>
  <c r="AU13" i="17"/>
  <c r="AU14" i="17"/>
  <c r="AU24" i="17"/>
  <c r="AS115" i="19"/>
  <c r="AS67" i="19"/>
  <c r="AS80" i="19" s="1"/>
  <c r="AT168" i="15"/>
  <c r="AT182" i="15" s="1"/>
  <c r="AT52" i="15"/>
  <c r="AT164" i="15"/>
  <c r="AT48" i="15"/>
  <c r="AR196" i="15"/>
  <c r="AS126" i="18"/>
  <c r="AS81" i="18"/>
  <c r="AS94" i="18" s="1"/>
  <c r="AS107" i="18" s="1"/>
  <c r="AS139" i="18" s="1"/>
  <c r="AT213" i="19"/>
  <c r="AT54" i="19"/>
  <c r="AT209" i="19"/>
  <c r="AT50" i="19"/>
  <c r="AS125" i="18"/>
  <c r="AS80" i="18"/>
  <c r="AS93" i="18" s="1"/>
  <c r="AS106" i="18" s="1"/>
  <c r="AS138" i="18" s="1"/>
  <c r="AS123" i="18"/>
  <c r="AS78" i="18"/>
  <c r="AS91" i="18" s="1"/>
  <c r="AS104" i="18" s="1"/>
  <c r="AS136" i="18" s="1"/>
  <c r="AT203" i="18"/>
  <c r="AT67" i="18"/>
  <c r="AT65" i="18"/>
  <c r="AT201" i="18"/>
  <c r="AV97" i="19"/>
  <c r="AV11" i="19"/>
  <c r="AV111" i="18"/>
  <c r="AV11" i="18"/>
  <c r="AV108" i="17"/>
  <c r="AV11" i="17"/>
  <c r="AV97" i="15"/>
  <c r="AV11" i="15"/>
  <c r="AV21" i="14"/>
  <c r="AV23" i="14" s="1"/>
  <c r="AS109" i="15"/>
  <c r="AS135" i="15" s="1"/>
  <c r="AS64" i="15"/>
  <c r="AS77" i="15" s="1"/>
  <c r="AS90" i="15" s="1"/>
  <c r="AS122" i="15" s="1"/>
  <c r="AT163" i="17"/>
  <c r="AT33" i="17"/>
  <c r="AS120" i="17"/>
  <c r="AS52" i="17"/>
  <c r="AS65" i="17" s="1"/>
  <c r="AS78" i="17" s="1"/>
  <c r="AS133" i="17" s="1"/>
  <c r="AK128" i="15"/>
  <c r="AK188" i="15" s="1"/>
  <c r="AC128" i="15"/>
  <c r="AC188" i="15" s="1"/>
  <c r="AA128" i="15"/>
  <c r="AA188" i="15" s="1"/>
  <c r="AL128" i="15"/>
  <c r="AL188" i="15" s="1"/>
  <c r="AB128" i="15"/>
  <c r="AB188" i="15" s="1"/>
  <c r="AH128" i="15"/>
  <c r="AH188" i="15" s="1"/>
  <c r="AG128" i="15"/>
  <c r="AG188" i="15" s="1"/>
  <c r="AJ128" i="15"/>
  <c r="AJ188" i="15" s="1"/>
  <c r="AF128" i="15"/>
  <c r="AF188" i="15" s="1"/>
  <c r="AI128" i="15"/>
  <c r="AI188" i="15" s="1"/>
  <c r="AE128" i="15"/>
  <c r="AE188" i="15" s="1"/>
  <c r="AS89" i="19" l="1"/>
  <c r="AS124" i="19" s="1"/>
  <c r="AS85" i="19"/>
  <c r="AS120" i="19" s="1"/>
  <c r="AS86" i="19"/>
  <c r="AS121" i="19" s="1"/>
  <c r="AS91" i="19"/>
  <c r="AS126" i="19" s="1"/>
  <c r="AS84" i="19"/>
  <c r="AS119" i="19" s="1"/>
  <c r="AS93" i="19"/>
  <c r="AS128" i="19" s="1"/>
  <c r="AS88" i="19"/>
  <c r="AS123" i="19" s="1"/>
  <c r="AS82" i="19"/>
  <c r="AS117" i="19" s="1"/>
  <c r="AS83" i="19"/>
  <c r="AS118" i="19" s="1"/>
  <c r="AS90" i="19"/>
  <c r="AS125" i="19" s="1"/>
  <c r="AS87" i="19"/>
  <c r="AS122" i="19" s="1"/>
  <c r="AS92" i="19"/>
  <c r="AS127" i="19" s="1"/>
  <c r="AG175" i="15"/>
  <c r="Z34" i="14"/>
  <c r="AI175" i="15"/>
  <c r="AH175" i="15"/>
  <c r="AF175" i="15"/>
  <c r="AM175" i="15"/>
  <c r="AE175" i="15"/>
  <c r="AL175" i="15"/>
  <c r="AD175" i="15"/>
  <c r="AK175" i="15"/>
  <c r="AC175" i="15"/>
  <c r="AJ175" i="15"/>
  <c r="AZ11" i="10"/>
  <c r="AZ30" i="10" s="1"/>
  <c r="AZ31" i="10" s="1"/>
  <c r="AZ45" i="10" s="1"/>
  <c r="AZ46" i="10" s="1"/>
  <c r="BA10" i="10"/>
  <c r="AA157" i="15"/>
  <c r="AD174" i="15" s="1"/>
  <c r="AW54" i="10"/>
  <c r="AV54" i="10" s="1"/>
  <c r="AV5" i="19" s="1"/>
  <c r="Z59" i="14"/>
  <c r="Z65" i="14" s="1"/>
  <c r="AS197" i="15"/>
  <c r="AS198" i="15"/>
  <c r="AS195" i="15"/>
  <c r="AT111" i="19"/>
  <c r="AT63" i="19"/>
  <c r="AT76" i="19" s="1"/>
  <c r="AU171" i="17"/>
  <c r="AU41" i="17"/>
  <c r="AT112" i="17"/>
  <c r="AT44" i="17"/>
  <c r="AT57" i="17" s="1"/>
  <c r="AT70" i="17" s="1"/>
  <c r="AT125" i="17" s="1"/>
  <c r="AU160" i="15"/>
  <c r="AU44" i="15"/>
  <c r="AU168" i="15"/>
  <c r="AU52" i="15"/>
  <c r="AU205" i="19"/>
  <c r="AU46" i="19"/>
  <c r="AV20" i="17"/>
  <c r="AU168" i="17"/>
  <c r="AU38" i="17"/>
  <c r="AT112" i="19"/>
  <c r="AT64" i="19"/>
  <c r="AT77" i="19" s="1"/>
  <c r="AU194" i="18"/>
  <c r="AU58" i="18"/>
  <c r="AT123" i="18"/>
  <c r="AT78" i="18"/>
  <c r="AT91" i="18" s="1"/>
  <c r="AT104" i="18" s="1"/>
  <c r="AT136" i="18" s="1"/>
  <c r="AT110" i="15"/>
  <c r="AT136" i="15" s="1"/>
  <c r="AT65" i="15"/>
  <c r="AT78" i="15" s="1"/>
  <c r="AT91" i="15" s="1"/>
  <c r="AT123" i="15" s="1"/>
  <c r="AT122" i="17"/>
  <c r="AT54" i="17"/>
  <c r="AT67" i="17" s="1"/>
  <c r="AT80" i="17" s="1"/>
  <c r="AT135" i="17" s="1"/>
  <c r="AT60" i="19"/>
  <c r="AT73" i="19" s="1"/>
  <c r="AT108" i="19"/>
  <c r="AU161" i="15"/>
  <c r="AU45" i="15"/>
  <c r="AW38" i="10"/>
  <c r="AW39" i="10"/>
  <c r="AW22" i="25"/>
  <c r="AW20" i="25"/>
  <c r="AW40" i="25"/>
  <c r="AW21" i="25"/>
  <c r="AW39" i="25"/>
  <c r="AW19" i="25"/>
  <c r="AT102" i="15"/>
  <c r="AT57" i="15"/>
  <c r="AT70" i="15" s="1"/>
  <c r="AT83" i="15" s="1"/>
  <c r="AT115" i="15" s="1"/>
  <c r="AV17" i="19"/>
  <c r="AU47" i="19"/>
  <c r="AU206" i="19"/>
  <c r="AT116" i="18"/>
  <c r="AT71" i="18"/>
  <c r="AT84" i="18" s="1"/>
  <c r="AT97" i="18" s="1"/>
  <c r="AT129" i="18" s="1"/>
  <c r="AT115" i="17"/>
  <c r="AT47" i="17"/>
  <c r="AT60" i="17" s="1"/>
  <c r="AT73" i="17" s="1"/>
  <c r="AT128" i="17" s="1"/>
  <c r="AT111" i="15"/>
  <c r="AT137" i="15" s="1"/>
  <c r="AT66" i="15"/>
  <c r="AT79" i="15" s="1"/>
  <c r="AT92" i="15" s="1"/>
  <c r="AT124" i="15" s="1"/>
  <c r="AU197" i="18"/>
  <c r="AU61" i="18"/>
  <c r="AV23" i="17"/>
  <c r="AV19" i="17"/>
  <c r="AV18" i="17"/>
  <c r="AV16" i="17"/>
  <c r="AV17" i="17"/>
  <c r="AV14" i="17"/>
  <c r="AV15" i="17"/>
  <c r="AV13" i="17"/>
  <c r="AV24" i="17"/>
  <c r="AU163" i="17"/>
  <c r="AU33" i="17"/>
  <c r="AT114" i="17"/>
  <c r="AT46" i="17"/>
  <c r="AT59" i="17" s="1"/>
  <c r="AT72" i="17" s="1"/>
  <c r="AT127" i="17" s="1"/>
  <c r="AT125" i="18"/>
  <c r="AT80" i="18"/>
  <c r="AT93" i="18" s="1"/>
  <c r="AT106" i="18" s="1"/>
  <c r="AT138" i="18" s="1"/>
  <c r="AT115" i="19"/>
  <c r="AT67" i="19"/>
  <c r="AT80" i="19" s="1"/>
  <c r="AU164" i="17"/>
  <c r="AU34" i="17"/>
  <c r="AT121" i="18"/>
  <c r="AT76" i="18"/>
  <c r="AT89" i="18" s="1"/>
  <c r="AT102" i="18" s="1"/>
  <c r="AT134" i="18" s="1"/>
  <c r="AT119" i="18"/>
  <c r="AT74" i="18"/>
  <c r="AT87" i="18" s="1"/>
  <c r="AT100" i="18" s="1"/>
  <c r="AT132" i="18" s="1"/>
  <c r="AU162" i="15"/>
  <c r="AU46" i="15"/>
  <c r="AT120" i="17"/>
  <c r="AT52" i="17"/>
  <c r="AT65" i="17" s="1"/>
  <c r="AT78" i="17" s="1"/>
  <c r="AT133" i="17" s="1"/>
  <c r="AW97" i="19"/>
  <c r="AW11" i="19"/>
  <c r="AW111" i="18"/>
  <c r="AW11" i="18"/>
  <c r="AW108" i="17"/>
  <c r="AW11" i="17"/>
  <c r="AW11" i="15"/>
  <c r="AW97" i="15"/>
  <c r="AW21" i="14"/>
  <c r="AW23" i="14" s="1"/>
  <c r="AU207" i="19"/>
  <c r="AU48" i="19"/>
  <c r="AT116" i="17"/>
  <c r="AT48" i="17"/>
  <c r="AT61" i="17" s="1"/>
  <c r="AT74" i="17" s="1"/>
  <c r="AT129" i="17" s="1"/>
  <c r="AT115" i="18"/>
  <c r="AT70" i="18"/>
  <c r="AT83" i="18" s="1"/>
  <c r="AT96" i="18" s="1"/>
  <c r="AT128" i="18" s="1"/>
  <c r="AV21" i="19"/>
  <c r="AU210" i="19"/>
  <c r="AU51" i="19"/>
  <c r="AU196" i="18"/>
  <c r="AU60" i="18"/>
  <c r="AV23" i="18"/>
  <c r="AV21" i="18"/>
  <c r="AV18" i="18"/>
  <c r="AV20" i="18"/>
  <c r="AV19" i="18"/>
  <c r="AV17" i="18"/>
  <c r="AV16" i="18"/>
  <c r="AV14" i="18"/>
  <c r="AV15" i="18"/>
  <c r="AV24" i="18"/>
  <c r="AV13" i="18"/>
  <c r="AU165" i="17"/>
  <c r="AU35" i="17"/>
  <c r="AT124" i="18"/>
  <c r="AT79" i="18"/>
  <c r="AT92" i="18" s="1"/>
  <c r="AT105" i="18" s="1"/>
  <c r="AT137" i="18" s="1"/>
  <c r="AT113" i="19"/>
  <c r="AT65" i="19"/>
  <c r="AT78" i="19" s="1"/>
  <c r="AT105" i="15"/>
  <c r="AT60" i="15"/>
  <c r="AT73" i="15" s="1"/>
  <c r="AT86" i="15" s="1"/>
  <c r="AT118" i="15" s="1"/>
  <c r="AT110" i="19"/>
  <c r="AT62" i="19"/>
  <c r="AT75" i="19" s="1"/>
  <c r="AT107" i="19"/>
  <c r="AT59" i="19"/>
  <c r="AT72" i="19" s="1"/>
  <c r="AU163" i="15"/>
  <c r="AU47" i="15"/>
  <c r="AT117" i="18"/>
  <c r="AT72" i="18"/>
  <c r="AT85" i="18" s="1"/>
  <c r="AT98" i="18" s="1"/>
  <c r="AT130" i="18" s="1"/>
  <c r="AT106" i="19"/>
  <c r="AT58" i="19"/>
  <c r="AT71" i="19" s="1"/>
  <c r="AU213" i="19"/>
  <c r="AU54" i="19"/>
  <c r="AU209" i="19"/>
  <c r="AU50" i="19"/>
  <c r="AT109" i="15"/>
  <c r="AT64" i="15"/>
  <c r="AT77" i="15" s="1"/>
  <c r="AT90" i="15" s="1"/>
  <c r="AT122" i="15" s="1"/>
  <c r="AT126" i="18"/>
  <c r="AT81" i="18"/>
  <c r="AT94" i="18" s="1"/>
  <c r="AT107" i="18" s="1"/>
  <c r="AT139" i="18" s="1"/>
  <c r="AT108" i="15"/>
  <c r="AT63" i="15"/>
  <c r="AT76" i="15" s="1"/>
  <c r="AT89" i="15" s="1"/>
  <c r="AT121" i="15" s="1"/>
  <c r="AT104" i="19"/>
  <c r="AT56" i="19"/>
  <c r="AT69" i="19" s="1"/>
  <c r="AU199" i="18"/>
  <c r="AU63" i="18"/>
  <c r="AU166" i="17"/>
  <c r="AU36" i="17"/>
  <c r="AX3" i="25"/>
  <c r="AX3" i="21"/>
  <c r="AX3" i="23"/>
  <c r="AX3" i="19"/>
  <c r="AX3" i="18"/>
  <c r="AX3" i="17"/>
  <c r="AX3" i="12"/>
  <c r="AX3" i="15"/>
  <c r="AX3" i="14"/>
  <c r="AX21" i="10"/>
  <c r="AX51" i="10"/>
  <c r="AX36" i="10"/>
  <c r="AX24" i="10"/>
  <c r="AX52" i="10" s="1"/>
  <c r="AT113" i="17"/>
  <c r="AT45" i="17"/>
  <c r="AT58" i="17" s="1"/>
  <c r="AT71" i="17" s="1"/>
  <c r="AT126" i="17" s="1"/>
  <c r="AV307" i="19"/>
  <c r="AV238" i="18"/>
  <c r="AV204" i="15"/>
  <c r="AV207" i="17"/>
  <c r="AV33" i="14"/>
  <c r="AV41" i="10"/>
  <c r="AV64" i="14"/>
  <c r="AU164" i="15"/>
  <c r="AU48" i="15"/>
  <c r="AV21" i="17"/>
  <c r="AU169" i="17"/>
  <c r="AU39" i="17"/>
  <c r="AU202" i="19"/>
  <c r="AU43" i="19"/>
  <c r="AU49" i="19"/>
  <c r="AU208" i="19"/>
  <c r="AT117" i="17"/>
  <c r="AT49" i="17"/>
  <c r="AT62" i="17" s="1"/>
  <c r="AT75" i="17" s="1"/>
  <c r="AT130" i="17" s="1"/>
  <c r="AU67" i="18"/>
  <c r="AU203" i="18"/>
  <c r="AU64" i="18"/>
  <c r="AU200" i="18"/>
  <c r="AV23" i="19"/>
  <c r="AV20" i="19"/>
  <c r="AV19" i="19"/>
  <c r="AV18" i="19"/>
  <c r="AV16" i="19"/>
  <c r="AV15" i="19"/>
  <c r="AV14" i="19"/>
  <c r="AV13" i="19"/>
  <c r="AV24" i="19"/>
  <c r="AU172" i="17"/>
  <c r="AU42" i="17"/>
  <c r="AU167" i="17"/>
  <c r="AU37" i="17"/>
  <c r="AT122" i="18"/>
  <c r="AT77" i="18"/>
  <c r="AT90" i="18" s="1"/>
  <c r="AT103" i="18" s="1"/>
  <c r="AT135" i="18" s="1"/>
  <c r="AU53" i="15"/>
  <c r="AU169" i="15"/>
  <c r="AU183" i="15" s="1"/>
  <c r="AU165" i="15"/>
  <c r="AU49" i="15"/>
  <c r="AT123" i="17"/>
  <c r="AT55" i="17"/>
  <c r="AT68" i="17" s="1"/>
  <c r="AT81" i="17" s="1"/>
  <c r="AT136" i="17" s="1"/>
  <c r="AU203" i="19"/>
  <c r="AU44" i="19"/>
  <c r="AV22" i="19"/>
  <c r="AU211" i="19"/>
  <c r="AU52" i="19"/>
  <c r="AT120" i="18"/>
  <c r="AT75" i="18"/>
  <c r="AT88" i="18" s="1"/>
  <c r="AT101" i="18" s="1"/>
  <c r="AT133" i="18" s="1"/>
  <c r="AT114" i="19"/>
  <c r="AT66" i="19"/>
  <c r="AT79" i="19" s="1"/>
  <c r="AT101" i="15"/>
  <c r="AT56" i="15"/>
  <c r="AT69" i="15" s="1"/>
  <c r="AT82" i="15" s="1"/>
  <c r="AT114" i="15" s="1"/>
  <c r="AT112" i="15"/>
  <c r="AT138" i="15" s="1"/>
  <c r="AT67" i="15"/>
  <c r="AT80" i="15" s="1"/>
  <c r="AT93" i="15" s="1"/>
  <c r="AT125" i="15" s="1"/>
  <c r="AS196" i="15"/>
  <c r="AU68" i="18"/>
  <c r="AU204" i="18"/>
  <c r="AU198" i="18"/>
  <c r="AU62" i="18"/>
  <c r="AU32" i="17"/>
  <c r="AU162" i="17"/>
  <c r="AV22" i="17"/>
  <c r="AU40" i="17"/>
  <c r="AU170" i="17"/>
  <c r="AU4" i="14"/>
  <c r="AU4" i="23"/>
  <c r="AU4" i="25"/>
  <c r="AU4" i="21"/>
  <c r="AU4" i="19"/>
  <c r="AU4" i="18"/>
  <c r="AU4" i="17"/>
  <c r="AU4" i="15"/>
  <c r="AU4" i="12"/>
  <c r="AT109" i="19"/>
  <c r="AT61" i="19"/>
  <c r="AT74" i="19" s="1"/>
  <c r="AT118" i="18"/>
  <c r="AT73" i="18"/>
  <c r="AT86" i="18" s="1"/>
  <c r="AT99" i="18" s="1"/>
  <c r="AT131" i="18" s="1"/>
  <c r="AU170" i="15"/>
  <c r="AU184" i="15" s="1"/>
  <c r="AU54" i="15"/>
  <c r="AU166" i="15"/>
  <c r="AU50" i="15"/>
  <c r="AU212" i="19"/>
  <c r="AU53" i="19"/>
  <c r="AT121" i="17"/>
  <c r="AT53" i="17"/>
  <c r="AT66" i="17" s="1"/>
  <c r="AT79" i="17" s="1"/>
  <c r="AT134" i="17" s="1"/>
  <c r="AT119" i="17"/>
  <c r="AT51" i="17"/>
  <c r="AT64" i="17" s="1"/>
  <c r="AT77" i="17" s="1"/>
  <c r="AT132" i="17" s="1"/>
  <c r="AU193" i="18"/>
  <c r="AU57" i="18"/>
  <c r="AU65" i="18"/>
  <c r="AU201" i="18"/>
  <c r="AV23" i="15"/>
  <c r="AV22" i="15"/>
  <c r="AV21" i="15"/>
  <c r="AV20" i="15"/>
  <c r="AV19" i="15"/>
  <c r="AV18" i="15"/>
  <c r="AV17" i="15"/>
  <c r="AV16" i="15"/>
  <c r="AV15" i="15"/>
  <c r="AV14" i="15"/>
  <c r="AV13" i="15"/>
  <c r="AV24" i="15"/>
  <c r="AT106" i="15"/>
  <c r="AT61" i="15"/>
  <c r="AT74" i="15" s="1"/>
  <c r="AT87" i="15" s="1"/>
  <c r="AT119" i="15" s="1"/>
  <c r="AU161" i="17"/>
  <c r="AU31" i="17"/>
  <c r="AT104" i="15"/>
  <c r="AT59" i="15"/>
  <c r="AT72" i="15" s="1"/>
  <c r="AT85" i="15" s="1"/>
  <c r="AT117" i="15" s="1"/>
  <c r="AY20" i="10"/>
  <c r="AY98" i="19"/>
  <c r="AY196" i="19"/>
  <c r="AY10" i="19"/>
  <c r="AY10" i="18"/>
  <c r="AY112" i="18"/>
  <c r="AY184" i="18"/>
  <c r="AY109" i="17"/>
  <c r="AY152" i="15"/>
  <c r="AY155" i="17"/>
  <c r="AY10" i="17"/>
  <c r="AY98" i="15"/>
  <c r="AY10" i="15"/>
  <c r="AZ19" i="10"/>
  <c r="AT103" i="15"/>
  <c r="AT58" i="15"/>
  <c r="AT71" i="15" s="1"/>
  <c r="AT84" i="15" s="1"/>
  <c r="AT116" i="15" s="1"/>
  <c r="AU159" i="15"/>
  <c r="AU43" i="15"/>
  <c r="AU167" i="15"/>
  <c r="AU51" i="15"/>
  <c r="AT118" i="17"/>
  <c r="AT50" i="17"/>
  <c r="AT63" i="17" s="1"/>
  <c r="AT76" i="17" s="1"/>
  <c r="AT131" i="17" s="1"/>
  <c r="AU204" i="19"/>
  <c r="AU45" i="19"/>
  <c r="AT105" i="19"/>
  <c r="AT57" i="19"/>
  <c r="AT70" i="19" s="1"/>
  <c r="AT107" i="15"/>
  <c r="AT62" i="15"/>
  <c r="AT75" i="15" s="1"/>
  <c r="AT88" i="15" s="1"/>
  <c r="AT120" i="15" s="1"/>
  <c r="AU59" i="18"/>
  <c r="AU195" i="18"/>
  <c r="AV22" i="18"/>
  <c r="AU202" i="18"/>
  <c r="AU66" i="18"/>
  <c r="AT87" i="19" l="1"/>
  <c r="AT122" i="19" s="1"/>
  <c r="AT82" i="19"/>
  <c r="AT117" i="19" s="1"/>
  <c r="AT91" i="19"/>
  <c r="AT126" i="19" s="1"/>
  <c r="AT86" i="19"/>
  <c r="AT121" i="19" s="1"/>
  <c r="AT89" i="19"/>
  <c r="AT124" i="19" s="1"/>
  <c r="AT93" i="19"/>
  <c r="AT128" i="19" s="1"/>
  <c r="AT92" i="19"/>
  <c r="AT127" i="19" s="1"/>
  <c r="AT90" i="19"/>
  <c r="AT125" i="19" s="1"/>
  <c r="AT85" i="19"/>
  <c r="AT120" i="19" s="1"/>
  <c r="AT84" i="19"/>
  <c r="AT119" i="19" s="1"/>
  <c r="AT88" i="19"/>
  <c r="AT123" i="19" s="1"/>
  <c r="AT83" i="19"/>
  <c r="AT118" i="19" s="1"/>
  <c r="AV5" i="23"/>
  <c r="AV5" i="21"/>
  <c r="AU54" i="10"/>
  <c r="AU5" i="25" s="1"/>
  <c r="AV5" i="25"/>
  <c r="AW5" i="15"/>
  <c r="AW5" i="17"/>
  <c r="AV5" i="12"/>
  <c r="AV5" i="17"/>
  <c r="AV5" i="15"/>
  <c r="AV5" i="14"/>
  <c r="AV5" i="18"/>
  <c r="AV27" i="18" s="1"/>
  <c r="AV157" i="18" s="1"/>
  <c r="Z67" i="14"/>
  <c r="Z155" i="15" s="1"/>
  <c r="Z36" i="14"/>
  <c r="Z11" i="21" s="1"/>
  <c r="AE174" i="15"/>
  <c r="AG174" i="15"/>
  <c r="AB174" i="15"/>
  <c r="AK174" i="15"/>
  <c r="AI174" i="15"/>
  <c r="AL174" i="15"/>
  <c r="AC174" i="15"/>
  <c r="AJ174" i="15"/>
  <c r="AA174" i="15"/>
  <c r="AH174" i="15"/>
  <c r="AF174" i="15"/>
  <c r="BB10" i="10"/>
  <c r="BA11" i="10"/>
  <c r="BA30" i="10" s="1"/>
  <c r="BA31" i="10" s="1"/>
  <c r="BA45" i="10" s="1"/>
  <c r="BA46" i="10" s="1"/>
  <c r="AW5" i="21"/>
  <c r="AW5" i="12"/>
  <c r="AW5" i="18"/>
  <c r="AW5" i="19"/>
  <c r="AW5" i="23"/>
  <c r="AW5" i="14"/>
  <c r="AW13" i="14" s="1"/>
  <c r="AW15" i="14" s="1"/>
  <c r="AW26" i="14" s="1"/>
  <c r="AW28" i="14" s="1"/>
  <c r="AW5" i="25"/>
  <c r="AT198" i="15"/>
  <c r="AT197" i="15"/>
  <c r="AT196" i="15"/>
  <c r="AU106" i="19"/>
  <c r="AU58" i="19"/>
  <c r="AU71" i="19" s="1"/>
  <c r="AU5" i="15"/>
  <c r="AU5" i="23"/>
  <c r="AU5" i="19"/>
  <c r="AU5" i="21"/>
  <c r="AU5" i="18"/>
  <c r="AU5" i="17"/>
  <c r="AT54" i="10"/>
  <c r="AU5" i="12"/>
  <c r="AU5" i="14"/>
  <c r="AV164" i="15"/>
  <c r="AV48" i="15"/>
  <c r="AU115" i="18"/>
  <c r="AU70" i="18"/>
  <c r="AU83" i="18" s="1"/>
  <c r="AU96" i="18" s="1"/>
  <c r="AU128" i="18" s="1"/>
  <c r="AU118" i="17"/>
  <c r="AU50" i="17"/>
  <c r="AU63" i="17" s="1"/>
  <c r="AU76" i="17" s="1"/>
  <c r="AU131" i="17" s="1"/>
  <c r="AV46" i="19"/>
  <c r="AV205" i="19"/>
  <c r="AU125" i="18"/>
  <c r="AU80" i="18"/>
  <c r="AU93" i="18" s="1"/>
  <c r="AU106" i="18" s="1"/>
  <c r="AU138" i="18" s="1"/>
  <c r="AU121" i="18"/>
  <c r="AU76" i="18"/>
  <c r="AU89" i="18" s="1"/>
  <c r="AU102" i="18" s="1"/>
  <c r="AU134" i="18" s="1"/>
  <c r="AV61" i="18"/>
  <c r="AV197" i="18"/>
  <c r="AU112" i="19"/>
  <c r="AU64" i="19"/>
  <c r="AU77" i="19" s="1"/>
  <c r="AW24" i="19"/>
  <c r="AW22" i="19"/>
  <c r="AW21" i="19"/>
  <c r="AW23" i="19"/>
  <c r="AW19" i="19"/>
  <c r="AW17" i="19"/>
  <c r="AW18" i="19"/>
  <c r="AW16" i="19"/>
  <c r="AW15" i="19"/>
  <c r="AW14" i="19"/>
  <c r="AW13" i="19"/>
  <c r="AV165" i="17"/>
  <c r="AV35" i="17"/>
  <c r="AU119" i="17"/>
  <c r="AU51" i="17"/>
  <c r="AU64" i="17" s="1"/>
  <c r="AU77" i="17" s="1"/>
  <c r="AU132" i="17" s="1"/>
  <c r="AU102" i="15"/>
  <c r="AU57" i="15"/>
  <c r="AU70" i="15" s="1"/>
  <c r="AU83" i="15" s="1"/>
  <c r="AU115" i="15" s="1"/>
  <c r="AY3" i="25"/>
  <c r="AY3" i="23"/>
  <c r="AY3" i="19"/>
  <c r="AY3" i="21"/>
  <c r="AY3" i="18"/>
  <c r="AY3" i="17"/>
  <c r="AY3" i="12"/>
  <c r="AY3" i="15"/>
  <c r="AY21" i="10"/>
  <c r="AY36" i="10"/>
  <c r="AY51" i="10"/>
  <c r="AY24" i="10"/>
  <c r="AY52" i="10" s="1"/>
  <c r="AY3" i="14"/>
  <c r="AV13" i="14"/>
  <c r="AV15" i="14" s="1"/>
  <c r="AV26" i="14" s="1"/>
  <c r="AV28" i="14" s="1"/>
  <c r="AV43" i="14"/>
  <c r="AV45" i="14" s="1"/>
  <c r="AV50" i="14" s="1"/>
  <c r="AV52" i="14" s="1"/>
  <c r="AV57" i="14" s="1"/>
  <c r="AV165" i="15"/>
  <c r="AV49" i="15"/>
  <c r="AU113" i="17"/>
  <c r="AU45" i="17"/>
  <c r="AU58" i="17" s="1"/>
  <c r="AU71" i="17" s="1"/>
  <c r="AU126" i="17" s="1"/>
  <c r="AV52" i="19"/>
  <c r="AV211" i="19"/>
  <c r="AV48" i="19"/>
  <c r="AV207" i="19"/>
  <c r="AV4" i="25"/>
  <c r="AV4" i="21"/>
  <c r="AV4" i="23"/>
  <c r="AV4" i="19"/>
  <c r="AV4" i="18"/>
  <c r="AV4" i="17"/>
  <c r="AV4" i="15"/>
  <c r="AV4" i="14"/>
  <c r="AV4" i="12"/>
  <c r="AU116" i="17"/>
  <c r="AU48" i="17"/>
  <c r="AU61" i="17" s="1"/>
  <c r="AU74" i="17" s="1"/>
  <c r="AU129" i="17" s="1"/>
  <c r="AV199" i="18"/>
  <c r="AV63" i="18"/>
  <c r="AV34" i="17"/>
  <c r="AV164" i="17"/>
  <c r="AW307" i="19"/>
  <c r="AW238" i="18"/>
  <c r="AW204" i="15"/>
  <c r="AW207" i="17"/>
  <c r="AW41" i="10"/>
  <c r="AW33" i="14"/>
  <c r="AW64" i="14"/>
  <c r="AV54" i="15"/>
  <c r="AV170" i="15"/>
  <c r="AV184" i="15" s="1"/>
  <c r="AV166" i="15"/>
  <c r="AV50" i="15"/>
  <c r="AU120" i="18"/>
  <c r="AU75" i="18"/>
  <c r="AU88" i="18" s="1"/>
  <c r="AU101" i="18" s="1"/>
  <c r="AU133" i="18" s="1"/>
  <c r="AU105" i="19"/>
  <c r="AU57" i="19"/>
  <c r="AU70" i="19" s="1"/>
  <c r="AU107" i="15"/>
  <c r="AU62" i="15"/>
  <c r="AU75" i="15" s="1"/>
  <c r="AU88" i="15" s="1"/>
  <c r="AU120" i="15" s="1"/>
  <c r="AU123" i="17"/>
  <c r="AU55" i="17"/>
  <c r="AU68" i="17" s="1"/>
  <c r="AU81" i="17" s="1"/>
  <c r="AU136" i="17" s="1"/>
  <c r="AV49" i="19"/>
  <c r="AV208" i="19"/>
  <c r="AX39" i="10"/>
  <c r="AX38" i="10"/>
  <c r="AU111" i="19"/>
  <c r="AU63" i="19"/>
  <c r="AU76" i="19" s="1"/>
  <c r="AV200" i="18"/>
  <c r="AV64" i="18"/>
  <c r="AV210" i="19"/>
  <c r="AV51" i="19"/>
  <c r="AU115" i="17"/>
  <c r="AU47" i="17"/>
  <c r="AU60" i="17" s="1"/>
  <c r="AU73" i="17" s="1"/>
  <c r="AU128" i="17" s="1"/>
  <c r="AU114" i="17"/>
  <c r="AU46" i="17"/>
  <c r="AU59" i="17" s="1"/>
  <c r="AU72" i="17" s="1"/>
  <c r="AU127" i="17" s="1"/>
  <c r="AV166" i="17"/>
  <c r="AV36" i="17"/>
  <c r="AU103" i="15"/>
  <c r="AU58" i="15"/>
  <c r="AU71" i="15" s="1"/>
  <c r="AU84" i="15" s="1"/>
  <c r="AU116" i="15" s="1"/>
  <c r="AV38" i="17"/>
  <c r="AV168" i="17"/>
  <c r="AV202" i="18"/>
  <c r="AV66" i="18"/>
  <c r="AU117" i="18"/>
  <c r="AU72" i="18"/>
  <c r="AU85" i="18" s="1"/>
  <c r="AU98" i="18" s="1"/>
  <c r="AU130" i="18" s="1"/>
  <c r="AV159" i="15"/>
  <c r="AV43" i="15"/>
  <c r="AV167" i="15"/>
  <c r="AV51" i="15"/>
  <c r="AW20" i="19"/>
  <c r="AV209" i="19"/>
  <c r="AV50" i="19"/>
  <c r="AU120" i="17"/>
  <c r="AU52" i="17"/>
  <c r="AU65" i="17" s="1"/>
  <c r="AU78" i="17" s="1"/>
  <c r="AU133" i="17" s="1"/>
  <c r="AV57" i="18"/>
  <c r="AV193" i="18"/>
  <c r="AV198" i="18"/>
  <c r="AV62" i="18"/>
  <c r="AW24" i="15"/>
  <c r="AW23" i="15"/>
  <c r="AW22" i="15"/>
  <c r="AW21" i="15"/>
  <c r="AW20" i="15"/>
  <c r="AW19" i="15"/>
  <c r="AW18" i="15"/>
  <c r="AW17" i="15"/>
  <c r="AW16" i="15"/>
  <c r="AW15" i="15"/>
  <c r="AW14" i="15"/>
  <c r="AW13" i="15"/>
  <c r="AV37" i="17"/>
  <c r="AV167" i="17"/>
  <c r="AU107" i="19"/>
  <c r="AU59" i="19"/>
  <c r="AU72" i="19" s="1"/>
  <c r="AU109" i="15"/>
  <c r="AU64" i="15"/>
  <c r="AU77" i="15" s="1"/>
  <c r="AU90" i="15" s="1"/>
  <c r="AU122" i="15" s="1"/>
  <c r="AZ20" i="10"/>
  <c r="AZ98" i="19"/>
  <c r="AZ196" i="19"/>
  <c r="AZ10" i="19"/>
  <c r="AZ10" i="18"/>
  <c r="AZ112" i="18"/>
  <c r="AZ184" i="18"/>
  <c r="AZ152" i="15"/>
  <c r="AZ155" i="17"/>
  <c r="AZ10" i="17"/>
  <c r="AZ109" i="17"/>
  <c r="AZ98" i="15"/>
  <c r="AZ10" i="15"/>
  <c r="BA19" i="10"/>
  <c r="AU112" i="17"/>
  <c r="AU44" i="17"/>
  <c r="AU57" i="17" s="1"/>
  <c r="AU70" i="17" s="1"/>
  <c r="AU125" i="17" s="1"/>
  <c r="AV160" i="15"/>
  <c r="AV44" i="15"/>
  <c r="AV168" i="15"/>
  <c r="AV52" i="15"/>
  <c r="AU108" i="15"/>
  <c r="AU63" i="15"/>
  <c r="AU76" i="15" s="1"/>
  <c r="AU89" i="15" s="1"/>
  <c r="AU121" i="15" s="1"/>
  <c r="AV54" i="19"/>
  <c r="AV213" i="19"/>
  <c r="AV212" i="19"/>
  <c r="AV53" i="19"/>
  <c r="AU110" i="19"/>
  <c r="AU62" i="19"/>
  <c r="AU75" i="19" s="1"/>
  <c r="AX21" i="14"/>
  <c r="AX23" i="14" s="1"/>
  <c r="AX11" i="19"/>
  <c r="AX97" i="19"/>
  <c r="AX111" i="18"/>
  <c r="AX11" i="18"/>
  <c r="AX108" i="17"/>
  <c r="AX11" i="17"/>
  <c r="AX97" i="15"/>
  <c r="AX11" i="15"/>
  <c r="AU115" i="19"/>
  <c r="AU67" i="19"/>
  <c r="AU80" i="19" s="1"/>
  <c r="AV204" i="18"/>
  <c r="AV68" i="18"/>
  <c r="AV201" i="18"/>
  <c r="AV65" i="18"/>
  <c r="AW24" i="17"/>
  <c r="AW22" i="17"/>
  <c r="AW21" i="17"/>
  <c r="AW20" i="17"/>
  <c r="AW19" i="17"/>
  <c r="AW18" i="17"/>
  <c r="AW17" i="17"/>
  <c r="AW16" i="17"/>
  <c r="AW15" i="17"/>
  <c r="AW14" i="17"/>
  <c r="AW13" i="17"/>
  <c r="AU104" i="15"/>
  <c r="AU59" i="15"/>
  <c r="AU72" i="15" s="1"/>
  <c r="AU85" i="15" s="1"/>
  <c r="AU117" i="15" s="1"/>
  <c r="AV172" i="17"/>
  <c r="AV42" i="17"/>
  <c r="AW23" i="17"/>
  <c r="AV171" i="17"/>
  <c r="AV41" i="17"/>
  <c r="AU116" i="18"/>
  <c r="AU71" i="18"/>
  <c r="AU84" i="18" s="1"/>
  <c r="AU97" i="18" s="1"/>
  <c r="AU129" i="18" s="1"/>
  <c r="AU122" i="17"/>
  <c r="AU54" i="17"/>
  <c r="AU67" i="17" s="1"/>
  <c r="AU80" i="17" s="1"/>
  <c r="AU135" i="17" s="1"/>
  <c r="AV161" i="15"/>
  <c r="AV45" i="15"/>
  <c r="AV169" i="15"/>
  <c r="AV53" i="15"/>
  <c r="AU126" i="18"/>
  <c r="AU81" i="18"/>
  <c r="AU94" i="18" s="1"/>
  <c r="AU107" i="18" s="1"/>
  <c r="AU139" i="18" s="1"/>
  <c r="AU111" i="15"/>
  <c r="AU137" i="15" s="1"/>
  <c r="AU66" i="15"/>
  <c r="AU79" i="15" s="1"/>
  <c r="AU92" i="15" s="1"/>
  <c r="AU124" i="15" s="1"/>
  <c r="AV43" i="19"/>
  <c r="AV202" i="19"/>
  <c r="AU104" i="19"/>
  <c r="AU56" i="19"/>
  <c r="AU69" i="19" s="1"/>
  <c r="AV169" i="17"/>
  <c r="AV39" i="17"/>
  <c r="AX40" i="25"/>
  <c r="AX21" i="25"/>
  <c r="AX22" i="25"/>
  <c r="AX39" i="25"/>
  <c r="AX19" i="25"/>
  <c r="AX20" i="25"/>
  <c r="AU105" i="15"/>
  <c r="AU60" i="15"/>
  <c r="AU73" i="15" s="1"/>
  <c r="AU86" i="15" s="1"/>
  <c r="AU118" i="15" s="1"/>
  <c r="AV195" i="18"/>
  <c r="AV59" i="18"/>
  <c r="AW23" i="18"/>
  <c r="AV203" i="18"/>
  <c r="AV67" i="18"/>
  <c r="AV31" i="17"/>
  <c r="AV161" i="17"/>
  <c r="AU119" i="18"/>
  <c r="AU74" i="18"/>
  <c r="AU87" i="18" s="1"/>
  <c r="AU100" i="18" s="1"/>
  <c r="AU132" i="18" s="1"/>
  <c r="AU101" i="15"/>
  <c r="AU56" i="15"/>
  <c r="AU69" i="15" s="1"/>
  <c r="AU82" i="15" s="1"/>
  <c r="AU114" i="15" s="1"/>
  <c r="AV162" i="15"/>
  <c r="AV46" i="15"/>
  <c r="AU114" i="19"/>
  <c r="AU66" i="19"/>
  <c r="AU79" i="19" s="1"/>
  <c r="AU112" i="15"/>
  <c r="AU138" i="15" s="1"/>
  <c r="AU67" i="15"/>
  <c r="AU80" i="15" s="1"/>
  <c r="AU93" i="15" s="1"/>
  <c r="AU125" i="15" s="1"/>
  <c r="AU121" i="17"/>
  <c r="AU53" i="17"/>
  <c r="AU66" i="17" s="1"/>
  <c r="AU79" i="17" s="1"/>
  <c r="AU134" i="17" s="1"/>
  <c r="AV203" i="19"/>
  <c r="AV44" i="19"/>
  <c r="AU122" i="18"/>
  <c r="AU77" i="18"/>
  <c r="AU90" i="18" s="1"/>
  <c r="AU103" i="18" s="1"/>
  <c r="AU135" i="18" s="1"/>
  <c r="AU106" i="15"/>
  <c r="AU61" i="15"/>
  <c r="AU74" i="15" s="1"/>
  <c r="AU87" i="15" s="1"/>
  <c r="AU119" i="15" s="1"/>
  <c r="AU117" i="17"/>
  <c r="AU49" i="17"/>
  <c r="AU62" i="17" s="1"/>
  <c r="AU75" i="17" s="1"/>
  <c r="AU130" i="17" s="1"/>
  <c r="AV58" i="18"/>
  <c r="AV194" i="18"/>
  <c r="AU118" i="18"/>
  <c r="AU73" i="18"/>
  <c r="AU86" i="18" s="1"/>
  <c r="AU99" i="18" s="1"/>
  <c r="AU131" i="18" s="1"/>
  <c r="AW24" i="18"/>
  <c r="AW22" i="18"/>
  <c r="AW21" i="18"/>
  <c r="AW20" i="18"/>
  <c r="AW34" i="18" s="1"/>
  <c r="AW164" i="18" s="1"/>
  <c r="AW18" i="18"/>
  <c r="AW19" i="18"/>
  <c r="AW17" i="18"/>
  <c r="AW16" i="18"/>
  <c r="AW15" i="18"/>
  <c r="AW14" i="18"/>
  <c r="AW13" i="18"/>
  <c r="AV163" i="17"/>
  <c r="AV33" i="17"/>
  <c r="AU60" i="19"/>
  <c r="AU73" i="19" s="1"/>
  <c r="AU108" i="19"/>
  <c r="AU110" i="15"/>
  <c r="AU65" i="15"/>
  <c r="AU78" i="15" s="1"/>
  <c r="AU91" i="15" s="1"/>
  <c r="AU123" i="15" s="1"/>
  <c r="AU124" i="18"/>
  <c r="AU79" i="18"/>
  <c r="AU92" i="18" s="1"/>
  <c r="AU105" i="18" s="1"/>
  <c r="AU137" i="18" s="1"/>
  <c r="AV163" i="15"/>
  <c r="AV47" i="15"/>
  <c r="AU123" i="18"/>
  <c r="AU78" i="18"/>
  <c r="AU91" i="18" s="1"/>
  <c r="AU104" i="18" s="1"/>
  <c r="AU136" i="18" s="1"/>
  <c r="AV170" i="17"/>
  <c r="AV40" i="17"/>
  <c r="AU113" i="19"/>
  <c r="AU65" i="19"/>
  <c r="AU78" i="19" s="1"/>
  <c r="AV204" i="19"/>
  <c r="AV45" i="19"/>
  <c r="AV196" i="18"/>
  <c r="AV60" i="18"/>
  <c r="AU109" i="19"/>
  <c r="AU61" i="19"/>
  <c r="AU74" i="19" s="1"/>
  <c r="AV162" i="17"/>
  <c r="AV32" i="17"/>
  <c r="AV206" i="19"/>
  <c r="AV47" i="19"/>
  <c r="AV29" i="18" l="1"/>
  <c r="AV159" i="18" s="1"/>
  <c r="AV35" i="18"/>
  <c r="AV165" i="18" s="1"/>
  <c r="AW43" i="14"/>
  <c r="AW45" i="14" s="1"/>
  <c r="AW50" i="14" s="1"/>
  <c r="AW52" i="14" s="1"/>
  <c r="AW57" i="14" s="1"/>
  <c r="AV38" i="18"/>
  <c r="AV168" i="18" s="1"/>
  <c r="AV32" i="18"/>
  <c r="AV162" i="18" s="1"/>
  <c r="AV34" i="18"/>
  <c r="AV164" i="18" s="1"/>
  <c r="AV30" i="18"/>
  <c r="AV160" i="18" s="1"/>
  <c r="AV36" i="18"/>
  <c r="AV166" i="18" s="1"/>
  <c r="AV28" i="18"/>
  <c r="AV158" i="18" s="1"/>
  <c r="AV33" i="18"/>
  <c r="AV163" i="18" s="1"/>
  <c r="AV37" i="18"/>
  <c r="AV167" i="18" s="1"/>
  <c r="AU91" i="19"/>
  <c r="AU126" i="19" s="1"/>
  <c r="AU92" i="19"/>
  <c r="AU127" i="19" s="1"/>
  <c r="AU93" i="19"/>
  <c r="AU128" i="19" s="1"/>
  <c r="AU89" i="19"/>
  <c r="AU124" i="19" s="1"/>
  <c r="AU90" i="19"/>
  <c r="AU125" i="19" s="1"/>
  <c r="AU87" i="19"/>
  <c r="AU122" i="19" s="1"/>
  <c r="AU86" i="19"/>
  <c r="AU121" i="19" s="1"/>
  <c r="AU82" i="19"/>
  <c r="AU117" i="19" s="1"/>
  <c r="AU83" i="19"/>
  <c r="AU118" i="19" s="1"/>
  <c r="AU84" i="19"/>
  <c r="AU119" i="19" s="1"/>
  <c r="AU85" i="19"/>
  <c r="AU120" i="19" s="1"/>
  <c r="AU88" i="19"/>
  <c r="AU123" i="19" s="1"/>
  <c r="AV31" i="18"/>
  <c r="AV161" i="18" s="1"/>
  <c r="Z154" i="15"/>
  <c r="Z157" i="15" s="1"/>
  <c r="AB173" i="15" s="1"/>
  <c r="Z99" i="15"/>
  <c r="AB127" i="15" s="1"/>
  <c r="AB187" i="15" s="1"/>
  <c r="Z8" i="23"/>
  <c r="AW33" i="18"/>
  <c r="AW163" i="18" s="1"/>
  <c r="AW31" i="18"/>
  <c r="AW161" i="18" s="1"/>
  <c r="AW32" i="18"/>
  <c r="AW162" i="18" s="1"/>
  <c r="AW35" i="18"/>
  <c r="AW165" i="18" s="1"/>
  <c r="AU28" i="18"/>
  <c r="AU158" i="18" s="1"/>
  <c r="AU38" i="18"/>
  <c r="AU168" i="18" s="1"/>
  <c r="AU31" i="18"/>
  <c r="AU161" i="18" s="1"/>
  <c r="AU32" i="18"/>
  <c r="AU162" i="18" s="1"/>
  <c r="AU30" i="18"/>
  <c r="AU160" i="18" s="1"/>
  <c r="AU27" i="18"/>
  <c r="AU157" i="18" s="1"/>
  <c r="AU29" i="18"/>
  <c r="AU159" i="18" s="1"/>
  <c r="AU35" i="18"/>
  <c r="AU165" i="18" s="1"/>
  <c r="AU33" i="18"/>
  <c r="AU163" i="18" s="1"/>
  <c r="AU37" i="18"/>
  <c r="AU167" i="18" s="1"/>
  <c r="AU34" i="18"/>
  <c r="AU164" i="18" s="1"/>
  <c r="AU36" i="18"/>
  <c r="AU166" i="18" s="1"/>
  <c r="AW27" i="18"/>
  <c r="AW157" i="18" s="1"/>
  <c r="AW28" i="18"/>
  <c r="AW158" i="18" s="1"/>
  <c r="AW36" i="18"/>
  <c r="AW166" i="18" s="1"/>
  <c r="AW37" i="18"/>
  <c r="AW167" i="18" s="1"/>
  <c r="AW29" i="18"/>
  <c r="AW159" i="18" s="1"/>
  <c r="AW38" i="18"/>
  <c r="AW168" i="18" s="1"/>
  <c r="AW30" i="18"/>
  <c r="AW160" i="18" s="1"/>
  <c r="Z12" i="25"/>
  <c r="Z19" i="25" s="1"/>
  <c r="AH173" i="15"/>
  <c r="BC10" i="10"/>
  <c r="BB11" i="10"/>
  <c r="BB30" i="10" s="1"/>
  <c r="BB31" i="10" s="1"/>
  <c r="BB45" i="10" s="1"/>
  <c r="BB46" i="10" s="1"/>
  <c r="AU198" i="15"/>
  <c r="AV121" i="17"/>
  <c r="AV53" i="17"/>
  <c r="AV66" i="17" s="1"/>
  <c r="AV79" i="17" s="1"/>
  <c r="AV134" i="17" s="1"/>
  <c r="AW195" i="18"/>
  <c r="AW59" i="18"/>
  <c r="AX24" i="18"/>
  <c r="AW204" i="18"/>
  <c r="AW68" i="18"/>
  <c r="AV125" i="18"/>
  <c r="AV80" i="18"/>
  <c r="AV93" i="18" s="1"/>
  <c r="AV106" i="18" s="1"/>
  <c r="AV138" i="18" s="1"/>
  <c r="AW163" i="17"/>
  <c r="AW33" i="17"/>
  <c r="AX24" i="17"/>
  <c r="AW172" i="17"/>
  <c r="AW42" i="17"/>
  <c r="AV110" i="15"/>
  <c r="AV65" i="15"/>
  <c r="AV78" i="15" s="1"/>
  <c r="AV91" i="15" s="1"/>
  <c r="AV123" i="15" s="1"/>
  <c r="AW165" i="15"/>
  <c r="AW49" i="15"/>
  <c r="AV119" i="17"/>
  <c r="AV51" i="17"/>
  <c r="AV64" i="17" s="1"/>
  <c r="AV77" i="17" s="1"/>
  <c r="AV132" i="17" s="1"/>
  <c r="AV109" i="19"/>
  <c r="AV61" i="19"/>
  <c r="AV74" i="19" s="1"/>
  <c r="AV56" i="14"/>
  <c r="AV59" i="14" s="1"/>
  <c r="AV65" i="14" s="1"/>
  <c r="AV67" i="14" s="1"/>
  <c r="AV155" i="15" s="1"/>
  <c r="AV34" i="14"/>
  <c r="AV36" i="14" s="1"/>
  <c r="AW207" i="19"/>
  <c r="AW48" i="19"/>
  <c r="AW196" i="18"/>
  <c r="AW60" i="18"/>
  <c r="AV103" i="15"/>
  <c r="AV58" i="15"/>
  <c r="AV71" i="15" s="1"/>
  <c r="AV84" i="15" s="1"/>
  <c r="AV116" i="15" s="1"/>
  <c r="AW171" i="17"/>
  <c r="AW41" i="17"/>
  <c r="AW164" i="17"/>
  <c r="AW34" i="17"/>
  <c r="AV123" i="18"/>
  <c r="AV78" i="18"/>
  <c r="AV91" i="18" s="1"/>
  <c r="AV104" i="18" s="1"/>
  <c r="AV136" i="18" s="1"/>
  <c r="AX13" i="17"/>
  <c r="AX23" i="17"/>
  <c r="AX20" i="17"/>
  <c r="AX21" i="17"/>
  <c r="AX22" i="17"/>
  <c r="AX19" i="17"/>
  <c r="AX18" i="17"/>
  <c r="AX17" i="17"/>
  <c r="AX16" i="17"/>
  <c r="AX14" i="17"/>
  <c r="AX15" i="17"/>
  <c r="AV118" i="17"/>
  <c r="AV50" i="17"/>
  <c r="AV63" i="17" s="1"/>
  <c r="AV76" i="17" s="1"/>
  <c r="AV131" i="17" s="1"/>
  <c r="AW166" i="15"/>
  <c r="AW50" i="15"/>
  <c r="AV115" i="18"/>
  <c r="AV70" i="18"/>
  <c r="AV83" i="18" s="1"/>
  <c r="AV96" i="18" s="1"/>
  <c r="AV128" i="18" s="1"/>
  <c r="AV101" i="15"/>
  <c r="AV56" i="15"/>
  <c r="AV69" i="15" s="1"/>
  <c r="AV82" i="15" s="1"/>
  <c r="AV114" i="15" s="1"/>
  <c r="AV112" i="19"/>
  <c r="AV64" i="19"/>
  <c r="AV77" i="19" s="1"/>
  <c r="AV112" i="15"/>
  <c r="AV138" i="15" s="1"/>
  <c r="AV67" i="15"/>
  <c r="AV80" i="15" s="1"/>
  <c r="AV93" i="15" s="1"/>
  <c r="AV125" i="15" s="1"/>
  <c r="AW47" i="19"/>
  <c r="AW206" i="19"/>
  <c r="AV106" i="15"/>
  <c r="AV61" i="15"/>
  <c r="AV74" i="15" s="1"/>
  <c r="AV87" i="15" s="1"/>
  <c r="AV119" i="15" s="1"/>
  <c r="AV118" i="18"/>
  <c r="AV73" i="18"/>
  <c r="AV86" i="18" s="1"/>
  <c r="AV99" i="18" s="1"/>
  <c r="AV131" i="18" s="1"/>
  <c r="AW61" i="18"/>
  <c r="AW197" i="18"/>
  <c r="AX23" i="18"/>
  <c r="AW203" i="18"/>
  <c r="AW67" i="18"/>
  <c r="AV104" i="19"/>
  <c r="AV56" i="19"/>
  <c r="AV69" i="19" s="1"/>
  <c r="AV123" i="17"/>
  <c r="AV55" i="17"/>
  <c r="AV68" i="17" s="1"/>
  <c r="AV81" i="17" s="1"/>
  <c r="AV136" i="17" s="1"/>
  <c r="AW35" i="17"/>
  <c r="AW165" i="17"/>
  <c r="AV114" i="19"/>
  <c r="AV66" i="19"/>
  <c r="AV79" i="19" s="1"/>
  <c r="AV102" i="15"/>
  <c r="AV57" i="15"/>
  <c r="AV70" i="15" s="1"/>
  <c r="AV83" i="15" s="1"/>
  <c r="AV115" i="15" s="1"/>
  <c r="AW159" i="15"/>
  <c r="AW43" i="15"/>
  <c r="AW167" i="15"/>
  <c r="AW51" i="15"/>
  <c r="AX307" i="19"/>
  <c r="AX238" i="18"/>
  <c r="AX204" i="15"/>
  <c r="AX207" i="17"/>
  <c r="AX41" i="10"/>
  <c r="AX33" i="14"/>
  <c r="AX64" i="14"/>
  <c r="AV113" i="19"/>
  <c r="AV65" i="19"/>
  <c r="AV78" i="19" s="1"/>
  <c r="AV116" i="17"/>
  <c r="AV48" i="17"/>
  <c r="AV61" i="17" s="1"/>
  <c r="AV74" i="17" s="1"/>
  <c r="AV129" i="17" s="1"/>
  <c r="AW208" i="19"/>
  <c r="AW49" i="19"/>
  <c r="AV119" i="18"/>
  <c r="AV74" i="18"/>
  <c r="AV87" i="18" s="1"/>
  <c r="AV100" i="18" s="1"/>
  <c r="AV132" i="18" s="1"/>
  <c r="AW199" i="18"/>
  <c r="AW63" i="18"/>
  <c r="AW34" i="14"/>
  <c r="AW36" i="14" s="1"/>
  <c r="AW56" i="14"/>
  <c r="AW59" i="14" s="1"/>
  <c r="AW65" i="14" s="1"/>
  <c r="AW67" i="14" s="1"/>
  <c r="AW155" i="15" s="1"/>
  <c r="AV117" i="18"/>
  <c r="AV72" i="18"/>
  <c r="AV85" i="18" s="1"/>
  <c r="AV98" i="18" s="1"/>
  <c r="AV130" i="18" s="1"/>
  <c r="AW166" i="17"/>
  <c r="AW36" i="17"/>
  <c r="AV126" i="18"/>
  <c r="AV81" i="18"/>
  <c r="AV94" i="18" s="1"/>
  <c r="AV107" i="18" s="1"/>
  <c r="AV139" i="18" s="1"/>
  <c r="AX13" i="18"/>
  <c r="AX22" i="18"/>
  <c r="AX18" i="18"/>
  <c r="AX20" i="18"/>
  <c r="AX21" i="18"/>
  <c r="AX19" i="18"/>
  <c r="AX17" i="18"/>
  <c r="AX16" i="18"/>
  <c r="AX14" i="18"/>
  <c r="AX15" i="18"/>
  <c r="AZ3" i="25"/>
  <c r="AZ3" i="21"/>
  <c r="AZ3" i="23"/>
  <c r="AZ3" i="19"/>
  <c r="AZ3" i="18"/>
  <c r="AZ3" i="17"/>
  <c r="AZ3" i="15"/>
  <c r="AZ3" i="12"/>
  <c r="AZ36" i="10"/>
  <c r="AZ51" i="10"/>
  <c r="AZ24" i="10"/>
  <c r="AZ52" i="10" s="1"/>
  <c r="AZ3" i="14"/>
  <c r="AZ21" i="10"/>
  <c r="AW160" i="15"/>
  <c r="AW44" i="15"/>
  <c r="AW168" i="15"/>
  <c r="AW52" i="15"/>
  <c r="AV117" i="17"/>
  <c r="AV49" i="17"/>
  <c r="AV62" i="17" s="1"/>
  <c r="AV75" i="17" s="1"/>
  <c r="AV130" i="17" s="1"/>
  <c r="AV122" i="18"/>
  <c r="AV77" i="18"/>
  <c r="AV90" i="18" s="1"/>
  <c r="AV103" i="18" s="1"/>
  <c r="AV135" i="18" s="1"/>
  <c r="AW212" i="19"/>
  <c r="AW53" i="19"/>
  <c r="AU13" i="14"/>
  <c r="AU15" i="14" s="1"/>
  <c r="AU26" i="14" s="1"/>
  <c r="AU28" i="14" s="1"/>
  <c r="AU43" i="14"/>
  <c r="AU45" i="14" s="1"/>
  <c r="AU50" i="14" s="1"/>
  <c r="AU52" i="14" s="1"/>
  <c r="AU57" i="14" s="1"/>
  <c r="AV108" i="19"/>
  <c r="AV60" i="19"/>
  <c r="AV73" i="19" s="1"/>
  <c r="AV106" i="19"/>
  <c r="AV58" i="19"/>
  <c r="AV71" i="19" s="1"/>
  <c r="AV105" i="15"/>
  <c r="AV60" i="15"/>
  <c r="AV73" i="15" s="1"/>
  <c r="AV86" i="15" s="1"/>
  <c r="AV118" i="15" s="1"/>
  <c r="AV114" i="17"/>
  <c r="AV46" i="17"/>
  <c r="AV59" i="17" s="1"/>
  <c r="AV72" i="17" s="1"/>
  <c r="AV127" i="17" s="1"/>
  <c r="AW198" i="18"/>
  <c r="AW62" i="18"/>
  <c r="AV116" i="18"/>
  <c r="AV71" i="18"/>
  <c r="AV84" i="18" s="1"/>
  <c r="AV97" i="18" s="1"/>
  <c r="AV129" i="18" s="1"/>
  <c r="AU197" i="15"/>
  <c r="AW167" i="17"/>
  <c r="AW37" i="17"/>
  <c r="AW161" i="15"/>
  <c r="AW45" i="15"/>
  <c r="AW169" i="15"/>
  <c r="AW53" i="15"/>
  <c r="AV111" i="19"/>
  <c r="AV63" i="19"/>
  <c r="AV76" i="19" s="1"/>
  <c r="AV115" i="17"/>
  <c r="AV47" i="17"/>
  <c r="AV60" i="17" s="1"/>
  <c r="AV73" i="17" s="1"/>
  <c r="AV128" i="17" s="1"/>
  <c r="AY39" i="10"/>
  <c r="AY38" i="10"/>
  <c r="AW202" i="19"/>
  <c r="AW43" i="19"/>
  <c r="AW210" i="19"/>
  <c r="AW51" i="19"/>
  <c r="AV107" i="19"/>
  <c r="AV59" i="19"/>
  <c r="AV72" i="19" s="1"/>
  <c r="AW200" i="18"/>
  <c r="AW64" i="18"/>
  <c r="AV120" i="17"/>
  <c r="AV52" i="17"/>
  <c r="AV65" i="17" s="1"/>
  <c r="AV78" i="17" s="1"/>
  <c r="AV133" i="17" s="1"/>
  <c r="AW168" i="17"/>
  <c r="AW38" i="17"/>
  <c r="AV115" i="19"/>
  <c r="AV67" i="19"/>
  <c r="AV80" i="19" s="1"/>
  <c r="AW162" i="15"/>
  <c r="AW46" i="15"/>
  <c r="AW170" i="15"/>
  <c r="AW54" i="15"/>
  <c r="AV124" i="18"/>
  <c r="AV79" i="18"/>
  <c r="AV92" i="18" s="1"/>
  <c r="AV105" i="18" s="1"/>
  <c r="AV137" i="18" s="1"/>
  <c r="AV110" i="19"/>
  <c r="AV62" i="19"/>
  <c r="AV75" i="19" s="1"/>
  <c r="AV121" i="18"/>
  <c r="AV76" i="18"/>
  <c r="AV89" i="18" s="1"/>
  <c r="AV102" i="18" s="1"/>
  <c r="AV134" i="18" s="1"/>
  <c r="AV107" i="15"/>
  <c r="AV62" i="15"/>
  <c r="AV75" i="15" s="1"/>
  <c r="AV88" i="15" s="1"/>
  <c r="AV120" i="15" s="1"/>
  <c r="AY21" i="14"/>
  <c r="AY23" i="14" s="1"/>
  <c r="AY97" i="19"/>
  <c r="AY11" i="19"/>
  <c r="AY11" i="18"/>
  <c r="AY111" i="18"/>
  <c r="AY108" i="17"/>
  <c r="AY11" i="17"/>
  <c r="AY11" i="15"/>
  <c r="AY97" i="15"/>
  <c r="AY21" i="25"/>
  <c r="AY39" i="25"/>
  <c r="AY40" i="25"/>
  <c r="AY19" i="25"/>
  <c r="AY20" i="25"/>
  <c r="AY22" i="25"/>
  <c r="AW203" i="19"/>
  <c r="AW44" i="19"/>
  <c r="AW211" i="19"/>
  <c r="AW52" i="19"/>
  <c r="AT5" i="15"/>
  <c r="AT5" i="23"/>
  <c r="AT5" i="25"/>
  <c r="AT5" i="19"/>
  <c r="AT5" i="21"/>
  <c r="AT5" i="18"/>
  <c r="AT5" i="17"/>
  <c r="AS54" i="10"/>
  <c r="AT5" i="12"/>
  <c r="AT5" i="14"/>
  <c r="AV113" i="17"/>
  <c r="AV45" i="17"/>
  <c r="AV58" i="17" s="1"/>
  <c r="AV71" i="17" s="1"/>
  <c r="AV126" i="17" s="1"/>
  <c r="AW193" i="18"/>
  <c r="AW57" i="18"/>
  <c r="AW65" i="18"/>
  <c r="AW201" i="18"/>
  <c r="AV105" i="19"/>
  <c r="AV57" i="19"/>
  <c r="AV70" i="19" s="1"/>
  <c r="AV104" i="15"/>
  <c r="AV59" i="15"/>
  <c r="AV72" i="15" s="1"/>
  <c r="AV85" i="15" s="1"/>
  <c r="AV117" i="15" s="1"/>
  <c r="AW161" i="17"/>
  <c r="AW31" i="17"/>
  <c r="AW169" i="17"/>
  <c r="AW39" i="17"/>
  <c r="AX13" i="19"/>
  <c r="AX24" i="19"/>
  <c r="AX21" i="19"/>
  <c r="AX22" i="19"/>
  <c r="AX23" i="19"/>
  <c r="AX20" i="19"/>
  <c r="AX19" i="19"/>
  <c r="AX17" i="19"/>
  <c r="AX18" i="19"/>
  <c r="AX16" i="19"/>
  <c r="AX15" i="19"/>
  <c r="AX14" i="19"/>
  <c r="BA20" i="10"/>
  <c r="BA98" i="19"/>
  <c r="BA10" i="19"/>
  <c r="BA196" i="19"/>
  <c r="BA10" i="18"/>
  <c r="BA112" i="18"/>
  <c r="BA184" i="18"/>
  <c r="BA155" i="17"/>
  <c r="BA10" i="17"/>
  <c r="BA109" i="17"/>
  <c r="BA152" i="15"/>
  <c r="BA98" i="15"/>
  <c r="BA10" i="15"/>
  <c r="BB19" i="10"/>
  <c r="AW163" i="15"/>
  <c r="AW47" i="15"/>
  <c r="AV120" i="18"/>
  <c r="AV75" i="18"/>
  <c r="AV88" i="18" s="1"/>
  <c r="AV101" i="18" s="1"/>
  <c r="AV133" i="18" s="1"/>
  <c r="AW209" i="19"/>
  <c r="AW50" i="19"/>
  <c r="AV108" i="15"/>
  <c r="AV63" i="15"/>
  <c r="AV76" i="15" s="1"/>
  <c r="AV89" i="15" s="1"/>
  <c r="AV121" i="15" s="1"/>
  <c r="AW4" i="12"/>
  <c r="AW4" i="25"/>
  <c r="AW4" i="21"/>
  <c r="AW4" i="19"/>
  <c r="AW4" i="23"/>
  <c r="AW4" i="18"/>
  <c r="AW4" i="17"/>
  <c r="AW4" i="15"/>
  <c r="AW4" i="14"/>
  <c r="AW204" i="19"/>
  <c r="AW45" i="19"/>
  <c r="AW213" i="19"/>
  <c r="AW54" i="19"/>
  <c r="AW194" i="18"/>
  <c r="AW58" i="18"/>
  <c r="AW202" i="18"/>
  <c r="AW66" i="18"/>
  <c r="AV112" i="17"/>
  <c r="AV44" i="17"/>
  <c r="AV57" i="17" s="1"/>
  <c r="AV70" i="17" s="1"/>
  <c r="AV125" i="17" s="1"/>
  <c r="AV111" i="15"/>
  <c r="AV66" i="15"/>
  <c r="AV79" i="15" s="1"/>
  <c r="AV92" i="15" s="1"/>
  <c r="AV124" i="15" s="1"/>
  <c r="AV122" i="17"/>
  <c r="AV54" i="17"/>
  <c r="AV67" i="17" s="1"/>
  <c r="AV80" i="17" s="1"/>
  <c r="AV135" i="17" s="1"/>
  <c r="AW32" i="17"/>
  <c r="AW162" i="17"/>
  <c r="AW170" i="17"/>
  <c r="AW40" i="17"/>
  <c r="AX13" i="15"/>
  <c r="AX24" i="15"/>
  <c r="AX23" i="15"/>
  <c r="AX22" i="15"/>
  <c r="AX21" i="15"/>
  <c r="AX20" i="15"/>
  <c r="AX19" i="15"/>
  <c r="AX18" i="15"/>
  <c r="AX17" i="15"/>
  <c r="AX16" i="15"/>
  <c r="AX15" i="15"/>
  <c r="AX14" i="15"/>
  <c r="AW164" i="15"/>
  <c r="AW48" i="15"/>
  <c r="AV109" i="15"/>
  <c r="AV64" i="15"/>
  <c r="AV77" i="15" s="1"/>
  <c r="AV90" i="15" s="1"/>
  <c r="AV122" i="15" s="1"/>
  <c r="AW46" i="19"/>
  <c r="AW205" i="19"/>
  <c r="AV82" i="19" l="1"/>
  <c r="AV117" i="19" s="1"/>
  <c r="AV88" i="19"/>
  <c r="AV123" i="19" s="1"/>
  <c r="AV93" i="19"/>
  <c r="AV128" i="19" s="1"/>
  <c r="AV85" i="19"/>
  <c r="AV120" i="19" s="1"/>
  <c r="AV87" i="19"/>
  <c r="AV122" i="19" s="1"/>
  <c r="AV84" i="19"/>
  <c r="AV119" i="19" s="1"/>
  <c r="AV83" i="19"/>
  <c r="AV118" i="19" s="1"/>
  <c r="AV91" i="19"/>
  <c r="AV126" i="19" s="1"/>
  <c r="AV86" i="19"/>
  <c r="AV121" i="19" s="1"/>
  <c r="AV92" i="19"/>
  <c r="AV127" i="19" s="1"/>
  <c r="AV89" i="19"/>
  <c r="AV124" i="19" s="1"/>
  <c r="AV90" i="19"/>
  <c r="AV125" i="19" s="1"/>
  <c r="AF127" i="15"/>
  <c r="AF140" i="15" s="1"/>
  <c r="AF145" i="15" s="1"/>
  <c r="AF147" i="15" s="1"/>
  <c r="AF209" i="15" s="1"/>
  <c r="AF213" i="15" s="1"/>
  <c r="AF186" i="18" s="1"/>
  <c r="AA127" i="15"/>
  <c r="AA140" i="15" s="1"/>
  <c r="AA145" i="15" s="1"/>
  <c r="AA147" i="15" s="1"/>
  <c r="AA209" i="15" s="1"/>
  <c r="AA213" i="15" s="1"/>
  <c r="AA186" i="18" s="1"/>
  <c r="AJ127" i="15"/>
  <c r="AJ140" i="15" s="1"/>
  <c r="AJ145" i="15" s="1"/>
  <c r="AJ147" i="15" s="1"/>
  <c r="AJ209" i="15" s="1"/>
  <c r="AJ213" i="15" s="1"/>
  <c r="AJ87" i="17" s="1"/>
  <c r="AJ91" i="17" s="1"/>
  <c r="AJ97" i="17" s="1"/>
  <c r="AJ100" i="17" s="1"/>
  <c r="AJ103" i="17" s="1"/>
  <c r="AJ156" i="17" s="1"/>
  <c r="AB200" i="15"/>
  <c r="AB211" i="15" s="1"/>
  <c r="AB215" i="15" s="1"/>
  <c r="AB88" i="17" s="1"/>
  <c r="AF173" i="15"/>
  <c r="AJ173" i="15"/>
  <c r="AG173" i="15"/>
  <c r="AC173" i="15"/>
  <c r="AD173" i="15"/>
  <c r="AE173" i="15"/>
  <c r="Z173" i="15"/>
  <c r="AA173" i="15"/>
  <c r="AI173" i="15"/>
  <c r="AK173" i="15"/>
  <c r="AG127" i="15"/>
  <c r="AG140" i="15" s="1"/>
  <c r="AG145" i="15" s="1"/>
  <c r="AG148" i="15" s="1"/>
  <c r="AG210" i="15" s="1"/>
  <c r="AG214" i="15" s="1"/>
  <c r="AG13" i="21" s="1"/>
  <c r="AI127" i="15"/>
  <c r="AI140" i="15" s="1"/>
  <c r="AI145" i="15" s="1"/>
  <c r="AI148" i="15" s="1"/>
  <c r="AI210" i="15" s="1"/>
  <c r="AI214" i="15" s="1"/>
  <c r="AI13" i="21" s="1"/>
  <c r="AH127" i="15"/>
  <c r="AH140" i="15" s="1"/>
  <c r="AH145" i="15" s="1"/>
  <c r="AH147" i="15" s="1"/>
  <c r="AH209" i="15" s="1"/>
  <c r="AH213" i="15" s="1"/>
  <c r="AH87" i="17" s="1"/>
  <c r="AH91" i="17" s="1"/>
  <c r="AH97" i="17" s="1"/>
  <c r="AH100" i="17" s="1"/>
  <c r="AH103" i="17" s="1"/>
  <c r="AH156" i="17" s="1"/>
  <c r="AB140" i="15"/>
  <c r="AB145" i="15" s="1"/>
  <c r="AB148" i="15" s="1"/>
  <c r="AB210" i="15" s="1"/>
  <c r="AB214" i="15" s="1"/>
  <c r="AB13" i="21" s="1"/>
  <c r="AK127" i="15"/>
  <c r="AK140" i="15" s="1"/>
  <c r="AK145" i="15" s="1"/>
  <c r="AK148" i="15" s="1"/>
  <c r="AK210" i="15" s="1"/>
  <c r="AK214" i="15" s="1"/>
  <c r="AK13" i="21" s="1"/>
  <c r="AE127" i="15"/>
  <c r="AE187" i="15" s="1"/>
  <c r="AC127" i="15"/>
  <c r="AC140" i="15" s="1"/>
  <c r="AC145" i="15" s="1"/>
  <c r="AC148" i="15" s="1"/>
  <c r="AC210" i="15" s="1"/>
  <c r="AC214" i="15" s="1"/>
  <c r="AC13" i="21" s="1"/>
  <c r="AD127" i="15"/>
  <c r="Z127" i="15"/>
  <c r="Z140" i="15" s="1"/>
  <c r="Z145" i="15" s="1"/>
  <c r="Z147" i="15" s="1"/>
  <c r="Z209" i="15" s="1"/>
  <c r="Z213" i="15" s="1"/>
  <c r="AT38" i="18"/>
  <c r="AT168" i="18" s="1"/>
  <c r="AT27" i="18"/>
  <c r="AT157" i="18" s="1"/>
  <c r="AT29" i="18"/>
  <c r="AT159" i="18" s="1"/>
  <c r="AT34" i="18"/>
  <c r="AT164" i="18" s="1"/>
  <c r="AT30" i="18"/>
  <c r="AT160" i="18" s="1"/>
  <c r="AT35" i="18"/>
  <c r="AT165" i="18" s="1"/>
  <c r="AT28" i="18"/>
  <c r="AT158" i="18" s="1"/>
  <c r="AT31" i="18"/>
  <c r="AT161" i="18" s="1"/>
  <c r="AT32" i="18"/>
  <c r="AT162" i="18" s="1"/>
  <c r="AT36" i="18"/>
  <c r="AT166" i="18" s="1"/>
  <c r="AT33" i="18"/>
  <c r="AT163" i="18" s="1"/>
  <c r="AT37" i="18"/>
  <c r="AT167" i="18" s="1"/>
  <c r="AA148" i="15"/>
  <c r="AA210" i="15" s="1"/>
  <c r="AA214" i="15" s="1"/>
  <c r="AG187" i="15"/>
  <c r="BC11" i="10"/>
  <c r="BC30" i="10" s="1"/>
  <c r="BC31" i="10" s="1"/>
  <c r="BC45" i="10" s="1"/>
  <c r="BC46" i="10" s="1"/>
  <c r="BD10" i="10"/>
  <c r="AX161" i="15"/>
  <c r="AX45" i="15"/>
  <c r="AX169" i="15"/>
  <c r="AX53" i="15"/>
  <c r="AX204" i="19"/>
  <c r="AX45" i="19"/>
  <c r="AX210" i="19"/>
  <c r="AX51" i="19"/>
  <c r="AW104" i="15"/>
  <c r="AW59" i="15"/>
  <c r="AW72" i="15" s="1"/>
  <c r="AW85" i="15" s="1"/>
  <c r="AW117" i="15" s="1"/>
  <c r="AW122" i="18"/>
  <c r="AW77" i="18"/>
  <c r="AW90" i="18" s="1"/>
  <c r="AW103" i="18" s="1"/>
  <c r="AW135" i="18" s="1"/>
  <c r="AY307" i="19"/>
  <c r="AY238" i="18"/>
  <c r="AY204" i="15"/>
  <c r="AY207" i="17"/>
  <c r="AY41" i="10"/>
  <c r="AY33" i="14"/>
  <c r="AY64" i="14"/>
  <c r="AW103" i="15"/>
  <c r="AW58" i="15"/>
  <c r="AW71" i="15" s="1"/>
  <c r="AW84" i="15" s="1"/>
  <c r="AW116" i="15" s="1"/>
  <c r="AX196" i="18"/>
  <c r="AX60" i="18"/>
  <c r="AW121" i="18"/>
  <c r="AW76" i="18"/>
  <c r="AW89" i="18" s="1"/>
  <c r="AW102" i="18" s="1"/>
  <c r="AW134" i="18" s="1"/>
  <c r="AX35" i="17"/>
  <c r="AX165" i="17"/>
  <c r="AW118" i="18"/>
  <c r="AW73" i="18"/>
  <c r="AW86" i="18" s="1"/>
  <c r="AW99" i="18" s="1"/>
  <c r="AW131" i="18" s="1"/>
  <c r="AV99" i="15"/>
  <c r="AV137" i="15" s="1"/>
  <c r="AV197" i="15" s="1"/>
  <c r="AV154" i="15"/>
  <c r="AV157" i="15" s="1"/>
  <c r="AV183" i="15" s="1"/>
  <c r="AV11" i="21"/>
  <c r="AV8" i="23"/>
  <c r="AX162" i="15"/>
  <c r="AX46" i="15"/>
  <c r="AX170" i="15"/>
  <c r="AX54" i="15"/>
  <c r="AW115" i="19"/>
  <c r="AW67" i="19"/>
  <c r="AW80" i="19" s="1"/>
  <c r="BB20" i="10"/>
  <c r="BB98" i="19"/>
  <c r="BB196" i="19"/>
  <c r="BB10" i="19"/>
  <c r="BB10" i="18"/>
  <c r="BB112" i="18"/>
  <c r="BB184" i="18"/>
  <c r="BB155" i="17"/>
  <c r="BB10" i="17"/>
  <c r="BB152" i="15"/>
  <c r="BB109" i="17"/>
  <c r="BB98" i="15"/>
  <c r="BB10" i="15"/>
  <c r="BC19" i="10"/>
  <c r="AX205" i="19"/>
  <c r="AX46" i="19"/>
  <c r="AX213" i="19"/>
  <c r="AX54" i="19"/>
  <c r="AT13" i="14"/>
  <c r="AT15" i="14" s="1"/>
  <c r="AT26" i="14" s="1"/>
  <c r="AT28" i="14" s="1"/>
  <c r="AT43" i="14"/>
  <c r="AT45" i="14" s="1"/>
  <c r="AT50" i="14" s="1"/>
  <c r="AT52" i="14" s="1"/>
  <c r="AT57" i="14" s="1"/>
  <c r="AZ21" i="14"/>
  <c r="AZ23" i="14" s="1"/>
  <c r="AZ97" i="19"/>
  <c r="AZ11" i="19"/>
  <c r="AZ11" i="18"/>
  <c r="AZ111" i="18"/>
  <c r="AZ108" i="17"/>
  <c r="AZ11" i="17"/>
  <c r="AZ97" i="15"/>
  <c r="AZ11" i="15"/>
  <c r="AX197" i="18"/>
  <c r="AX61" i="18"/>
  <c r="AW108" i="15"/>
  <c r="AW63" i="15"/>
  <c r="AW76" i="15" s="1"/>
  <c r="AW89" i="15" s="1"/>
  <c r="AW121" i="15" s="1"/>
  <c r="AX166" i="17"/>
  <c r="AX36" i="17"/>
  <c r="AW126" i="18"/>
  <c r="AW81" i="18"/>
  <c r="AW94" i="18" s="1"/>
  <c r="AW107" i="18" s="1"/>
  <c r="AW139" i="18" s="1"/>
  <c r="AW107" i="19"/>
  <c r="AW59" i="19"/>
  <c r="AW72" i="19" s="1"/>
  <c r="AX163" i="15"/>
  <c r="AX47" i="15"/>
  <c r="AX159" i="15"/>
  <c r="AX43" i="15"/>
  <c r="AX207" i="19"/>
  <c r="AX48" i="19"/>
  <c r="AX202" i="19"/>
  <c r="AX43" i="19"/>
  <c r="AY14" i="18"/>
  <c r="AY24" i="18"/>
  <c r="AY22" i="18"/>
  <c r="AY21" i="18"/>
  <c r="AY18" i="18"/>
  <c r="AY20" i="18"/>
  <c r="AY19" i="18"/>
  <c r="AY17" i="18"/>
  <c r="AY16" i="18"/>
  <c r="AY15" i="18"/>
  <c r="AW118" i="17"/>
  <c r="AW50" i="17"/>
  <c r="AW63" i="17" s="1"/>
  <c r="AW76" i="17" s="1"/>
  <c r="AW131" i="17" s="1"/>
  <c r="AU56" i="14"/>
  <c r="AU59" i="14" s="1"/>
  <c r="AU65" i="14" s="1"/>
  <c r="AU67" i="14" s="1"/>
  <c r="AU155" i="15" s="1"/>
  <c r="AU34" i="14"/>
  <c r="AU36" i="14" s="1"/>
  <c r="AX199" i="18"/>
  <c r="AX63" i="18"/>
  <c r="AW117" i="17"/>
  <c r="AW49" i="17"/>
  <c r="AW62" i="17" s="1"/>
  <c r="AW75" i="17" s="1"/>
  <c r="AW130" i="17" s="1"/>
  <c r="AW125" i="18"/>
  <c r="AW80" i="18"/>
  <c r="AW93" i="18" s="1"/>
  <c r="AW106" i="18" s="1"/>
  <c r="AW138" i="18" s="1"/>
  <c r="AV198" i="15"/>
  <c r="AX37" i="17"/>
  <c r="AX167" i="17"/>
  <c r="AW115" i="17"/>
  <c r="AW47" i="17"/>
  <c r="AW60" i="17" s="1"/>
  <c r="AW73" i="17" s="1"/>
  <c r="AW128" i="17" s="1"/>
  <c r="AW109" i="19"/>
  <c r="AW61" i="19"/>
  <c r="AW74" i="19" s="1"/>
  <c r="AW123" i="17"/>
  <c r="AW55" i="17"/>
  <c r="AW68" i="17" s="1"/>
  <c r="AW81" i="17" s="1"/>
  <c r="AW136" i="17" s="1"/>
  <c r="AX164" i="15"/>
  <c r="AX48" i="15"/>
  <c r="AW121" i="17"/>
  <c r="AW53" i="17"/>
  <c r="AW66" i="17" s="1"/>
  <c r="AW79" i="17" s="1"/>
  <c r="AW134" i="17" s="1"/>
  <c r="AW106" i="19"/>
  <c r="AW58" i="19"/>
  <c r="AW71" i="19" s="1"/>
  <c r="AW111" i="19"/>
  <c r="AW63" i="19"/>
  <c r="AW76" i="19" s="1"/>
  <c r="AX206" i="19"/>
  <c r="AX47" i="19"/>
  <c r="AW120" i="17"/>
  <c r="AW52" i="17"/>
  <c r="AW65" i="17" s="1"/>
  <c r="AW78" i="17" s="1"/>
  <c r="AW133" i="17" s="1"/>
  <c r="AS5" i="15"/>
  <c r="AS5" i="21"/>
  <c r="AS5" i="23"/>
  <c r="AS5" i="25"/>
  <c r="AS5" i="19"/>
  <c r="AS5" i="18"/>
  <c r="AS5" i="17"/>
  <c r="AR54" i="10"/>
  <c r="AS5" i="14"/>
  <c r="AS5" i="12"/>
  <c r="AW113" i="19"/>
  <c r="AW65" i="19"/>
  <c r="AW78" i="19" s="1"/>
  <c r="AY14" i="19"/>
  <c r="AY13" i="19"/>
  <c r="AY24" i="19"/>
  <c r="AY23" i="19"/>
  <c r="AY21" i="19"/>
  <c r="AY22" i="19"/>
  <c r="AY20" i="19"/>
  <c r="AY19" i="19"/>
  <c r="AY17" i="19"/>
  <c r="AY18" i="19"/>
  <c r="AY16" i="19"/>
  <c r="AY15" i="19"/>
  <c r="AW114" i="19"/>
  <c r="AW66" i="19"/>
  <c r="AW79" i="19" s="1"/>
  <c r="AX201" i="18"/>
  <c r="AX65" i="18"/>
  <c r="AX40" i="17"/>
  <c r="AX170" i="17"/>
  <c r="AX204" i="18"/>
  <c r="AX68" i="18"/>
  <c r="AX165" i="15"/>
  <c r="AX49" i="15"/>
  <c r="AX208" i="19"/>
  <c r="AX49" i="19"/>
  <c r="AW123" i="18"/>
  <c r="AW78" i="18"/>
  <c r="AW91" i="18" s="1"/>
  <c r="AW104" i="18" s="1"/>
  <c r="AW136" i="18" s="1"/>
  <c r="AW119" i="17"/>
  <c r="AW51" i="17"/>
  <c r="AW64" i="17" s="1"/>
  <c r="AW77" i="17" s="1"/>
  <c r="AW132" i="17" s="1"/>
  <c r="AW112" i="19"/>
  <c r="AW64" i="19"/>
  <c r="AW77" i="19" s="1"/>
  <c r="AX200" i="18"/>
  <c r="AX64" i="18"/>
  <c r="AW110" i="19"/>
  <c r="AW62" i="19"/>
  <c r="AW75" i="19" s="1"/>
  <c r="AW109" i="15"/>
  <c r="AW64" i="15"/>
  <c r="AW77" i="15" s="1"/>
  <c r="AW90" i="15" s="1"/>
  <c r="AW122" i="15" s="1"/>
  <c r="AY23" i="18"/>
  <c r="AX67" i="18"/>
  <c r="AX203" i="18"/>
  <c r="AW108" i="19"/>
  <c r="AW60" i="19"/>
  <c r="AW73" i="19" s="1"/>
  <c r="AX39" i="17"/>
  <c r="AX169" i="17"/>
  <c r="AW122" i="17"/>
  <c r="AW54" i="17"/>
  <c r="AW67" i="17" s="1"/>
  <c r="AW80" i="17" s="1"/>
  <c r="AW135" i="17" s="1"/>
  <c r="AX172" i="17"/>
  <c r="AX42" i="17"/>
  <c r="AW117" i="18"/>
  <c r="AW72" i="18"/>
  <c r="AW85" i="18" s="1"/>
  <c r="AW98" i="18" s="1"/>
  <c r="AW130" i="18" s="1"/>
  <c r="AW106" i="15"/>
  <c r="AW61" i="15"/>
  <c r="AW74" i="15" s="1"/>
  <c r="AW87" i="15" s="1"/>
  <c r="AW119" i="15" s="1"/>
  <c r="AX166" i="15"/>
  <c r="AX50" i="15"/>
  <c r="AW124" i="18"/>
  <c r="AW79" i="18"/>
  <c r="AW92" i="18" s="1"/>
  <c r="AW105" i="18" s="1"/>
  <c r="AW137" i="18" s="1"/>
  <c r="AX209" i="19"/>
  <c r="AX50" i="19"/>
  <c r="AW112" i="17"/>
  <c r="AW44" i="17"/>
  <c r="AW57" i="17" s="1"/>
  <c r="AW70" i="17" s="1"/>
  <c r="AW125" i="17" s="1"/>
  <c r="AW115" i="18"/>
  <c r="AW70" i="18"/>
  <c r="AW83" i="18" s="1"/>
  <c r="AW96" i="18" s="1"/>
  <c r="AW128" i="18" s="1"/>
  <c r="AW105" i="19"/>
  <c r="AW57" i="19"/>
  <c r="AW70" i="19" s="1"/>
  <c r="AW110" i="15"/>
  <c r="AW65" i="15"/>
  <c r="AW78" i="15" s="1"/>
  <c r="AW91" i="15" s="1"/>
  <c r="AW123" i="15" s="1"/>
  <c r="AZ39" i="10"/>
  <c r="AZ38" i="10"/>
  <c r="AZ22" i="25"/>
  <c r="AZ40" i="25"/>
  <c r="AZ19" i="25"/>
  <c r="AZ20" i="25"/>
  <c r="AZ21" i="25"/>
  <c r="AZ39" i="25"/>
  <c r="AX198" i="18"/>
  <c r="AX62" i="18"/>
  <c r="AW116" i="17"/>
  <c r="AW48" i="17"/>
  <c r="AW61" i="17" s="1"/>
  <c r="AW74" i="17" s="1"/>
  <c r="AW129" i="17" s="1"/>
  <c r="AX163" i="17"/>
  <c r="AX33" i="17"/>
  <c r="AX168" i="17"/>
  <c r="AX38" i="17"/>
  <c r="AW114" i="17"/>
  <c r="AW46" i="17"/>
  <c r="AW59" i="17" s="1"/>
  <c r="AW72" i="17" s="1"/>
  <c r="AW127" i="17" s="1"/>
  <c r="AX167" i="15"/>
  <c r="AX51" i="15"/>
  <c r="AW113" i="17"/>
  <c r="AW45" i="17"/>
  <c r="AW58" i="17" s="1"/>
  <c r="AW71" i="17" s="1"/>
  <c r="AW126" i="17" s="1"/>
  <c r="BA3" i="21"/>
  <c r="BA3" i="23"/>
  <c r="BA3" i="25"/>
  <c r="BA3" i="19"/>
  <c r="BA3" i="18"/>
  <c r="BA3" i="17"/>
  <c r="BA3" i="15"/>
  <c r="BA3" i="12"/>
  <c r="BA21" i="10"/>
  <c r="BA36" i="10"/>
  <c r="BA51" i="10"/>
  <c r="BA24" i="10"/>
  <c r="BA52" i="10" s="1"/>
  <c r="BA3" i="14"/>
  <c r="AX212" i="19"/>
  <c r="AX53" i="19"/>
  <c r="AY14" i="15"/>
  <c r="AY13" i="15"/>
  <c r="AY24" i="15"/>
  <c r="AY23" i="15"/>
  <c r="AY22" i="15"/>
  <c r="AY21" i="15"/>
  <c r="AY20" i="15"/>
  <c r="AY19" i="15"/>
  <c r="AY18" i="15"/>
  <c r="AY17" i="15"/>
  <c r="AY16" i="15"/>
  <c r="AY15" i="15"/>
  <c r="AW112" i="15"/>
  <c r="AW67" i="15"/>
  <c r="AW80" i="15" s="1"/>
  <c r="AW93" i="15" s="1"/>
  <c r="AW125" i="15" s="1"/>
  <c r="AW104" i="19"/>
  <c r="AW56" i="19"/>
  <c r="AW69" i="19" s="1"/>
  <c r="AW111" i="15"/>
  <c r="AW66" i="15"/>
  <c r="AW79" i="15" s="1"/>
  <c r="AW92" i="15" s="1"/>
  <c r="AW124" i="15" s="1"/>
  <c r="AX195" i="18"/>
  <c r="AX59" i="18"/>
  <c r="AX202" i="18"/>
  <c r="AX66" i="18"/>
  <c r="AW56" i="15"/>
  <c r="AW69" i="15" s="1"/>
  <c r="AW82" i="15" s="1"/>
  <c r="AW114" i="15" s="1"/>
  <c r="AW101" i="15"/>
  <c r="AW119" i="18"/>
  <c r="AW74" i="18"/>
  <c r="AW87" i="18" s="1"/>
  <c r="AW100" i="18" s="1"/>
  <c r="AW132" i="18" s="1"/>
  <c r="AX162" i="17"/>
  <c r="AX32" i="17"/>
  <c r="AX171" i="17"/>
  <c r="AX41" i="17"/>
  <c r="AW107" i="15"/>
  <c r="AW62" i="15"/>
  <c r="AW75" i="15" s="1"/>
  <c r="AW88" i="15" s="1"/>
  <c r="AW120" i="15" s="1"/>
  <c r="AX44" i="15"/>
  <c r="AX160" i="15"/>
  <c r="AX168" i="15"/>
  <c r="AX52" i="15"/>
  <c r="AW116" i="18"/>
  <c r="AW71" i="18"/>
  <c r="AW84" i="18" s="1"/>
  <c r="AW97" i="18" s="1"/>
  <c r="AW129" i="18" s="1"/>
  <c r="AW105" i="15"/>
  <c r="AW60" i="15"/>
  <c r="AW73" i="15" s="1"/>
  <c r="AW86" i="15" s="1"/>
  <c r="AW118" i="15" s="1"/>
  <c r="AX203" i="19"/>
  <c r="AX44" i="19"/>
  <c r="AX211" i="19"/>
  <c r="AX52" i="19"/>
  <c r="AY14" i="17"/>
  <c r="AY24" i="17"/>
  <c r="AY23" i="17"/>
  <c r="AY22" i="17"/>
  <c r="AY21" i="17"/>
  <c r="AY20" i="17"/>
  <c r="AY19" i="17"/>
  <c r="AY18" i="17"/>
  <c r="AY17" i="17"/>
  <c r="AY16" i="17"/>
  <c r="AY15" i="17"/>
  <c r="AW120" i="18"/>
  <c r="AW75" i="18"/>
  <c r="AW88" i="18" s="1"/>
  <c r="AW101" i="18" s="1"/>
  <c r="AW133" i="18" s="1"/>
  <c r="AW102" i="15"/>
  <c r="AW57" i="15"/>
  <c r="AW70" i="15" s="1"/>
  <c r="AW83" i="15" s="1"/>
  <c r="AW115" i="15" s="1"/>
  <c r="AX194" i="18"/>
  <c r="AX58" i="18"/>
  <c r="AY13" i="18"/>
  <c r="AX193" i="18"/>
  <c r="AX57" i="18"/>
  <c r="AW11" i="21"/>
  <c r="AW8" i="23"/>
  <c r="AW99" i="15"/>
  <c r="AW154" i="15"/>
  <c r="AW157" i="15" s="1"/>
  <c r="AW184" i="15" s="1"/>
  <c r="AX4" i="14"/>
  <c r="AX4" i="25"/>
  <c r="AX4" i="21"/>
  <c r="AX4" i="23"/>
  <c r="AX4" i="19"/>
  <c r="AX4" i="18"/>
  <c r="AX4" i="17"/>
  <c r="AX4" i="15"/>
  <c r="AX4" i="12"/>
  <c r="AX164" i="17"/>
  <c r="AX34" i="17"/>
  <c r="AY13" i="17"/>
  <c r="AX161" i="17"/>
  <c r="AX31" i="17"/>
  <c r="AF113" i="18" l="1"/>
  <c r="AH147" i="18" s="1"/>
  <c r="AH227" i="18" s="1"/>
  <c r="AF187" i="15"/>
  <c r="AF200" i="15" s="1"/>
  <c r="AF211" i="15" s="1"/>
  <c r="AF215" i="15" s="1"/>
  <c r="AF88" i="17" s="1"/>
  <c r="AF90" i="17" s="1"/>
  <c r="AF92" i="17" s="1"/>
  <c r="AF98" i="17" s="1"/>
  <c r="AF101" i="17" s="1"/>
  <c r="AF189" i="18" s="1"/>
  <c r="AF87" i="17"/>
  <c r="AF91" i="17" s="1"/>
  <c r="AF97" i="17" s="1"/>
  <c r="AF100" i="17" s="1"/>
  <c r="AF103" i="17" s="1"/>
  <c r="AF110" i="17" s="1"/>
  <c r="AF12" i="21"/>
  <c r="AF148" i="15"/>
  <c r="AF210" i="15" s="1"/>
  <c r="AF214" i="15" s="1"/>
  <c r="AW87" i="19"/>
  <c r="AW122" i="19" s="1"/>
  <c r="AW90" i="19"/>
  <c r="AW125" i="19" s="1"/>
  <c r="AW91" i="19"/>
  <c r="AW126" i="19" s="1"/>
  <c r="AW89" i="19"/>
  <c r="AW124" i="19" s="1"/>
  <c r="AW83" i="19"/>
  <c r="AW118" i="19" s="1"/>
  <c r="AW92" i="19"/>
  <c r="AW127" i="19" s="1"/>
  <c r="AW84" i="19"/>
  <c r="AW119" i="19" s="1"/>
  <c r="AW93" i="19"/>
  <c r="AW128" i="19" s="1"/>
  <c r="AW82" i="19"/>
  <c r="AW117" i="19" s="1"/>
  <c r="AW85" i="19"/>
  <c r="AW120" i="19" s="1"/>
  <c r="AW88" i="19"/>
  <c r="AW123" i="19" s="1"/>
  <c r="AW86" i="19"/>
  <c r="AW121" i="19" s="1"/>
  <c r="AG147" i="15"/>
  <c r="AG209" i="15" s="1"/>
  <c r="AG213" i="15" s="1"/>
  <c r="AG12" i="21" s="1"/>
  <c r="AG9" i="23"/>
  <c r="AG200" i="15"/>
  <c r="AG211" i="15" s="1"/>
  <c r="AG215" i="15" s="1"/>
  <c r="AG12" i="23" s="1"/>
  <c r="AA113" i="18"/>
  <c r="AC142" i="18" s="1"/>
  <c r="AC222" i="18" s="1"/>
  <c r="AI187" i="15"/>
  <c r="AB187" i="18"/>
  <c r="AB12" i="23"/>
  <c r="AJ113" i="18"/>
  <c r="AR151" i="18" s="1"/>
  <c r="AR231" i="18" s="1"/>
  <c r="AJ10" i="23"/>
  <c r="AJ13" i="25" s="1"/>
  <c r="AJ20" i="25" s="1"/>
  <c r="AJ186" i="18"/>
  <c r="AA187" i="15"/>
  <c r="AA87" i="17"/>
  <c r="AA91" i="17" s="1"/>
  <c r="AA97" i="17" s="1"/>
  <c r="AA100" i="17" s="1"/>
  <c r="AA103" i="17" s="1"/>
  <c r="AA156" i="17" s="1"/>
  <c r="AJ187" i="15"/>
  <c r="AJ200" i="15" s="1"/>
  <c r="AJ211" i="15" s="1"/>
  <c r="AJ215" i="15" s="1"/>
  <c r="AJ187" i="18" s="1"/>
  <c r="AJ12" i="21"/>
  <c r="AK187" i="15"/>
  <c r="AK200" i="15" s="1"/>
  <c r="AK211" i="15" s="1"/>
  <c r="AK215" i="15" s="1"/>
  <c r="AK187" i="18" s="1"/>
  <c r="AA12" i="21"/>
  <c r="AJ110" i="17"/>
  <c r="AO148" i="17" s="1"/>
  <c r="AO199" i="17" s="1"/>
  <c r="AK147" i="15"/>
  <c r="AK209" i="15" s="1"/>
  <c r="AK213" i="15" s="1"/>
  <c r="AK12" i="21" s="1"/>
  <c r="AF10" i="23"/>
  <c r="AF13" i="25" s="1"/>
  <c r="AF20" i="25" s="1"/>
  <c r="AA10" i="23"/>
  <c r="AA13" i="25" s="1"/>
  <c r="AA20" i="25" s="1"/>
  <c r="AE200" i="15"/>
  <c r="AE211" i="15" s="1"/>
  <c r="AE215" i="15" s="1"/>
  <c r="AE88" i="17" s="1"/>
  <c r="AJ148" i="15"/>
  <c r="AJ210" i="15" s="1"/>
  <c r="AJ214" i="15" s="1"/>
  <c r="AJ13" i="21" s="1"/>
  <c r="AI147" i="15"/>
  <c r="AI209" i="15" s="1"/>
  <c r="AI213" i="15" s="1"/>
  <c r="AI12" i="21" s="1"/>
  <c r="AA200" i="15"/>
  <c r="AI200" i="15"/>
  <c r="AB147" i="15"/>
  <c r="AB209" i="15" s="1"/>
  <c r="AB213" i="15" s="1"/>
  <c r="AB10" i="23" s="1"/>
  <c r="AB13" i="25" s="1"/>
  <c r="AB20" i="25" s="1"/>
  <c r="AI9" i="23"/>
  <c r="AE140" i="15"/>
  <c r="AE145" i="15" s="1"/>
  <c r="AE147" i="15" s="1"/>
  <c r="AE209" i="15" s="1"/>
  <c r="AE213" i="15" s="1"/>
  <c r="AE12" i="21" s="1"/>
  <c r="AC187" i="15"/>
  <c r="AC200" i="15" s="1"/>
  <c r="AC211" i="15" s="1"/>
  <c r="AC215" i="15" s="1"/>
  <c r="AC88" i="17" s="1"/>
  <c r="AH113" i="18"/>
  <c r="AI149" i="18" s="1"/>
  <c r="AI229" i="18" s="1"/>
  <c r="AH148" i="15"/>
  <c r="AH210" i="15" s="1"/>
  <c r="AH214" i="15" s="1"/>
  <c r="AH13" i="21" s="1"/>
  <c r="AH186" i="18"/>
  <c r="AH110" i="17"/>
  <c r="AR146" i="17" s="1"/>
  <c r="AR197" i="17" s="1"/>
  <c r="AH12" i="21"/>
  <c r="AH187" i="15"/>
  <c r="AH200" i="15" s="1"/>
  <c r="AH10" i="23"/>
  <c r="AH13" i="25" s="1"/>
  <c r="AH20" i="25" s="1"/>
  <c r="AB9" i="23"/>
  <c r="AK9" i="23"/>
  <c r="AC147" i="15"/>
  <c r="AC209" i="15" s="1"/>
  <c r="AC213" i="15" s="1"/>
  <c r="AC186" i="18" s="1"/>
  <c r="Z186" i="18"/>
  <c r="Z12" i="21"/>
  <c r="Z10" i="23"/>
  <c r="Z13" i="25" s="1"/>
  <c r="Z20" i="25" s="1"/>
  <c r="AD140" i="15"/>
  <c r="AD145" i="15" s="1"/>
  <c r="AD187" i="15"/>
  <c r="AD200" i="15" s="1"/>
  <c r="AD211" i="15" s="1"/>
  <c r="AD215" i="15" s="1"/>
  <c r="AC9" i="23"/>
  <c r="Z148" i="15"/>
  <c r="Z210" i="15" s="1"/>
  <c r="Z214" i="15" s="1"/>
  <c r="Z9" i="23" s="1"/>
  <c r="Z187" i="15"/>
  <c r="Z200" i="15" s="1"/>
  <c r="Z211" i="15" s="1"/>
  <c r="Z87" i="17"/>
  <c r="Z91" i="17" s="1"/>
  <c r="Z97" i="17" s="1"/>
  <c r="Z100" i="17" s="1"/>
  <c r="Z103" i="17" s="1"/>
  <c r="Z156" i="17" s="1"/>
  <c r="Z113" i="18"/>
  <c r="AG141" i="18" s="1"/>
  <c r="AG221" i="18" s="1"/>
  <c r="AF13" i="21"/>
  <c r="AF9" i="23"/>
  <c r="AA13" i="21"/>
  <c r="AA9" i="23"/>
  <c r="AS30" i="18"/>
  <c r="AS160" i="18" s="1"/>
  <c r="AS33" i="18"/>
  <c r="AS163" i="18" s="1"/>
  <c r="AS35" i="18"/>
  <c r="AS165" i="18" s="1"/>
  <c r="AS29" i="18"/>
  <c r="AS159" i="18" s="1"/>
  <c r="AS31" i="18"/>
  <c r="AS161" i="18" s="1"/>
  <c r="AS34" i="18"/>
  <c r="AS164" i="18" s="1"/>
  <c r="AS28" i="18"/>
  <c r="AS158" i="18" s="1"/>
  <c r="AS32" i="18"/>
  <c r="AS162" i="18" s="1"/>
  <c r="AS37" i="18"/>
  <c r="AS167" i="18" s="1"/>
  <c r="AS38" i="18"/>
  <c r="AS168" i="18" s="1"/>
  <c r="AS36" i="18"/>
  <c r="AS166" i="18" s="1"/>
  <c r="AS27" i="18"/>
  <c r="AS157" i="18" s="1"/>
  <c r="AF156" i="17"/>
  <c r="AB142" i="18"/>
  <c r="AB222" i="18" s="1"/>
  <c r="AL142" i="18"/>
  <c r="AL222" i="18" s="1"/>
  <c r="AG10" i="23"/>
  <c r="AG13" i="25" s="1"/>
  <c r="AG20" i="25" s="1"/>
  <c r="AM147" i="18"/>
  <c r="AM227" i="18" s="1"/>
  <c r="AI147" i="18"/>
  <c r="AI227" i="18" s="1"/>
  <c r="AO147" i="18"/>
  <c r="AO227" i="18" s="1"/>
  <c r="AL147" i="18"/>
  <c r="AL227" i="18" s="1"/>
  <c r="AG147" i="18"/>
  <c r="AG227" i="18" s="1"/>
  <c r="AK147" i="18"/>
  <c r="AK227" i="18" s="1"/>
  <c r="AJ147" i="18"/>
  <c r="AJ227" i="18" s="1"/>
  <c r="AQ147" i="18"/>
  <c r="AQ227" i="18" s="1"/>
  <c r="AN147" i="18"/>
  <c r="AN227" i="18" s="1"/>
  <c r="AP147" i="18"/>
  <c r="AP227" i="18" s="1"/>
  <c r="AF147" i="18"/>
  <c r="AF227" i="18" s="1"/>
  <c r="AW183" i="15"/>
  <c r="BD11" i="10"/>
  <c r="BD30" i="10" s="1"/>
  <c r="BD31" i="10" s="1"/>
  <c r="BD45" i="10" s="1"/>
  <c r="BD46" i="10" s="1"/>
  <c r="BE10" i="10"/>
  <c r="AW137" i="15"/>
  <c r="AW197" i="15" s="1"/>
  <c r="AX112" i="17"/>
  <c r="AX44" i="17"/>
  <c r="AX57" i="17" s="1"/>
  <c r="AX70" i="17" s="1"/>
  <c r="AX125" i="17" s="1"/>
  <c r="AW12" i="25"/>
  <c r="AW25" i="25" s="1"/>
  <c r="AY163" i="17"/>
  <c r="AY33" i="17"/>
  <c r="AY171" i="17"/>
  <c r="AY41" i="17"/>
  <c r="AY165" i="15"/>
  <c r="AY49" i="15"/>
  <c r="AX114" i="19"/>
  <c r="AX66" i="19"/>
  <c r="AX79" i="19" s="1"/>
  <c r="AX125" i="18"/>
  <c r="AX80" i="18"/>
  <c r="AX93" i="18" s="1"/>
  <c r="AX106" i="18" s="1"/>
  <c r="AX138" i="18" s="1"/>
  <c r="AX107" i="15"/>
  <c r="AX62" i="15"/>
  <c r="AX75" i="15" s="1"/>
  <c r="AX88" i="15" s="1"/>
  <c r="AX120" i="15" s="1"/>
  <c r="AX123" i="18"/>
  <c r="AX78" i="18"/>
  <c r="AX91" i="18" s="1"/>
  <c r="AX104" i="18" s="1"/>
  <c r="AX136" i="18" s="1"/>
  <c r="AY206" i="19"/>
  <c r="AY47" i="19"/>
  <c r="AZ14" i="19"/>
  <c r="AY203" i="19"/>
  <c r="AY44" i="19"/>
  <c r="AX118" i="17"/>
  <c r="AX50" i="17"/>
  <c r="AX63" i="17" s="1"/>
  <c r="AX76" i="17" s="1"/>
  <c r="AX131" i="17" s="1"/>
  <c r="AY195" i="18"/>
  <c r="AY59" i="18"/>
  <c r="AY204" i="18"/>
  <c r="AY68" i="18"/>
  <c r="BC20" i="10"/>
  <c r="BC196" i="19"/>
  <c r="BC98" i="19"/>
  <c r="BC10" i="19"/>
  <c r="BC112" i="18"/>
  <c r="BC184" i="18"/>
  <c r="BC10" i="18"/>
  <c r="BC155" i="17"/>
  <c r="BC10" i="17"/>
  <c r="BC109" i="17"/>
  <c r="BC152" i="15"/>
  <c r="BC98" i="15"/>
  <c r="BC10" i="15"/>
  <c r="BD19" i="10"/>
  <c r="AX112" i="15"/>
  <c r="AX138" i="15" s="1"/>
  <c r="AX67" i="15"/>
  <c r="AX80" i="15" s="1"/>
  <c r="AX93" i="15" s="1"/>
  <c r="AX125" i="15" s="1"/>
  <c r="AX112" i="19"/>
  <c r="AX64" i="19"/>
  <c r="AX77" i="19" s="1"/>
  <c r="AY34" i="17"/>
  <c r="AY164" i="17"/>
  <c r="AY42" i="17"/>
  <c r="AY172" i="17"/>
  <c r="AX122" i="17"/>
  <c r="AX54" i="17"/>
  <c r="AX67" i="17" s="1"/>
  <c r="AX80" i="17" s="1"/>
  <c r="AX135" i="17" s="1"/>
  <c r="AY166" i="15"/>
  <c r="AY50" i="15"/>
  <c r="AX109" i="15"/>
  <c r="AX64" i="15"/>
  <c r="AX77" i="15" s="1"/>
  <c r="AX90" i="15" s="1"/>
  <c r="AX122" i="15" s="1"/>
  <c r="AX108" i="15"/>
  <c r="AX63" i="15"/>
  <c r="AX76" i="15" s="1"/>
  <c r="AX89" i="15" s="1"/>
  <c r="AX121" i="15" s="1"/>
  <c r="AY67" i="18"/>
  <c r="AY203" i="18"/>
  <c r="AY208" i="19"/>
  <c r="AY49" i="19"/>
  <c r="AY196" i="18"/>
  <c r="AY60" i="18"/>
  <c r="AY194" i="18"/>
  <c r="AY58" i="18"/>
  <c r="AX105" i="15"/>
  <c r="AX60" i="15"/>
  <c r="AX73" i="15" s="1"/>
  <c r="AX86" i="15" s="1"/>
  <c r="AX118" i="15" s="1"/>
  <c r="AZ15" i="15"/>
  <c r="AZ14" i="15"/>
  <c r="AZ13" i="15"/>
  <c r="AZ24" i="15"/>
  <c r="AZ23" i="15"/>
  <c r="AZ22" i="15"/>
  <c r="AZ21" i="15"/>
  <c r="AZ20" i="15"/>
  <c r="AZ19" i="15"/>
  <c r="AZ18" i="15"/>
  <c r="AZ17" i="15"/>
  <c r="AZ16" i="15"/>
  <c r="AX184" i="15"/>
  <c r="AZ13" i="17"/>
  <c r="AY161" i="17"/>
  <c r="AY31" i="17"/>
  <c r="AX115" i="18"/>
  <c r="AX70" i="18"/>
  <c r="AX83" i="18" s="1"/>
  <c r="AX96" i="18" s="1"/>
  <c r="AX128" i="18" s="1"/>
  <c r="AY165" i="17"/>
  <c r="AY35" i="17"/>
  <c r="AY162" i="17"/>
  <c r="AY32" i="17"/>
  <c r="AX124" i="18"/>
  <c r="AX79" i="18"/>
  <c r="AX92" i="18" s="1"/>
  <c r="AX105" i="18" s="1"/>
  <c r="AX137" i="18" s="1"/>
  <c r="AY167" i="15"/>
  <c r="AY51" i="15"/>
  <c r="AX126" i="18"/>
  <c r="AX81" i="18"/>
  <c r="AX94" i="18" s="1"/>
  <c r="AX107" i="18" s="1"/>
  <c r="AX139" i="18" s="1"/>
  <c r="AY209" i="19"/>
  <c r="AY50" i="19"/>
  <c r="AY197" i="18"/>
  <c r="AY61" i="18"/>
  <c r="AX104" i="19"/>
  <c r="AX56" i="19"/>
  <c r="AX69" i="19" s="1"/>
  <c r="AX104" i="15"/>
  <c r="AX59" i="15"/>
  <c r="AX72" i="15" s="1"/>
  <c r="AX85" i="15" s="1"/>
  <c r="AX117" i="15" s="1"/>
  <c r="AX106" i="19"/>
  <c r="AX58" i="19"/>
  <c r="AX71" i="19" s="1"/>
  <c r="AX115" i="17"/>
  <c r="AX47" i="17"/>
  <c r="AX60" i="17" s="1"/>
  <c r="AX73" i="17" s="1"/>
  <c r="AX128" i="17" s="1"/>
  <c r="AY166" i="17"/>
  <c r="AY36" i="17"/>
  <c r="AX113" i="19"/>
  <c r="AX65" i="19"/>
  <c r="AX78" i="19" s="1"/>
  <c r="AX110" i="15"/>
  <c r="AX65" i="15"/>
  <c r="AX78" i="15" s="1"/>
  <c r="AX91" i="15" s="1"/>
  <c r="AX123" i="15" s="1"/>
  <c r="AX113" i="17"/>
  <c r="AX45" i="17"/>
  <c r="AX58" i="17" s="1"/>
  <c r="AX71" i="17" s="1"/>
  <c r="AX126" i="17" s="1"/>
  <c r="AW138" i="15"/>
  <c r="AW198" i="15" s="1"/>
  <c r="AY168" i="15"/>
  <c r="AY52" i="15"/>
  <c r="AX120" i="18"/>
  <c r="AX75" i="18"/>
  <c r="AX88" i="18" s="1"/>
  <c r="AX101" i="18" s="1"/>
  <c r="AX133" i="18" s="1"/>
  <c r="AZ307" i="19"/>
  <c r="AZ238" i="18"/>
  <c r="AZ207" i="17"/>
  <c r="AZ204" i="15"/>
  <c r="AZ33" i="14"/>
  <c r="AZ41" i="10"/>
  <c r="AZ64" i="14"/>
  <c r="AY211" i="19"/>
  <c r="AY52" i="19"/>
  <c r="AY199" i="18"/>
  <c r="AY63" i="18"/>
  <c r="AX119" i="18"/>
  <c r="AX74" i="18"/>
  <c r="AX87" i="18" s="1"/>
  <c r="AX100" i="18" s="1"/>
  <c r="AX132" i="18" s="1"/>
  <c r="AZ15" i="17"/>
  <c r="AZ14" i="17"/>
  <c r="AZ24" i="17"/>
  <c r="AZ23" i="17"/>
  <c r="AZ22" i="17"/>
  <c r="AZ20" i="17"/>
  <c r="AZ21" i="17"/>
  <c r="AZ19" i="17"/>
  <c r="AZ18" i="17"/>
  <c r="AZ16" i="17"/>
  <c r="AZ17" i="17"/>
  <c r="AT34" i="14"/>
  <c r="AT36" i="14" s="1"/>
  <c r="AT56" i="14"/>
  <c r="AT59" i="14" s="1"/>
  <c r="AT65" i="14" s="1"/>
  <c r="AT67" i="14" s="1"/>
  <c r="AT155" i="15" s="1"/>
  <c r="AX116" i="17"/>
  <c r="AX48" i="17"/>
  <c r="AX61" i="17" s="1"/>
  <c r="AX74" i="17" s="1"/>
  <c r="AX129" i="17" s="1"/>
  <c r="AY193" i="18"/>
  <c r="AY57" i="18"/>
  <c r="AY37" i="17"/>
  <c r="AY167" i="17"/>
  <c r="AX117" i="18"/>
  <c r="AX72" i="18"/>
  <c r="AX85" i="18" s="1"/>
  <c r="AX98" i="18" s="1"/>
  <c r="AX130" i="18" s="1"/>
  <c r="AY161" i="15"/>
  <c r="AY45" i="15"/>
  <c r="AY169" i="15"/>
  <c r="AY183" i="15" s="1"/>
  <c r="AY53" i="15"/>
  <c r="BA19" i="25"/>
  <c r="BA39" i="25"/>
  <c r="BA22" i="25"/>
  <c r="BA20" i="25"/>
  <c r="BA21" i="25"/>
  <c r="BA40" i="25"/>
  <c r="AX120" i="17"/>
  <c r="AX52" i="17"/>
  <c r="AX65" i="17" s="1"/>
  <c r="AX78" i="17" s="1"/>
  <c r="AX133" i="17" s="1"/>
  <c r="AY210" i="19"/>
  <c r="AY51" i="19"/>
  <c r="AS13" i="14"/>
  <c r="AS15" i="14" s="1"/>
  <c r="AS26" i="14" s="1"/>
  <c r="AS28" i="14" s="1"/>
  <c r="AS43" i="14"/>
  <c r="AS45" i="14" s="1"/>
  <c r="AS50" i="14" s="1"/>
  <c r="AS52" i="14" s="1"/>
  <c r="AS57" i="14" s="1"/>
  <c r="AU11" i="21"/>
  <c r="AU8" i="23"/>
  <c r="AU99" i="15"/>
  <c r="AW136" i="15" s="1"/>
  <c r="AW196" i="15" s="1"/>
  <c r="AU154" i="15"/>
  <c r="AU157" i="15" s="1"/>
  <c r="AY200" i="18"/>
  <c r="AY64" i="18"/>
  <c r="AX109" i="19"/>
  <c r="AX61" i="19"/>
  <c r="AX74" i="19" s="1"/>
  <c r="AX115" i="19"/>
  <c r="AX67" i="19"/>
  <c r="AX80" i="19" s="1"/>
  <c r="AV12" i="25"/>
  <c r="AV25" i="25" s="1"/>
  <c r="AX111" i="15"/>
  <c r="AX137" i="15" s="1"/>
  <c r="AX66" i="15"/>
  <c r="AX79" i="15" s="1"/>
  <c r="AX92" i="15" s="1"/>
  <c r="AX124" i="15" s="1"/>
  <c r="AX116" i="18"/>
  <c r="AX71" i="18"/>
  <c r="AX84" i="18" s="1"/>
  <c r="AX97" i="18" s="1"/>
  <c r="AX129" i="18" s="1"/>
  <c r="AY168" i="17"/>
  <c r="AY38" i="17"/>
  <c r="AX105" i="19"/>
  <c r="AX57" i="19"/>
  <c r="AX70" i="19" s="1"/>
  <c r="AY162" i="15"/>
  <c r="AY46" i="15"/>
  <c r="AY170" i="15"/>
  <c r="AY184" i="15" s="1"/>
  <c r="AY54" i="15"/>
  <c r="BA39" i="10"/>
  <c r="BA38" i="10"/>
  <c r="AX119" i="17"/>
  <c r="AX51" i="17"/>
  <c r="AX64" i="17" s="1"/>
  <c r="AX77" i="17" s="1"/>
  <c r="AX132" i="17" s="1"/>
  <c r="AX111" i="19"/>
  <c r="AX63" i="19"/>
  <c r="AX76" i="19" s="1"/>
  <c r="AX121" i="17"/>
  <c r="AX53" i="17"/>
  <c r="AX66" i="17" s="1"/>
  <c r="AX79" i="17" s="1"/>
  <c r="AX134" i="17" s="1"/>
  <c r="AY45" i="19"/>
  <c r="AY204" i="19"/>
  <c r="AY212" i="19"/>
  <c r="AY53" i="19"/>
  <c r="AR5" i="15"/>
  <c r="AR5" i="25"/>
  <c r="AR5" i="21"/>
  <c r="AR5" i="23"/>
  <c r="AR5" i="19"/>
  <c r="AR5" i="18"/>
  <c r="AR5" i="17"/>
  <c r="AR5" i="12"/>
  <c r="AR5" i="14"/>
  <c r="AQ54" i="10"/>
  <c r="AY62" i="18"/>
  <c r="AY198" i="18"/>
  <c r="BB3" i="23"/>
  <c r="BB3" i="25"/>
  <c r="BB3" i="19"/>
  <c r="BB3" i="21"/>
  <c r="BB3" i="18"/>
  <c r="BB3" i="17"/>
  <c r="BB3" i="15"/>
  <c r="BB3" i="12"/>
  <c r="BB3" i="14"/>
  <c r="BB24" i="10"/>
  <c r="BB52" i="10" s="1"/>
  <c r="BB21" i="10"/>
  <c r="BB36" i="10"/>
  <c r="BB51" i="10"/>
  <c r="AX183" i="15"/>
  <c r="AY39" i="17"/>
  <c r="AY169" i="17"/>
  <c r="AX57" i="15"/>
  <c r="AX70" i="15" s="1"/>
  <c r="AX83" i="15" s="1"/>
  <c r="AX115" i="15" s="1"/>
  <c r="AX102" i="15"/>
  <c r="AY163" i="15"/>
  <c r="AY47" i="15"/>
  <c r="AY159" i="15"/>
  <c r="AY43" i="15"/>
  <c r="BA21" i="14"/>
  <c r="BA23" i="14" s="1"/>
  <c r="BA97" i="19"/>
  <c r="BA11" i="19"/>
  <c r="BA111" i="18"/>
  <c r="BA11" i="18"/>
  <c r="BA108" i="17"/>
  <c r="BA11" i="17"/>
  <c r="BA97" i="15"/>
  <c r="BA11" i="15"/>
  <c r="AX122" i="18"/>
  <c r="AX77" i="18"/>
  <c r="AX90" i="18" s="1"/>
  <c r="AX103" i="18" s="1"/>
  <c r="AX135" i="18" s="1"/>
  <c r="AX62" i="19"/>
  <c r="AX75" i="19" s="1"/>
  <c r="AX110" i="19"/>
  <c r="AY205" i="19"/>
  <c r="AY46" i="19"/>
  <c r="AY213" i="19"/>
  <c r="AY54" i="19"/>
  <c r="AX121" i="18"/>
  <c r="AX76" i="18"/>
  <c r="AX89" i="18" s="1"/>
  <c r="AX102" i="18" s="1"/>
  <c r="AX134" i="18" s="1"/>
  <c r="AY201" i="18"/>
  <c r="AY65" i="18"/>
  <c r="AZ15" i="18"/>
  <c r="AZ23" i="18"/>
  <c r="AZ13" i="18"/>
  <c r="AZ14" i="18"/>
  <c r="AZ24" i="18"/>
  <c r="AZ22" i="18"/>
  <c r="AZ18" i="18"/>
  <c r="AZ20" i="18"/>
  <c r="AZ21" i="18"/>
  <c r="AZ19" i="18"/>
  <c r="AZ16" i="18"/>
  <c r="AZ17" i="18"/>
  <c r="AX107" i="19"/>
  <c r="AX59" i="19"/>
  <c r="AX72" i="19" s="1"/>
  <c r="AX118" i="18"/>
  <c r="AX73" i="18"/>
  <c r="AX86" i="18" s="1"/>
  <c r="AX99" i="18" s="1"/>
  <c r="AX131" i="18" s="1"/>
  <c r="AX103" i="15"/>
  <c r="AX58" i="15"/>
  <c r="AX71" i="15" s="1"/>
  <c r="AX84" i="15" s="1"/>
  <c r="AX116" i="15" s="1"/>
  <c r="AY170" i="17"/>
  <c r="AY40" i="17"/>
  <c r="AY164" i="15"/>
  <c r="AY48" i="15"/>
  <c r="AY160" i="15"/>
  <c r="AY44" i="15"/>
  <c r="AX114" i="17"/>
  <c r="AX46" i="17"/>
  <c r="AX59" i="17" s="1"/>
  <c r="AX72" i="17" s="1"/>
  <c r="AX127" i="17" s="1"/>
  <c r="AX123" i="17"/>
  <c r="AX55" i="17"/>
  <c r="AX68" i="17" s="1"/>
  <c r="AX81" i="17" s="1"/>
  <c r="AX136" i="17" s="1"/>
  <c r="AY207" i="19"/>
  <c r="AY48" i="19"/>
  <c r="AY202" i="19"/>
  <c r="AY43" i="19"/>
  <c r="AX108" i="19"/>
  <c r="AX60" i="19"/>
  <c r="AX73" i="19" s="1"/>
  <c r="AX106" i="15"/>
  <c r="AX61" i="15"/>
  <c r="AX74" i="15" s="1"/>
  <c r="AX87" i="15" s="1"/>
  <c r="AX119" i="15" s="1"/>
  <c r="AY202" i="18"/>
  <c r="AY66" i="18"/>
  <c r="AX101" i="15"/>
  <c r="AX56" i="15"/>
  <c r="AX69" i="15" s="1"/>
  <c r="AX82" i="15" s="1"/>
  <c r="AX114" i="15" s="1"/>
  <c r="AX117" i="17"/>
  <c r="AX49" i="17"/>
  <c r="AX62" i="17" s="1"/>
  <c r="AX75" i="17" s="1"/>
  <c r="AX130" i="17" s="1"/>
  <c r="AZ15" i="19"/>
  <c r="AZ13" i="19"/>
  <c r="AZ24" i="19"/>
  <c r="AZ22" i="19"/>
  <c r="AZ21" i="19"/>
  <c r="AZ23" i="19"/>
  <c r="AZ20" i="19"/>
  <c r="AZ19" i="19"/>
  <c r="AZ17" i="19"/>
  <c r="AZ18" i="19"/>
  <c r="AZ16" i="19"/>
  <c r="AY4" i="14"/>
  <c r="AY4" i="25"/>
  <c r="AY4" i="23"/>
  <c r="AY4" i="19"/>
  <c r="AY4" i="21"/>
  <c r="AY4" i="18"/>
  <c r="AY4" i="17"/>
  <c r="AY4" i="15"/>
  <c r="AY4" i="12"/>
  <c r="AG144" i="17"/>
  <c r="AG195" i="17" s="1"/>
  <c r="AO144" i="17"/>
  <c r="AO195" i="17" s="1"/>
  <c r="AP144" i="17"/>
  <c r="AP195" i="17" s="1"/>
  <c r="AH144" i="17"/>
  <c r="AH195" i="17" s="1"/>
  <c r="AQ144" i="17"/>
  <c r="AQ195" i="17" s="1"/>
  <c r="AJ144" i="17"/>
  <c r="AJ195" i="17" s="1"/>
  <c r="AL144" i="17"/>
  <c r="AL195" i="17" s="1"/>
  <c r="AK144" i="17"/>
  <c r="AK195" i="17" s="1"/>
  <c r="AM144" i="17"/>
  <c r="AM195" i="17" s="1"/>
  <c r="AF144" i="17"/>
  <c r="AF195" i="17" s="1"/>
  <c r="AN144" i="17"/>
  <c r="AN195" i="17" s="1"/>
  <c r="AI144" i="17"/>
  <c r="AI195" i="17" s="1"/>
  <c r="AK148" i="17"/>
  <c r="AK199" i="17" s="1"/>
  <c r="AJ9" i="23" l="1"/>
  <c r="AG87" i="17"/>
  <c r="AG91" i="17" s="1"/>
  <c r="AG97" i="17" s="1"/>
  <c r="AG100" i="17" s="1"/>
  <c r="AG103" i="17" s="1"/>
  <c r="AG156" i="17" s="1"/>
  <c r="AJ148" i="17"/>
  <c r="AJ199" i="17" s="1"/>
  <c r="AR148" i="17"/>
  <c r="AR199" i="17" s="1"/>
  <c r="AL148" i="17"/>
  <c r="AL199" i="17" s="1"/>
  <c r="AB141" i="18"/>
  <c r="AM148" i="17"/>
  <c r="AM199" i="17" s="1"/>
  <c r="AS148" i="17"/>
  <c r="AS199" i="17" s="1"/>
  <c r="AQ148" i="17"/>
  <c r="AQ199" i="17" s="1"/>
  <c r="AP148" i="17"/>
  <c r="AP199" i="17" s="1"/>
  <c r="AG186" i="18"/>
  <c r="AU148" i="17"/>
  <c r="AU199" i="17" s="1"/>
  <c r="AN148" i="17"/>
  <c r="AN199" i="17" s="1"/>
  <c r="AT148" i="17"/>
  <c r="AT199" i="17" s="1"/>
  <c r="AG113" i="18"/>
  <c r="AR148" i="18" s="1"/>
  <c r="AR228" i="18" s="1"/>
  <c r="AA110" i="17"/>
  <c r="AD139" i="17" s="1"/>
  <c r="AD190" i="17" s="1"/>
  <c r="AK142" i="18"/>
  <c r="AK222" i="18" s="1"/>
  <c r="AH142" i="18"/>
  <c r="AH222" i="18" s="1"/>
  <c r="AI142" i="18"/>
  <c r="AI222" i="18" s="1"/>
  <c r="AA142" i="18"/>
  <c r="AA222" i="18" s="1"/>
  <c r="AE142" i="18"/>
  <c r="AE222" i="18" s="1"/>
  <c r="AF142" i="18"/>
  <c r="AF222" i="18" s="1"/>
  <c r="AD142" i="18"/>
  <c r="AD222" i="18" s="1"/>
  <c r="AJ142" i="18"/>
  <c r="AJ222" i="18" s="1"/>
  <c r="AG142" i="18"/>
  <c r="AG222" i="18" s="1"/>
  <c r="AX84" i="19"/>
  <c r="AX119" i="19" s="1"/>
  <c r="AX87" i="19"/>
  <c r="AX122" i="19" s="1"/>
  <c r="AX85" i="19"/>
  <c r="AX120" i="19" s="1"/>
  <c r="AX89" i="19"/>
  <c r="AX124" i="19" s="1"/>
  <c r="AX91" i="19"/>
  <c r="AX126" i="19" s="1"/>
  <c r="AX93" i="19"/>
  <c r="AX128" i="19" s="1"/>
  <c r="AX86" i="19"/>
  <c r="AX121" i="19" s="1"/>
  <c r="AP149" i="18"/>
  <c r="AP229" i="18" s="1"/>
  <c r="AX88" i="19"/>
  <c r="AX123" i="19" s="1"/>
  <c r="AX92" i="19"/>
  <c r="AX127" i="19" s="1"/>
  <c r="AX83" i="19"/>
  <c r="AX118" i="19" s="1"/>
  <c r="AX82" i="19"/>
  <c r="AX117" i="19" s="1"/>
  <c r="AX90" i="19"/>
  <c r="AX125" i="19" s="1"/>
  <c r="AS151" i="18"/>
  <c r="AS231" i="18" s="1"/>
  <c r="AP151" i="18"/>
  <c r="AP231" i="18" s="1"/>
  <c r="AN151" i="18"/>
  <c r="AN231" i="18" s="1"/>
  <c r="AQ151" i="18"/>
  <c r="AQ231" i="18" s="1"/>
  <c r="AO151" i="18"/>
  <c r="AO231" i="18" s="1"/>
  <c r="AK151" i="18"/>
  <c r="AK231" i="18" s="1"/>
  <c r="AJ151" i="18"/>
  <c r="AJ231" i="18" s="1"/>
  <c r="AM151" i="18"/>
  <c r="AM231" i="18" s="1"/>
  <c r="AL151" i="18"/>
  <c r="AL231" i="18" s="1"/>
  <c r="AT151" i="18"/>
  <c r="AT231" i="18" s="1"/>
  <c r="AU151" i="18"/>
  <c r="AU231" i="18" s="1"/>
  <c r="AK186" i="18"/>
  <c r="AK10" i="23"/>
  <c r="AK13" i="25" s="1"/>
  <c r="AK26" i="25" s="1"/>
  <c r="AB12" i="21"/>
  <c r="AB113" i="18"/>
  <c r="AD143" i="18" s="1"/>
  <c r="AD223" i="18" s="1"/>
  <c r="AK87" i="17"/>
  <c r="AK91" i="17" s="1"/>
  <c r="AK97" i="17" s="1"/>
  <c r="AK100" i="17" s="1"/>
  <c r="AK103" i="17" s="1"/>
  <c r="AK156" i="17" s="1"/>
  <c r="AA211" i="15"/>
  <c r="AA215" i="15" s="1"/>
  <c r="AA88" i="17" s="1"/>
  <c r="AA90" i="17" s="1"/>
  <c r="AA92" i="17" s="1"/>
  <c r="AA98" i="17" s="1"/>
  <c r="AA101" i="17" s="1"/>
  <c r="AA104" i="17" s="1"/>
  <c r="AA157" i="17" s="1"/>
  <c r="AA159" i="17" s="1"/>
  <c r="AH176" i="17" s="1"/>
  <c r="AK113" i="18"/>
  <c r="AM152" i="18" s="1"/>
  <c r="AM232" i="18" s="1"/>
  <c r="AB87" i="17"/>
  <c r="AB91" i="17" s="1"/>
  <c r="AB97" i="17" s="1"/>
  <c r="AB100" i="17" s="1"/>
  <c r="AB103" i="17" s="1"/>
  <c r="AB110" i="17" s="1"/>
  <c r="AI140" i="17" s="1"/>
  <c r="AI191" i="17" s="1"/>
  <c r="AB186" i="18"/>
  <c r="AI211" i="15"/>
  <c r="AI215" i="15" s="1"/>
  <c r="AI187" i="18" s="1"/>
  <c r="AE148" i="15"/>
  <c r="AE210" i="15" s="1"/>
  <c r="AE214" i="15" s="1"/>
  <c r="AE13" i="21" s="1"/>
  <c r="AE186" i="18"/>
  <c r="AE87" i="17"/>
  <c r="AE91" i="17" s="1"/>
  <c r="AE97" i="17" s="1"/>
  <c r="AE100" i="17" s="1"/>
  <c r="AE103" i="17" s="1"/>
  <c r="AE156" i="17" s="1"/>
  <c r="AE10" i="23"/>
  <c r="AE13" i="25" s="1"/>
  <c r="AE20" i="25" s="1"/>
  <c r="AI10" i="23"/>
  <c r="AI13" i="25" s="1"/>
  <c r="AI20" i="25" s="1"/>
  <c r="AI87" i="17"/>
  <c r="AI91" i="17" s="1"/>
  <c r="AI97" i="17" s="1"/>
  <c r="AI100" i="17" s="1"/>
  <c r="AI103" i="17" s="1"/>
  <c r="AI156" i="17" s="1"/>
  <c r="AH9" i="23"/>
  <c r="AI186" i="18"/>
  <c r="AI113" i="18"/>
  <c r="AI150" i="18" s="1"/>
  <c r="AI230" i="18" s="1"/>
  <c r="AE113" i="18"/>
  <c r="AJ146" i="18" s="1"/>
  <c r="AJ226" i="18" s="1"/>
  <c r="AL149" i="18"/>
  <c r="AL229" i="18" s="1"/>
  <c r="AQ149" i="18"/>
  <c r="AQ229" i="18" s="1"/>
  <c r="AO149" i="18"/>
  <c r="AO229" i="18" s="1"/>
  <c r="AM149" i="18"/>
  <c r="AM229" i="18" s="1"/>
  <c r="AS149" i="18"/>
  <c r="AS229" i="18" s="1"/>
  <c r="AK149" i="18"/>
  <c r="AK229" i="18" s="1"/>
  <c r="AN149" i="18"/>
  <c r="AN229" i="18" s="1"/>
  <c r="AJ149" i="18"/>
  <c r="AJ229" i="18" s="1"/>
  <c r="AR149" i="18"/>
  <c r="AR229" i="18" s="1"/>
  <c r="AH149" i="18"/>
  <c r="AH229" i="18" s="1"/>
  <c r="AC141" i="18"/>
  <c r="AC221" i="18" s="1"/>
  <c r="AJ146" i="17"/>
  <c r="AJ197" i="17" s="1"/>
  <c r="Z110" i="17"/>
  <c r="Z138" i="17" s="1"/>
  <c r="Z189" i="17" s="1"/>
  <c r="AQ146" i="17"/>
  <c r="AQ197" i="17" s="1"/>
  <c r="AH141" i="18"/>
  <c r="AH221" i="18" s="1"/>
  <c r="AP146" i="17"/>
  <c r="AP197" i="17" s="1"/>
  <c r="AO146" i="17"/>
  <c r="AO197" i="17" s="1"/>
  <c r="AI146" i="17"/>
  <c r="AI197" i="17" s="1"/>
  <c r="AK146" i="17"/>
  <c r="AK197" i="17" s="1"/>
  <c r="AN146" i="17"/>
  <c r="AN197" i="17" s="1"/>
  <c r="AH146" i="17"/>
  <c r="AH197" i="17" s="1"/>
  <c r="AI141" i="18"/>
  <c r="AI221" i="18" s="1"/>
  <c r="AE141" i="18"/>
  <c r="AE221" i="18" s="1"/>
  <c r="AM146" i="17"/>
  <c r="AM197" i="17" s="1"/>
  <c r="AL146" i="17"/>
  <c r="AL197" i="17" s="1"/>
  <c r="AA141" i="18"/>
  <c r="AA221" i="18" s="1"/>
  <c r="AF141" i="18"/>
  <c r="AF221" i="18" s="1"/>
  <c r="AS146" i="17"/>
  <c r="AS197" i="17" s="1"/>
  <c r="AK141" i="18"/>
  <c r="AK221" i="18" s="1"/>
  <c r="Z141" i="18"/>
  <c r="Z221" i="18" s="1"/>
  <c r="AD141" i="18"/>
  <c r="AD221" i="18" s="1"/>
  <c r="AJ141" i="18"/>
  <c r="AJ221" i="18" s="1"/>
  <c r="AH211" i="15"/>
  <c r="AH215" i="15" s="1"/>
  <c r="AH12" i="23" s="1"/>
  <c r="AG88" i="17"/>
  <c r="AG90" i="17" s="1"/>
  <c r="AG92" i="17" s="1"/>
  <c r="AG98" i="17" s="1"/>
  <c r="AG101" i="17" s="1"/>
  <c r="AC12" i="21"/>
  <c r="AC87" i="17"/>
  <c r="AC91" i="17" s="1"/>
  <c r="AC97" i="17" s="1"/>
  <c r="AC100" i="17" s="1"/>
  <c r="AC103" i="17" s="1"/>
  <c r="AC156" i="17" s="1"/>
  <c r="AC10" i="23"/>
  <c r="AC13" i="25" s="1"/>
  <c r="AC20" i="25" s="1"/>
  <c r="AC113" i="18"/>
  <c r="AN144" i="18" s="1"/>
  <c r="AN224" i="18" s="1"/>
  <c r="AD88" i="17"/>
  <c r="AD12" i="23"/>
  <c r="AD187" i="18"/>
  <c r="AD147" i="15"/>
  <c r="AD148" i="15"/>
  <c r="AD210" i="15" s="1"/>
  <c r="AD214" i="15" s="1"/>
  <c r="AG187" i="18"/>
  <c r="AK88" i="17"/>
  <c r="AK90" i="17" s="1"/>
  <c r="AK92" i="17" s="1"/>
  <c r="AK98" i="17" s="1"/>
  <c r="AK101" i="17" s="1"/>
  <c r="AI88" i="17"/>
  <c r="Z13" i="21"/>
  <c r="AK12" i="23"/>
  <c r="AE12" i="23"/>
  <c r="AJ88" i="17"/>
  <c r="AJ90" i="17" s="1"/>
  <c r="AJ92" i="17" s="1"/>
  <c r="AJ98" i="17" s="1"/>
  <c r="AJ188" i="18" s="1"/>
  <c r="Z215" i="15"/>
  <c r="Z88" i="17" s="1"/>
  <c r="Z90" i="17" s="1"/>
  <c r="Z92" i="17" s="1"/>
  <c r="Z98" i="17" s="1"/>
  <c r="Z101" i="17" s="1"/>
  <c r="Z189" i="18" s="1"/>
  <c r="AE187" i="18"/>
  <c r="AF12" i="23"/>
  <c r="AC187" i="18"/>
  <c r="AF187" i="18"/>
  <c r="AC12" i="23"/>
  <c r="AJ12" i="23"/>
  <c r="AB221" i="18"/>
  <c r="AH146" i="18"/>
  <c r="AH226" i="18" s="1"/>
  <c r="AM146" i="18"/>
  <c r="AM226" i="18" s="1"/>
  <c r="AR27" i="18"/>
  <c r="AR157" i="18" s="1"/>
  <c r="AR38" i="18"/>
  <c r="AR168" i="18" s="1"/>
  <c r="AR36" i="18"/>
  <c r="AR166" i="18" s="1"/>
  <c r="AR37" i="18"/>
  <c r="AR167" i="18" s="1"/>
  <c r="AR30" i="18"/>
  <c r="AR160" i="18" s="1"/>
  <c r="AR29" i="18"/>
  <c r="AR159" i="18" s="1"/>
  <c r="AR35" i="18"/>
  <c r="AR165" i="18" s="1"/>
  <c r="AR34" i="18"/>
  <c r="AR164" i="18" s="1"/>
  <c r="AR32" i="18"/>
  <c r="AR162" i="18" s="1"/>
  <c r="AR33" i="18"/>
  <c r="AR163" i="18" s="1"/>
  <c r="AR28" i="18"/>
  <c r="AR158" i="18" s="1"/>
  <c r="AR31" i="18"/>
  <c r="AR161" i="18" s="1"/>
  <c r="AI146" i="18"/>
  <c r="AI226" i="18" s="1"/>
  <c r="AM143" i="18"/>
  <c r="AM223" i="18" s="1"/>
  <c r="AG110" i="17"/>
  <c r="AI145" i="17" s="1"/>
  <c r="AI196" i="17" s="1"/>
  <c r="AK110" i="17"/>
  <c r="AU149" i="17" s="1"/>
  <c r="AU200" i="17" s="1"/>
  <c r="AN150" i="18"/>
  <c r="AN230" i="18" s="1"/>
  <c r="AF188" i="18"/>
  <c r="AF104" i="17"/>
  <c r="AF157" i="17" s="1"/>
  <c r="AF159" i="17" s="1"/>
  <c r="AN181" i="17" s="1"/>
  <c r="BF10" i="10"/>
  <c r="BE11" i="10"/>
  <c r="BE30" i="10" s="1"/>
  <c r="BE31" i="10" s="1"/>
  <c r="BE45" i="10" s="1"/>
  <c r="BE46" i="10" s="1"/>
  <c r="AX197" i="15"/>
  <c r="AX198" i="15"/>
  <c r="AZ205" i="19"/>
  <c r="AZ46" i="19"/>
  <c r="AZ54" i="19"/>
  <c r="AZ213" i="19"/>
  <c r="AZ198" i="18"/>
  <c r="AZ62" i="18"/>
  <c r="BA16" i="17"/>
  <c r="BA15" i="17"/>
  <c r="BA24" i="17"/>
  <c r="BA23" i="17"/>
  <c r="BA22" i="17"/>
  <c r="BA20" i="17"/>
  <c r="BA21" i="17"/>
  <c r="BA19" i="17"/>
  <c r="BA18" i="17"/>
  <c r="BA17" i="17"/>
  <c r="AR13" i="14"/>
  <c r="AR15" i="14" s="1"/>
  <c r="AR26" i="14" s="1"/>
  <c r="AR28" i="14" s="1"/>
  <c r="AR43" i="14"/>
  <c r="AR45" i="14" s="1"/>
  <c r="AR50" i="14" s="1"/>
  <c r="AR52" i="14" s="1"/>
  <c r="AR57" i="14" s="1"/>
  <c r="AZ165" i="17"/>
  <c r="AZ35" i="17"/>
  <c r="AZ42" i="17"/>
  <c r="AZ172" i="17"/>
  <c r="AY119" i="18"/>
  <c r="AY74" i="18"/>
  <c r="AY87" i="18" s="1"/>
  <c r="AY100" i="18" s="1"/>
  <c r="AY132" i="18" s="1"/>
  <c r="AY116" i="17"/>
  <c r="AY48" i="17"/>
  <c r="AY61" i="17" s="1"/>
  <c r="AY74" i="17" s="1"/>
  <c r="AY129" i="17" s="1"/>
  <c r="AZ162" i="15"/>
  <c r="AZ46" i="15"/>
  <c r="AZ170" i="15"/>
  <c r="AZ184" i="15" s="1"/>
  <c r="AZ54" i="15"/>
  <c r="AY118" i="18"/>
  <c r="AY73" i="18"/>
  <c r="AY86" i="18" s="1"/>
  <c r="AY99" i="18" s="1"/>
  <c r="AY131" i="18" s="1"/>
  <c r="AY126" i="18"/>
  <c r="AY81" i="18"/>
  <c r="AY94" i="18" s="1"/>
  <c r="AY107" i="18" s="1"/>
  <c r="AY139" i="18" s="1"/>
  <c r="AZ44" i="19"/>
  <c r="AZ203" i="19"/>
  <c r="AY122" i="17"/>
  <c r="AY54" i="17"/>
  <c r="AY67" i="17" s="1"/>
  <c r="AY80" i="17" s="1"/>
  <c r="AY135" i="17" s="1"/>
  <c r="AZ207" i="19"/>
  <c r="AZ48" i="19"/>
  <c r="AZ43" i="19"/>
  <c r="AZ202" i="19"/>
  <c r="AZ66" i="18"/>
  <c r="AZ202" i="18"/>
  <c r="AY105" i="15"/>
  <c r="AY60" i="15"/>
  <c r="AY73" i="15" s="1"/>
  <c r="AY86" i="15" s="1"/>
  <c r="AY118" i="15" s="1"/>
  <c r="BB39" i="10"/>
  <c r="BB38" i="10"/>
  <c r="AY114" i="19"/>
  <c r="AY66" i="19"/>
  <c r="AY79" i="19" s="1"/>
  <c r="AU182" i="15"/>
  <c r="AV182" i="15"/>
  <c r="AW182" i="15"/>
  <c r="AY111" i="15"/>
  <c r="AY137" i="15" s="1"/>
  <c r="AY66" i="15"/>
  <c r="AY79" i="15" s="1"/>
  <c r="AY92" i="15" s="1"/>
  <c r="AY124" i="15" s="1"/>
  <c r="AY118" i="17"/>
  <c r="AY50" i="17"/>
  <c r="AY63" i="17" s="1"/>
  <c r="AY76" i="17" s="1"/>
  <c r="AY131" i="17" s="1"/>
  <c r="AZ164" i="17"/>
  <c r="AZ34" i="17"/>
  <c r="BA14" i="17"/>
  <c r="AZ162" i="17"/>
  <c r="AZ32" i="17"/>
  <c r="AZ163" i="15"/>
  <c r="AZ47" i="15"/>
  <c r="AZ159" i="15"/>
  <c r="AZ43" i="15"/>
  <c r="BD20" i="10"/>
  <c r="BD196" i="19"/>
  <c r="BD10" i="19"/>
  <c r="BD98" i="19"/>
  <c r="BD112" i="18"/>
  <c r="BD184" i="18"/>
  <c r="BD10" i="18"/>
  <c r="BD10" i="17"/>
  <c r="BD152" i="15"/>
  <c r="BD109" i="17"/>
  <c r="BD155" i="17"/>
  <c r="BD98" i="15"/>
  <c r="BD10" i="15"/>
  <c r="BE19" i="10"/>
  <c r="AY108" i="19"/>
  <c r="AY60" i="19"/>
  <c r="AY73" i="19" s="1"/>
  <c r="AZ47" i="19"/>
  <c r="AZ206" i="19"/>
  <c r="AZ204" i="19"/>
  <c r="AZ45" i="19"/>
  <c r="AY121" i="17"/>
  <c r="AY53" i="17"/>
  <c r="AY66" i="17" s="1"/>
  <c r="AY79" i="17" s="1"/>
  <c r="AY134" i="17" s="1"/>
  <c r="AZ204" i="18"/>
  <c r="AZ68" i="18"/>
  <c r="BA16" i="18"/>
  <c r="BA15" i="18"/>
  <c r="BA14" i="18"/>
  <c r="BA13" i="18"/>
  <c r="BA23" i="18"/>
  <c r="BA24" i="18"/>
  <c r="BA22" i="18"/>
  <c r="BA18" i="18"/>
  <c r="BA21" i="18"/>
  <c r="BA20" i="18"/>
  <c r="BA19" i="18"/>
  <c r="BA17" i="18"/>
  <c r="BB97" i="19"/>
  <c r="BB11" i="19"/>
  <c r="BB111" i="18"/>
  <c r="BB11" i="18"/>
  <c r="BB11" i="17"/>
  <c r="BB108" i="17"/>
  <c r="BB97" i="15"/>
  <c r="BB11" i="15"/>
  <c r="BB21" i="14"/>
  <c r="BB23" i="14" s="1"/>
  <c r="AU136" i="15"/>
  <c r="AU196" i="15" s="1"/>
  <c r="AV136" i="15"/>
  <c r="AV196" i="15" s="1"/>
  <c r="AY115" i="18"/>
  <c r="AY70" i="18"/>
  <c r="AY83" i="18" s="1"/>
  <c r="AY96" i="18" s="1"/>
  <c r="AY128" i="18" s="1"/>
  <c r="AZ166" i="17"/>
  <c r="AZ36" i="17"/>
  <c r="AZ163" i="17"/>
  <c r="AZ33" i="17"/>
  <c r="AZ4" i="14"/>
  <c r="AZ4" i="25"/>
  <c r="AZ4" i="21"/>
  <c r="AZ4" i="23"/>
  <c r="AZ4" i="19"/>
  <c r="AZ4" i="18"/>
  <c r="AZ4" i="17"/>
  <c r="AZ4" i="12"/>
  <c r="AZ4" i="15"/>
  <c r="AY111" i="19"/>
  <c r="AY63" i="19"/>
  <c r="AY76" i="19" s="1"/>
  <c r="AY109" i="15"/>
  <c r="AY64" i="15"/>
  <c r="AY77" i="15" s="1"/>
  <c r="AY90" i="15" s="1"/>
  <c r="AY122" i="15" s="1"/>
  <c r="AZ164" i="15"/>
  <c r="AZ48" i="15"/>
  <c r="AZ160" i="15"/>
  <c r="AZ44" i="15"/>
  <c r="AY110" i="19"/>
  <c r="AY62" i="19"/>
  <c r="AY75" i="19" s="1"/>
  <c r="AY123" i="17"/>
  <c r="AY55" i="17"/>
  <c r="AY68" i="17" s="1"/>
  <c r="AY81" i="17" s="1"/>
  <c r="AY136" i="17" s="1"/>
  <c r="AY117" i="18"/>
  <c r="AY72" i="18"/>
  <c r="AY85" i="18" s="1"/>
  <c r="AY98" i="18" s="1"/>
  <c r="AY130" i="18" s="1"/>
  <c r="AY114" i="17"/>
  <c r="AY46" i="17"/>
  <c r="AY59" i="17" s="1"/>
  <c r="AY72" i="17" s="1"/>
  <c r="AY127" i="17" s="1"/>
  <c r="AZ49" i="19"/>
  <c r="AZ208" i="19"/>
  <c r="AZ61" i="18"/>
  <c r="AZ197" i="18"/>
  <c r="AZ194" i="18"/>
  <c r="AZ58" i="18"/>
  <c r="AY115" i="19"/>
  <c r="AY67" i="19"/>
  <c r="AY80" i="19" s="1"/>
  <c r="BB22" i="25"/>
  <c r="BB20" i="25"/>
  <c r="BB40" i="25"/>
  <c r="BB21" i="25"/>
  <c r="BB19" i="25"/>
  <c r="BB39" i="25"/>
  <c r="BA307" i="19"/>
  <c r="BA238" i="18"/>
  <c r="BA207" i="17"/>
  <c r="BA204" i="15"/>
  <c r="BA64" i="14"/>
  <c r="BA41" i="10"/>
  <c r="BA33" i="14"/>
  <c r="AY119" i="17"/>
  <c r="AY51" i="17"/>
  <c r="AY64" i="17" s="1"/>
  <c r="AY77" i="17" s="1"/>
  <c r="AY132" i="17" s="1"/>
  <c r="AU12" i="25"/>
  <c r="AU25" i="25" s="1"/>
  <c r="AY58" i="15"/>
  <c r="AY71" i="15" s="1"/>
  <c r="AY84" i="15" s="1"/>
  <c r="AY116" i="15" s="1"/>
  <c r="AY103" i="15"/>
  <c r="AZ167" i="17"/>
  <c r="AZ37" i="17"/>
  <c r="AX136" i="15"/>
  <c r="AX196" i="15" s="1"/>
  <c r="AZ165" i="15"/>
  <c r="AZ49" i="15"/>
  <c r="AZ161" i="15"/>
  <c r="AZ45" i="15"/>
  <c r="AZ209" i="19"/>
  <c r="AZ50" i="19"/>
  <c r="AZ196" i="18"/>
  <c r="AZ60" i="18"/>
  <c r="AZ193" i="18"/>
  <c r="AZ57" i="18"/>
  <c r="BA16" i="19"/>
  <c r="BA15" i="19"/>
  <c r="BA14" i="19"/>
  <c r="BA13" i="19"/>
  <c r="BA24" i="19"/>
  <c r="BA22" i="19"/>
  <c r="BA21" i="19"/>
  <c r="BA23" i="19"/>
  <c r="BA20" i="19"/>
  <c r="BA19" i="19"/>
  <c r="BA17" i="19"/>
  <c r="BA18" i="19"/>
  <c r="AY106" i="19"/>
  <c r="AY58" i="19"/>
  <c r="AY71" i="19" s="1"/>
  <c r="AZ169" i="17"/>
  <c r="AZ39" i="17"/>
  <c r="AY112" i="17"/>
  <c r="AY44" i="17"/>
  <c r="AY57" i="17" s="1"/>
  <c r="AY70" i="17" s="1"/>
  <c r="AY125" i="17" s="1"/>
  <c r="AZ166" i="15"/>
  <c r="AZ50" i="15"/>
  <c r="AY115" i="17"/>
  <c r="AY47" i="17"/>
  <c r="AY60" i="17" s="1"/>
  <c r="AY73" i="17" s="1"/>
  <c r="AY128" i="17" s="1"/>
  <c r="AZ212" i="19"/>
  <c r="AZ53" i="19"/>
  <c r="AY104" i="19"/>
  <c r="AY56" i="19"/>
  <c r="AY69" i="19" s="1"/>
  <c r="AY102" i="15"/>
  <c r="AY57" i="15"/>
  <c r="AY70" i="15" s="1"/>
  <c r="AY83" i="15" s="1"/>
  <c r="AY115" i="15" s="1"/>
  <c r="AZ199" i="18"/>
  <c r="AZ63" i="18"/>
  <c r="AZ67" i="18"/>
  <c r="AZ203" i="18"/>
  <c r="AY107" i="19"/>
  <c r="AY59" i="19"/>
  <c r="AY72" i="19" s="1"/>
  <c r="AY112" i="15"/>
  <c r="AY138" i="15" s="1"/>
  <c r="AY67" i="15"/>
  <c r="AY80" i="15" s="1"/>
  <c r="AY93" i="15" s="1"/>
  <c r="AY125" i="15" s="1"/>
  <c r="AZ38" i="17"/>
  <c r="AZ168" i="17"/>
  <c r="AY121" i="18"/>
  <c r="AY76" i="18"/>
  <c r="AY89" i="18" s="1"/>
  <c r="AY102" i="18" s="1"/>
  <c r="AY134" i="18" s="1"/>
  <c r="AY110" i="15"/>
  <c r="AY136" i="15" s="1"/>
  <c r="AY65" i="15"/>
  <c r="AY78" i="15" s="1"/>
  <c r="AY91" i="15" s="1"/>
  <c r="AY123" i="15" s="1"/>
  <c r="AZ167" i="15"/>
  <c r="AZ51" i="15"/>
  <c r="AY125" i="18"/>
  <c r="AY80" i="18"/>
  <c r="AY93" i="18" s="1"/>
  <c r="AY106" i="18" s="1"/>
  <c r="AY138" i="18" s="1"/>
  <c r="AY108" i="15"/>
  <c r="AY63" i="15"/>
  <c r="AY76" i="15" s="1"/>
  <c r="AY89" i="15" s="1"/>
  <c r="AY121" i="15" s="1"/>
  <c r="AZ51" i="19"/>
  <c r="AZ210" i="19"/>
  <c r="AZ201" i="18"/>
  <c r="AZ65" i="18"/>
  <c r="AZ59" i="18"/>
  <c r="AZ195" i="18"/>
  <c r="BA16" i="15"/>
  <c r="BA15" i="15"/>
  <c r="BA14" i="15"/>
  <c r="BA13" i="15"/>
  <c r="BA24" i="15"/>
  <c r="BA23" i="15"/>
  <c r="BA22" i="15"/>
  <c r="BA21" i="15"/>
  <c r="BA20" i="15"/>
  <c r="BA19" i="15"/>
  <c r="BA18" i="15"/>
  <c r="BA17" i="15"/>
  <c r="AY120" i="17"/>
  <c r="AY52" i="17"/>
  <c r="AY65" i="17" s="1"/>
  <c r="AY78" i="17" s="1"/>
  <c r="AY133" i="17" s="1"/>
  <c r="AY120" i="18"/>
  <c r="AY75" i="18"/>
  <c r="AY88" i="18" s="1"/>
  <c r="AY101" i="18" s="1"/>
  <c r="AY133" i="18" s="1"/>
  <c r="AS56" i="14"/>
  <c r="AS59" i="14" s="1"/>
  <c r="AS65" i="14" s="1"/>
  <c r="AS67" i="14" s="1"/>
  <c r="AS155" i="15" s="1"/>
  <c r="AS34" i="14"/>
  <c r="AS36" i="14" s="1"/>
  <c r="AZ170" i="17"/>
  <c r="AZ40" i="17"/>
  <c r="AY182" i="15"/>
  <c r="AY117" i="17"/>
  <c r="AY49" i="17"/>
  <c r="AY62" i="17" s="1"/>
  <c r="AY75" i="17" s="1"/>
  <c r="AY130" i="17" s="1"/>
  <c r="AY113" i="17"/>
  <c r="AY45" i="17"/>
  <c r="AY58" i="17" s="1"/>
  <c r="AY71" i="17" s="1"/>
  <c r="AY126" i="17" s="1"/>
  <c r="BA13" i="17"/>
  <c r="AZ161" i="17"/>
  <c r="AZ31" i="17"/>
  <c r="AZ168" i="15"/>
  <c r="AZ182" i="15" s="1"/>
  <c r="AZ52" i="15"/>
  <c r="AY116" i="18"/>
  <c r="AY71" i="18"/>
  <c r="AY84" i="18" s="1"/>
  <c r="AY97" i="18" s="1"/>
  <c r="AY129" i="18" s="1"/>
  <c r="BC3" i="23"/>
  <c r="BC3" i="25"/>
  <c r="BC3" i="19"/>
  <c r="BC3" i="21"/>
  <c r="BC3" i="18"/>
  <c r="BC3" i="17"/>
  <c r="BC3" i="14"/>
  <c r="BC3" i="15"/>
  <c r="BC3" i="12"/>
  <c r="BC51" i="10"/>
  <c r="BC24" i="10"/>
  <c r="BC52" i="10" s="1"/>
  <c r="BC21" i="10"/>
  <c r="BC36" i="10"/>
  <c r="AY105" i="19"/>
  <c r="AY57" i="19"/>
  <c r="AY70" i="19" s="1"/>
  <c r="AY107" i="15"/>
  <c r="AY62" i="15"/>
  <c r="AY75" i="15" s="1"/>
  <c r="AY88" i="15" s="1"/>
  <c r="AY120" i="15" s="1"/>
  <c r="AZ211" i="19"/>
  <c r="AZ52" i="19"/>
  <c r="AY124" i="18"/>
  <c r="AY79" i="18"/>
  <c r="AY92" i="18" s="1"/>
  <c r="AY105" i="18" s="1"/>
  <c r="AY137" i="18" s="1"/>
  <c r="AY109" i="19"/>
  <c r="AY61" i="19"/>
  <c r="AY74" i="19" s="1"/>
  <c r="AY106" i="15"/>
  <c r="AY61" i="15"/>
  <c r="AY74" i="15" s="1"/>
  <c r="AY87" i="15" s="1"/>
  <c r="AY119" i="15" s="1"/>
  <c r="AZ200" i="18"/>
  <c r="AZ64" i="18"/>
  <c r="AY123" i="18"/>
  <c r="AY78" i="18"/>
  <c r="AY91" i="18" s="1"/>
  <c r="AY104" i="18" s="1"/>
  <c r="AY136" i="18" s="1"/>
  <c r="AY101" i="15"/>
  <c r="AY56" i="15"/>
  <c r="AY69" i="15" s="1"/>
  <c r="AY82" i="15" s="1"/>
  <c r="AY114" i="15" s="1"/>
  <c r="AQ5" i="15"/>
  <c r="AQ5" i="25"/>
  <c r="AQ5" i="21"/>
  <c r="AQ5" i="23"/>
  <c r="AQ5" i="19"/>
  <c r="AQ5" i="18"/>
  <c r="AQ5" i="17"/>
  <c r="AP54" i="10"/>
  <c r="AQ5" i="14"/>
  <c r="AQ5" i="12"/>
  <c r="AY104" i="15"/>
  <c r="AY59" i="15"/>
  <c r="AY72" i="15" s="1"/>
  <c r="AY85" i="15" s="1"/>
  <c r="AY117" i="15" s="1"/>
  <c r="AY122" i="18"/>
  <c r="AY77" i="18"/>
  <c r="AY90" i="18" s="1"/>
  <c r="AY103" i="18" s="1"/>
  <c r="AY135" i="18" s="1"/>
  <c r="AY112" i="19"/>
  <c r="AY64" i="19"/>
  <c r="AY77" i="19" s="1"/>
  <c r="AX182" i="15"/>
  <c r="AT99" i="15"/>
  <c r="AT154" i="15"/>
  <c r="AT157" i="15" s="1"/>
  <c r="AT11" i="21"/>
  <c r="AT8" i="23"/>
  <c r="AZ171" i="17"/>
  <c r="AZ41" i="17"/>
  <c r="AY113" i="19"/>
  <c r="AY65" i="19"/>
  <c r="AY78" i="19" s="1"/>
  <c r="AZ169" i="15"/>
  <c r="AZ183" i="15" s="1"/>
  <c r="AZ53" i="15"/>
  <c r="AE176" i="17"/>
  <c r="AJ176" i="17"/>
  <c r="AH140" i="17"/>
  <c r="AH191" i="17" s="1"/>
  <c r="AE140" i="17"/>
  <c r="AE191" i="17" s="1"/>
  <c r="AH139" i="17" l="1"/>
  <c r="AH190" i="17" s="1"/>
  <c r="AJ150" i="18"/>
  <c r="AJ230" i="18" s="1"/>
  <c r="AI12" i="23"/>
  <c r="AK150" i="18"/>
  <c r="AK230" i="18" s="1"/>
  <c r="AL176" i="17"/>
  <c r="AI176" i="17"/>
  <c r="AP148" i="18"/>
  <c r="AP228" i="18" s="1"/>
  <c r="AA188" i="18"/>
  <c r="AV152" i="18"/>
  <c r="AV232" i="18" s="1"/>
  <c r="AC176" i="17"/>
  <c r="AB176" i="17"/>
  <c r="AE139" i="17"/>
  <c r="AE190" i="17" s="1"/>
  <c r="AJ148" i="18"/>
  <c r="AJ228" i="18" s="1"/>
  <c r="AO148" i="18"/>
  <c r="AO228" i="18" s="1"/>
  <c r="AL139" i="17"/>
  <c r="AL190" i="17" s="1"/>
  <c r="AF176" i="17"/>
  <c r="AB139" i="17"/>
  <c r="AB190" i="17" s="1"/>
  <c r="AM148" i="18"/>
  <c r="AM228" i="18" s="1"/>
  <c r="AQ148" i="18"/>
  <c r="AQ228" i="18" s="1"/>
  <c r="AA176" i="17"/>
  <c r="AK176" i="17"/>
  <c r="AC139" i="17"/>
  <c r="AC190" i="17" s="1"/>
  <c r="AF139" i="17"/>
  <c r="AF190" i="17" s="1"/>
  <c r="AH148" i="18"/>
  <c r="AH228" i="18" s="1"/>
  <c r="AG148" i="18"/>
  <c r="AG228" i="18" s="1"/>
  <c r="AG176" i="17"/>
  <c r="AG139" i="17"/>
  <c r="AG190" i="17" s="1"/>
  <c r="AJ139" i="17"/>
  <c r="AJ190" i="17" s="1"/>
  <c r="AI148" i="18"/>
  <c r="AI228" i="18" s="1"/>
  <c r="AN148" i="18"/>
  <c r="AN228" i="18" s="1"/>
  <c r="AD176" i="17"/>
  <c r="AK139" i="17"/>
  <c r="AK190" i="17" s="1"/>
  <c r="AK148" i="18"/>
  <c r="AK228" i="18" s="1"/>
  <c r="AU152" i="18"/>
  <c r="AU232" i="18" s="1"/>
  <c r="AA189" i="18"/>
  <c r="AA139" i="17"/>
  <c r="AA190" i="17" s="1"/>
  <c r="AL148" i="18"/>
  <c r="AL228" i="18" s="1"/>
  <c r="AI139" i="17"/>
  <c r="AI190" i="17" s="1"/>
  <c r="AG140" i="17"/>
  <c r="AG191" i="17" s="1"/>
  <c r="AB90" i="17"/>
  <c r="AB92" i="17" s="1"/>
  <c r="AB98" i="17" s="1"/>
  <c r="AB101" i="17" s="1"/>
  <c r="AB189" i="18" s="1"/>
  <c r="AL140" i="17"/>
  <c r="AL191" i="17" s="1"/>
  <c r="AF140" i="17"/>
  <c r="AF191" i="17" s="1"/>
  <c r="AD140" i="17"/>
  <c r="AD191" i="17" s="1"/>
  <c r="AK140" i="17"/>
  <c r="AK191" i="17" s="1"/>
  <c r="AB156" i="17"/>
  <c r="AB140" i="17"/>
  <c r="AB191" i="17" s="1"/>
  <c r="AJ140" i="17"/>
  <c r="AJ191" i="17" s="1"/>
  <c r="AC140" i="17"/>
  <c r="AC191" i="17" s="1"/>
  <c r="AM140" i="17"/>
  <c r="AM191" i="17" s="1"/>
  <c r="AA12" i="23"/>
  <c r="AA187" i="18"/>
  <c r="AI90" i="17"/>
  <c r="AI92" i="17" s="1"/>
  <c r="AI98" i="17" s="1"/>
  <c r="AI101" i="17" s="1"/>
  <c r="AI189" i="18" s="1"/>
  <c r="AY88" i="19"/>
  <c r="AY123" i="19" s="1"/>
  <c r="AY89" i="19"/>
  <c r="AY124" i="19" s="1"/>
  <c r="AY86" i="19"/>
  <c r="AY121" i="19" s="1"/>
  <c r="AY92" i="19"/>
  <c r="AY127" i="19" s="1"/>
  <c r="AY85" i="19"/>
  <c r="AY120" i="19" s="1"/>
  <c r="AY82" i="19"/>
  <c r="AY117" i="19" s="1"/>
  <c r="AY83" i="19"/>
  <c r="AY118" i="19" s="1"/>
  <c r="AY93" i="19"/>
  <c r="AY128" i="19" s="1"/>
  <c r="AY90" i="19"/>
  <c r="AY125" i="19" s="1"/>
  <c r="AI110" i="17"/>
  <c r="AK147" i="17" s="1"/>
  <c r="AK198" i="17" s="1"/>
  <c r="AK20" i="25"/>
  <c r="AY87" i="19"/>
  <c r="AY122" i="19" s="1"/>
  <c r="AY91" i="19"/>
  <c r="AY126" i="19" s="1"/>
  <c r="AY84" i="19"/>
  <c r="AY119" i="19" s="1"/>
  <c r="AG138" i="17"/>
  <c r="AG189" i="17" s="1"/>
  <c r="AK143" i="18"/>
  <c r="AK223" i="18" s="1"/>
  <c r="AD138" i="17"/>
  <c r="AD189" i="17" s="1"/>
  <c r="AJ138" i="17"/>
  <c r="AJ189" i="17" s="1"/>
  <c r="AK138" i="17"/>
  <c r="AK189" i="17" s="1"/>
  <c r="AE143" i="18"/>
  <c r="AE223" i="18" s="1"/>
  <c r="AA138" i="17"/>
  <c r="AA189" i="17" s="1"/>
  <c r="AH143" i="18"/>
  <c r="AH223" i="18" s="1"/>
  <c r="AH138" i="17"/>
  <c r="AH189" i="17" s="1"/>
  <c r="AC138" i="17"/>
  <c r="AC189" i="17" s="1"/>
  <c r="AJ143" i="18"/>
  <c r="AJ223" i="18" s="1"/>
  <c r="AF138" i="17"/>
  <c r="AF189" i="17" s="1"/>
  <c r="AL143" i="18"/>
  <c r="AL223" i="18" s="1"/>
  <c r="AB143" i="18"/>
  <c r="AB223" i="18" s="1"/>
  <c r="AE9" i="23"/>
  <c r="AB138" i="17"/>
  <c r="AB189" i="17" s="1"/>
  <c r="AF143" i="18"/>
  <c r="AF223" i="18" s="1"/>
  <c r="AC143" i="18"/>
  <c r="AC223" i="18" s="1"/>
  <c r="AI138" i="17"/>
  <c r="AI189" i="17" s="1"/>
  <c r="AI143" i="18"/>
  <c r="AI223" i="18" s="1"/>
  <c r="AG143" i="18"/>
  <c r="AG223" i="18" s="1"/>
  <c r="AE138" i="17"/>
  <c r="AE189" i="17" s="1"/>
  <c r="AR152" i="18"/>
  <c r="AR232" i="18" s="1"/>
  <c r="AS152" i="18"/>
  <c r="AS232" i="18" s="1"/>
  <c r="AL152" i="18"/>
  <c r="AL232" i="18" s="1"/>
  <c r="AO152" i="18"/>
  <c r="AO232" i="18" s="1"/>
  <c r="AN152" i="18"/>
  <c r="AN232" i="18" s="1"/>
  <c r="AT152" i="18"/>
  <c r="AT232" i="18" s="1"/>
  <c r="AE90" i="17"/>
  <c r="AE92" i="17" s="1"/>
  <c r="AE98" i="17" s="1"/>
  <c r="AE101" i="17" s="1"/>
  <c r="AK152" i="18"/>
  <c r="AK232" i="18" s="1"/>
  <c r="AQ152" i="18"/>
  <c r="AQ232" i="18" s="1"/>
  <c r="AP152" i="18"/>
  <c r="AP232" i="18" s="1"/>
  <c r="AP150" i="18"/>
  <c r="AP230" i="18" s="1"/>
  <c r="AE110" i="17"/>
  <c r="AG143" i="17" s="1"/>
  <c r="AG194" i="17" s="1"/>
  <c r="AO146" i="18"/>
  <c r="AO226" i="18" s="1"/>
  <c r="AR150" i="18"/>
  <c r="AR230" i="18" s="1"/>
  <c r="AE144" i="18"/>
  <c r="AE224" i="18" s="1"/>
  <c r="AG146" i="18"/>
  <c r="AG226" i="18" s="1"/>
  <c r="AS150" i="18"/>
  <c r="AS230" i="18" s="1"/>
  <c r="AE146" i="18"/>
  <c r="AE226" i="18" s="1"/>
  <c r="AL150" i="18"/>
  <c r="AL230" i="18" s="1"/>
  <c r="AN146" i="18"/>
  <c r="AN226" i="18" s="1"/>
  <c r="AM150" i="18"/>
  <c r="AM230" i="18" s="1"/>
  <c r="AO150" i="18"/>
  <c r="AO230" i="18" s="1"/>
  <c r="AL146" i="18"/>
  <c r="AL226" i="18" s="1"/>
  <c r="AP146" i="18"/>
  <c r="AP226" i="18" s="1"/>
  <c r="AQ150" i="18"/>
  <c r="AQ230" i="18" s="1"/>
  <c r="AT150" i="18"/>
  <c r="AT230" i="18" s="1"/>
  <c r="AK146" i="18"/>
  <c r="AK226" i="18" s="1"/>
  <c r="AF146" i="18"/>
  <c r="AF226" i="18" s="1"/>
  <c r="AH144" i="18"/>
  <c r="AH224" i="18" s="1"/>
  <c r="AM144" i="18"/>
  <c r="AM224" i="18" s="1"/>
  <c r="AJ144" i="18"/>
  <c r="AJ224" i="18" s="1"/>
  <c r="AC90" i="17"/>
  <c r="AC92" i="17" s="1"/>
  <c r="AC98" i="17" s="1"/>
  <c r="AC188" i="18" s="1"/>
  <c r="AC110" i="17"/>
  <c r="AD141" i="17" s="1"/>
  <c r="AD192" i="17" s="1"/>
  <c r="AH88" i="17"/>
  <c r="AH90" i="17" s="1"/>
  <c r="AH92" i="17" s="1"/>
  <c r="AH98" i="17" s="1"/>
  <c r="AH101" i="17" s="1"/>
  <c r="AH189" i="18" s="1"/>
  <c r="AH187" i="18"/>
  <c r="AF144" i="18"/>
  <c r="AF224" i="18" s="1"/>
  <c r="AG144" i="18"/>
  <c r="AG224" i="18" s="1"/>
  <c r="AC144" i="18"/>
  <c r="AC224" i="18" s="1"/>
  <c r="AK144" i="18"/>
  <c r="AK224" i="18" s="1"/>
  <c r="AI144" i="18"/>
  <c r="AI224" i="18" s="1"/>
  <c r="AD144" i="18"/>
  <c r="AD224" i="18" s="1"/>
  <c r="AL144" i="18"/>
  <c r="AL224" i="18" s="1"/>
  <c r="AD13" i="21"/>
  <c r="AD9" i="23"/>
  <c r="AD209" i="15"/>
  <c r="AD213" i="15" s="1"/>
  <c r="AF191" i="18"/>
  <c r="AL213" i="18" s="1"/>
  <c r="Z104" i="17"/>
  <c r="Z157" i="17" s="1"/>
  <c r="Z159" i="17" s="1"/>
  <c r="AE175" i="17" s="1"/>
  <c r="Z188" i="18"/>
  <c r="AJ101" i="17"/>
  <c r="Z12" i="23"/>
  <c r="Z187" i="18"/>
  <c r="AQ34" i="18"/>
  <c r="AQ164" i="18" s="1"/>
  <c r="AQ36" i="18"/>
  <c r="AQ166" i="18" s="1"/>
  <c r="AQ37" i="18"/>
  <c r="AQ167" i="18" s="1"/>
  <c r="AQ31" i="18"/>
  <c r="AQ161" i="18" s="1"/>
  <c r="AQ32" i="18"/>
  <c r="AQ162" i="18" s="1"/>
  <c r="AQ30" i="18"/>
  <c r="AQ160" i="18" s="1"/>
  <c r="AQ38" i="18"/>
  <c r="AQ168" i="18" s="1"/>
  <c r="AQ27" i="18"/>
  <c r="AQ157" i="18" s="1"/>
  <c r="AQ29" i="18"/>
  <c r="AQ159" i="18" s="1"/>
  <c r="AQ28" i="18"/>
  <c r="AQ158" i="18" s="1"/>
  <c r="AQ33" i="18"/>
  <c r="AQ163" i="18" s="1"/>
  <c r="AQ35" i="18"/>
  <c r="AQ165" i="18" s="1"/>
  <c r="AS147" i="17"/>
  <c r="AS198" i="17" s="1"/>
  <c r="AM147" i="17"/>
  <c r="AM198" i="17" s="1"/>
  <c r="AR147" i="17"/>
  <c r="AR198" i="17" s="1"/>
  <c r="AQ147" i="17"/>
  <c r="AQ198" i="17" s="1"/>
  <c r="AO147" i="17"/>
  <c r="AO198" i="17" s="1"/>
  <c r="AK149" i="17"/>
  <c r="AK200" i="17" s="1"/>
  <c r="AN149" i="17"/>
  <c r="AN200" i="17" s="1"/>
  <c r="AN147" i="17"/>
  <c r="AN198" i="17" s="1"/>
  <c r="AT149" i="17"/>
  <c r="AT200" i="17" s="1"/>
  <c r="AR149" i="17"/>
  <c r="AR200" i="17" s="1"/>
  <c r="AG188" i="18"/>
  <c r="AP149" i="17"/>
  <c r="AP200" i="17" s="1"/>
  <c r="AM149" i="17"/>
  <c r="AM200" i="17" s="1"/>
  <c r="AJ147" i="17"/>
  <c r="AJ198" i="17" s="1"/>
  <c r="AQ149" i="17"/>
  <c r="AQ200" i="17" s="1"/>
  <c r="AL149" i="17"/>
  <c r="AL200" i="17" s="1"/>
  <c r="AI147" i="17"/>
  <c r="AI198" i="17" s="1"/>
  <c r="AO149" i="17"/>
  <c r="AO200" i="17" s="1"/>
  <c r="AT147" i="17"/>
  <c r="AT198" i="17" s="1"/>
  <c r="AL147" i="17"/>
  <c r="AL198" i="17" s="1"/>
  <c r="AP147" i="17"/>
  <c r="AP198" i="17" s="1"/>
  <c r="AV149" i="17"/>
  <c r="AV200" i="17" s="1"/>
  <c r="AS149" i="17"/>
  <c r="AS200" i="17" s="1"/>
  <c r="AK188" i="18"/>
  <c r="AP145" i="17"/>
  <c r="AP196" i="17" s="1"/>
  <c r="AR145" i="17"/>
  <c r="AR196" i="17" s="1"/>
  <c r="AH145" i="17"/>
  <c r="AH196" i="17" s="1"/>
  <c r="AJ145" i="17"/>
  <c r="AJ196" i="17" s="1"/>
  <c r="AL181" i="17"/>
  <c r="AQ145" i="17"/>
  <c r="AQ196" i="17" s="1"/>
  <c r="AO145" i="17"/>
  <c r="AO196" i="17" s="1"/>
  <c r="AG145" i="17"/>
  <c r="AG196" i="17" s="1"/>
  <c r="AK145" i="17"/>
  <c r="AK196" i="17" s="1"/>
  <c r="AI181" i="17"/>
  <c r="AN145" i="17"/>
  <c r="AN196" i="17" s="1"/>
  <c r="AM145" i="17"/>
  <c r="AM196" i="17" s="1"/>
  <c r="AL145" i="17"/>
  <c r="AL196" i="17" s="1"/>
  <c r="AH181" i="17"/>
  <c r="AO181" i="17"/>
  <c r="AP181" i="17"/>
  <c r="AG181" i="17"/>
  <c r="AQ181" i="17"/>
  <c r="AJ181" i="17"/>
  <c r="AF181" i="17"/>
  <c r="AK181" i="17"/>
  <c r="AM181" i="17"/>
  <c r="BG10" i="10"/>
  <c r="BF11" i="10"/>
  <c r="BF30" i="10" s="1"/>
  <c r="BF31" i="10" s="1"/>
  <c r="BF45" i="10" s="1"/>
  <c r="BF46" i="10" s="1"/>
  <c r="AY198" i="15"/>
  <c r="AY196" i="15"/>
  <c r="AT181" i="15"/>
  <c r="AU181" i="15"/>
  <c r="AV181" i="15"/>
  <c r="AW181" i="15"/>
  <c r="AX181" i="15"/>
  <c r="AY181" i="15"/>
  <c r="AW135" i="15"/>
  <c r="AW195" i="15" s="1"/>
  <c r="AT135" i="15"/>
  <c r="AT195" i="15" s="1"/>
  <c r="AV135" i="15"/>
  <c r="AV195" i="15" s="1"/>
  <c r="AU135" i="15"/>
  <c r="AU195" i="15" s="1"/>
  <c r="BA164" i="15"/>
  <c r="BA48" i="15"/>
  <c r="BA160" i="15"/>
  <c r="BA44" i="15"/>
  <c r="AZ181" i="15"/>
  <c r="BA206" i="19"/>
  <c r="BA47" i="19"/>
  <c r="BA203" i="19"/>
  <c r="BA44" i="19"/>
  <c r="BA4" i="14"/>
  <c r="BA4" i="21"/>
  <c r="BA4" i="23"/>
  <c r="BA4" i="25"/>
  <c r="BA4" i="19"/>
  <c r="BA4" i="18"/>
  <c r="BA4" i="17"/>
  <c r="BA4" i="12"/>
  <c r="BA4" i="15"/>
  <c r="BB17" i="19"/>
  <c r="BB16" i="19"/>
  <c r="BB15" i="19"/>
  <c r="BB14" i="19"/>
  <c r="BB13" i="19"/>
  <c r="BB24" i="19"/>
  <c r="BB21" i="19"/>
  <c r="BB23" i="19"/>
  <c r="BB22" i="19"/>
  <c r="BB20" i="19"/>
  <c r="BB19" i="19"/>
  <c r="BB18" i="19"/>
  <c r="BA204" i="18"/>
  <c r="BA68" i="18"/>
  <c r="BE20" i="10"/>
  <c r="BE10" i="19"/>
  <c r="BE196" i="19"/>
  <c r="BE98" i="19"/>
  <c r="BE184" i="18"/>
  <c r="BE10" i="18"/>
  <c r="BE112" i="18"/>
  <c r="BE10" i="17"/>
  <c r="BE109" i="17"/>
  <c r="BE152" i="15"/>
  <c r="BE155" i="17"/>
  <c r="BE98" i="15"/>
  <c r="BE10" i="15"/>
  <c r="BF19" i="10"/>
  <c r="BA166" i="17"/>
  <c r="BA36" i="17"/>
  <c r="BA164" i="17"/>
  <c r="BA34" i="17"/>
  <c r="AQ13" i="14"/>
  <c r="AQ15" i="14" s="1"/>
  <c r="AQ26" i="14" s="1"/>
  <c r="AQ28" i="14" s="1"/>
  <c r="AQ43" i="14"/>
  <c r="AQ45" i="14" s="1"/>
  <c r="AQ50" i="14" s="1"/>
  <c r="AQ52" i="14" s="1"/>
  <c r="AQ57" i="14" s="1"/>
  <c r="AZ110" i="15"/>
  <c r="AZ136" i="15" s="1"/>
  <c r="AZ65" i="15"/>
  <c r="AZ78" i="15" s="1"/>
  <c r="AZ91" i="15" s="1"/>
  <c r="AZ123" i="15" s="1"/>
  <c r="BA165" i="15"/>
  <c r="BA49" i="15"/>
  <c r="BA161" i="15"/>
  <c r="BA45" i="15"/>
  <c r="BA208" i="19"/>
  <c r="BA49" i="19"/>
  <c r="BA45" i="19"/>
  <c r="BA204" i="19"/>
  <c r="AZ103" i="15"/>
  <c r="AZ58" i="15"/>
  <c r="AZ71" i="15" s="1"/>
  <c r="AZ84" i="15" s="1"/>
  <c r="AZ116" i="15" s="1"/>
  <c r="AZ119" i="18"/>
  <c r="AZ74" i="18"/>
  <c r="AZ87" i="18" s="1"/>
  <c r="AZ100" i="18" s="1"/>
  <c r="AZ132" i="18" s="1"/>
  <c r="AY135" i="15"/>
  <c r="AY195" i="15" s="1"/>
  <c r="BA203" i="18"/>
  <c r="BA67" i="18"/>
  <c r="AZ105" i="15"/>
  <c r="AZ60" i="15"/>
  <c r="AZ73" i="15" s="1"/>
  <c r="AZ86" i="15" s="1"/>
  <c r="AZ118" i="15" s="1"/>
  <c r="AZ104" i="19"/>
  <c r="AZ56" i="19"/>
  <c r="AZ69" i="19" s="1"/>
  <c r="AR56" i="14"/>
  <c r="AR59" i="14" s="1"/>
  <c r="AR65" i="14" s="1"/>
  <c r="AR67" i="14" s="1"/>
  <c r="AR155" i="15" s="1"/>
  <c r="AR34" i="14"/>
  <c r="AR36" i="14" s="1"/>
  <c r="BA167" i="17"/>
  <c r="BA37" i="17"/>
  <c r="AZ120" i="18"/>
  <c r="AZ75" i="18"/>
  <c r="AZ88" i="18" s="1"/>
  <c r="AZ101" i="18" s="1"/>
  <c r="AZ133" i="18" s="1"/>
  <c r="AP5" i="15"/>
  <c r="AP5" i="25"/>
  <c r="AP5" i="21"/>
  <c r="AP5" i="23"/>
  <c r="AP5" i="19"/>
  <c r="AP5" i="18"/>
  <c r="AP5" i="17"/>
  <c r="AP5" i="12"/>
  <c r="AO54" i="10"/>
  <c r="AP5" i="14"/>
  <c r="BC38" i="10"/>
  <c r="BC39" i="10"/>
  <c r="BA166" i="15"/>
  <c r="BA50" i="15"/>
  <c r="BA162" i="15"/>
  <c r="BA46" i="15"/>
  <c r="AZ112" i="19"/>
  <c r="AZ64" i="19"/>
  <c r="AZ77" i="19" s="1"/>
  <c r="BA209" i="19"/>
  <c r="BA50" i="19"/>
  <c r="BA205" i="19"/>
  <c r="BA46" i="19"/>
  <c r="BB17" i="15"/>
  <c r="BB16" i="15"/>
  <c r="BB15" i="15"/>
  <c r="BB14" i="15"/>
  <c r="BB13" i="15"/>
  <c r="BB24" i="15"/>
  <c r="BB23" i="15"/>
  <c r="BB22" i="15"/>
  <c r="BB21" i="15"/>
  <c r="BB20" i="15"/>
  <c r="BB19" i="15"/>
  <c r="BB18" i="15"/>
  <c r="BA61" i="18"/>
  <c r="BA197" i="18"/>
  <c r="BA193" i="18"/>
  <c r="BA57" i="18"/>
  <c r="AZ106" i="19"/>
  <c r="AZ58" i="19"/>
  <c r="AZ71" i="19" s="1"/>
  <c r="BB41" i="10"/>
  <c r="BB307" i="19"/>
  <c r="BB238" i="18"/>
  <c r="BB204" i="15"/>
  <c r="BB207" i="17"/>
  <c r="BB33" i="14"/>
  <c r="BB64" i="14"/>
  <c r="AZ109" i="19"/>
  <c r="AZ61" i="19"/>
  <c r="AZ74" i="19" s="1"/>
  <c r="BA39" i="17"/>
  <c r="BA169" i="17"/>
  <c r="AZ122" i="17"/>
  <c r="AZ54" i="17"/>
  <c r="AZ67" i="17" s="1"/>
  <c r="AZ80" i="17" s="1"/>
  <c r="AZ135" i="17" s="1"/>
  <c r="BC11" i="19"/>
  <c r="BC97" i="19"/>
  <c r="BC111" i="18"/>
  <c r="BC11" i="18"/>
  <c r="BC11" i="17"/>
  <c r="BC108" i="17"/>
  <c r="BC97" i="15"/>
  <c r="BC11" i="15"/>
  <c r="BC21" i="14"/>
  <c r="BC23" i="14" s="1"/>
  <c r="AZ112" i="17"/>
  <c r="AZ44" i="17"/>
  <c r="AZ57" i="17" s="1"/>
  <c r="AZ70" i="17" s="1"/>
  <c r="AZ125" i="17" s="1"/>
  <c r="AZ121" i="17"/>
  <c r="AZ53" i="17"/>
  <c r="AZ66" i="17" s="1"/>
  <c r="AZ79" i="17" s="1"/>
  <c r="AZ134" i="17" s="1"/>
  <c r="BA167" i="15"/>
  <c r="BA181" i="15" s="1"/>
  <c r="BA51" i="15"/>
  <c r="AZ114" i="19"/>
  <c r="AZ66" i="19"/>
  <c r="AZ79" i="19" s="1"/>
  <c r="AZ120" i="17"/>
  <c r="AZ52" i="17"/>
  <c r="AZ65" i="17" s="1"/>
  <c r="AZ78" i="17" s="1"/>
  <c r="AZ133" i="17" s="1"/>
  <c r="BA212" i="19"/>
  <c r="BA53" i="19"/>
  <c r="AZ115" i="18"/>
  <c r="AZ70" i="18"/>
  <c r="AZ83" i="18" s="1"/>
  <c r="AZ96" i="18" s="1"/>
  <c r="AZ128" i="18" s="1"/>
  <c r="AZ107" i="15"/>
  <c r="AZ62" i="15"/>
  <c r="AZ75" i="15" s="1"/>
  <c r="AZ88" i="15" s="1"/>
  <c r="AZ120" i="15" s="1"/>
  <c r="AZ110" i="19"/>
  <c r="AZ62" i="19"/>
  <c r="AZ75" i="19" s="1"/>
  <c r="BA199" i="18"/>
  <c r="BA63" i="18"/>
  <c r="BA194" i="18"/>
  <c r="BA58" i="18"/>
  <c r="AZ45" i="17"/>
  <c r="AZ58" i="17" s="1"/>
  <c r="AZ71" i="17" s="1"/>
  <c r="AZ126" i="17" s="1"/>
  <c r="AZ113" i="17"/>
  <c r="AY197" i="15"/>
  <c r="BA38" i="17"/>
  <c r="BA168" i="17"/>
  <c r="AZ122" i="18"/>
  <c r="AZ77" i="18"/>
  <c r="AZ90" i="18" s="1"/>
  <c r="AZ103" i="18" s="1"/>
  <c r="AZ135" i="18" s="1"/>
  <c r="AZ113" i="19"/>
  <c r="AZ65" i="19"/>
  <c r="AZ78" i="19" s="1"/>
  <c r="BA168" i="15"/>
  <c r="BA182" i="15" s="1"/>
  <c r="BA52" i="15"/>
  <c r="AZ117" i="18"/>
  <c r="AZ72" i="18"/>
  <c r="AZ85" i="18" s="1"/>
  <c r="AZ98" i="18" s="1"/>
  <c r="AZ130" i="18" s="1"/>
  <c r="AZ125" i="18"/>
  <c r="AZ80" i="18"/>
  <c r="AZ93" i="18" s="1"/>
  <c r="AZ106" i="18" s="1"/>
  <c r="AZ138" i="18" s="1"/>
  <c r="BA210" i="19"/>
  <c r="BA51" i="19"/>
  <c r="AZ102" i="15"/>
  <c r="AZ57" i="15"/>
  <c r="AZ70" i="15" s="1"/>
  <c r="AZ83" i="15" s="1"/>
  <c r="AZ115" i="15" s="1"/>
  <c r="BA200" i="18"/>
  <c r="BA64" i="18"/>
  <c r="BB15" i="18"/>
  <c r="BA195" i="18"/>
  <c r="BA59" i="18"/>
  <c r="AZ112" i="15"/>
  <c r="AZ138" i="15" s="1"/>
  <c r="AZ67" i="15"/>
  <c r="AZ80" i="15" s="1"/>
  <c r="AZ93" i="15" s="1"/>
  <c r="AZ125" i="15" s="1"/>
  <c r="BA40" i="17"/>
  <c r="BA170" i="17"/>
  <c r="AZ115" i="19"/>
  <c r="AZ67" i="19"/>
  <c r="AZ80" i="19" s="1"/>
  <c r="AT12" i="25"/>
  <c r="BC21" i="25"/>
  <c r="BC40" i="25"/>
  <c r="BC19" i="25"/>
  <c r="BC22" i="25"/>
  <c r="BC20" i="25"/>
  <c r="BC39" i="25"/>
  <c r="BA31" i="17"/>
  <c r="BA161" i="17"/>
  <c r="BA169" i="15"/>
  <c r="BA183" i="15" s="1"/>
  <c r="BA53" i="15"/>
  <c r="AZ123" i="18"/>
  <c r="AZ78" i="18"/>
  <c r="AZ91" i="18" s="1"/>
  <c r="AZ104" i="18" s="1"/>
  <c r="AZ136" i="18" s="1"/>
  <c r="AZ121" i="18"/>
  <c r="AZ76" i="18"/>
  <c r="AZ89" i="18" s="1"/>
  <c r="AZ102" i="18" s="1"/>
  <c r="AZ134" i="18" s="1"/>
  <c r="BA211" i="19"/>
  <c r="BA52" i="19"/>
  <c r="AZ118" i="18"/>
  <c r="AZ73" i="18"/>
  <c r="AZ86" i="18" s="1"/>
  <c r="AZ99" i="18" s="1"/>
  <c r="AZ131" i="18" s="1"/>
  <c r="AZ114" i="17"/>
  <c r="AZ46" i="17"/>
  <c r="AZ59" i="17" s="1"/>
  <c r="AZ72" i="17" s="1"/>
  <c r="AZ127" i="17" s="1"/>
  <c r="BB17" i="17"/>
  <c r="BB16" i="17"/>
  <c r="BB13" i="17"/>
  <c r="BB14" i="17"/>
  <c r="BB24" i="17"/>
  <c r="BB23" i="17"/>
  <c r="BB22" i="17"/>
  <c r="BB21" i="17"/>
  <c r="BB20" i="17"/>
  <c r="BB19" i="17"/>
  <c r="BB18" i="17"/>
  <c r="BA201" i="18"/>
  <c r="BA65" i="18"/>
  <c r="BB16" i="18"/>
  <c r="BA196" i="18"/>
  <c r="BA60" i="18"/>
  <c r="AZ108" i="19"/>
  <c r="AZ60" i="19"/>
  <c r="AZ73" i="19" s="1"/>
  <c r="BD3" i="25"/>
  <c r="BD3" i="21"/>
  <c r="BD3" i="23"/>
  <c r="BD3" i="19"/>
  <c r="BD3" i="18"/>
  <c r="BD3" i="17"/>
  <c r="BD3" i="12"/>
  <c r="BD3" i="14"/>
  <c r="BD3" i="15"/>
  <c r="BD36" i="10"/>
  <c r="BD24" i="10"/>
  <c r="BD52" i="10" s="1"/>
  <c r="BD21" i="10"/>
  <c r="BD51" i="10"/>
  <c r="BA162" i="17"/>
  <c r="BA32" i="17"/>
  <c r="AZ123" i="17"/>
  <c r="AZ55" i="17"/>
  <c r="AZ68" i="17" s="1"/>
  <c r="AZ81" i="17" s="1"/>
  <c r="AZ136" i="17" s="1"/>
  <c r="BA171" i="17"/>
  <c r="BA41" i="17"/>
  <c r="AZ107" i="19"/>
  <c r="AZ59" i="19"/>
  <c r="AZ72" i="19" s="1"/>
  <c r="AS154" i="15"/>
  <c r="AS157" i="15" s="1"/>
  <c r="AS99" i="15"/>
  <c r="AS8" i="23"/>
  <c r="AS11" i="21"/>
  <c r="BA170" i="15"/>
  <c r="BA184" i="15" s="1"/>
  <c r="BA54" i="15"/>
  <c r="AZ119" i="17"/>
  <c r="AZ51" i="17"/>
  <c r="AZ64" i="17" s="1"/>
  <c r="AZ77" i="17" s="1"/>
  <c r="AZ132" i="17" s="1"/>
  <c r="BA213" i="19"/>
  <c r="BA54" i="19"/>
  <c r="AZ116" i="18"/>
  <c r="AZ71" i="18"/>
  <c r="AZ84" i="18" s="1"/>
  <c r="AZ97" i="18" s="1"/>
  <c r="AZ129" i="18" s="1"/>
  <c r="AZ106" i="15"/>
  <c r="AZ61" i="15"/>
  <c r="AZ74" i="15" s="1"/>
  <c r="AZ87" i="15" s="1"/>
  <c r="AZ119" i="15" s="1"/>
  <c r="BB17" i="18"/>
  <c r="BB13" i="18"/>
  <c r="BB14" i="18"/>
  <c r="BB23" i="18"/>
  <c r="BB24" i="18"/>
  <c r="BB22" i="18"/>
  <c r="BB20" i="18"/>
  <c r="BB21" i="18"/>
  <c r="BB18" i="18"/>
  <c r="BB19" i="18"/>
  <c r="BA198" i="18"/>
  <c r="BA62" i="18"/>
  <c r="AZ126" i="18"/>
  <c r="AZ81" i="18"/>
  <c r="AZ94" i="18" s="1"/>
  <c r="AZ107" i="18" s="1"/>
  <c r="AZ139" i="18" s="1"/>
  <c r="AX135" i="15"/>
  <c r="AX195" i="15" s="1"/>
  <c r="AZ115" i="17"/>
  <c r="AZ47" i="17"/>
  <c r="AZ60" i="17" s="1"/>
  <c r="AZ73" i="17" s="1"/>
  <c r="AZ128" i="17" s="1"/>
  <c r="AZ59" i="15"/>
  <c r="AZ72" i="15" s="1"/>
  <c r="AZ85" i="15" s="1"/>
  <c r="AZ117" i="15" s="1"/>
  <c r="AZ104" i="15"/>
  <c r="AZ116" i="17"/>
  <c r="AZ48" i="17"/>
  <c r="AZ61" i="17" s="1"/>
  <c r="AZ74" i="17" s="1"/>
  <c r="AZ129" i="17" s="1"/>
  <c r="BA172" i="17"/>
  <c r="BA42" i="17"/>
  <c r="AZ111" i="15"/>
  <c r="AZ137" i="15" s="1"/>
  <c r="AZ66" i="15"/>
  <c r="AZ79" i="15" s="1"/>
  <c r="AZ92" i="15" s="1"/>
  <c r="AZ124" i="15" s="1"/>
  <c r="BA163" i="15"/>
  <c r="BA47" i="15"/>
  <c r="BA159" i="15"/>
  <c r="BA43" i="15"/>
  <c r="AZ109" i="15"/>
  <c r="AZ135" i="15" s="1"/>
  <c r="AZ64" i="15"/>
  <c r="AZ77" i="15" s="1"/>
  <c r="AZ90" i="15" s="1"/>
  <c r="AZ122" i="15" s="1"/>
  <c r="AZ108" i="15"/>
  <c r="AZ63" i="15"/>
  <c r="AZ76" i="15" s="1"/>
  <c r="AZ89" i="15" s="1"/>
  <c r="AZ121" i="15" s="1"/>
  <c r="BA48" i="19"/>
  <c r="BA207" i="19"/>
  <c r="BA202" i="19"/>
  <c r="BA43" i="19"/>
  <c r="AZ111" i="19"/>
  <c r="AZ63" i="19"/>
  <c r="AZ76" i="19" s="1"/>
  <c r="AZ118" i="17"/>
  <c r="AZ50" i="17"/>
  <c r="AZ63" i="17" s="1"/>
  <c r="AZ76" i="17" s="1"/>
  <c r="AZ131" i="17" s="1"/>
  <c r="AZ117" i="17"/>
  <c r="AZ49" i="17"/>
  <c r="AZ62" i="17" s="1"/>
  <c r="AZ75" i="17" s="1"/>
  <c r="AZ130" i="17" s="1"/>
  <c r="BA202" i="18"/>
  <c r="BA66" i="18"/>
  <c r="AZ101" i="15"/>
  <c r="AZ56" i="15"/>
  <c r="AZ69" i="15" s="1"/>
  <c r="AZ82" i="15" s="1"/>
  <c r="AZ114" i="15" s="1"/>
  <c r="AZ124" i="18"/>
  <c r="AZ79" i="18"/>
  <c r="AZ92" i="18" s="1"/>
  <c r="AZ105" i="18" s="1"/>
  <c r="AZ137" i="18" s="1"/>
  <c r="AZ105" i="19"/>
  <c r="AZ57" i="19"/>
  <c r="AZ70" i="19" s="1"/>
  <c r="BA35" i="17"/>
  <c r="BA165" i="17"/>
  <c r="BB15" i="17"/>
  <c r="BA163" i="17"/>
  <c r="BA33" i="17"/>
  <c r="AE189" i="18"/>
  <c r="AK104" i="17"/>
  <c r="AK157" i="17" s="1"/>
  <c r="AK159" i="17" s="1"/>
  <c r="AP186" i="17" s="1"/>
  <c r="AK189" i="18"/>
  <c r="AG104" i="17"/>
  <c r="AG157" i="17" s="1"/>
  <c r="AG159" i="17" s="1"/>
  <c r="AG189" i="18"/>
  <c r="AA191" i="18" l="1"/>
  <c r="AE208" i="18" s="1"/>
  <c r="AI104" i="17"/>
  <c r="AI157" i="17" s="1"/>
  <c r="AI159" i="17" s="1"/>
  <c r="AM143" i="17"/>
  <c r="AM194" i="17" s="1"/>
  <c r="AI188" i="18"/>
  <c r="AB104" i="17"/>
  <c r="AB157" i="17" s="1"/>
  <c r="AB159" i="17" s="1"/>
  <c r="AB188" i="18"/>
  <c r="AZ85" i="19"/>
  <c r="AZ120" i="19" s="1"/>
  <c r="AZ92" i="19"/>
  <c r="AZ127" i="19" s="1"/>
  <c r="AZ91" i="19"/>
  <c r="AZ126" i="19" s="1"/>
  <c r="AE188" i="18"/>
  <c r="AZ83" i="19"/>
  <c r="AZ118" i="19" s="1"/>
  <c r="AZ89" i="19"/>
  <c r="AZ124" i="19" s="1"/>
  <c r="AZ93" i="19"/>
  <c r="AZ128" i="19" s="1"/>
  <c r="AZ82" i="19"/>
  <c r="AZ117" i="19" s="1"/>
  <c r="AZ86" i="19"/>
  <c r="AZ121" i="19" s="1"/>
  <c r="AZ87" i="19"/>
  <c r="AZ122" i="19" s="1"/>
  <c r="AZ90" i="19"/>
  <c r="AZ125" i="19" s="1"/>
  <c r="AE104" i="17"/>
  <c r="AE157" i="17" s="1"/>
  <c r="AE159" i="17" s="1"/>
  <c r="AF180" i="17" s="1"/>
  <c r="AZ88" i="19"/>
  <c r="AZ123" i="19" s="1"/>
  <c r="AZ84" i="19"/>
  <c r="AZ119" i="19" s="1"/>
  <c r="AC141" i="17"/>
  <c r="AC192" i="17" s="1"/>
  <c r="AG141" i="17"/>
  <c r="AG192" i="17" s="1"/>
  <c r="AK143" i="17"/>
  <c r="AK194" i="17" s="1"/>
  <c r="AI143" i="17"/>
  <c r="AI194" i="17" s="1"/>
  <c r="AO143" i="17"/>
  <c r="AO194" i="17" s="1"/>
  <c r="AL143" i="17"/>
  <c r="AL194" i="17" s="1"/>
  <c r="AJ143" i="17"/>
  <c r="AJ194" i="17" s="1"/>
  <c r="AP143" i="17"/>
  <c r="AP194" i="17" s="1"/>
  <c r="AH143" i="17"/>
  <c r="AH194" i="17" s="1"/>
  <c r="AN143" i="17"/>
  <c r="AN194" i="17" s="1"/>
  <c r="AC101" i="17"/>
  <c r="AC104" i="17" s="1"/>
  <c r="AC157" i="17" s="1"/>
  <c r="AC159" i="17" s="1"/>
  <c r="AL178" i="17" s="1"/>
  <c r="AE141" i="17"/>
  <c r="AE192" i="17" s="1"/>
  <c r="AL141" i="17"/>
  <c r="AL192" i="17" s="1"/>
  <c r="AE143" i="17"/>
  <c r="AE194" i="17" s="1"/>
  <c r="AM141" i="17"/>
  <c r="AM192" i="17" s="1"/>
  <c r="AF141" i="17"/>
  <c r="AF192" i="17" s="1"/>
  <c r="AF143" i="17"/>
  <c r="AF194" i="17" s="1"/>
  <c r="AI141" i="17"/>
  <c r="AI192" i="17" s="1"/>
  <c r="AH141" i="17"/>
  <c r="AH192" i="17" s="1"/>
  <c r="AK141" i="17"/>
  <c r="AK192" i="17" s="1"/>
  <c r="AJ141" i="17"/>
  <c r="AJ192" i="17" s="1"/>
  <c r="AN141" i="17"/>
  <c r="AN192" i="17" s="1"/>
  <c r="AQ213" i="18"/>
  <c r="AK213" i="18"/>
  <c r="AF213" i="18"/>
  <c r="AJ213" i="18"/>
  <c r="AP213" i="18"/>
  <c r="AN213" i="18"/>
  <c r="AI213" i="18"/>
  <c r="AH213" i="18"/>
  <c r="AG213" i="18"/>
  <c r="AM213" i="18"/>
  <c r="AO213" i="18"/>
  <c r="AH104" i="17"/>
  <c r="AH157" i="17" s="1"/>
  <c r="AH159" i="17" s="1"/>
  <c r="AH183" i="17" s="1"/>
  <c r="AH188" i="18"/>
  <c r="AH191" i="18" s="1"/>
  <c r="AS215" i="18" s="1"/>
  <c r="Z191" i="18"/>
  <c r="AA207" i="18" s="1"/>
  <c r="AB175" i="17"/>
  <c r="AC175" i="17"/>
  <c r="AD87" i="17"/>
  <c r="AD10" i="23"/>
  <c r="AD13" i="25" s="1"/>
  <c r="AD20" i="25" s="1"/>
  <c r="AD113" i="18"/>
  <c r="AD12" i="21"/>
  <c r="AD186" i="18"/>
  <c r="AA175" i="17"/>
  <c r="AH175" i="17"/>
  <c r="Z175" i="17"/>
  <c r="AK175" i="17"/>
  <c r="AD175" i="17"/>
  <c r="AG175" i="17"/>
  <c r="AI175" i="17"/>
  <c r="AJ175" i="17"/>
  <c r="AF175" i="17"/>
  <c r="AE191" i="18"/>
  <c r="AP212" i="18" s="1"/>
  <c r="AJ189" i="18"/>
  <c r="AJ191" i="18" s="1"/>
  <c r="AJ104" i="17"/>
  <c r="AJ157" i="17" s="1"/>
  <c r="AJ159" i="17" s="1"/>
  <c r="AP34" i="18"/>
  <c r="AP164" i="18" s="1"/>
  <c r="AP27" i="18"/>
  <c r="AP157" i="18" s="1"/>
  <c r="AP37" i="18"/>
  <c r="AP167" i="18" s="1"/>
  <c r="AP36" i="18"/>
  <c r="AP166" i="18" s="1"/>
  <c r="AP31" i="18"/>
  <c r="AP161" i="18" s="1"/>
  <c r="AP30" i="18"/>
  <c r="AP160" i="18" s="1"/>
  <c r="AP32" i="18"/>
  <c r="AP162" i="18" s="1"/>
  <c r="AP28" i="18"/>
  <c r="AP158" i="18" s="1"/>
  <c r="AP33" i="18"/>
  <c r="AP163" i="18" s="1"/>
  <c r="AP29" i="18"/>
  <c r="AP159" i="18" s="1"/>
  <c r="AP38" i="18"/>
  <c r="AP168" i="18" s="1"/>
  <c r="AP35" i="18"/>
  <c r="AP165" i="18" s="1"/>
  <c r="AC208" i="18"/>
  <c r="AI208" i="18"/>
  <c r="AL208" i="18"/>
  <c r="AH208" i="18"/>
  <c r="AJ208" i="18"/>
  <c r="AA208" i="18"/>
  <c r="AG208" i="18"/>
  <c r="AD208" i="18"/>
  <c r="AF208" i="18"/>
  <c r="AB208" i="18"/>
  <c r="AK208" i="18"/>
  <c r="AG191" i="18"/>
  <c r="AM214" i="18" s="1"/>
  <c r="AK191" i="18"/>
  <c r="AR218" i="18" s="1"/>
  <c r="AI191" i="18"/>
  <c r="AI216" i="18" s="1"/>
  <c r="AB191" i="18"/>
  <c r="AL209" i="18" s="1"/>
  <c r="BG11" i="10"/>
  <c r="BG30" i="10" s="1"/>
  <c r="BG31" i="10" s="1"/>
  <c r="BG45" i="10" s="1"/>
  <c r="BG46" i="10" s="1"/>
  <c r="BH10" i="10"/>
  <c r="AZ198" i="15"/>
  <c r="BA123" i="17"/>
  <c r="BA55" i="17"/>
  <c r="BA68" i="17" s="1"/>
  <c r="BA81" i="17" s="1"/>
  <c r="BA136" i="17" s="1"/>
  <c r="BA112" i="19"/>
  <c r="BA64" i="19"/>
  <c r="BA77" i="19" s="1"/>
  <c r="BA114" i="19"/>
  <c r="BA66" i="19"/>
  <c r="BA79" i="19" s="1"/>
  <c r="BC18" i="17"/>
  <c r="BC13" i="17"/>
  <c r="BC15" i="17"/>
  <c r="BC16" i="17"/>
  <c r="BC14" i="17"/>
  <c r="BC24" i="17"/>
  <c r="BC23" i="17"/>
  <c r="BC22" i="17"/>
  <c r="BC21" i="17"/>
  <c r="BC20" i="17"/>
  <c r="BC19" i="17"/>
  <c r="BB159" i="15"/>
  <c r="BB43" i="15"/>
  <c r="BA46" i="17"/>
  <c r="BA59" i="17" s="1"/>
  <c r="BA72" i="17" s="1"/>
  <c r="BA127" i="17" s="1"/>
  <c r="BA114" i="17"/>
  <c r="BB202" i="18"/>
  <c r="BB66" i="18"/>
  <c r="BD22" i="25"/>
  <c r="BD19" i="25"/>
  <c r="BD39" i="25"/>
  <c r="BD20" i="25"/>
  <c r="BD21" i="25"/>
  <c r="BD40" i="25"/>
  <c r="BB166" i="17"/>
  <c r="BB36" i="17"/>
  <c r="BB161" i="17"/>
  <c r="BB31" i="17"/>
  <c r="BA113" i="19"/>
  <c r="BA65" i="19"/>
  <c r="BA78" i="19" s="1"/>
  <c r="AT25" i="25"/>
  <c r="AT19" i="25"/>
  <c r="BA117" i="18"/>
  <c r="BA72" i="18"/>
  <c r="BA85" i="18" s="1"/>
  <c r="BA98" i="18" s="1"/>
  <c r="BA130" i="18" s="1"/>
  <c r="BA119" i="17"/>
  <c r="BA51" i="17"/>
  <c r="BA64" i="17" s="1"/>
  <c r="BA77" i="17" s="1"/>
  <c r="BA132" i="17" s="1"/>
  <c r="BC18" i="18"/>
  <c r="BC15" i="18"/>
  <c r="BC16" i="18"/>
  <c r="BC14" i="18"/>
  <c r="BC23" i="18"/>
  <c r="BC13" i="18"/>
  <c r="BC24" i="18"/>
  <c r="BC22" i="18"/>
  <c r="BC21" i="18"/>
  <c r="BC20" i="18"/>
  <c r="BC19" i="18"/>
  <c r="BA120" i="17"/>
  <c r="BA52" i="17"/>
  <c r="BA65" i="17" s="1"/>
  <c r="BA78" i="17" s="1"/>
  <c r="BA133" i="17" s="1"/>
  <c r="BB48" i="15"/>
  <c r="BB164" i="15"/>
  <c r="BB160" i="15"/>
  <c r="BB44" i="15"/>
  <c r="BA118" i="17"/>
  <c r="BA50" i="17"/>
  <c r="BA63" i="17" s="1"/>
  <c r="BA76" i="17" s="1"/>
  <c r="BA131" i="17" s="1"/>
  <c r="BA125" i="18"/>
  <c r="BA80" i="18"/>
  <c r="BA93" i="18" s="1"/>
  <c r="BA106" i="18" s="1"/>
  <c r="BA138" i="18" s="1"/>
  <c r="BA106" i="19"/>
  <c r="BA58" i="19"/>
  <c r="BA71" i="19" s="1"/>
  <c r="AZ196" i="15"/>
  <c r="BA117" i="17"/>
  <c r="BA49" i="17"/>
  <c r="BA62" i="17" s="1"/>
  <c r="BA75" i="17" s="1"/>
  <c r="BA130" i="17" s="1"/>
  <c r="BE3" i="25"/>
  <c r="BE3" i="21"/>
  <c r="BE3" i="23"/>
  <c r="BE3" i="19"/>
  <c r="BE3" i="18"/>
  <c r="BE3" i="17"/>
  <c r="BE3" i="12"/>
  <c r="BE3" i="14"/>
  <c r="BE3" i="15"/>
  <c r="BE51" i="10"/>
  <c r="BE21" i="10"/>
  <c r="BE24" i="10"/>
  <c r="BE52" i="10" s="1"/>
  <c r="BE36" i="10"/>
  <c r="BB210" i="19"/>
  <c r="BB51" i="19"/>
  <c r="BA105" i="19"/>
  <c r="BA57" i="19"/>
  <c r="BA70" i="19" s="1"/>
  <c r="BA106" i="15"/>
  <c r="BA61" i="15"/>
  <c r="BA74" i="15" s="1"/>
  <c r="BA87" i="15" s="1"/>
  <c r="BA119" i="15" s="1"/>
  <c r="BB200" i="18"/>
  <c r="BB64" i="18"/>
  <c r="BB32" i="17"/>
  <c r="BB162" i="17"/>
  <c r="BA119" i="18"/>
  <c r="BA74" i="18"/>
  <c r="BA87" i="18" s="1"/>
  <c r="BA100" i="18" s="1"/>
  <c r="BA132" i="18" s="1"/>
  <c r="AZ134" i="15"/>
  <c r="AZ194" i="15" s="1"/>
  <c r="BB204" i="18"/>
  <c r="BB68" i="18"/>
  <c r="AS12" i="25"/>
  <c r="BB167" i="17"/>
  <c r="BB37" i="17"/>
  <c r="BB164" i="17"/>
  <c r="BB34" i="17"/>
  <c r="BA112" i="17"/>
  <c r="BA44" i="17"/>
  <c r="BA57" i="17" s="1"/>
  <c r="BA70" i="17" s="1"/>
  <c r="BA125" i="17" s="1"/>
  <c r="BB4" i="23"/>
  <c r="BB4" i="25"/>
  <c r="BB4" i="21"/>
  <c r="BB4" i="19"/>
  <c r="BB4" i="18"/>
  <c r="BB4" i="17"/>
  <c r="BB4" i="12"/>
  <c r="BB4" i="15"/>
  <c r="BB4" i="14"/>
  <c r="BB165" i="15"/>
  <c r="BB49" i="15"/>
  <c r="BB161" i="15"/>
  <c r="BB45" i="15"/>
  <c r="BA62" i="19"/>
  <c r="BA75" i="19" s="1"/>
  <c r="BA110" i="19"/>
  <c r="BA126" i="18"/>
  <c r="BA81" i="18"/>
  <c r="BA94" i="18" s="1"/>
  <c r="BA107" i="18" s="1"/>
  <c r="BA139" i="18" s="1"/>
  <c r="BB213" i="19"/>
  <c r="BB54" i="19"/>
  <c r="BA109" i="19"/>
  <c r="BA61" i="19"/>
  <c r="BA74" i="19" s="1"/>
  <c r="BD38" i="10"/>
  <c r="BD39" i="10"/>
  <c r="AW134" i="15"/>
  <c r="AW194" i="15" s="1"/>
  <c r="AV134" i="15"/>
  <c r="AV194" i="15" s="1"/>
  <c r="AU134" i="15"/>
  <c r="AU194" i="15" s="1"/>
  <c r="AT134" i="15"/>
  <c r="AT194" i="15" s="1"/>
  <c r="AS134" i="15"/>
  <c r="AS194" i="15" s="1"/>
  <c r="AX134" i="15"/>
  <c r="AX194" i="15" s="1"/>
  <c r="BB168" i="17"/>
  <c r="BB38" i="17"/>
  <c r="BC17" i="17"/>
  <c r="BB165" i="17"/>
  <c r="BB35" i="17"/>
  <c r="BB195" i="18"/>
  <c r="BB59" i="18"/>
  <c r="BB166" i="15"/>
  <c r="BB180" i="15" s="1"/>
  <c r="BB50" i="15"/>
  <c r="BB162" i="15"/>
  <c r="BB46" i="15"/>
  <c r="BA104" i="15"/>
  <c r="BA59" i="15"/>
  <c r="BA72" i="15" s="1"/>
  <c r="BA85" i="15" s="1"/>
  <c r="BA117" i="15" s="1"/>
  <c r="AR99" i="15"/>
  <c r="AZ133" i="15" s="1"/>
  <c r="AZ193" i="15" s="1"/>
  <c r="AR154" i="15"/>
  <c r="AR157" i="15" s="1"/>
  <c r="BA179" i="15" s="1"/>
  <c r="AR11" i="21"/>
  <c r="AR8" i="23"/>
  <c r="BB43" i="19"/>
  <c r="BB202" i="19"/>
  <c r="BA108" i="19"/>
  <c r="BA60" i="19"/>
  <c r="BA73" i="19" s="1"/>
  <c r="BA115" i="19"/>
  <c r="BA67" i="19"/>
  <c r="BA80" i="19" s="1"/>
  <c r="AZ195" i="15"/>
  <c r="BB194" i="18"/>
  <c r="BB58" i="18"/>
  <c r="AU180" i="15"/>
  <c r="AV180" i="15"/>
  <c r="AW180" i="15"/>
  <c r="AX180" i="15"/>
  <c r="AY180" i="15"/>
  <c r="AS180" i="15"/>
  <c r="AT180" i="15"/>
  <c r="BA118" i="18"/>
  <c r="BA73" i="18"/>
  <c r="BA86" i="18" s="1"/>
  <c r="BA99" i="18" s="1"/>
  <c r="BA131" i="18" s="1"/>
  <c r="BB39" i="17"/>
  <c r="BB169" i="17"/>
  <c r="BA122" i="18"/>
  <c r="BA77" i="18"/>
  <c r="BA90" i="18" s="1"/>
  <c r="BA103" i="18" s="1"/>
  <c r="BA135" i="18" s="1"/>
  <c r="AY134" i="15"/>
  <c r="AY194" i="15" s="1"/>
  <c r="BC18" i="19"/>
  <c r="BC16" i="19"/>
  <c r="BC15" i="19"/>
  <c r="BC14" i="19"/>
  <c r="BC13" i="19"/>
  <c r="BC24" i="19"/>
  <c r="BC23" i="19"/>
  <c r="BC22" i="19"/>
  <c r="BC21" i="19"/>
  <c r="BC20" i="19"/>
  <c r="BC19" i="19"/>
  <c r="BB167" i="15"/>
  <c r="BB181" i="15" s="1"/>
  <c r="BB51" i="15"/>
  <c r="BB163" i="15"/>
  <c r="BB47" i="15"/>
  <c r="BC41" i="10"/>
  <c r="BC307" i="19"/>
  <c r="BC238" i="18"/>
  <c r="BC204" i="15"/>
  <c r="BC207" i="17"/>
  <c r="BC64" i="14"/>
  <c r="BC33" i="14"/>
  <c r="BA103" i="15"/>
  <c r="BA58" i="15"/>
  <c r="BA71" i="15" s="1"/>
  <c r="BA84" i="15" s="1"/>
  <c r="BA116" i="15" s="1"/>
  <c r="BF20" i="10"/>
  <c r="BF196" i="19"/>
  <c r="BF10" i="19"/>
  <c r="BF98" i="19"/>
  <c r="BF10" i="18"/>
  <c r="BF112" i="18"/>
  <c r="BF184" i="18"/>
  <c r="BF109" i="17"/>
  <c r="BF152" i="15"/>
  <c r="BF155" i="17"/>
  <c r="BF10" i="17"/>
  <c r="BF98" i="15"/>
  <c r="BF10" i="15"/>
  <c r="BG19" i="10"/>
  <c r="BB207" i="19"/>
  <c r="BB48" i="19"/>
  <c r="BB203" i="19"/>
  <c r="BB44" i="19"/>
  <c r="BA113" i="17"/>
  <c r="BA45" i="17"/>
  <c r="BA58" i="17" s="1"/>
  <c r="BA71" i="17" s="1"/>
  <c r="BA126" i="17" s="1"/>
  <c r="BA116" i="17"/>
  <c r="BA48" i="17"/>
  <c r="BA61" i="17" s="1"/>
  <c r="BA74" i="17" s="1"/>
  <c r="BA129" i="17" s="1"/>
  <c r="BA124" i="18"/>
  <c r="BA79" i="18"/>
  <c r="BA92" i="18" s="1"/>
  <c r="BA105" i="18" s="1"/>
  <c r="BA137" i="18" s="1"/>
  <c r="BA104" i="19"/>
  <c r="BA56" i="19"/>
  <c r="BA69" i="19" s="1"/>
  <c r="BA101" i="15"/>
  <c r="BA56" i="15"/>
  <c r="BA69" i="15" s="1"/>
  <c r="BA82" i="15" s="1"/>
  <c r="BA114" i="15" s="1"/>
  <c r="BB63" i="18"/>
  <c r="BB199" i="18"/>
  <c r="BB193" i="18"/>
  <c r="BB57" i="18"/>
  <c r="BB170" i="17"/>
  <c r="BB40" i="17"/>
  <c r="BA116" i="18"/>
  <c r="BA71" i="18"/>
  <c r="BA84" i="18" s="1"/>
  <c r="BA97" i="18" s="1"/>
  <c r="BA129" i="18" s="1"/>
  <c r="BC18" i="15"/>
  <c r="BC17" i="15"/>
  <c r="BC16" i="15"/>
  <c r="BC15" i="15"/>
  <c r="BC14" i="15"/>
  <c r="BC13" i="15"/>
  <c r="BC24" i="15"/>
  <c r="BC23" i="15"/>
  <c r="BC22" i="15"/>
  <c r="BC21" i="15"/>
  <c r="BC20" i="15"/>
  <c r="BC19" i="15"/>
  <c r="BA115" i="18"/>
  <c r="BA70" i="18"/>
  <c r="BA83" i="18" s="1"/>
  <c r="BA96" i="18" s="1"/>
  <c r="BA128" i="18" s="1"/>
  <c r="BB168" i="15"/>
  <c r="BB182" i="15" s="1"/>
  <c r="BB52" i="15"/>
  <c r="BA107" i="19"/>
  <c r="BA59" i="19"/>
  <c r="BA72" i="19" s="1"/>
  <c r="BA108" i="15"/>
  <c r="BA134" i="15" s="1"/>
  <c r="BA63" i="15"/>
  <c r="BA76" i="15" s="1"/>
  <c r="BA89" i="15" s="1"/>
  <c r="BA121" i="15" s="1"/>
  <c r="AP13" i="14"/>
  <c r="AP15" i="14" s="1"/>
  <c r="AP26" i="14" s="1"/>
  <c r="AP28" i="14" s="1"/>
  <c r="AP43" i="14"/>
  <c r="AP45" i="14" s="1"/>
  <c r="AP50" i="14" s="1"/>
  <c r="AP52" i="14" s="1"/>
  <c r="AP57" i="14" s="1"/>
  <c r="BB49" i="19"/>
  <c r="BB208" i="19"/>
  <c r="BB45" i="19"/>
  <c r="BB204" i="19"/>
  <c r="AZ180" i="15"/>
  <c r="BB212" i="19"/>
  <c r="BB53" i="19"/>
  <c r="BB33" i="17"/>
  <c r="BB163" i="17"/>
  <c r="BA120" i="18"/>
  <c r="BA75" i="18"/>
  <c r="BA88" i="18" s="1"/>
  <c r="BA101" i="18" s="1"/>
  <c r="BA133" i="18" s="1"/>
  <c r="AZ197" i="15"/>
  <c r="BB62" i="18"/>
  <c r="BB198" i="18"/>
  <c r="BC17" i="18"/>
  <c r="BB197" i="18"/>
  <c r="BB61" i="18"/>
  <c r="BD97" i="19"/>
  <c r="BD11" i="19"/>
  <c r="BD111" i="18"/>
  <c r="BD11" i="18"/>
  <c r="BD108" i="17"/>
  <c r="BD11" i="17"/>
  <c r="BD11" i="15"/>
  <c r="BD97" i="15"/>
  <c r="BD21" i="14"/>
  <c r="BD23" i="14" s="1"/>
  <c r="BB196" i="18"/>
  <c r="BB60" i="18"/>
  <c r="BB171" i="17"/>
  <c r="BB41" i="17"/>
  <c r="BA121" i="17"/>
  <c r="BA53" i="17"/>
  <c r="BA66" i="17" s="1"/>
  <c r="BA79" i="17" s="1"/>
  <c r="BA134" i="17" s="1"/>
  <c r="BA109" i="15"/>
  <c r="BA135" i="15" s="1"/>
  <c r="BA64" i="15"/>
  <c r="BA77" i="15" s="1"/>
  <c r="BA90" i="15" s="1"/>
  <c r="BA122" i="15" s="1"/>
  <c r="BB169" i="15"/>
  <c r="BB183" i="15" s="1"/>
  <c r="BB53" i="15"/>
  <c r="BA180" i="15"/>
  <c r="AO5" i="15"/>
  <c r="AO5" i="25"/>
  <c r="AO5" i="21"/>
  <c r="AO5" i="19"/>
  <c r="AO5" i="23"/>
  <c r="AO5" i="18"/>
  <c r="AO5" i="17"/>
  <c r="AO5" i="12"/>
  <c r="AN54" i="10"/>
  <c r="AO5" i="14"/>
  <c r="BA107" i="15"/>
  <c r="BA62" i="15"/>
  <c r="BA75" i="15" s="1"/>
  <c r="BA88" i="15" s="1"/>
  <c r="BA120" i="15" s="1"/>
  <c r="AQ56" i="14"/>
  <c r="AQ59" i="14" s="1"/>
  <c r="AQ65" i="14" s="1"/>
  <c r="AQ67" i="14" s="1"/>
  <c r="AQ155" i="15" s="1"/>
  <c r="AQ34" i="14"/>
  <c r="AQ36" i="14" s="1"/>
  <c r="BB209" i="19"/>
  <c r="BB50" i="19"/>
  <c r="BB205" i="19"/>
  <c r="BB46" i="19"/>
  <c r="BB203" i="18"/>
  <c r="BB67" i="18"/>
  <c r="BA60" i="15"/>
  <c r="BA73" i="15" s="1"/>
  <c r="BA86" i="15" s="1"/>
  <c r="BA118" i="15" s="1"/>
  <c r="BA105" i="15"/>
  <c r="BB201" i="18"/>
  <c r="BB65" i="18"/>
  <c r="BA112" i="15"/>
  <c r="BA138" i="15" s="1"/>
  <c r="BA67" i="15"/>
  <c r="BA80" i="15" s="1"/>
  <c r="BA93" i="15" s="1"/>
  <c r="BA125" i="15" s="1"/>
  <c r="BA122" i="17"/>
  <c r="BA54" i="17"/>
  <c r="BA67" i="17" s="1"/>
  <c r="BA80" i="17" s="1"/>
  <c r="BA135" i="17" s="1"/>
  <c r="BA123" i="18"/>
  <c r="BA78" i="18"/>
  <c r="BA91" i="18" s="1"/>
  <c r="BA104" i="18" s="1"/>
  <c r="BA136" i="18" s="1"/>
  <c r="BB172" i="17"/>
  <c r="BB42" i="17"/>
  <c r="BA111" i="15"/>
  <c r="BA137" i="15" s="1"/>
  <c r="BA66" i="15"/>
  <c r="BA79" i="15" s="1"/>
  <c r="BA92" i="15" s="1"/>
  <c r="BA124" i="15" s="1"/>
  <c r="BA110" i="15"/>
  <c r="BA136" i="15" s="1"/>
  <c r="BA65" i="15"/>
  <c r="BA78" i="15" s="1"/>
  <c r="BA91" i="15" s="1"/>
  <c r="BA123" i="15" s="1"/>
  <c r="BA121" i="18"/>
  <c r="BA76" i="18"/>
  <c r="BA89" i="18" s="1"/>
  <c r="BA102" i="18" s="1"/>
  <c r="BA134" i="18" s="1"/>
  <c r="BB170" i="15"/>
  <c r="BB184" i="15" s="1"/>
  <c r="BB54" i="15"/>
  <c r="BA111" i="19"/>
  <c r="BA63" i="19"/>
  <c r="BA76" i="19" s="1"/>
  <c r="BA115" i="17"/>
  <c r="BA47" i="17"/>
  <c r="BA60" i="17" s="1"/>
  <c r="BA73" i="17" s="1"/>
  <c r="BA128" i="17" s="1"/>
  <c r="BB211" i="19"/>
  <c r="BB52" i="19"/>
  <c r="BC17" i="19"/>
  <c r="BB206" i="19"/>
  <c r="BB47" i="19"/>
  <c r="BA102" i="15"/>
  <c r="BA57" i="15"/>
  <c r="BA70" i="15" s="1"/>
  <c r="BA83" i="15" s="1"/>
  <c r="BA115" i="15" s="1"/>
  <c r="AG180" i="17"/>
  <c r="AL180" i="17"/>
  <c r="AR186" i="17"/>
  <c r="AV186" i="17"/>
  <c r="AT186" i="17"/>
  <c r="AL186" i="17"/>
  <c r="AM186" i="17"/>
  <c r="AS186" i="17"/>
  <c r="AN186" i="17"/>
  <c r="AK186" i="17"/>
  <c r="AQ186" i="17"/>
  <c r="AO186" i="17"/>
  <c r="AU186" i="17"/>
  <c r="AL177" i="17"/>
  <c r="AE177" i="17"/>
  <c r="AB177" i="17"/>
  <c r="AM177" i="17"/>
  <c r="AJ177" i="17"/>
  <c r="AD177" i="17"/>
  <c r="AC177" i="17"/>
  <c r="AF177" i="17"/>
  <c r="AK177" i="17"/>
  <c r="AI177" i="17"/>
  <c r="AG177" i="17"/>
  <c r="AH177" i="17"/>
  <c r="AO182" i="17"/>
  <c r="AM182" i="17"/>
  <c r="AH182" i="17"/>
  <c r="AN182" i="17"/>
  <c r="AP182" i="17"/>
  <c r="AJ182" i="17"/>
  <c r="AG182" i="17"/>
  <c r="AR182" i="17"/>
  <c r="AI182" i="17"/>
  <c r="AL182" i="17"/>
  <c r="AK182" i="17"/>
  <c r="AQ182" i="17"/>
  <c r="AQ184" i="17"/>
  <c r="AJ184" i="17"/>
  <c r="AR184" i="17"/>
  <c r="AK184" i="17"/>
  <c r="AN184" i="17"/>
  <c r="AS184" i="17"/>
  <c r="AO184" i="17"/>
  <c r="AL184" i="17"/>
  <c r="AP184" i="17"/>
  <c r="AT184" i="17"/>
  <c r="AI184" i="17"/>
  <c r="AM184" i="17"/>
  <c r="AK178" i="17" l="1"/>
  <c r="AI178" i="17"/>
  <c r="AH178" i="17"/>
  <c r="AC178" i="17"/>
  <c r="AM178" i="17"/>
  <c r="AG178" i="17"/>
  <c r="AD178" i="17"/>
  <c r="AN178" i="17"/>
  <c r="AE178" i="17"/>
  <c r="AF178" i="17"/>
  <c r="AJ178" i="17"/>
  <c r="AE180" i="17"/>
  <c r="AO180" i="17"/>
  <c r="AH180" i="17"/>
  <c r="AJ180" i="17"/>
  <c r="AI180" i="17"/>
  <c r="AP180" i="17"/>
  <c r="AM180" i="17"/>
  <c r="AN180" i="17"/>
  <c r="AK180" i="17"/>
  <c r="BA86" i="19"/>
  <c r="BA121" i="19" s="1"/>
  <c r="BA84" i="19"/>
  <c r="BA119" i="19" s="1"/>
  <c r="BA92" i="19"/>
  <c r="BA127" i="19" s="1"/>
  <c r="BA82" i="19"/>
  <c r="BA117" i="19" s="1"/>
  <c r="BA88" i="19"/>
  <c r="BA123" i="19" s="1"/>
  <c r="BA83" i="19"/>
  <c r="BA118" i="19" s="1"/>
  <c r="BA90" i="19"/>
  <c r="BA125" i="19" s="1"/>
  <c r="BA85" i="19"/>
  <c r="BA120" i="19" s="1"/>
  <c r="BA87" i="19"/>
  <c r="BA122" i="19" s="1"/>
  <c r="BA91" i="19"/>
  <c r="BA126" i="19" s="1"/>
  <c r="BA89" i="19"/>
  <c r="BA124" i="19" s="1"/>
  <c r="BA93" i="19"/>
  <c r="BA128" i="19" s="1"/>
  <c r="AC189" i="18"/>
  <c r="AC191" i="18" s="1"/>
  <c r="AI210" i="18" s="1"/>
  <c r="AM183" i="17"/>
  <c r="AK212" i="18"/>
  <c r="AL212" i="18"/>
  <c r="AQ215" i="18"/>
  <c r="AP183" i="17"/>
  <c r="AR215" i="18"/>
  <c r="AI183" i="17"/>
  <c r="AI207" i="18"/>
  <c r="AG207" i="18"/>
  <c r="AC207" i="18"/>
  <c r="AE207" i="18"/>
  <c r="AH215" i="18"/>
  <c r="AP215" i="18"/>
  <c r="AL215" i="18"/>
  <c r="AK207" i="18"/>
  <c r="AD207" i="18"/>
  <c r="AO215" i="18"/>
  <c r="AI215" i="18"/>
  <c r="AJ207" i="18"/>
  <c r="AH207" i="18"/>
  <c r="AB207" i="18"/>
  <c r="AF207" i="18"/>
  <c r="Z207" i="18"/>
  <c r="AJ215" i="18"/>
  <c r="AO183" i="17"/>
  <c r="AN183" i="17"/>
  <c r="AL183" i="17"/>
  <c r="AS183" i="17"/>
  <c r="AJ183" i="17"/>
  <c r="AK183" i="17"/>
  <c r="AQ183" i="17"/>
  <c r="AR183" i="17"/>
  <c r="AM215" i="18"/>
  <c r="AK215" i="18"/>
  <c r="AN215" i="18"/>
  <c r="AM212" i="18"/>
  <c r="AD91" i="17"/>
  <c r="AD97" i="17" s="1"/>
  <c r="AD100" i="17" s="1"/>
  <c r="AD103" i="17" s="1"/>
  <c r="AD90" i="17"/>
  <c r="AK145" i="18"/>
  <c r="AO145" i="18"/>
  <c r="AO225" i="18" s="1"/>
  <c r="AN145" i="18"/>
  <c r="AN225" i="18" s="1"/>
  <c r="AF145" i="18"/>
  <c r="AF225" i="18" s="1"/>
  <c r="AH145" i="18"/>
  <c r="AH225" i="18" s="1"/>
  <c r="AG145" i="18"/>
  <c r="AG225" i="18" s="1"/>
  <c r="AE145" i="18"/>
  <c r="AE225" i="18" s="1"/>
  <c r="AI145" i="18"/>
  <c r="AI225" i="18" s="1"/>
  <c r="AD145" i="18"/>
  <c r="AD225" i="18" s="1"/>
  <c r="AM145" i="18"/>
  <c r="AM225" i="18" s="1"/>
  <c r="AJ145" i="18"/>
  <c r="AL145" i="18"/>
  <c r="AL225" i="18" s="1"/>
  <c r="AG212" i="18"/>
  <c r="AJ212" i="18"/>
  <c r="AI212" i="18"/>
  <c r="AO212" i="18"/>
  <c r="AN212" i="18"/>
  <c r="AH212" i="18"/>
  <c r="AE212" i="18"/>
  <c r="AF212" i="18"/>
  <c r="AQ185" i="17"/>
  <c r="AN185" i="17"/>
  <c r="AT185" i="17"/>
  <c r="AL185" i="17"/>
  <c r="AM185" i="17"/>
  <c r="AJ185" i="17"/>
  <c r="AO185" i="17"/>
  <c r="AK185" i="17"/>
  <c r="AS185" i="17"/>
  <c r="AU185" i="17"/>
  <c r="AP185" i="17"/>
  <c r="AR185" i="17"/>
  <c r="AU217" i="18"/>
  <c r="AL217" i="18"/>
  <c r="AQ217" i="18"/>
  <c r="AT217" i="18"/>
  <c r="AO217" i="18"/>
  <c r="AJ217" i="18"/>
  <c r="AN217" i="18"/>
  <c r="AK217" i="18"/>
  <c r="AM217" i="18"/>
  <c r="AR217" i="18"/>
  <c r="AP217" i="18"/>
  <c r="AS217" i="18"/>
  <c r="AS19" i="25"/>
  <c r="AS25" i="25"/>
  <c r="AH214" i="18"/>
  <c r="AL214" i="18"/>
  <c r="AO214" i="18"/>
  <c r="AR214" i="18"/>
  <c r="AJ214" i="18"/>
  <c r="AO31" i="18"/>
  <c r="AO161" i="18" s="1"/>
  <c r="AO32" i="18"/>
  <c r="AO162" i="18" s="1"/>
  <c r="AO28" i="18"/>
  <c r="AO158" i="18" s="1"/>
  <c r="AO27" i="18"/>
  <c r="AO157" i="18" s="1"/>
  <c r="AO33" i="18"/>
  <c r="AO163" i="18" s="1"/>
  <c r="AO34" i="18"/>
  <c r="AO164" i="18" s="1"/>
  <c r="AO29" i="18"/>
  <c r="AO159" i="18" s="1"/>
  <c r="AO30" i="18"/>
  <c r="AO160" i="18" s="1"/>
  <c r="AO36" i="18"/>
  <c r="AO166" i="18" s="1"/>
  <c r="AO37" i="18"/>
  <c r="AO167" i="18" s="1"/>
  <c r="AO35" i="18"/>
  <c r="AO165" i="18" s="1"/>
  <c r="AO38" i="18"/>
  <c r="AO168" i="18" s="1"/>
  <c r="AQ214" i="18"/>
  <c r="AP218" i="18"/>
  <c r="AL218" i="18"/>
  <c r="AM218" i="18"/>
  <c r="AN218" i="18"/>
  <c r="AO218" i="18"/>
  <c r="AS218" i="18"/>
  <c r="AU218" i="18"/>
  <c r="AT218" i="18"/>
  <c r="AK218" i="18"/>
  <c r="AK214" i="18"/>
  <c r="AP214" i="18"/>
  <c r="AG214" i="18"/>
  <c r="AI214" i="18"/>
  <c r="AN214" i="18"/>
  <c r="AQ218" i="18"/>
  <c r="AV218" i="18"/>
  <c r="AP216" i="18"/>
  <c r="AO216" i="18"/>
  <c r="AR216" i="18"/>
  <c r="AL216" i="18"/>
  <c r="AK209" i="18"/>
  <c r="AI209" i="18"/>
  <c r="AK216" i="18"/>
  <c r="AJ216" i="18"/>
  <c r="AG209" i="18"/>
  <c r="AN216" i="18"/>
  <c r="AS216" i="18"/>
  <c r="AM216" i="18"/>
  <c r="AQ216" i="18"/>
  <c r="AT216" i="18"/>
  <c r="AD209" i="18"/>
  <c r="AM209" i="18"/>
  <c r="AB209" i="18"/>
  <c r="AC209" i="18"/>
  <c r="AJ209" i="18"/>
  <c r="AF209" i="18"/>
  <c r="AE209" i="18"/>
  <c r="AH209" i="18"/>
  <c r="BA133" i="15"/>
  <c r="BA193" i="15" s="1"/>
  <c r="BI10" i="10"/>
  <c r="BI11" i="10" s="1"/>
  <c r="BH11" i="10"/>
  <c r="BH30" i="10" s="1"/>
  <c r="BH31" i="10" s="1"/>
  <c r="BH45" i="10" s="1"/>
  <c r="BH46" i="10" s="1"/>
  <c r="BA194" i="15"/>
  <c r="BB179" i="15"/>
  <c r="BB108" i="19"/>
  <c r="BB60" i="19"/>
  <c r="BB73" i="19" s="1"/>
  <c r="BD19" i="18"/>
  <c r="BD15" i="18"/>
  <c r="BD16" i="18"/>
  <c r="BD14" i="18"/>
  <c r="BD13" i="18"/>
  <c r="BD23" i="18"/>
  <c r="BD24" i="18"/>
  <c r="BD22" i="18"/>
  <c r="BD20" i="18"/>
  <c r="BD21" i="18"/>
  <c r="BB121" i="17"/>
  <c r="BB53" i="17"/>
  <c r="BB66" i="17" s="1"/>
  <c r="BB79" i="17" s="1"/>
  <c r="BB134" i="17" s="1"/>
  <c r="BE38" i="10"/>
  <c r="BE39" i="10"/>
  <c r="BA195" i="15"/>
  <c r="BC165" i="15"/>
  <c r="BC179" i="15" s="1"/>
  <c r="BC49" i="15"/>
  <c r="BC161" i="15"/>
  <c r="BC45" i="15"/>
  <c r="BB121" i="18"/>
  <c r="BB76" i="18"/>
  <c r="BB89" i="18" s="1"/>
  <c r="BB102" i="18" s="1"/>
  <c r="BB134" i="18" s="1"/>
  <c r="BG20" i="10"/>
  <c r="BG98" i="19"/>
  <c r="BG196" i="19"/>
  <c r="BG10" i="19"/>
  <c r="BG10" i="18"/>
  <c r="BG112" i="18"/>
  <c r="BG184" i="18"/>
  <c r="BG109" i="17"/>
  <c r="BG152" i="15"/>
  <c r="BG155" i="17"/>
  <c r="BG10" i="17"/>
  <c r="BG98" i="15"/>
  <c r="BG10" i="15"/>
  <c r="BH19" i="10"/>
  <c r="BB105" i="15"/>
  <c r="BB60" i="15"/>
  <c r="BB73" i="15" s="1"/>
  <c r="BB86" i="15" s="1"/>
  <c r="BB118" i="15" s="1"/>
  <c r="BC212" i="19"/>
  <c r="BC53" i="19"/>
  <c r="BB116" i="18"/>
  <c r="BB71" i="18"/>
  <c r="BB84" i="18" s="1"/>
  <c r="BB97" i="18" s="1"/>
  <c r="BB129" i="18" s="1"/>
  <c r="BB104" i="15"/>
  <c r="BB59" i="15"/>
  <c r="BB72" i="15" s="1"/>
  <c r="BB85" i="15" s="1"/>
  <c r="BB117" i="15" s="1"/>
  <c r="BD17" i="17"/>
  <c r="BC165" i="17"/>
  <c r="BC35" i="17"/>
  <c r="BB126" i="18"/>
  <c r="BB81" i="18"/>
  <c r="BB94" i="18" s="1"/>
  <c r="BB107" i="18" s="1"/>
  <c r="BB139" i="18" s="1"/>
  <c r="BB61" i="15"/>
  <c r="BB74" i="15" s="1"/>
  <c r="BB87" i="15" s="1"/>
  <c r="BB119" i="15" s="1"/>
  <c r="BB106" i="15"/>
  <c r="BC57" i="18"/>
  <c r="BC193" i="18"/>
  <c r="BB117" i="17"/>
  <c r="BB49" i="17"/>
  <c r="BB62" i="17" s="1"/>
  <c r="BB75" i="17" s="1"/>
  <c r="BB130" i="17" s="1"/>
  <c r="BC171" i="17"/>
  <c r="BC41" i="17"/>
  <c r="BC204" i="18"/>
  <c r="BC68" i="18"/>
  <c r="BC206" i="19"/>
  <c r="BC47" i="19"/>
  <c r="BD19" i="19"/>
  <c r="BD18" i="19"/>
  <c r="BD17" i="19"/>
  <c r="BD16" i="19"/>
  <c r="BD15" i="19"/>
  <c r="BD14" i="19"/>
  <c r="BD13" i="19"/>
  <c r="BD24" i="19"/>
  <c r="BD21" i="19"/>
  <c r="BD23" i="19"/>
  <c r="BD22" i="19"/>
  <c r="BD20" i="19"/>
  <c r="BC166" i="15"/>
  <c r="BC180" i="15" s="1"/>
  <c r="BC50" i="15"/>
  <c r="BC162" i="15"/>
  <c r="BC46" i="15"/>
  <c r="BC213" i="19"/>
  <c r="BC54" i="19"/>
  <c r="BB104" i="19"/>
  <c r="BB56" i="19"/>
  <c r="BB69" i="19" s="1"/>
  <c r="BB119" i="17"/>
  <c r="BB51" i="17"/>
  <c r="BB64" i="17" s="1"/>
  <c r="BB77" i="17" s="1"/>
  <c r="BB132" i="17" s="1"/>
  <c r="BE11" i="19"/>
  <c r="BE97" i="19"/>
  <c r="BE111" i="18"/>
  <c r="BE11" i="18"/>
  <c r="BE108" i="17"/>
  <c r="BE11" i="17"/>
  <c r="BE97" i="15"/>
  <c r="BE11" i="15"/>
  <c r="BE21" i="14"/>
  <c r="BE23" i="14" s="1"/>
  <c r="BC203" i="18"/>
  <c r="BC67" i="18"/>
  <c r="BC172" i="17"/>
  <c r="BC42" i="17"/>
  <c r="BC170" i="17"/>
  <c r="BC40" i="17"/>
  <c r="BB113" i="19"/>
  <c r="BB65" i="19"/>
  <c r="BB78" i="19" s="1"/>
  <c r="BB112" i="15"/>
  <c r="BB138" i="15" s="1"/>
  <c r="BB67" i="15"/>
  <c r="BB80" i="15" s="1"/>
  <c r="BB93" i="15" s="1"/>
  <c r="BB125" i="15" s="1"/>
  <c r="BA197" i="15"/>
  <c r="BA198" i="15"/>
  <c r="BB59" i="19"/>
  <c r="BB72" i="19" s="1"/>
  <c r="BB107" i="19"/>
  <c r="AO13" i="14"/>
  <c r="AO15" i="14" s="1"/>
  <c r="AO26" i="14" s="1"/>
  <c r="AO28" i="14" s="1"/>
  <c r="AO43" i="14"/>
  <c r="AO45" i="14" s="1"/>
  <c r="AO50" i="14" s="1"/>
  <c r="AO52" i="14" s="1"/>
  <c r="AO57" i="14" s="1"/>
  <c r="BB106" i="19"/>
  <c r="BB58" i="19"/>
  <c r="BB71" i="19" s="1"/>
  <c r="BC167" i="15"/>
  <c r="BC181" i="15" s="1"/>
  <c r="BC51" i="15"/>
  <c r="BC163" i="15"/>
  <c r="BC47" i="15"/>
  <c r="BB109" i="15"/>
  <c r="BB135" i="15" s="1"/>
  <c r="BB64" i="15"/>
  <c r="BB77" i="15" s="1"/>
  <c r="BB90" i="15" s="1"/>
  <c r="BB122" i="15" s="1"/>
  <c r="BC202" i="19"/>
  <c r="BC43" i="19"/>
  <c r="AR12" i="25"/>
  <c r="BB108" i="15"/>
  <c r="BB134" i="15" s="1"/>
  <c r="BB63" i="15"/>
  <c r="BB76" i="15" s="1"/>
  <c r="BB89" i="15" s="1"/>
  <c r="BB121" i="15" s="1"/>
  <c r="BD41" i="10"/>
  <c r="BD307" i="19"/>
  <c r="BD238" i="18"/>
  <c r="BD204" i="15"/>
  <c r="BD207" i="17"/>
  <c r="BD33" i="14"/>
  <c r="BD64" i="14"/>
  <c r="BB115" i="17"/>
  <c r="BB47" i="17"/>
  <c r="BB60" i="17" s="1"/>
  <c r="BB73" i="17" s="1"/>
  <c r="BB128" i="17" s="1"/>
  <c r="BC194" i="18"/>
  <c r="BC58" i="18"/>
  <c r="BB101" i="15"/>
  <c r="BB56" i="15"/>
  <c r="BB69" i="15" s="1"/>
  <c r="BB82" i="15" s="1"/>
  <c r="BB114" i="15" s="1"/>
  <c r="BC32" i="17"/>
  <c r="BC162" i="17"/>
  <c r="BA196" i="15"/>
  <c r="AP56" i="14"/>
  <c r="AP59" i="14" s="1"/>
  <c r="AP65" i="14" s="1"/>
  <c r="AP67" i="14" s="1"/>
  <c r="AP155" i="15" s="1"/>
  <c r="AP34" i="14"/>
  <c r="AP36" i="14" s="1"/>
  <c r="BC160" i="15"/>
  <c r="BC44" i="15"/>
  <c r="BC211" i="19"/>
  <c r="BC52" i="19"/>
  <c r="BB122" i="18"/>
  <c r="BB77" i="18"/>
  <c r="BB90" i="18" s="1"/>
  <c r="BB103" i="18" s="1"/>
  <c r="BB135" i="18" s="1"/>
  <c r="BB123" i="17"/>
  <c r="BB55" i="17"/>
  <c r="BB68" i="17" s="1"/>
  <c r="BB81" i="17" s="1"/>
  <c r="BB136" i="17" s="1"/>
  <c r="BB123" i="18"/>
  <c r="BB78" i="18"/>
  <c r="BB91" i="18" s="1"/>
  <c r="BB104" i="18" s="1"/>
  <c r="BB136" i="18" s="1"/>
  <c r="AN5" i="15"/>
  <c r="AN5" i="25"/>
  <c r="AN5" i="21"/>
  <c r="AN5" i="19"/>
  <c r="AN5" i="23"/>
  <c r="AN5" i="18"/>
  <c r="AN5" i="17"/>
  <c r="AN5" i="14"/>
  <c r="AM54" i="10"/>
  <c r="AN5" i="12"/>
  <c r="BB122" i="17"/>
  <c r="BB54" i="17"/>
  <c r="BB67" i="17" s="1"/>
  <c r="BB80" i="17" s="1"/>
  <c r="BB135" i="17" s="1"/>
  <c r="BB119" i="18"/>
  <c r="BB74" i="18"/>
  <c r="BB87" i="18" s="1"/>
  <c r="BB100" i="18" s="1"/>
  <c r="BB132" i="18" s="1"/>
  <c r="BC168" i="15"/>
  <c r="BC182" i="15" s="1"/>
  <c r="BC52" i="15"/>
  <c r="BC164" i="15"/>
  <c r="BC48" i="15"/>
  <c r="BC203" i="19"/>
  <c r="BC44" i="19"/>
  <c r="BB120" i="17"/>
  <c r="BB52" i="17"/>
  <c r="BB65" i="17" s="1"/>
  <c r="BB78" i="17" s="1"/>
  <c r="BB133" i="17" s="1"/>
  <c r="BB103" i="15"/>
  <c r="BB58" i="15"/>
  <c r="BB71" i="15" s="1"/>
  <c r="BB84" i="15" s="1"/>
  <c r="BB116" i="15" s="1"/>
  <c r="BE39" i="25"/>
  <c r="BE19" i="25"/>
  <c r="BE22" i="25"/>
  <c r="BE20" i="25"/>
  <c r="BE40" i="25"/>
  <c r="BE21" i="25"/>
  <c r="BC199" i="18"/>
  <c r="BC63" i="18"/>
  <c r="BC60" i="18"/>
  <c r="BC196" i="18"/>
  <c r="BC34" i="17"/>
  <c r="BC164" i="17"/>
  <c r="BB125" i="18"/>
  <c r="BB80" i="18"/>
  <c r="BB93" i="18" s="1"/>
  <c r="BB106" i="18" s="1"/>
  <c r="BB138" i="18" s="1"/>
  <c r="BB120" i="18"/>
  <c r="BB75" i="18"/>
  <c r="BB88" i="18" s="1"/>
  <c r="BB101" i="18" s="1"/>
  <c r="BB133" i="18" s="1"/>
  <c r="BB111" i="19"/>
  <c r="BB63" i="19"/>
  <c r="BB76" i="19" s="1"/>
  <c r="BD19" i="15"/>
  <c r="BD18" i="15"/>
  <c r="BD17" i="15"/>
  <c r="BD16" i="15"/>
  <c r="BD15" i="15"/>
  <c r="BD14" i="15"/>
  <c r="BD13" i="15"/>
  <c r="BD24" i="15"/>
  <c r="BD23" i="15"/>
  <c r="BD22" i="15"/>
  <c r="BD21" i="15"/>
  <c r="BD20" i="15"/>
  <c r="BB110" i="19"/>
  <c r="BB62" i="19"/>
  <c r="BB75" i="19" s="1"/>
  <c r="BB110" i="15"/>
  <c r="BB136" i="15" s="1"/>
  <c r="BB65" i="15"/>
  <c r="BB78" i="15" s="1"/>
  <c r="BB91" i="15" s="1"/>
  <c r="BB123" i="15" s="1"/>
  <c r="BC169" i="15"/>
  <c r="BC183" i="15" s="1"/>
  <c r="BC53" i="15"/>
  <c r="BB105" i="19"/>
  <c r="BB57" i="19"/>
  <c r="BB70" i="19" s="1"/>
  <c r="BC49" i="19"/>
  <c r="BC208" i="19"/>
  <c r="BC45" i="19"/>
  <c r="BC204" i="19"/>
  <c r="AR179" i="15"/>
  <c r="AZ179" i="15"/>
  <c r="AS179" i="15"/>
  <c r="AT179" i="15"/>
  <c r="AU179" i="15"/>
  <c r="AX179" i="15"/>
  <c r="AV179" i="15"/>
  <c r="AY179" i="15"/>
  <c r="AW179" i="15"/>
  <c r="BB117" i="18"/>
  <c r="BB72" i="18"/>
  <c r="BB85" i="18" s="1"/>
  <c r="BB98" i="18" s="1"/>
  <c r="BB130" i="18" s="1"/>
  <c r="BB118" i="17"/>
  <c r="BB50" i="17"/>
  <c r="BB63" i="17" s="1"/>
  <c r="BB76" i="17" s="1"/>
  <c r="BB131" i="17" s="1"/>
  <c r="BC200" i="18"/>
  <c r="BC64" i="18"/>
  <c r="BC195" i="18"/>
  <c r="BC59" i="18"/>
  <c r="BB124" i="18"/>
  <c r="BB79" i="18"/>
  <c r="BB92" i="18" s="1"/>
  <c r="BB105" i="18" s="1"/>
  <c r="BB137" i="18" s="1"/>
  <c r="BC167" i="17"/>
  <c r="BC37" i="17"/>
  <c r="BC163" i="17"/>
  <c r="BC33" i="17"/>
  <c r="BB111" i="15"/>
  <c r="BB137" i="15" s="1"/>
  <c r="BB66" i="15"/>
  <c r="BB79" i="15" s="1"/>
  <c r="BB92" i="15" s="1"/>
  <c r="BB124" i="15" s="1"/>
  <c r="BB118" i="18"/>
  <c r="BB73" i="18"/>
  <c r="BB86" i="18" s="1"/>
  <c r="BB99" i="18" s="1"/>
  <c r="BB131" i="18" s="1"/>
  <c r="BD19" i="17"/>
  <c r="BD18" i="17"/>
  <c r="BD13" i="17"/>
  <c r="BD15" i="17"/>
  <c r="BD14" i="17"/>
  <c r="BD16" i="17"/>
  <c r="BD24" i="17"/>
  <c r="BD23" i="17"/>
  <c r="BD21" i="17"/>
  <c r="BD22" i="17"/>
  <c r="BD20" i="17"/>
  <c r="BD17" i="18"/>
  <c r="BC197" i="18"/>
  <c r="BC61" i="18"/>
  <c r="BB114" i="17"/>
  <c r="BB46" i="17"/>
  <c r="BB59" i="17" s="1"/>
  <c r="BB72" i="17" s="1"/>
  <c r="BB127" i="17" s="1"/>
  <c r="BC170" i="15"/>
  <c r="BC184" i="15" s="1"/>
  <c r="BC54" i="15"/>
  <c r="BB115" i="18"/>
  <c r="BB70" i="18"/>
  <c r="BB83" i="18" s="1"/>
  <c r="BB96" i="18" s="1"/>
  <c r="BB128" i="18" s="1"/>
  <c r="BF3" i="25"/>
  <c r="BF3" i="21"/>
  <c r="BF3" i="23"/>
  <c r="BF3" i="19"/>
  <c r="BF3" i="18"/>
  <c r="BF3" i="17"/>
  <c r="BF3" i="12"/>
  <c r="BF3" i="14"/>
  <c r="BF3" i="15"/>
  <c r="BF36" i="10"/>
  <c r="BF24" i="10"/>
  <c r="BF52" i="10" s="1"/>
  <c r="BF21" i="10"/>
  <c r="BF51" i="10"/>
  <c r="BC209" i="19"/>
  <c r="BC50" i="19"/>
  <c r="BC205" i="19"/>
  <c r="BC46" i="19"/>
  <c r="AT133" i="15"/>
  <c r="AT193" i="15" s="1"/>
  <c r="AW133" i="15"/>
  <c r="AW193" i="15" s="1"/>
  <c r="AS133" i="15"/>
  <c r="AS193" i="15" s="1"/>
  <c r="AV133" i="15"/>
  <c r="AV193" i="15" s="1"/>
  <c r="AR133" i="15"/>
  <c r="AR193" i="15" s="1"/>
  <c r="AU133" i="15"/>
  <c r="AU193" i="15" s="1"/>
  <c r="AX133" i="15"/>
  <c r="AX193" i="15" s="1"/>
  <c r="AY133" i="15"/>
  <c r="AY193" i="15" s="1"/>
  <c r="BB115" i="19"/>
  <c r="BB67" i="19"/>
  <c r="BB80" i="19" s="1"/>
  <c r="BB107" i="15"/>
  <c r="BB133" i="15" s="1"/>
  <c r="BB62" i="15"/>
  <c r="BB75" i="15" s="1"/>
  <c r="BB88" i="15" s="1"/>
  <c r="BB120" i="15" s="1"/>
  <c r="BB112" i="19"/>
  <c r="BB64" i="19"/>
  <c r="BB77" i="19" s="1"/>
  <c r="BB102" i="15"/>
  <c r="BB57" i="15"/>
  <c r="BB70" i="15" s="1"/>
  <c r="BB83" i="15" s="1"/>
  <c r="BB115" i="15" s="1"/>
  <c r="BC201" i="18"/>
  <c r="BC65" i="18"/>
  <c r="BD18" i="18"/>
  <c r="BC198" i="18"/>
  <c r="BC62" i="18"/>
  <c r="BC168" i="17"/>
  <c r="BC38" i="17"/>
  <c r="BC161" i="17"/>
  <c r="BC31" i="17"/>
  <c r="AQ8" i="23"/>
  <c r="AQ99" i="15"/>
  <c r="AQ11" i="21"/>
  <c r="AQ154" i="15"/>
  <c r="AQ157" i="15" s="1"/>
  <c r="BB114" i="19"/>
  <c r="BB66" i="19"/>
  <c r="BB79" i="19" s="1"/>
  <c r="BC159" i="15"/>
  <c r="BC43" i="15"/>
  <c r="BB109" i="19"/>
  <c r="BB61" i="19"/>
  <c r="BB74" i="19" s="1"/>
  <c r="BC4" i="23"/>
  <c r="BC4" i="25"/>
  <c r="BC4" i="21"/>
  <c r="BC4" i="19"/>
  <c r="BC4" i="18"/>
  <c r="BC4" i="17"/>
  <c r="BC4" i="12"/>
  <c r="BC4" i="15"/>
  <c r="BC4" i="14"/>
  <c r="BC210" i="19"/>
  <c r="BC51" i="19"/>
  <c r="BC207" i="19"/>
  <c r="BC48" i="19"/>
  <c r="BB116" i="17"/>
  <c r="BB48" i="17"/>
  <c r="BB61" i="17" s="1"/>
  <c r="BB74" i="17" s="1"/>
  <c r="BB129" i="17" s="1"/>
  <c r="BB113" i="17"/>
  <c r="BB45" i="17"/>
  <c r="BB58" i="17" s="1"/>
  <c r="BB71" i="17" s="1"/>
  <c r="BB126" i="17" s="1"/>
  <c r="BC202" i="18"/>
  <c r="BC66" i="18"/>
  <c r="BB112" i="17"/>
  <c r="BB44" i="17"/>
  <c r="BB57" i="17" s="1"/>
  <c r="BB70" i="17" s="1"/>
  <c r="BB125" i="17" s="1"/>
  <c r="BC169" i="17"/>
  <c r="BC39" i="17"/>
  <c r="BC166" i="17"/>
  <c r="BC36" i="17"/>
  <c r="AD210" i="18" l="1"/>
  <c r="AJ210" i="18"/>
  <c r="AC210" i="18"/>
  <c r="AG210" i="18"/>
  <c r="AE210" i="18"/>
  <c r="AK210" i="18"/>
  <c r="AF210" i="18"/>
  <c r="BB90" i="19"/>
  <c r="BB125" i="19" s="1"/>
  <c r="BB88" i="19"/>
  <c r="BB123" i="19" s="1"/>
  <c r="BB92" i="19"/>
  <c r="BB127" i="19" s="1"/>
  <c r="BB91" i="19"/>
  <c r="BB126" i="19" s="1"/>
  <c r="BB83" i="19"/>
  <c r="BB118" i="19" s="1"/>
  <c r="BB87" i="19"/>
  <c r="BB122" i="19" s="1"/>
  <c r="BB85" i="19"/>
  <c r="BB120" i="19" s="1"/>
  <c r="BB82" i="19"/>
  <c r="BB117" i="19" s="1"/>
  <c r="BB86" i="19"/>
  <c r="BB121" i="19" s="1"/>
  <c r="BB84" i="19"/>
  <c r="BB119" i="19" s="1"/>
  <c r="BB93" i="19"/>
  <c r="BB128" i="19" s="1"/>
  <c r="BB89" i="19"/>
  <c r="BB124" i="19" s="1"/>
  <c r="AM210" i="18"/>
  <c r="AL210" i="18"/>
  <c r="AH210" i="18"/>
  <c r="AN210" i="18"/>
  <c r="AD92" i="17"/>
  <c r="AD98" i="17" s="1"/>
  <c r="AD188" i="18" s="1"/>
  <c r="AJ225" i="18"/>
  <c r="AJ154" i="18"/>
  <c r="AJ178" i="18" s="1"/>
  <c r="AJ180" i="18" s="1"/>
  <c r="AJ242" i="18" s="1"/>
  <c r="AJ245" i="18" s="1"/>
  <c r="AJ171" i="18"/>
  <c r="AK225" i="18"/>
  <c r="AK171" i="18"/>
  <c r="AK154" i="18"/>
  <c r="AK178" i="18" s="1"/>
  <c r="AK180" i="18" s="1"/>
  <c r="AK242" i="18" s="1"/>
  <c r="AK245" i="18" s="1"/>
  <c r="AD110" i="17"/>
  <c r="AD156" i="17"/>
  <c r="AR19" i="25"/>
  <c r="AR25" i="25"/>
  <c r="AN37" i="18"/>
  <c r="AN167" i="18" s="1"/>
  <c r="AN30" i="18"/>
  <c r="AN160" i="18" s="1"/>
  <c r="AN32" i="18"/>
  <c r="AN162" i="18" s="1"/>
  <c r="AN38" i="18"/>
  <c r="AN168" i="18" s="1"/>
  <c r="AN29" i="18"/>
  <c r="AN159" i="18" s="1"/>
  <c r="AN31" i="18"/>
  <c r="AN161" i="18" s="1"/>
  <c r="AN33" i="18"/>
  <c r="AN163" i="18" s="1"/>
  <c r="AN27" i="18"/>
  <c r="AN157" i="18" s="1"/>
  <c r="AN34" i="18"/>
  <c r="AN164" i="18" s="1"/>
  <c r="AN35" i="18"/>
  <c r="AN165" i="18" s="1"/>
  <c r="AN28" i="18"/>
  <c r="AN158" i="18" s="1"/>
  <c r="AN36" i="18"/>
  <c r="AN166" i="18" s="1"/>
  <c r="BI30" i="10"/>
  <c r="BI31" i="10" s="1"/>
  <c r="BI45" i="10" s="1"/>
  <c r="BI46" i="10" s="1"/>
  <c r="BB197" i="15"/>
  <c r="BB195" i="15"/>
  <c r="BB196" i="15"/>
  <c r="BB198" i="15"/>
  <c r="BC115" i="19"/>
  <c r="BC67" i="19"/>
  <c r="BC80" i="19" s="1"/>
  <c r="BD211" i="19"/>
  <c r="BD52" i="19"/>
  <c r="BD206" i="19"/>
  <c r="BD47" i="19"/>
  <c r="BC122" i="17"/>
  <c r="BC54" i="17"/>
  <c r="BC67" i="17" s="1"/>
  <c r="BC80" i="17" s="1"/>
  <c r="BC135" i="17" s="1"/>
  <c r="BE41" i="10"/>
  <c r="BE307" i="19"/>
  <c r="BE238" i="18"/>
  <c r="BE204" i="15"/>
  <c r="BE207" i="17"/>
  <c r="BE33" i="14"/>
  <c r="BE64" i="14"/>
  <c r="BD57" i="18"/>
  <c r="BD193" i="18"/>
  <c r="AU178" i="15"/>
  <c r="AV178" i="15"/>
  <c r="AY178" i="15"/>
  <c r="AT178" i="15"/>
  <c r="AW178" i="15"/>
  <c r="AX178" i="15"/>
  <c r="AQ178" i="15"/>
  <c r="AR178" i="15"/>
  <c r="AZ178" i="15"/>
  <c r="AS178" i="15"/>
  <c r="BA178" i="15"/>
  <c r="BC120" i="18"/>
  <c r="BC75" i="18"/>
  <c r="BC88" i="18" s="1"/>
  <c r="BC101" i="18" s="1"/>
  <c r="BC133" i="18" s="1"/>
  <c r="BC112" i="15"/>
  <c r="BC138" i="15" s="1"/>
  <c r="BC67" i="15"/>
  <c r="BC80" i="15" s="1"/>
  <c r="BC93" i="15" s="1"/>
  <c r="BC125" i="15" s="1"/>
  <c r="BD170" i="17"/>
  <c r="BD40" i="17"/>
  <c r="BD166" i="17"/>
  <c r="BD36" i="17"/>
  <c r="BC46" i="17"/>
  <c r="BC59" i="17" s="1"/>
  <c r="BC72" i="17" s="1"/>
  <c r="BC127" i="17" s="1"/>
  <c r="BC114" i="17"/>
  <c r="BC122" i="18"/>
  <c r="BC77" i="18"/>
  <c r="BC90" i="18" s="1"/>
  <c r="BC103" i="18" s="1"/>
  <c r="BC135" i="18" s="1"/>
  <c r="BD170" i="15"/>
  <c r="BD184" i="15" s="1"/>
  <c r="BD54" i="15"/>
  <c r="BC113" i="19"/>
  <c r="BC65" i="19"/>
  <c r="BC78" i="19" s="1"/>
  <c r="BC113" i="17"/>
  <c r="BC45" i="17"/>
  <c r="BC58" i="17" s="1"/>
  <c r="BC71" i="17" s="1"/>
  <c r="BC126" i="17" s="1"/>
  <c r="BB194" i="15"/>
  <c r="BC105" i="15"/>
  <c r="BC60" i="15"/>
  <c r="BC73" i="15" s="1"/>
  <c r="BC86" i="15" s="1"/>
  <c r="BC118" i="15" s="1"/>
  <c r="BD212" i="19"/>
  <c r="BD53" i="19"/>
  <c r="BD207" i="19"/>
  <c r="BD48" i="19"/>
  <c r="BH20" i="10"/>
  <c r="BH98" i="19"/>
  <c r="BH10" i="19"/>
  <c r="BH196" i="19"/>
  <c r="BH10" i="18"/>
  <c r="BH112" i="18"/>
  <c r="BH184" i="18"/>
  <c r="BH155" i="17"/>
  <c r="BH10" i="17"/>
  <c r="BH109" i="17"/>
  <c r="BH152" i="15"/>
  <c r="BH98" i="15"/>
  <c r="BH10" i="15"/>
  <c r="BI19" i="10"/>
  <c r="BC103" i="15"/>
  <c r="BC58" i="15"/>
  <c r="BC71" i="15" s="1"/>
  <c r="BC84" i="15" s="1"/>
  <c r="BC116" i="15" s="1"/>
  <c r="BD194" i="18"/>
  <c r="BD58" i="18"/>
  <c r="BD31" i="17"/>
  <c r="BD161" i="17"/>
  <c r="BD169" i="17"/>
  <c r="BD39" i="17"/>
  <c r="BE19" i="17"/>
  <c r="BD167" i="17"/>
  <c r="BD37" i="17"/>
  <c r="BC106" i="19"/>
  <c r="BC58" i="19"/>
  <c r="BC71" i="19" s="1"/>
  <c r="BD159" i="15"/>
  <c r="BD43" i="15"/>
  <c r="BC121" i="17"/>
  <c r="BC53" i="17"/>
  <c r="BC66" i="17" s="1"/>
  <c r="BC79" i="17" s="1"/>
  <c r="BC134" i="17" s="1"/>
  <c r="BE20" i="19"/>
  <c r="BE18" i="19"/>
  <c r="BE17" i="19"/>
  <c r="BE16" i="19"/>
  <c r="BE14" i="19"/>
  <c r="BE15" i="19"/>
  <c r="BE13" i="19"/>
  <c r="BE24" i="19"/>
  <c r="BE21" i="19"/>
  <c r="BE22" i="19"/>
  <c r="BE23" i="19"/>
  <c r="BD210" i="19"/>
  <c r="BD51" i="19"/>
  <c r="BE19" i="19"/>
  <c r="BD208" i="19"/>
  <c r="BD49" i="19"/>
  <c r="BD196" i="18"/>
  <c r="BD60" i="18"/>
  <c r="BD169" i="15"/>
  <c r="BD183" i="15" s="1"/>
  <c r="BD53" i="15"/>
  <c r="BC115" i="17"/>
  <c r="BC47" i="17"/>
  <c r="BC60" i="17" s="1"/>
  <c r="BC73" i="17" s="1"/>
  <c r="BC128" i="17" s="1"/>
  <c r="AO56" i="14"/>
  <c r="AO59" i="14" s="1"/>
  <c r="AO65" i="14" s="1"/>
  <c r="AO67" i="14" s="1"/>
  <c r="AO155" i="15" s="1"/>
  <c r="AO34" i="14"/>
  <c r="AO36" i="14" s="1"/>
  <c r="BD165" i="17"/>
  <c r="BD35" i="17"/>
  <c r="BC124" i="18"/>
  <c r="BC79" i="18"/>
  <c r="BC92" i="18" s="1"/>
  <c r="BC105" i="18" s="1"/>
  <c r="BC137" i="18" s="1"/>
  <c r="AX132" i="15"/>
  <c r="AX192" i="15" s="1"/>
  <c r="AT132" i="15"/>
  <c r="AT192" i="15" s="1"/>
  <c r="AR132" i="15"/>
  <c r="AR192" i="15" s="1"/>
  <c r="AQ132" i="15"/>
  <c r="AQ192" i="15" s="1"/>
  <c r="AY132" i="15"/>
  <c r="AY192" i="15" s="1"/>
  <c r="AU132" i="15"/>
  <c r="AU192" i="15" s="1"/>
  <c r="AV132" i="15"/>
  <c r="AV192" i="15" s="1"/>
  <c r="AW132" i="15"/>
  <c r="AW192" i="15" s="1"/>
  <c r="AS132" i="15"/>
  <c r="AS192" i="15" s="1"/>
  <c r="AZ132" i="15"/>
  <c r="AZ192" i="15" s="1"/>
  <c r="BE18" i="18"/>
  <c r="BD198" i="18"/>
  <c r="BD62" i="18"/>
  <c r="BB193" i="15"/>
  <c r="BF11" i="19"/>
  <c r="BF97" i="19"/>
  <c r="BF111" i="18"/>
  <c r="BF11" i="18"/>
  <c r="BF108" i="17"/>
  <c r="BF11" i="17"/>
  <c r="BF11" i="15"/>
  <c r="BF97" i="15"/>
  <c r="BF21" i="14"/>
  <c r="BF23" i="14" s="1"/>
  <c r="BD171" i="17"/>
  <c r="BD41" i="17"/>
  <c r="BC118" i="17"/>
  <c r="BC50" i="17"/>
  <c r="BC63" i="17" s="1"/>
  <c r="BC76" i="17" s="1"/>
  <c r="BC131" i="17" s="1"/>
  <c r="BD160" i="15"/>
  <c r="BD44" i="15"/>
  <c r="BC118" i="18"/>
  <c r="BC73" i="18"/>
  <c r="BC86" i="18" s="1"/>
  <c r="BC99" i="18" s="1"/>
  <c r="BC131" i="18" s="1"/>
  <c r="BC105" i="19"/>
  <c r="BC57" i="19"/>
  <c r="BC70" i="19" s="1"/>
  <c r="BC102" i="15"/>
  <c r="BC57" i="15"/>
  <c r="BC70" i="15" s="1"/>
  <c r="BC83" i="15" s="1"/>
  <c r="BC115" i="15" s="1"/>
  <c r="BC109" i="15"/>
  <c r="BC135" i="15" s="1"/>
  <c r="BC64" i="15"/>
  <c r="BC77" i="15" s="1"/>
  <c r="BC90" i="15" s="1"/>
  <c r="BC122" i="15" s="1"/>
  <c r="BE20" i="15"/>
  <c r="BE19" i="15"/>
  <c r="BE18" i="15"/>
  <c r="BE17" i="15"/>
  <c r="BE16" i="15"/>
  <c r="BE15" i="15"/>
  <c r="BE14" i="15"/>
  <c r="BE13" i="15"/>
  <c r="BE24" i="15"/>
  <c r="BE23" i="15"/>
  <c r="BE22" i="15"/>
  <c r="BE21" i="15"/>
  <c r="BC104" i="15"/>
  <c r="BC59" i="15"/>
  <c r="BC72" i="15" s="1"/>
  <c r="BC85" i="15" s="1"/>
  <c r="BC117" i="15" s="1"/>
  <c r="BD213" i="19"/>
  <c r="BD54" i="19"/>
  <c r="BC108" i="19"/>
  <c r="BC60" i="19"/>
  <c r="BC73" i="19" s="1"/>
  <c r="BC62" i="15"/>
  <c r="BC75" i="15" s="1"/>
  <c r="BC88" i="15" s="1"/>
  <c r="BC120" i="15" s="1"/>
  <c r="BC107" i="15"/>
  <c r="BC133" i="15" s="1"/>
  <c r="BD201" i="18"/>
  <c r="BD65" i="18"/>
  <c r="BD195" i="18"/>
  <c r="BD59" i="18"/>
  <c r="BC112" i="19"/>
  <c r="BC64" i="19"/>
  <c r="BC77" i="19" s="1"/>
  <c r="AQ12" i="25"/>
  <c r="BC123" i="18"/>
  <c r="BC78" i="18"/>
  <c r="BC91" i="18" s="1"/>
  <c r="BC104" i="18" s="1"/>
  <c r="BC136" i="18" s="1"/>
  <c r="BD42" i="17"/>
  <c r="BD172" i="17"/>
  <c r="BC110" i="19"/>
  <c r="BC62" i="19"/>
  <c r="BC75" i="19" s="1"/>
  <c r="BD161" i="15"/>
  <c r="BD45" i="15"/>
  <c r="BC121" i="18"/>
  <c r="BC76" i="18"/>
  <c r="BC89" i="18" s="1"/>
  <c r="BC102" i="18" s="1"/>
  <c r="BC134" i="18" s="1"/>
  <c r="BC116" i="18"/>
  <c r="BC71" i="18"/>
  <c r="BC84" i="18" s="1"/>
  <c r="BC97" i="18" s="1"/>
  <c r="BC129" i="18" s="1"/>
  <c r="BC104" i="19"/>
  <c r="BC56" i="19"/>
  <c r="BC69" i="19" s="1"/>
  <c r="BC123" i="17"/>
  <c r="BC55" i="17"/>
  <c r="BC68" i="17" s="1"/>
  <c r="BC81" i="17" s="1"/>
  <c r="BC136" i="17" s="1"/>
  <c r="BD202" i="19"/>
  <c r="BD43" i="19"/>
  <c r="BD200" i="18"/>
  <c r="BD64" i="18"/>
  <c r="BE19" i="18"/>
  <c r="BD63" i="18"/>
  <c r="BD199" i="18"/>
  <c r="BC117" i="17"/>
  <c r="BC49" i="17"/>
  <c r="BC62" i="17" s="1"/>
  <c r="BC75" i="17" s="1"/>
  <c r="BC130" i="17" s="1"/>
  <c r="BC101" i="15"/>
  <c r="BC56" i="15"/>
  <c r="BC69" i="15" s="1"/>
  <c r="BC82" i="15" s="1"/>
  <c r="BC114" i="15" s="1"/>
  <c r="BC112" i="17"/>
  <c r="BC44" i="17"/>
  <c r="BC57" i="17" s="1"/>
  <c r="BC70" i="17" s="1"/>
  <c r="BC125" i="17" s="1"/>
  <c r="BF39" i="10"/>
  <c r="BF38" i="10"/>
  <c r="BC119" i="18"/>
  <c r="BC74" i="18"/>
  <c r="BC87" i="18" s="1"/>
  <c r="BC100" i="18" s="1"/>
  <c r="BC132" i="18" s="1"/>
  <c r="BD164" i="17"/>
  <c r="BD34" i="17"/>
  <c r="BD50" i="15"/>
  <c r="BD166" i="15"/>
  <c r="BD180" i="15" s="1"/>
  <c r="BD162" i="15"/>
  <c r="BD46" i="15"/>
  <c r="BC106" i="15"/>
  <c r="BC61" i="15"/>
  <c r="BC74" i="15" s="1"/>
  <c r="BC87" i="15" s="1"/>
  <c r="BC119" i="15" s="1"/>
  <c r="AP99" i="15"/>
  <c r="AP154" i="15"/>
  <c r="AP157" i="15" s="1"/>
  <c r="AP11" i="21"/>
  <c r="AP8" i="23"/>
  <c r="BE20" i="17"/>
  <c r="BE17" i="17"/>
  <c r="BE18" i="17"/>
  <c r="BE14" i="17"/>
  <c r="BE15" i="17"/>
  <c r="BE16" i="17"/>
  <c r="BE13" i="17"/>
  <c r="BE24" i="17"/>
  <c r="BE23" i="17"/>
  <c r="BE21" i="17"/>
  <c r="BE22" i="17"/>
  <c r="BC108" i="15"/>
  <c r="BC134" i="15" s="1"/>
  <c r="BC63" i="15"/>
  <c r="BC76" i="15" s="1"/>
  <c r="BC89" i="15" s="1"/>
  <c r="BC121" i="15" s="1"/>
  <c r="BD203" i="19"/>
  <c r="BD44" i="19"/>
  <c r="BC126" i="18"/>
  <c r="BC81" i="18"/>
  <c r="BC94" i="18" s="1"/>
  <c r="BC107" i="18" s="1"/>
  <c r="BC139" i="18" s="1"/>
  <c r="BC115" i="18"/>
  <c r="BC70" i="18"/>
  <c r="BC83" i="18" s="1"/>
  <c r="BC96" i="18" s="1"/>
  <c r="BC128" i="18" s="1"/>
  <c r="BC114" i="19"/>
  <c r="BC66" i="19"/>
  <c r="BC79" i="19" s="1"/>
  <c r="BD66" i="18"/>
  <c r="BD202" i="18"/>
  <c r="BC111" i="19"/>
  <c r="BC63" i="19"/>
  <c r="BC76" i="19" s="1"/>
  <c r="BD168" i="17"/>
  <c r="BD38" i="17"/>
  <c r="BC109" i="19"/>
  <c r="BC61" i="19"/>
  <c r="BC74" i="19" s="1"/>
  <c r="BC59" i="19"/>
  <c r="BC72" i="19" s="1"/>
  <c r="BC107" i="19"/>
  <c r="BF22" i="25"/>
  <c r="BF20" i="25"/>
  <c r="BF21" i="25"/>
  <c r="BF40" i="25"/>
  <c r="BF19" i="25"/>
  <c r="BF39" i="25"/>
  <c r="BD32" i="17"/>
  <c r="BD162" i="17"/>
  <c r="BD167" i="15"/>
  <c r="BD181" i="15" s="1"/>
  <c r="BD51" i="15"/>
  <c r="BD163" i="15"/>
  <c r="BD47" i="15"/>
  <c r="AM5" i="15"/>
  <c r="AM5" i="23"/>
  <c r="AM5" i="25"/>
  <c r="AM5" i="19"/>
  <c r="AM5" i="21"/>
  <c r="AM5" i="18"/>
  <c r="AM5" i="17"/>
  <c r="AL54" i="10"/>
  <c r="AM5" i="14"/>
  <c r="AM5" i="12"/>
  <c r="BA132" i="15"/>
  <c r="BA192" i="15" s="1"/>
  <c r="BC125" i="18"/>
  <c r="BC80" i="18"/>
  <c r="BC93" i="18" s="1"/>
  <c r="BC106" i="18" s="1"/>
  <c r="BC138" i="18" s="1"/>
  <c r="BD204" i="19"/>
  <c r="BD45" i="19"/>
  <c r="BB132" i="15"/>
  <c r="BB192" i="15" s="1"/>
  <c r="BC116" i="17"/>
  <c r="BC48" i="17"/>
  <c r="BC61" i="17" s="1"/>
  <c r="BC74" i="17" s="1"/>
  <c r="BC129" i="17" s="1"/>
  <c r="BG3" i="25"/>
  <c r="BG3" i="23"/>
  <c r="BG3" i="19"/>
  <c r="BG3" i="21"/>
  <c r="BG3" i="18"/>
  <c r="BG3" i="17"/>
  <c r="BG3" i="12"/>
  <c r="BG3" i="14"/>
  <c r="BG3" i="15"/>
  <c r="BG36" i="10"/>
  <c r="BG51" i="10"/>
  <c r="BG24" i="10"/>
  <c r="BG52" i="10" s="1"/>
  <c r="BG21" i="10"/>
  <c r="BD204" i="18"/>
  <c r="BD68" i="18"/>
  <c r="BD165" i="15"/>
  <c r="BD49" i="15"/>
  <c r="BC120" i="17"/>
  <c r="BC52" i="17"/>
  <c r="BC65" i="17" s="1"/>
  <c r="BC78" i="17" s="1"/>
  <c r="BC133" i="17" s="1"/>
  <c r="BC119" i="17"/>
  <c r="BC51" i="17"/>
  <c r="BC64" i="17" s="1"/>
  <c r="BC77" i="17" s="1"/>
  <c r="BC132" i="17" s="1"/>
  <c r="BD197" i="18"/>
  <c r="BD61" i="18"/>
  <c r="BD163" i="17"/>
  <c r="BD33" i="17"/>
  <c r="BC117" i="18"/>
  <c r="BC72" i="18"/>
  <c r="BC85" i="18" s="1"/>
  <c r="BC98" i="18" s="1"/>
  <c r="BC130" i="18" s="1"/>
  <c r="BC111" i="15"/>
  <c r="BC137" i="15" s="1"/>
  <c r="BC66" i="15"/>
  <c r="BC79" i="15" s="1"/>
  <c r="BC92" i="15" s="1"/>
  <c r="BC124" i="15" s="1"/>
  <c r="BD168" i="15"/>
  <c r="BD182" i="15" s="1"/>
  <c r="BD52" i="15"/>
  <c r="BD164" i="15"/>
  <c r="BD48" i="15"/>
  <c r="BC110" i="15"/>
  <c r="BC136" i="15" s="1"/>
  <c r="BC65" i="15"/>
  <c r="BC78" i="15" s="1"/>
  <c r="BC91" i="15" s="1"/>
  <c r="BC123" i="15" s="1"/>
  <c r="AN13" i="14"/>
  <c r="AN15" i="14" s="1"/>
  <c r="AN26" i="14" s="1"/>
  <c r="AN28" i="14" s="1"/>
  <c r="AN43" i="14"/>
  <c r="AN45" i="14" s="1"/>
  <c r="AN50" i="14" s="1"/>
  <c r="AN52" i="14" s="1"/>
  <c r="AN57" i="14" s="1"/>
  <c r="BD4" i="25"/>
  <c r="BD4" i="21"/>
  <c r="BD4" i="19"/>
  <c r="BD4" i="23"/>
  <c r="BD4" i="18"/>
  <c r="BD4" i="17"/>
  <c r="BD4" i="15"/>
  <c r="BD4" i="14"/>
  <c r="BD4" i="12"/>
  <c r="BE20" i="18"/>
  <c r="BE17" i="18"/>
  <c r="BE16" i="18"/>
  <c r="BE15" i="18"/>
  <c r="BE14" i="18"/>
  <c r="BE23" i="18"/>
  <c r="BE13" i="18"/>
  <c r="BE24" i="18"/>
  <c r="BE22" i="18"/>
  <c r="BE21" i="18"/>
  <c r="BD209" i="19"/>
  <c r="BD50" i="19"/>
  <c r="BD205" i="19"/>
  <c r="BD46" i="19"/>
  <c r="BB178" i="15"/>
  <c r="BD203" i="18"/>
  <c r="BD67" i="18"/>
  <c r="AD101" i="17" l="1"/>
  <c r="AD189" i="18" s="1"/>
  <c r="BC88" i="19"/>
  <c r="BC123" i="19" s="1"/>
  <c r="BC91" i="19"/>
  <c r="BC126" i="19" s="1"/>
  <c r="BC85" i="19"/>
  <c r="BC120" i="19" s="1"/>
  <c r="BC87" i="19"/>
  <c r="BC122" i="19" s="1"/>
  <c r="BC92" i="19"/>
  <c r="BC127" i="19" s="1"/>
  <c r="BC93" i="19"/>
  <c r="BC128" i="19" s="1"/>
  <c r="BC89" i="19"/>
  <c r="BC124" i="19" s="1"/>
  <c r="BC83" i="19"/>
  <c r="BC118" i="19" s="1"/>
  <c r="BC84" i="19"/>
  <c r="BC119" i="19" s="1"/>
  <c r="BC82" i="19"/>
  <c r="BC117" i="19" s="1"/>
  <c r="BC90" i="19"/>
  <c r="BC125" i="19" s="1"/>
  <c r="BC86" i="19"/>
  <c r="BC121" i="19" s="1"/>
  <c r="AD191" i="18"/>
  <c r="AE211" i="18" s="1"/>
  <c r="AD104" i="17"/>
  <c r="AD157" i="17" s="1"/>
  <c r="AD159" i="17" s="1"/>
  <c r="AO179" i="17" s="1"/>
  <c r="AK101" i="19"/>
  <c r="AK173" i="18"/>
  <c r="AM142" i="17"/>
  <c r="AM193" i="17" s="1"/>
  <c r="AK142" i="17"/>
  <c r="AF142" i="17"/>
  <c r="AF193" i="17" s="1"/>
  <c r="AD142" i="17"/>
  <c r="AD193" i="17" s="1"/>
  <c r="AN142" i="17"/>
  <c r="AN193" i="17" s="1"/>
  <c r="AL142" i="17"/>
  <c r="AL193" i="17" s="1"/>
  <c r="AG142" i="17"/>
  <c r="AG193" i="17" s="1"/>
  <c r="AJ142" i="17"/>
  <c r="AO142" i="17"/>
  <c r="AO193" i="17" s="1"/>
  <c r="AE142" i="17"/>
  <c r="AE193" i="17" s="1"/>
  <c r="AH142" i="17"/>
  <c r="AH193" i="17" s="1"/>
  <c r="AI142" i="17"/>
  <c r="AI193" i="17" s="1"/>
  <c r="AJ101" i="19"/>
  <c r="AJ173" i="18"/>
  <c r="AJ99" i="19"/>
  <c r="AJ197" i="19"/>
  <c r="AJ17" i="23"/>
  <c r="AJ14" i="25" s="1"/>
  <c r="AJ21" i="25" s="1"/>
  <c r="AJ19" i="21"/>
  <c r="AK99" i="19"/>
  <c r="AK17" i="23"/>
  <c r="AK14" i="25" s="1"/>
  <c r="AK197" i="19"/>
  <c r="AK19" i="21"/>
  <c r="AQ19" i="25"/>
  <c r="AQ25" i="25"/>
  <c r="AM29" i="18"/>
  <c r="AM159" i="18" s="1"/>
  <c r="AM31" i="18"/>
  <c r="AM161" i="18" s="1"/>
  <c r="AM27" i="18"/>
  <c r="AM157" i="18" s="1"/>
  <c r="AM37" i="18"/>
  <c r="AM167" i="18" s="1"/>
  <c r="AM30" i="18"/>
  <c r="AM160" i="18" s="1"/>
  <c r="AM28" i="18"/>
  <c r="AM158" i="18" s="1"/>
  <c r="AM36" i="18"/>
  <c r="AM166" i="18" s="1"/>
  <c r="AM35" i="18"/>
  <c r="AM165" i="18" s="1"/>
  <c r="AM32" i="18"/>
  <c r="AM162" i="18" s="1"/>
  <c r="AM34" i="18"/>
  <c r="AM164" i="18" s="1"/>
  <c r="AM38" i="18"/>
  <c r="AM168" i="18" s="1"/>
  <c r="AM33" i="18"/>
  <c r="AM163" i="18" s="1"/>
  <c r="BC194" i="15"/>
  <c r="BC198" i="15"/>
  <c r="BC197" i="15"/>
  <c r="AO8" i="23"/>
  <c r="AO11" i="21"/>
  <c r="AO154" i="15"/>
  <c r="AO157" i="15" s="1"/>
  <c r="AO99" i="15"/>
  <c r="BD111" i="19"/>
  <c r="BD63" i="19"/>
  <c r="BD76" i="19" s="1"/>
  <c r="BE59" i="18"/>
  <c r="BE195" i="18"/>
  <c r="BC196" i="15"/>
  <c r="BD109" i="15"/>
  <c r="BD135" i="15" s="1"/>
  <c r="BD64" i="15"/>
  <c r="BD77" i="15" s="1"/>
  <c r="BD90" i="15" s="1"/>
  <c r="BD122" i="15" s="1"/>
  <c r="BD124" i="18"/>
  <c r="BD79" i="18"/>
  <c r="BD92" i="18" s="1"/>
  <c r="BD105" i="18" s="1"/>
  <c r="BD137" i="18" s="1"/>
  <c r="BE164" i="17"/>
  <c r="BE34" i="17"/>
  <c r="AP177" i="15"/>
  <c r="AX177" i="15"/>
  <c r="AS177" i="15"/>
  <c r="AQ177" i="15"/>
  <c r="AY177" i="15"/>
  <c r="AR177" i="15"/>
  <c r="BA177" i="15"/>
  <c r="AV177" i="15"/>
  <c r="AZ177" i="15"/>
  <c r="AT177" i="15"/>
  <c r="AW177" i="15"/>
  <c r="AU177" i="15"/>
  <c r="BD115" i="17"/>
  <c r="BD47" i="17"/>
  <c r="BD60" i="17" s="1"/>
  <c r="BD73" i="17" s="1"/>
  <c r="BD128" i="17" s="1"/>
  <c r="BE169" i="15"/>
  <c r="BE183" i="15" s="1"/>
  <c r="BE53" i="15"/>
  <c r="BE165" i="15"/>
  <c r="BE49" i="15"/>
  <c r="BE198" i="18"/>
  <c r="BE62" i="18"/>
  <c r="BE210" i="19"/>
  <c r="BE51" i="19"/>
  <c r="BF20" i="19"/>
  <c r="BE209" i="19"/>
  <c r="BE50" i="19"/>
  <c r="BI20" i="10"/>
  <c r="BI196" i="19"/>
  <c r="BI98" i="19"/>
  <c r="BI10" i="19"/>
  <c r="BI10" i="18"/>
  <c r="BI112" i="18"/>
  <c r="BI184" i="18"/>
  <c r="BI155" i="17"/>
  <c r="BI10" i="17"/>
  <c r="BI109" i="17"/>
  <c r="BI152" i="15"/>
  <c r="BI98" i="15"/>
  <c r="BI10" i="15"/>
  <c r="BD114" i="19"/>
  <c r="BD66" i="19"/>
  <c r="BD79" i="19" s="1"/>
  <c r="BD108" i="19"/>
  <c r="BD60" i="19"/>
  <c r="BD73" i="19" s="1"/>
  <c r="BE31" i="17"/>
  <c r="BE161" i="17"/>
  <c r="BD108" i="15"/>
  <c r="BD134" i="15" s="1"/>
  <c r="BD63" i="15"/>
  <c r="BD76" i="15" s="1"/>
  <c r="BD89" i="15" s="1"/>
  <c r="BD121" i="15" s="1"/>
  <c r="BE164" i="15"/>
  <c r="BE48" i="15"/>
  <c r="BF21" i="17"/>
  <c r="BF17" i="17"/>
  <c r="BF18" i="17"/>
  <c r="BF13" i="17"/>
  <c r="BF16" i="17"/>
  <c r="BF14" i="17"/>
  <c r="BF15" i="17"/>
  <c r="BF24" i="17"/>
  <c r="BF23" i="17"/>
  <c r="BF22" i="17"/>
  <c r="BE207" i="19"/>
  <c r="BE48" i="19"/>
  <c r="BE196" i="18"/>
  <c r="BE60" i="18"/>
  <c r="BD106" i="15"/>
  <c r="BD61" i="15"/>
  <c r="BD74" i="15" s="1"/>
  <c r="BD87" i="15" s="1"/>
  <c r="BD119" i="15" s="1"/>
  <c r="BD46" i="17"/>
  <c r="BD59" i="17" s="1"/>
  <c r="BD72" i="17" s="1"/>
  <c r="BD127" i="17" s="1"/>
  <c r="BD114" i="17"/>
  <c r="BG39" i="10"/>
  <c r="BG38" i="10"/>
  <c r="BE33" i="17"/>
  <c r="BE163" i="17"/>
  <c r="AR131" i="15"/>
  <c r="AR191" i="15" s="1"/>
  <c r="AQ131" i="15"/>
  <c r="AQ191" i="15" s="1"/>
  <c r="AU131" i="15"/>
  <c r="AU191" i="15" s="1"/>
  <c r="AT131" i="15"/>
  <c r="AT191" i="15" s="1"/>
  <c r="BA131" i="15"/>
  <c r="AS131" i="15"/>
  <c r="AS191" i="15" s="1"/>
  <c r="AP131" i="15"/>
  <c r="AP191" i="15" s="1"/>
  <c r="AZ131" i="15"/>
  <c r="AZ191" i="15" s="1"/>
  <c r="AV131" i="15"/>
  <c r="AV191" i="15" s="1"/>
  <c r="AX131" i="15"/>
  <c r="AX191" i="15" s="1"/>
  <c r="AW131" i="15"/>
  <c r="AW191" i="15" s="1"/>
  <c r="AY131" i="15"/>
  <c r="AY191" i="15" s="1"/>
  <c r="BD104" i="19"/>
  <c r="BD56" i="19"/>
  <c r="BD69" i="19" s="1"/>
  <c r="BE170" i="15"/>
  <c r="BE184" i="15" s="1"/>
  <c r="BE54" i="15"/>
  <c r="BE166" i="15"/>
  <c r="BE50" i="15"/>
  <c r="BF21" i="18"/>
  <c r="BF18" i="18"/>
  <c r="BF19" i="18"/>
  <c r="BF17" i="18"/>
  <c r="BF16" i="18"/>
  <c r="BF15" i="18"/>
  <c r="BF14" i="18"/>
  <c r="BF23" i="18"/>
  <c r="BF13" i="18"/>
  <c r="BF24" i="18"/>
  <c r="BF22" i="18"/>
  <c r="BD110" i="19"/>
  <c r="BD62" i="19"/>
  <c r="BD75" i="19" s="1"/>
  <c r="BE213" i="19"/>
  <c r="BE54" i="19"/>
  <c r="BD118" i="17"/>
  <c r="BD50" i="17"/>
  <c r="BD63" i="17" s="1"/>
  <c r="BD76" i="17" s="1"/>
  <c r="BD131" i="17" s="1"/>
  <c r="BD112" i="15"/>
  <c r="BD138" i="15" s="1"/>
  <c r="BD67" i="15"/>
  <c r="BD80" i="15" s="1"/>
  <c r="BD93" i="15" s="1"/>
  <c r="BD125" i="15" s="1"/>
  <c r="BD121" i="17"/>
  <c r="BD53" i="17"/>
  <c r="BD66" i="17" s="1"/>
  <c r="BD79" i="17" s="1"/>
  <c r="BD134" i="17" s="1"/>
  <c r="BD105" i="19"/>
  <c r="BD57" i="19"/>
  <c r="BD70" i="19" s="1"/>
  <c r="BD122" i="18"/>
  <c r="BD77" i="18"/>
  <c r="BD90" i="18" s="1"/>
  <c r="BD103" i="18" s="1"/>
  <c r="BD135" i="18" s="1"/>
  <c r="BD125" i="18"/>
  <c r="BD80" i="18"/>
  <c r="BD93" i="18" s="1"/>
  <c r="BD106" i="18" s="1"/>
  <c r="BD138" i="18" s="1"/>
  <c r="BE201" i="18"/>
  <c r="BE65" i="18"/>
  <c r="BE197" i="18"/>
  <c r="BE61" i="18"/>
  <c r="BD107" i="15"/>
  <c r="BD62" i="15"/>
  <c r="BD75" i="15" s="1"/>
  <c r="BD88" i="15" s="1"/>
  <c r="BD120" i="15" s="1"/>
  <c r="BG21" i="25"/>
  <c r="BG39" i="25"/>
  <c r="BG40" i="25"/>
  <c r="BG22" i="25"/>
  <c r="BG19" i="25"/>
  <c r="BG20" i="25"/>
  <c r="BE162" i="17"/>
  <c r="BE32" i="17"/>
  <c r="BD123" i="17"/>
  <c r="BD55" i="17"/>
  <c r="BD68" i="17" s="1"/>
  <c r="BD81" i="17" s="1"/>
  <c r="BD136" i="17" s="1"/>
  <c r="BD117" i="18"/>
  <c r="BD72" i="18"/>
  <c r="BD85" i="18" s="1"/>
  <c r="BD98" i="18" s="1"/>
  <c r="BD130" i="18" s="1"/>
  <c r="BD115" i="19"/>
  <c r="BD67" i="19"/>
  <c r="BD80" i="19" s="1"/>
  <c r="BE159" i="15"/>
  <c r="BE43" i="15"/>
  <c r="BD102" i="15"/>
  <c r="BD57" i="15"/>
  <c r="BD70" i="15" s="1"/>
  <c r="BD83" i="15" s="1"/>
  <c r="BD115" i="15" s="1"/>
  <c r="BE202" i="19"/>
  <c r="BE43" i="19"/>
  <c r="BD113" i="19"/>
  <c r="BD65" i="19"/>
  <c r="BD78" i="19" s="1"/>
  <c r="BE58" i="18"/>
  <c r="BE194" i="18"/>
  <c r="BE168" i="15"/>
  <c r="BE182" i="15" s="1"/>
  <c r="BE52" i="15"/>
  <c r="BE202" i="18"/>
  <c r="BE66" i="18"/>
  <c r="BF20" i="18"/>
  <c r="BE200" i="18"/>
  <c r="BE64" i="18"/>
  <c r="BD110" i="15"/>
  <c r="BD136" i="15" s="1"/>
  <c r="BD65" i="15"/>
  <c r="BD78" i="15" s="1"/>
  <c r="BD91" i="15" s="1"/>
  <c r="BD123" i="15" s="1"/>
  <c r="BD119" i="18"/>
  <c r="BD74" i="18"/>
  <c r="BD87" i="18" s="1"/>
  <c r="BD100" i="18" s="1"/>
  <c r="BD132" i="18" s="1"/>
  <c r="BD113" i="17"/>
  <c r="BD45" i="17"/>
  <c r="BD58" i="17" s="1"/>
  <c r="BD71" i="17" s="1"/>
  <c r="BD126" i="17" s="1"/>
  <c r="BD119" i="17"/>
  <c r="BD51" i="17"/>
  <c r="BD64" i="17" s="1"/>
  <c r="BD77" i="17" s="1"/>
  <c r="BD132" i="17" s="1"/>
  <c r="BE170" i="17"/>
  <c r="BE40" i="17"/>
  <c r="BE36" i="17"/>
  <c r="BE166" i="17"/>
  <c r="BE160" i="15"/>
  <c r="BE44" i="15"/>
  <c r="BC195" i="15"/>
  <c r="BD111" i="15"/>
  <c r="BD137" i="15" s="1"/>
  <c r="BD66" i="15"/>
  <c r="BD79" i="15" s="1"/>
  <c r="BD92" i="15" s="1"/>
  <c r="BD124" i="15" s="1"/>
  <c r="BE208" i="19"/>
  <c r="BE49" i="19"/>
  <c r="BE204" i="19"/>
  <c r="BE45" i="19"/>
  <c r="BF19" i="17"/>
  <c r="BE167" i="17"/>
  <c r="BE37" i="17"/>
  <c r="BD112" i="17"/>
  <c r="BD44" i="17"/>
  <c r="BD57" i="17" s="1"/>
  <c r="BD70" i="17" s="1"/>
  <c r="BD125" i="17" s="1"/>
  <c r="BE211" i="19"/>
  <c r="BE52" i="19"/>
  <c r="BE204" i="18"/>
  <c r="BE68" i="18"/>
  <c r="BD126" i="18"/>
  <c r="BD81" i="18"/>
  <c r="BD94" i="18" s="1"/>
  <c r="BD107" i="18" s="1"/>
  <c r="BD139" i="18" s="1"/>
  <c r="AM13" i="14"/>
  <c r="AM15" i="14" s="1"/>
  <c r="AM26" i="14" s="1"/>
  <c r="AM28" i="14" s="1"/>
  <c r="AM43" i="14"/>
  <c r="AM45" i="14" s="1"/>
  <c r="AM50" i="14" s="1"/>
  <c r="AM52" i="14" s="1"/>
  <c r="AM57" i="14" s="1"/>
  <c r="BE169" i="17"/>
  <c r="BE39" i="17"/>
  <c r="BE35" i="17"/>
  <c r="BE165" i="17"/>
  <c r="BD104" i="15"/>
  <c r="BD59" i="15"/>
  <c r="BD72" i="15" s="1"/>
  <c r="BD85" i="15" s="1"/>
  <c r="BD117" i="15" s="1"/>
  <c r="BF41" i="10"/>
  <c r="BF307" i="19"/>
  <c r="BF238" i="18"/>
  <c r="BF204" i="15"/>
  <c r="BF207" i="17"/>
  <c r="BF33" i="14"/>
  <c r="BF64" i="14"/>
  <c r="BD123" i="18"/>
  <c r="BD78" i="18"/>
  <c r="BD91" i="18" s="1"/>
  <c r="BD104" i="18" s="1"/>
  <c r="BD136" i="18" s="1"/>
  <c r="BE161" i="15"/>
  <c r="BE45" i="15"/>
  <c r="BF21" i="19"/>
  <c r="BF19" i="19"/>
  <c r="BF17" i="19"/>
  <c r="BF18" i="19"/>
  <c r="BF16" i="19"/>
  <c r="BF15" i="19"/>
  <c r="BF14" i="19"/>
  <c r="BF13" i="19"/>
  <c r="BF24" i="19"/>
  <c r="BF23" i="19"/>
  <c r="BF22" i="19"/>
  <c r="BD112" i="19"/>
  <c r="BD64" i="19"/>
  <c r="BD77" i="19" s="1"/>
  <c r="BE203" i="19"/>
  <c r="BE44" i="19"/>
  <c r="BD120" i="17"/>
  <c r="BD52" i="17"/>
  <c r="BD65" i="17" s="1"/>
  <c r="BD78" i="17" s="1"/>
  <c r="BD133" i="17" s="1"/>
  <c r="BD116" i="18"/>
  <c r="BD71" i="18"/>
  <c r="BD84" i="18" s="1"/>
  <c r="BD97" i="18" s="1"/>
  <c r="BD129" i="18" s="1"/>
  <c r="BD117" i="17"/>
  <c r="BD49" i="17"/>
  <c r="BD62" i="17" s="1"/>
  <c r="BD75" i="17" s="1"/>
  <c r="BD130" i="17" s="1"/>
  <c r="BE193" i="18"/>
  <c r="BE57" i="18"/>
  <c r="AL5" i="15"/>
  <c r="AL5" i="23"/>
  <c r="AL5" i="25"/>
  <c r="AL5" i="21"/>
  <c r="AL5" i="19"/>
  <c r="AL5" i="18"/>
  <c r="AL5" i="17"/>
  <c r="AL5" i="14"/>
  <c r="AL5" i="12"/>
  <c r="BE171" i="17"/>
  <c r="BE41" i="17"/>
  <c r="BF20" i="17"/>
  <c r="BE168" i="17"/>
  <c r="BE38" i="17"/>
  <c r="BD121" i="18"/>
  <c r="BD76" i="18"/>
  <c r="BD89" i="18" s="1"/>
  <c r="BD102" i="18" s="1"/>
  <c r="BD134" i="18" s="1"/>
  <c r="BD103" i="15"/>
  <c r="BD58" i="15"/>
  <c r="BD71" i="15" s="1"/>
  <c r="BD84" i="15" s="1"/>
  <c r="BD116" i="15" s="1"/>
  <c r="BE162" i="15"/>
  <c r="BE46" i="15"/>
  <c r="BD116" i="17"/>
  <c r="BD48" i="17"/>
  <c r="BD61" i="17" s="1"/>
  <c r="BD74" i="17" s="1"/>
  <c r="BD129" i="17" s="1"/>
  <c r="BD118" i="18"/>
  <c r="BD73" i="18"/>
  <c r="BD86" i="18" s="1"/>
  <c r="BD99" i="18" s="1"/>
  <c r="BD131" i="18" s="1"/>
  <c r="BE205" i="19"/>
  <c r="BE46" i="19"/>
  <c r="BD101" i="15"/>
  <c r="BD56" i="15"/>
  <c r="BD69" i="15" s="1"/>
  <c r="BD82" i="15" s="1"/>
  <c r="BD114" i="15" s="1"/>
  <c r="BH3" i="25"/>
  <c r="BH3" i="21"/>
  <c r="BH3" i="23"/>
  <c r="BH3" i="19"/>
  <c r="BH3" i="18"/>
  <c r="BH3" i="17"/>
  <c r="BH3" i="15"/>
  <c r="BH3" i="12"/>
  <c r="BH3" i="14"/>
  <c r="BH51" i="10"/>
  <c r="BH21" i="10"/>
  <c r="BH36" i="10"/>
  <c r="BH24" i="10"/>
  <c r="BH52" i="10" s="1"/>
  <c r="BE4" i="25"/>
  <c r="BE4" i="21"/>
  <c r="BE4" i="19"/>
  <c r="BE4" i="23"/>
  <c r="BE4" i="18"/>
  <c r="BE4" i="17"/>
  <c r="BE4" i="15"/>
  <c r="BE4" i="14"/>
  <c r="BE4" i="12"/>
  <c r="BD59" i="19"/>
  <c r="BD72" i="19" s="1"/>
  <c r="BD107" i="19"/>
  <c r="BE203" i="18"/>
  <c r="BE67" i="18"/>
  <c r="AN56" i="14"/>
  <c r="AN59" i="14" s="1"/>
  <c r="AN65" i="14" s="1"/>
  <c r="AN67" i="14" s="1"/>
  <c r="AN155" i="15" s="1"/>
  <c r="AN34" i="14"/>
  <c r="AN36" i="14" s="1"/>
  <c r="BG11" i="19"/>
  <c r="BG97" i="19"/>
  <c r="BG11" i="18"/>
  <c r="BG111" i="18"/>
  <c r="BG108" i="17"/>
  <c r="BG11" i="17"/>
  <c r="BG97" i="15"/>
  <c r="BG11" i="15"/>
  <c r="BG21" i="14"/>
  <c r="BG23" i="14" s="1"/>
  <c r="BD106" i="19"/>
  <c r="BD58" i="19"/>
  <c r="BD71" i="19" s="1"/>
  <c r="BD105" i="15"/>
  <c r="BD60" i="15"/>
  <c r="BD73" i="15" s="1"/>
  <c r="BD86" i="15" s="1"/>
  <c r="BD118" i="15" s="1"/>
  <c r="BE172" i="17"/>
  <c r="BE42" i="17"/>
  <c r="AP12" i="25"/>
  <c r="BE199" i="18"/>
  <c r="BE63" i="18"/>
  <c r="BC193" i="15"/>
  <c r="BE51" i="15"/>
  <c r="BE167" i="15"/>
  <c r="BE181" i="15" s="1"/>
  <c r="BE163" i="15"/>
  <c r="BE47" i="15"/>
  <c r="BD122" i="17"/>
  <c r="BD54" i="17"/>
  <c r="BD67" i="17" s="1"/>
  <c r="BD80" i="17" s="1"/>
  <c r="BD135" i="17" s="1"/>
  <c r="BF21" i="15"/>
  <c r="BF20" i="15"/>
  <c r="BF19" i="15"/>
  <c r="BF18" i="15"/>
  <c r="BF17" i="15"/>
  <c r="BF16" i="15"/>
  <c r="BF15" i="15"/>
  <c r="BF14" i="15"/>
  <c r="BF13" i="15"/>
  <c r="BF24" i="15"/>
  <c r="BF23" i="15"/>
  <c r="BF22" i="15"/>
  <c r="BD120" i="18"/>
  <c r="BD75" i="18"/>
  <c r="BD88" i="18" s="1"/>
  <c r="BD101" i="18" s="1"/>
  <c r="BD133" i="18" s="1"/>
  <c r="BE212" i="19"/>
  <c r="BE53" i="19"/>
  <c r="BE206" i="19"/>
  <c r="BE47" i="19"/>
  <c r="BD109" i="19"/>
  <c r="BD61" i="19"/>
  <c r="BD74" i="19" s="1"/>
  <c r="BD115" i="18"/>
  <c r="BD70" i="18"/>
  <c r="BD83" i="18" s="1"/>
  <c r="BD96" i="18" s="1"/>
  <c r="BD128" i="18" s="1"/>
  <c r="AH211" i="18" l="1"/>
  <c r="AM211" i="18"/>
  <c r="BD82" i="19"/>
  <c r="BD117" i="19" s="1"/>
  <c r="BD86" i="19"/>
  <c r="BD121" i="19" s="1"/>
  <c r="BD90" i="19"/>
  <c r="BD125" i="19" s="1"/>
  <c r="BD92" i="19"/>
  <c r="BD127" i="19" s="1"/>
  <c r="BD87" i="19"/>
  <c r="BD122" i="19" s="1"/>
  <c r="BD91" i="19"/>
  <c r="BD126" i="19" s="1"/>
  <c r="BD93" i="19"/>
  <c r="BD128" i="19" s="1"/>
  <c r="BD83" i="19"/>
  <c r="BD118" i="19" s="1"/>
  <c r="BD89" i="19"/>
  <c r="BD124" i="19" s="1"/>
  <c r="BD84" i="19"/>
  <c r="BD119" i="19" s="1"/>
  <c r="BD85" i="19"/>
  <c r="BD120" i="19" s="1"/>
  <c r="BD88" i="19"/>
  <c r="BD123" i="19" s="1"/>
  <c r="AG211" i="18"/>
  <c r="AE179" i="17"/>
  <c r="AM179" i="17"/>
  <c r="AF179" i="17"/>
  <c r="AK179" i="17"/>
  <c r="AI211" i="18"/>
  <c r="AK211" i="18"/>
  <c r="AK234" i="18" s="1"/>
  <c r="AK243" i="18" s="1"/>
  <c r="AK246" i="18" s="1"/>
  <c r="AK198" i="19" s="1"/>
  <c r="AK200" i="19" s="1"/>
  <c r="AP227" i="19" s="1"/>
  <c r="AP286" i="19" s="1"/>
  <c r="AD179" i="17"/>
  <c r="AI179" i="17"/>
  <c r="AG179" i="17"/>
  <c r="AL179" i="17"/>
  <c r="AN179" i="17"/>
  <c r="AH179" i="17"/>
  <c r="AJ179" i="17"/>
  <c r="AF211" i="18"/>
  <c r="AD211" i="18"/>
  <c r="AO211" i="18"/>
  <c r="AJ211" i="18"/>
  <c r="AJ234" i="18" s="1"/>
  <c r="AJ243" i="18" s="1"/>
  <c r="AJ246" i="18" s="1"/>
  <c r="AJ198" i="19" s="1"/>
  <c r="AJ200" i="19" s="1"/>
  <c r="AL211" i="18"/>
  <c r="AN211" i="18"/>
  <c r="AP175" i="19"/>
  <c r="AN175" i="19"/>
  <c r="AQ175" i="19"/>
  <c r="AJ175" i="19"/>
  <c r="AR175" i="19"/>
  <c r="AK175" i="19"/>
  <c r="AS175" i="19"/>
  <c r="AL175" i="19"/>
  <c r="AT175" i="19"/>
  <c r="AM175" i="19"/>
  <c r="AU175" i="19"/>
  <c r="AO175" i="19"/>
  <c r="AK140" i="19"/>
  <c r="AS140" i="19"/>
  <c r="AJ140" i="19"/>
  <c r="AL140" i="19"/>
  <c r="AT140" i="19"/>
  <c r="AN140" i="19"/>
  <c r="AP140" i="19"/>
  <c r="AM140" i="19"/>
  <c r="AQ140" i="19"/>
  <c r="AU140" i="19"/>
  <c r="AR140" i="19"/>
  <c r="AO140" i="19"/>
  <c r="AK193" i="17"/>
  <c r="AK202" i="17" s="1"/>
  <c r="AK211" i="17" s="1"/>
  <c r="AK214" i="17" s="1"/>
  <c r="AK151" i="17"/>
  <c r="AN227" i="19"/>
  <c r="AN286" i="19" s="1"/>
  <c r="AK27" i="25"/>
  <c r="AK21" i="25"/>
  <c r="AJ193" i="17"/>
  <c r="AJ202" i="17" s="1"/>
  <c r="AJ211" i="17" s="1"/>
  <c r="AJ214" i="17" s="1"/>
  <c r="AJ151" i="17"/>
  <c r="AN141" i="19"/>
  <c r="AR141" i="19"/>
  <c r="AV141" i="19"/>
  <c r="AK141" i="19"/>
  <c r="AO141" i="19"/>
  <c r="AS141" i="19"/>
  <c r="AP141" i="19"/>
  <c r="AL141" i="19"/>
  <c r="AQ141" i="19"/>
  <c r="AT141" i="19"/>
  <c r="AU141" i="19"/>
  <c r="AM141" i="19"/>
  <c r="AM176" i="19"/>
  <c r="AU176" i="19"/>
  <c r="AN176" i="19"/>
  <c r="AV176" i="19"/>
  <c r="AO176" i="19"/>
  <c r="AP176" i="19"/>
  <c r="AS176" i="19"/>
  <c r="AQ176" i="19"/>
  <c r="AR176" i="19"/>
  <c r="AL176" i="19"/>
  <c r="AT176" i="19"/>
  <c r="AK176" i="19"/>
  <c r="AP19" i="25"/>
  <c r="AP25" i="25"/>
  <c r="O170" i="19"/>
  <c r="O174" i="19"/>
  <c r="U176" i="19"/>
  <c r="Q175" i="19"/>
  <c r="O175" i="19"/>
  <c r="P176" i="19"/>
  <c r="N173" i="19"/>
  <c r="P172" i="19"/>
  <c r="P175" i="19"/>
  <c r="U174" i="19"/>
  <c r="Q176" i="19"/>
  <c r="T174" i="19"/>
  <c r="N167" i="19"/>
  <c r="U175" i="19"/>
  <c r="T176" i="19"/>
  <c r="Q171" i="19"/>
  <c r="R176" i="19"/>
  <c r="N172" i="19"/>
  <c r="T175" i="19"/>
  <c r="Q173" i="19"/>
  <c r="S176" i="19"/>
  <c r="O176" i="19"/>
  <c r="Q170" i="19"/>
  <c r="O169" i="19"/>
  <c r="R174" i="19"/>
  <c r="P174" i="19"/>
  <c r="O172" i="19"/>
  <c r="R173" i="19"/>
  <c r="N176" i="19"/>
  <c r="X176" i="19"/>
  <c r="R172" i="19"/>
  <c r="R171" i="19"/>
  <c r="V174" i="19"/>
  <c r="P171" i="19"/>
  <c r="P169" i="19"/>
  <c r="R170" i="19"/>
  <c r="N168" i="19"/>
  <c r="P173" i="19"/>
  <c r="N170" i="19"/>
  <c r="S172" i="19"/>
  <c r="P168" i="19"/>
  <c r="S171" i="19"/>
  <c r="W175" i="19"/>
  <c r="O171" i="19"/>
  <c r="N174" i="19"/>
  <c r="V175" i="19"/>
  <c r="S175" i="19"/>
  <c r="N175" i="19"/>
  <c r="W176" i="19"/>
  <c r="O168" i="19"/>
  <c r="Q174" i="19"/>
  <c r="T172" i="19"/>
  <c r="O173" i="19"/>
  <c r="N166" i="19"/>
  <c r="R175" i="19"/>
  <c r="T173" i="19"/>
  <c r="S174" i="19"/>
  <c r="Q169" i="19"/>
  <c r="P170" i="19"/>
  <c r="V176" i="19"/>
  <c r="S173" i="19"/>
  <c r="N169" i="19"/>
  <c r="N171" i="19"/>
  <c r="Q172" i="19"/>
  <c r="U173" i="19"/>
  <c r="O167" i="19"/>
  <c r="AL28" i="18"/>
  <c r="AL158" i="18" s="1"/>
  <c r="AL38" i="18"/>
  <c r="AL168" i="18" s="1"/>
  <c r="AL34" i="18"/>
  <c r="AL164" i="18" s="1"/>
  <c r="AL37" i="18"/>
  <c r="AL167" i="18" s="1"/>
  <c r="AL29" i="18"/>
  <c r="AL159" i="18" s="1"/>
  <c r="AL27" i="18"/>
  <c r="AL157" i="18" s="1"/>
  <c r="AL36" i="18"/>
  <c r="AL166" i="18" s="1"/>
  <c r="AL31" i="18"/>
  <c r="AL161" i="18" s="1"/>
  <c r="AL30" i="18"/>
  <c r="AL160" i="18" s="1"/>
  <c r="AL35" i="18"/>
  <c r="AL165" i="18" s="1"/>
  <c r="AL32" i="18"/>
  <c r="AL162" i="18" s="1"/>
  <c r="AL33" i="18"/>
  <c r="AL163" i="18" s="1"/>
  <c r="BD195" i="15"/>
  <c r="BE108" i="19"/>
  <c r="BE60" i="19"/>
  <c r="BE73" i="19" s="1"/>
  <c r="BF170" i="15"/>
  <c r="BF184" i="15" s="1"/>
  <c r="BF54" i="15"/>
  <c r="BF166" i="15"/>
  <c r="BF50" i="15"/>
  <c r="BE107" i="19"/>
  <c r="BE59" i="19"/>
  <c r="BE72" i="19" s="1"/>
  <c r="BF202" i="19"/>
  <c r="BF43" i="19"/>
  <c r="BE103" i="15"/>
  <c r="BE58" i="15"/>
  <c r="BE71" i="15" s="1"/>
  <c r="BE84" i="15" s="1"/>
  <c r="BE116" i="15" s="1"/>
  <c r="BD196" i="15"/>
  <c r="BE119" i="18"/>
  <c r="BE74" i="18"/>
  <c r="BE87" i="18" s="1"/>
  <c r="BE100" i="18" s="1"/>
  <c r="BE132" i="18" s="1"/>
  <c r="BF67" i="18"/>
  <c r="BF203" i="18"/>
  <c r="BE108" i="15"/>
  <c r="BE63" i="15"/>
  <c r="BE76" i="15" s="1"/>
  <c r="BE89" i="15" s="1"/>
  <c r="BE121" i="15" s="1"/>
  <c r="BG41" i="10"/>
  <c r="BG307" i="19"/>
  <c r="BG238" i="18"/>
  <c r="BG207" i="17"/>
  <c r="BG204" i="15"/>
  <c r="BG33" i="14"/>
  <c r="BG64" i="14"/>
  <c r="BE109" i="19"/>
  <c r="BE61" i="19"/>
  <c r="BE74" i="19" s="1"/>
  <c r="BF161" i="17"/>
  <c r="BF31" i="17"/>
  <c r="Q177" i="15"/>
  <c r="P180" i="15"/>
  <c r="T182" i="15"/>
  <c r="N174" i="15"/>
  <c r="P176" i="15"/>
  <c r="Q178" i="15"/>
  <c r="O179" i="15"/>
  <c r="O181" i="15"/>
  <c r="N181" i="15"/>
  <c r="N179" i="15"/>
  <c r="N175" i="15"/>
  <c r="O184" i="15"/>
  <c r="N182" i="15"/>
  <c r="Q183" i="15"/>
  <c r="O178" i="15"/>
  <c r="T180" i="15"/>
  <c r="O182" i="15"/>
  <c r="R179" i="15"/>
  <c r="W183" i="15"/>
  <c r="T184" i="15"/>
  <c r="U184" i="15"/>
  <c r="U183" i="15"/>
  <c r="N176" i="15"/>
  <c r="P181" i="15"/>
  <c r="R183" i="15"/>
  <c r="S179" i="15"/>
  <c r="W184" i="15"/>
  <c r="T183" i="15"/>
  <c r="U181" i="15"/>
  <c r="O176" i="15"/>
  <c r="P182" i="15"/>
  <c r="S183" i="15"/>
  <c r="P179" i="15"/>
  <c r="O183" i="15"/>
  <c r="Q184" i="15"/>
  <c r="V184" i="15"/>
  <c r="P184" i="15"/>
  <c r="Q179" i="15"/>
  <c r="V182" i="15"/>
  <c r="P177" i="15"/>
  <c r="Q182" i="15"/>
  <c r="X184" i="15"/>
  <c r="N178" i="15"/>
  <c r="N180" i="15"/>
  <c r="R178" i="15"/>
  <c r="S182" i="15"/>
  <c r="T181" i="15"/>
  <c r="P183" i="15"/>
  <c r="R180" i="15"/>
  <c r="O177" i="15"/>
  <c r="N183" i="15"/>
  <c r="R184" i="15"/>
  <c r="Q181" i="15"/>
  <c r="N177" i="15"/>
  <c r="S181" i="15"/>
  <c r="P178" i="15"/>
  <c r="Q180" i="15"/>
  <c r="O180" i="15"/>
  <c r="S184" i="15"/>
  <c r="R181" i="15"/>
  <c r="V183" i="15"/>
  <c r="O175" i="15"/>
  <c r="N184" i="15"/>
  <c r="S180" i="15"/>
  <c r="R182" i="15"/>
  <c r="U182" i="15"/>
  <c r="V140" i="19"/>
  <c r="N139" i="19"/>
  <c r="N135" i="19"/>
  <c r="N132" i="19"/>
  <c r="P140" i="19"/>
  <c r="T141" i="19"/>
  <c r="U138" i="19"/>
  <c r="S139" i="19"/>
  <c r="R135" i="19"/>
  <c r="U141" i="19"/>
  <c r="O135" i="19"/>
  <c r="O134" i="19"/>
  <c r="N137" i="19"/>
  <c r="W140" i="19"/>
  <c r="O140" i="19"/>
  <c r="T138" i="19"/>
  <c r="O132" i="19"/>
  <c r="N131" i="19"/>
  <c r="P134" i="19"/>
  <c r="Q138" i="19"/>
  <c r="T139" i="19"/>
  <c r="P139" i="19"/>
  <c r="N134" i="19"/>
  <c r="O141" i="19"/>
  <c r="O133" i="19"/>
  <c r="R138" i="19"/>
  <c r="Q135" i="19"/>
  <c r="N133" i="19"/>
  <c r="S141" i="19"/>
  <c r="S136" i="19"/>
  <c r="S140" i="19"/>
  <c r="P136" i="19"/>
  <c r="R140" i="19"/>
  <c r="N136" i="19"/>
  <c r="R139" i="19"/>
  <c r="O136" i="19"/>
  <c r="Q136" i="19"/>
  <c r="V141" i="19"/>
  <c r="T137" i="19"/>
  <c r="Q134" i="19"/>
  <c r="U139" i="19"/>
  <c r="S137" i="19"/>
  <c r="Q140" i="19"/>
  <c r="S138" i="19"/>
  <c r="X141" i="19"/>
  <c r="Q139" i="19"/>
  <c r="O137" i="19"/>
  <c r="P137" i="19"/>
  <c r="W141" i="19"/>
  <c r="N138" i="19"/>
  <c r="O138" i="19"/>
  <c r="R137" i="19"/>
  <c r="P141" i="19"/>
  <c r="N141" i="19"/>
  <c r="P135" i="19"/>
  <c r="O139" i="19"/>
  <c r="R141" i="19"/>
  <c r="P133" i="19"/>
  <c r="N140" i="19"/>
  <c r="T140" i="19"/>
  <c r="P138" i="19"/>
  <c r="R136" i="19"/>
  <c r="U140" i="19"/>
  <c r="Q137" i="19"/>
  <c r="Q141" i="19"/>
  <c r="V139" i="19"/>
  <c r="BE120" i="18"/>
  <c r="BE75" i="18"/>
  <c r="BE88" i="18" s="1"/>
  <c r="BE101" i="18" s="1"/>
  <c r="BE133" i="18" s="1"/>
  <c r="BF159" i="15"/>
  <c r="BF43" i="15"/>
  <c r="BF167" i="15"/>
  <c r="BF51" i="15"/>
  <c r="BG22" i="19"/>
  <c r="BG20" i="19"/>
  <c r="BG19" i="19"/>
  <c r="BG17" i="19"/>
  <c r="BG18" i="19"/>
  <c r="BG16" i="19"/>
  <c r="BG14" i="19"/>
  <c r="BG15" i="19"/>
  <c r="BG13" i="19"/>
  <c r="BG24" i="19"/>
  <c r="BG23" i="19"/>
  <c r="BG20" i="17"/>
  <c r="BF168" i="17"/>
  <c r="BF38" i="17"/>
  <c r="BE115" i="18"/>
  <c r="BE70" i="18"/>
  <c r="BE83" i="18" s="1"/>
  <c r="BE96" i="18" s="1"/>
  <c r="BE128" i="18" s="1"/>
  <c r="BE105" i="19"/>
  <c r="BE57" i="19"/>
  <c r="BE70" i="19" s="1"/>
  <c r="BF203" i="19"/>
  <c r="BF44" i="19"/>
  <c r="BE110" i="19"/>
  <c r="BE62" i="19"/>
  <c r="BE75" i="19" s="1"/>
  <c r="BE122" i="18"/>
  <c r="BE77" i="18"/>
  <c r="BE90" i="18" s="1"/>
  <c r="BE103" i="18" s="1"/>
  <c r="BE135" i="18" s="1"/>
  <c r="BE101" i="15"/>
  <c r="BE56" i="15"/>
  <c r="BE69" i="15" s="1"/>
  <c r="BE82" i="15" s="1"/>
  <c r="BE114" i="15" s="1"/>
  <c r="BE115" i="19"/>
  <c r="BE67" i="19"/>
  <c r="BE80" i="19" s="1"/>
  <c r="BF194" i="18"/>
  <c r="BF58" i="18"/>
  <c r="BF166" i="17"/>
  <c r="BF36" i="17"/>
  <c r="BE112" i="17"/>
  <c r="BE44" i="17"/>
  <c r="BE57" i="17" s="1"/>
  <c r="BE70" i="17" s="1"/>
  <c r="BE125" i="17" s="1"/>
  <c r="S144" i="17"/>
  <c r="S195" i="17" s="1"/>
  <c r="N149" i="17"/>
  <c r="N200" i="17" s="1"/>
  <c r="N146" i="17"/>
  <c r="N197" i="17" s="1"/>
  <c r="O141" i="17"/>
  <c r="O192" i="17" s="1"/>
  <c r="Q147" i="17"/>
  <c r="Q198" i="17" s="1"/>
  <c r="U147" i="17"/>
  <c r="U198" i="17" s="1"/>
  <c r="P147" i="17"/>
  <c r="P198" i="17" s="1"/>
  <c r="S146" i="17"/>
  <c r="S197" i="17" s="1"/>
  <c r="V147" i="17"/>
  <c r="V198" i="17" s="1"/>
  <c r="N141" i="17"/>
  <c r="N192" i="17" s="1"/>
  <c r="T148" i="17"/>
  <c r="T199" i="17" s="1"/>
  <c r="R148" i="17"/>
  <c r="R199" i="17" s="1"/>
  <c r="Q144" i="17"/>
  <c r="Q195" i="17" s="1"/>
  <c r="O140" i="17"/>
  <c r="O191" i="17" s="1"/>
  <c r="T145" i="17"/>
  <c r="T196" i="17" s="1"/>
  <c r="Q146" i="17"/>
  <c r="Q197" i="17" s="1"/>
  <c r="O147" i="17"/>
  <c r="O198" i="17" s="1"/>
  <c r="N142" i="17"/>
  <c r="N193" i="17" s="1"/>
  <c r="Q145" i="17"/>
  <c r="Q196" i="17" s="1"/>
  <c r="N148" i="17"/>
  <c r="N199" i="17" s="1"/>
  <c r="Q148" i="17"/>
  <c r="Q199" i="17" s="1"/>
  <c r="U146" i="17"/>
  <c r="U197" i="17" s="1"/>
  <c r="Q142" i="17"/>
  <c r="Q193" i="17" s="1"/>
  <c r="V148" i="17"/>
  <c r="V199" i="17" s="1"/>
  <c r="O145" i="17"/>
  <c r="O196" i="17" s="1"/>
  <c r="R143" i="17"/>
  <c r="R194" i="17" s="1"/>
  <c r="N140" i="17"/>
  <c r="N191" i="17" s="1"/>
  <c r="S145" i="17"/>
  <c r="S196" i="17" s="1"/>
  <c r="W148" i="17"/>
  <c r="W199" i="17" s="1"/>
  <c r="W149" i="17"/>
  <c r="W200" i="17" s="1"/>
  <c r="U149" i="17"/>
  <c r="U200" i="17" s="1"/>
  <c r="R147" i="17"/>
  <c r="R198" i="17" s="1"/>
  <c r="N145" i="17"/>
  <c r="N196" i="17" s="1"/>
  <c r="N143" i="17"/>
  <c r="N194" i="17" s="1"/>
  <c r="Q149" i="17"/>
  <c r="Q200" i="17" s="1"/>
  <c r="O149" i="17"/>
  <c r="O200" i="17" s="1"/>
  <c r="P146" i="17"/>
  <c r="P197" i="17" s="1"/>
  <c r="P143" i="17"/>
  <c r="P194" i="17" s="1"/>
  <c r="S149" i="17"/>
  <c r="S200" i="17" s="1"/>
  <c r="O142" i="17"/>
  <c r="O193" i="17" s="1"/>
  <c r="P149" i="17"/>
  <c r="P200" i="17" s="1"/>
  <c r="S148" i="17"/>
  <c r="S199" i="17" s="1"/>
  <c r="T147" i="17"/>
  <c r="T198" i="17" s="1"/>
  <c r="T146" i="17"/>
  <c r="T197" i="17" s="1"/>
  <c r="O148" i="17"/>
  <c r="O199" i="17" s="1"/>
  <c r="O143" i="17"/>
  <c r="O194" i="17" s="1"/>
  <c r="R146" i="17"/>
  <c r="R197" i="17" s="1"/>
  <c r="T149" i="17"/>
  <c r="T200" i="17" s="1"/>
  <c r="R145" i="17"/>
  <c r="R196" i="17" s="1"/>
  <c r="Q143" i="17"/>
  <c r="Q194" i="17" s="1"/>
  <c r="N144" i="17"/>
  <c r="N195" i="17" s="1"/>
  <c r="P144" i="17"/>
  <c r="P195" i="17" s="1"/>
  <c r="N147" i="17"/>
  <c r="N198" i="17" s="1"/>
  <c r="X149" i="17"/>
  <c r="X200" i="17" s="1"/>
  <c r="U148" i="17"/>
  <c r="U199" i="17" s="1"/>
  <c r="V149" i="17"/>
  <c r="V200" i="17" s="1"/>
  <c r="O144" i="17"/>
  <c r="O195" i="17" s="1"/>
  <c r="P142" i="17"/>
  <c r="P193" i="17" s="1"/>
  <c r="R144" i="17"/>
  <c r="R195" i="17" s="1"/>
  <c r="N139" i="17"/>
  <c r="N190" i="17" s="1"/>
  <c r="P148" i="17"/>
  <c r="P199" i="17" s="1"/>
  <c r="S147" i="17"/>
  <c r="S198" i="17" s="1"/>
  <c r="P141" i="17"/>
  <c r="P192" i="17" s="1"/>
  <c r="O146" i="17"/>
  <c r="O197" i="17" s="1"/>
  <c r="P145" i="17"/>
  <c r="P196" i="17" s="1"/>
  <c r="R149" i="17"/>
  <c r="R200" i="17" s="1"/>
  <c r="N223" i="19"/>
  <c r="N282" i="19" s="1"/>
  <c r="O221" i="19"/>
  <c r="O280" i="19" s="1"/>
  <c r="U224" i="19"/>
  <c r="U283" i="19" s="1"/>
  <c r="T227" i="19"/>
  <c r="T286" i="19" s="1"/>
  <c r="O224" i="19"/>
  <c r="O283" i="19" s="1"/>
  <c r="V226" i="19"/>
  <c r="V285" i="19" s="1"/>
  <c r="O226" i="19"/>
  <c r="O285" i="19" s="1"/>
  <c r="S227" i="19"/>
  <c r="S286" i="19" s="1"/>
  <c r="O218" i="19"/>
  <c r="O277" i="19" s="1"/>
  <c r="N219" i="19"/>
  <c r="N278" i="19" s="1"/>
  <c r="P225" i="19"/>
  <c r="P284" i="19" s="1"/>
  <c r="Q225" i="19"/>
  <c r="Q284" i="19" s="1"/>
  <c r="U227" i="19"/>
  <c r="U286" i="19" s="1"/>
  <c r="S226" i="19"/>
  <c r="S285" i="19" s="1"/>
  <c r="R221" i="19"/>
  <c r="R280" i="19" s="1"/>
  <c r="N227" i="19"/>
  <c r="N286" i="19" s="1"/>
  <c r="P222" i="19"/>
  <c r="P281" i="19" s="1"/>
  <c r="R227" i="19"/>
  <c r="R286" i="19" s="1"/>
  <c r="O222" i="19"/>
  <c r="O281" i="19" s="1"/>
  <c r="O225" i="19"/>
  <c r="O284" i="19" s="1"/>
  <c r="P224" i="19"/>
  <c r="P283" i="19" s="1"/>
  <c r="N217" i="19"/>
  <c r="N276" i="19" s="1"/>
  <c r="P226" i="19"/>
  <c r="P285" i="19" s="1"/>
  <c r="Q221" i="19"/>
  <c r="Q280" i="19" s="1"/>
  <c r="Q227" i="19"/>
  <c r="Q286" i="19" s="1"/>
  <c r="R225" i="19"/>
  <c r="R284" i="19" s="1"/>
  <c r="S222" i="19"/>
  <c r="S281" i="19" s="1"/>
  <c r="R226" i="19"/>
  <c r="R285" i="19" s="1"/>
  <c r="V227" i="19"/>
  <c r="V286" i="19" s="1"/>
  <c r="R223" i="19"/>
  <c r="R282" i="19" s="1"/>
  <c r="O227" i="19"/>
  <c r="O286" i="19" s="1"/>
  <c r="S223" i="19"/>
  <c r="S282" i="19" s="1"/>
  <c r="Q226" i="19"/>
  <c r="Q285" i="19" s="1"/>
  <c r="W226" i="19"/>
  <c r="W285" i="19" s="1"/>
  <c r="N222" i="19"/>
  <c r="N281" i="19" s="1"/>
  <c r="O219" i="19"/>
  <c r="O278" i="19" s="1"/>
  <c r="P227" i="19"/>
  <c r="P286" i="19" s="1"/>
  <c r="R222" i="19"/>
  <c r="R281" i="19" s="1"/>
  <c r="T226" i="19"/>
  <c r="T285" i="19" s="1"/>
  <c r="N225" i="19"/>
  <c r="N284" i="19" s="1"/>
  <c r="T223" i="19"/>
  <c r="T282" i="19" s="1"/>
  <c r="P220" i="19"/>
  <c r="P279" i="19" s="1"/>
  <c r="P223" i="19"/>
  <c r="P282" i="19" s="1"/>
  <c r="P221" i="19"/>
  <c r="P280" i="19" s="1"/>
  <c r="N224" i="19"/>
  <c r="N283" i="19" s="1"/>
  <c r="U226" i="19"/>
  <c r="U285" i="19" s="1"/>
  <c r="N220" i="19"/>
  <c r="N279" i="19" s="1"/>
  <c r="T225" i="19"/>
  <c r="T284" i="19" s="1"/>
  <c r="N218" i="19"/>
  <c r="N277" i="19" s="1"/>
  <c r="W227" i="19"/>
  <c r="W286" i="19" s="1"/>
  <c r="Q220" i="19"/>
  <c r="Q279" i="19" s="1"/>
  <c r="S224" i="19"/>
  <c r="S283" i="19" s="1"/>
  <c r="O220" i="19"/>
  <c r="O279" i="19" s="1"/>
  <c r="U225" i="19"/>
  <c r="U284" i="19" s="1"/>
  <c r="O223" i="19"/>
  <c r="O282" i="19" s="1"/>
  <c r="T224" i="19"/>
  <c r="T283" i="19" s="1"/>
  <c r="S225" i="19"/>
  <c r="S284" i="19" s="1"/>
  <c r="Q224" i="19"/>
  <c r="Q283" i="19" s="1"/>
  <c r="N221" i="19"/>
  <c r="N280" i="19" s="1"/>
  <c r="P219" i="19"/>
  <c r="P278" i="19" s="1"/>
  <c r="R224" i="19"/>
  <c r="R283" i="19" s="1"/>
  <c r="V225" i="19"/>
  <c r="V284" i="19" s="1"/>
  <c r="Q222" i="19"/>
  <c r="Q281" i="19" s="1"/>
  <c r="Q223" i="19"/>
  <c r="Q282" i="19" s="1"/>
  <c r="X227" i="19"/>
  <c r="X286" i="19" s="1"/>
  <c r="N226" i="19"/>
  <c r="N285" i="19" s="1"/>
  <c r="BE114" i="19"/>
  <c r="BE66" i="19"/>
  <c r="BE79" i="19" s="1"/>
  <c r="BF160" i="15"/>
  <c r="BF44" i="15"/>
  <c r="BG22" i="15"/>
  <c r="BG21" i="15"/>
  <c r="BG20" i="15"/>
  <c r="BG19" i="15"/>
  <c r="BG18" i="15"/>
  <c r="BG17" i="15"/>
  <c r="BG16" i="15"/>
  <c r="BG15" i="15"/>
  <c r="BG14" i="15"/>
  <c r="BG13" i="15"/>
  <c r="BG24" i="15"/>
  <c r="BG23" i="15"/>
  <c r="AN99" i="15"/>
  <c r="AN11" i="21"/>
  <c r="AN154" i="15"/>
  <c r="AN157" i="15" s="1"/>
  <c r="AN8" i="23"/>
  <c r="BH39" i="10"/>
  <c r="BH38" i="10"/>
  <c r="BE122" i="17"/>
  <c r="BE54" i="17"/>
  <c r="BE67" i="17" s="1"/>
  <c r="BE80" i="17" s="1"/>
  <c r="BE135" i="17" s="1"/>
  <c r="BF204" i="19"/>
  <c r="BF45" i="19"/>
  <c r="BF4" i="25"/>
  <c r="BF4" i="21"/>
  <c r="BF4" i="23"/>
  <c r="BF4" i="19"/>
  <c r="BF4" i="18"/>
  <c r="BF4" i="17"/>
  <c r="BF4" i="15"/>
  <c r="BF4" i="14"/>
  <c r="BF4" i="12"/>
  <c r="AM34" i="14"/>
  <c r="AM36" i="14" s="1"/>
  <c r="AM56" i="14"/>
  <c r="AM59" i="14" s="1"/>
  <c r="AM65" i="14" s="1"/>
  <c r="AM67" i="14" s="1"/>
  <c r="AM155" i="15" s="1"/>
  <c r="BE116" i="18"/>
  <c r="BE71" i="18"/>
  <c r="BE84" i="18" s="1"/>
  <c r="BE97" i="18" s="1"/>
  <c r="BE129" i="18" s="1"/>
  <c r="BE113" i="17"/>
  <c r="BE45" i="17"/>
  <c r="BE58" i="17" s="1"/>
  <c r="BE71" i="17" s="1"/>
  <c r="BE126" i="17" s="1"/>
  <c r="BE123" i="18"/>
  <c r="BE78" i="18"/>
  <c r="BE91" i="18" s="1"/>
  <c r="BE104" i="18" s="1"/>
  <c r="BE136" i="18" s="1"/>
  <c r="BF195" i="18"/>
  <c r="BF59" i="18"/>
  <c r="BE112" i="15"/>
  <c r="BE138" i="15" s="1"/>
  <c r="BE67" i="15"/>
  <c r="BE80" i="15" s="1"/>
  <c r="BE93" i="15" s="1"/>
  <c r="BE125" i="15" s="1"/>
  <c r="BF170" i="17"/>
  <c r="BF40" i="17"/>
  <c r="BF165" i="17"/>
  <c r="BF35" i="17"/>
  <c r="BI3" i="21"/>
  <c r="BI3" i="23"/>
  <c r="BI3" i="25"/>
  <c r="BI3" i="19"/>
  <c r="BI3" i="18"/>
  <c r="BI3" i="17"/>
  <c r="BI3" i="15"/>
  <c r="BI3" i="12"/>
  <c r="BI3" i="14"/>
  <c r="BI24" i="10"/>
  <c r="BI52" i="10" s="1"/>
  <c r="BI51" i="10"/>
  <c r="BI21" i="10"/>
  <c r="BI36" i="10"/>
  <c r="BE107" i="15"/>
  <c r="BE62" i="15"/>
  <c r="BE75" i="15" s="1"/>
  <c r="BE88" i="15" s="1"/>
  <c r="BE120" i="15" s="1"/>
  <c r="BF161" i="15"/>
  <c r="BF45" i="15"/>
  <c r="BE121" i="18"/>
  <c r="BE76" i="18"/>
  <c r="BE89" i="18" s="1"/>
  <c r="BE102" i="18" s="1"/>
  <c r="BE134" i="18" s="1"/>
  <c r="BH97" i="19"/>
  <c r="BH11" i="19"/>
  <c r="BH11" i="18"/>
  <c r="BH111" i="18"/>
  <c r="BH108" i="17"/>
  <c r="BH11" i="17"/>
  <c r="BH97" i="15"/>
  <c r="BH11" i="15"/>
  <c r="BH21" i="14"/>
  <c r="BH23" i="14" s="1"/>
  <c r="BF46" i="19"/>
  <c r="BF205" i="19"/>
  <c r="BG20" i="18"/>
  <c r="BF64" i="18"/>
  <c r="BF200" i="18"/>
  <c r="BF60" i="18"/>
  <c r="BF196" i="18"/>
  <c r="BF171" i="17"/>
  <c r="BF41" i="17"/>
  <c r="BG21" i="17"/>
  <c r="BF39" i="17"/>
  <c r="BF169" i="17"/>
  <c r="O184" i="17"/>
  <c r="N183" i="17"/>
  <c r="Q185" i="17"/>
  <c r="N177" i="17"/>
  <c r="T185" i="17"/>
  <c r="R180" i="17"/>
  <c r="Q180" i="17"/>
  <c r="O180" i="17"/>
  <c r="N176" i="17"/>
  <c r="P185" i="17"/>
  <c r="R185" i="17"/>
  <c r="W185" i="17"/>
  <c r="T183" i="17"/>
  <c r="V184" i="17"/>
  <c r="S182" i="17"/>
  <c r="O177" i="17"/>
  <c r="N185" i="17"/>
  <c r="P180" i="17"/>
  <c r="T184" i="17"/>
  <c r="O179" i="17"/>
  <c r="P181" i="17"/>
  <c r="O185" i="17"/>
  <c r="Q179" i="17"/>
  <c r="V185" i="17"/>
  <c r="O186" i="17"/>
  <c r="N178" i="17"/>
  <c r="S186" i="17"/>
  <c r="N186" i="17"/>
  <c r="N180" i="17"/>
  <c r="O181" i="17"/>
  <c r="T182" i="17"/>
  <c r="S184" i="17"/>
  <c r="U185" i="17"/>
  <c r="S185" i="17"/>
  <c r="X186" i="17"/>
  <c r="Q186" i="17"/>
  <c r="R184" i="17"/>
  <c r="P186" i="17"/>
  <c r="U186" i="17"/>
  <c r="W186" i="17"/>
  <c r="Q183" i="17"/>
  <c r="Q184" i="17"/>
  <c r="N182" i="17"/>
  <c r="P184" i="17"/>
  <c r="T186" i="17"/>
  <c r="V186" i="17"/>
  <c r="U184" i="17"/>
  <c r="P183" i="17"/>
  <c r="R183" i="17"/>
  <c r="N181" i="17"/>
  <c r="P182" i="17"/>
  <c r="R182" i="17"/>
  <c r="R181" i="17"/>
  <c r="N184" i="17"/>
  <c r="Q181" i="17"/>
  <c r="O182" i="17"/>
  <c r="N179" i="17"/>
  <c r="P178" i="17"/>
  <c r="Q182" i="17"/>
  <c r="S183" i="17"/>
  <c r="O178" i="17"/>
  <c r="U183" i="17"/>
  <c r="P179" i="17"/>
  <c r="O183" i="17"/>
  <c r="S181" i="17"/>
  <c r="R186" i="17"/>
  <c r="BE111" i="19"/>
  <c r="BE63" i="19"/>
  <c r="BE76" i="19" s="1"/>
  <c r="AU130" i="15"/>
  <c r="AU190" i="15" s="1"/>
  <c r="AQ130" i="15"/>
  <c r="AQ190" i="15" s="1"/>
  <c r="AO130" i="15"/>
  <c r="AO190" i="15" s="1"/>
  <c r="AX130" i="15"/>
  <c r="AX190" i="15" s="1"/>
  <c r="AY130" i="15"/>
  <c r="AY190" i="15" s="1"/>
  <c r="AW130" i="15"/>
  <c r="AW190" i="15" s="1"/>
  <c r="AZ130" i="15"/>
  <c r="AT130" i="15"/>
  <c r="AT190" i="15" s="1"/>
  <c r="AS130" i="15"/>
  <c r="AS190" i="15" s="1"/>
  <c r="AV130" i="15"/>
  <c r="AV190" i="15" s="1"/>
  <c r="AP130" i="15"/>
  <c r="AP190" i="15" s="1"/>
  <c r="AR130" i="15"/>
  <c r="AR190" i="15" s="1"/>
  <c r="BF162" i="15"/>
  <c r="BF46" i="15"/>
  <c r="BE105" i="15"/>
  <c r="BE60" i="15"/>
  <c r="BE73" i="15" s="1"/>
  <c r="BE86" i="15" s="1"/>
  <c r="BE118" i="15" s="1"/>
  <c r="BG22" i="17"/>
  <c r="BG17" i="17"/>
  <c r="BG18" i="17"/>
  <c r="BG16" i="17"/>
  <c r="BG14" i="17"/>
  <c r="BG13" i="17"/>
  <c r="BG24" i="17"/>
  <c r="BG23" i="17"/>
  <c r="BE125" i="18"/>
  <c r="BE80" i="18"/>
  <c r="BE93" i="18" s="1"/>
  <c r="BE106" i="18" s="1"/>
  <c r="BE138" i="18" s="1"/>
  <c r="BF207" i="19"/>
  <c r="BF48" i="19"/>
  <c r="BE118" i="17"/>
  <c r="BE50" i="17"/>
  <c r="BE63" i="17" s="1"/>
  <c r="BE76" i="17" s="1"/>
  <c r="BE131" i="17" s="1"/>
  <c r="BD197" i="15"/>
  <c r="BE124" i="18"/>
  <c r="BE79" i="18"/>
  <c r="BE92" i="18" s="1"/>
  <c r="BE105" i="18" s="1"/>
  <c r="BE137" i="18" s="1"/>
  <c r="BF197" i="18"/>
  <c r="BF61" i="18"/>
  <c r="BE114" i="17"/>
  <c r="BE46" i="17"/>
  <c r="BE59" i="17" s="1"/>
  <c r="BE72" i="17" s="1"/>
  <c r="BE127" i="17" s="1"/>
  <c r="BF172" i="17"/>
  <c r="BF42" i="17"/>
  <c r="BE106" i="15"/>
  <c r="BE61" i="15"/>
  <c r="BE74" i="15" s="1"/>
  <c r="BE87" i="15" s="1"/>
  <c r="BE119" i="15" s="1"/>
  <c r="O210" i="18"/>
  <c r="P211" i="18"/>
  <c r="N209" i="18"/>
  <c r="R212" i="18"/>
  <c r="P218" i="18"/>
  <c r="Q217" i="18"/>
  <c r="Q216" i="18"/>
  <c r="Q215" i="18"/>
  <c r="N214" i="18"/>
  <c r="T215" i="18"/>
  <c r="R214" i="18"/>
  <c r="N218" i="18"/>
  <c r="X218" i="18"/>
  <c r="N208" i="18"/>
  <c r="U218" i="18"/>
  <c r="U216" i="18"/>
  <c r="O215" i="18"/>
  <c r="V216" i="18"/>
  <c r="T217" i="18"/>
  <c r="S217" i="18"/>
  <c r="R218" i="18"/>
  <c r="V217" i="18"/>
  <c r="U215" i="18"/>
  <c r="O216" i="18"/>
  <c r="N211" i="18"/>
  <c r="N210" i="18"/>
  <c r="O217" i="18"/>
  <c r="N215" i="18"/>
  <c r="N216" i="18"/>
  <c r="Q213" i="18"/>
  <c r="T216" i="18"/>
  <c r="S215" i="18"/>
  <c r="Q211" i="18"/>
  <c r="P217" i="18"/>
  <c r="Q214" i="18"/>
  <c r="W218" i="18"/>
  <c r="W217" i="18"/>
  <c r="N217" i="18"/>
  <c r="S218" i="18"/>
  <c r="P212" i="18"/>
  <c r="O212" i="18"/>
  <c r="Q212" i="18"/>
  <c r="P215" i="18"/>
  <c r="O214" i="18"/>
  <c r="T218" i="18"/>
  <c r="P214" i="18"/>
  <c r="V218" i="18"/>
  <c r="O218" i="18"/>
  <c r="S216" i="18"/>
  <c r="T214" i="18"/>
  <c r="S214" i="18"/>
  <c r="P216" i="18"/>
  <c r="N212" i="18"/>
  <c r="O213" i="18"/>
  <c r="U217" i="18"/>
  <c r="O209" i="18"/>
  <c r="O211" i="18"/>
  <c r="P210" i="18"/>
  <c r="Q218" i="18"/>
  <c r="R216" i="18"/>
  <c r="R213" i="18"/>
  <c r="S213" i="18"/>
  <c r="R215" i="18"/>
  <c r="R217" i="18"/>
  <c r="N213" i="18"/>
  <c r="P213" i="18"/>
  <c r="BE111" i="15"/>
  <c r="BE137" i="15" s="1"/>
  <c r="BE66" i="15"/>
  <c r="BE79" i="15" s="1"/>
  <c r="BE92" i="15" s="1"/>
  <c r="BE124" i="15" s="1"/>
  <c r="BE115" i="17"/>
  <c r="BE47" i="17"/>
  <c r="BE60" i="17" s="1"/>
  <c r="BE73" i="17" s="1"/>
  <c r="BE128" i="17" s="1"/>
  <c r="AR176" i="15"/>
  <c r="AZ176" i="15"/>
  <c r="AO176" i="15"/>
  <c r="AY176" i="15"/>
  <c r="AS176" i="15"/>
  <c r="AW176" i="15"/>
  <c r="AT176" i="15"/>
  <c r="AU176" i="15"/>
  <c r="AV176" i="15"/>
  <c r="AQ176" i="15"/>
  <c r="AP176" i="15"/>
  <c r="AX176" i="15"/>
  <c r="BF163" i="15"/>
  <c r="BF47" i="15"/>
  <c r="BH39" i="25"/>
  <c r="BH22" i="25"/>
  <c r="BH40" i="25"/>
  <c r="BH19" i="25"/>
  <c r="BH20" i="25"/>
  <c r="BH21" i="25"/>
  <c r="AL13" i="14"/>
  <c r="AL15" i="14" s="1"/>
  <c r="AL26" i="14" s="1"/>
  <c r="AL28" i="14" s="1"/>
  <c r="AL43" i="14"/>
  <c r="AL45" i="14" s="1"/>
  <c r="AL50" i="14" s="1"/>
  <c r="AL52" i="14" s="1"/>
  <c r="AL57" i="14" s="1"/>
  <c r="BF211" i="19"/>
  <c r="BF52" i="19"/>
  <c r="BF206" i="19"/>
  <c r="BF47" i="19"/>
  <c r="BE126" i="18"/>
  <c r="BE81" i="18"/>
  <c r="BE94" i="18" s="1"/>
  <c r="BE107" i="18" s="1"/>
  <c r="BE139" i="18" s="1"/>
  <c r="BE117" i="17"/>
  <c r="BE49" i="17"/>
  <c r="BE62" i="17" s="1"/>
  <c r="BE75" i="17" s="1"/>
  <c r="BE130" i="17" s="1"/>
  <c r="BE104" i="19"/>
  <c r="BE56" i="19"/>
  <c r="BE69" i="19" s="1"/>
  <c r="BF202" i="18"/>
  <c r="BF66" i="18"/>
  <c r="BF199" i="18"/>
  <c r="BF63" i="18"/>
  <c r="BG15" i="17"/>
  <c r="BF163" i="17"/>
  <c r="BF33" i="17"/>
  <c r="V151" i="18"/>
  <c r="V231" i="18" s="1"/>
  <c r="O143" i="18"/>
  <c r="O223" i="18" s="1"/>
  <c r="Q149" i="18"/>
  <c r="Q229" i="18" s="1"/>
  <c r="N146" i="18"/>
  <c r="N226" i="18" s="1"/>
  <c r="O145" i="18"/>
  <c r="O225" i="18" s="1"/>
  <c r="S150" i="18"/>
  <c r="S230" i="18" s="1"/>
  <c r="U152" i="18"/>
  <c r="U232" i="18" s="1"/>
  <c r="Q145" i="18"/>
  <c r="Q225" i="18" s="1"/>
  <c r="Q147" i="18"/>
  <c r="Q227" i="18" s="1"/>
  <c r="O152" i="18"/>
  <c r="O232" i="18" s="1"/>
  <c r="P144" i="18"/>
  <c r="P224" i="18" s="1"/>
  <c r="P146" i="18"/>
  <c r="P226" i="18" s="1"/>
  <c r="V150" i="18"/>
  <c r="V230" i="18" s="1"/>
  <c r="S149" i="18"/>
  <c r="S229" i="18" s="1"/>
  <c r="P147" i="18"/>
  <c r="P227" i="18" s="1"/>
  <c r="N152" i="18"/>
  <c r="N232" i="18" s="1"/>
  <c r="U151" i="18"/>
  <c r="U231" i="18" s="1"/>
  <c r="N142" i="18"/>
  <c r="N222" i="18" s="1"/>
  <c r="S148" i="18"/>
  <c r="S228" i="18" s="1"/>
  <c r="U150" i="18"/>
  <c r="U230" i="18" s="1"/>
  <c r="T151" i="18"/>
  <c r="T231" i="18" s="1"/>
  <c r="N145" i="18"/>
  <c r="N225" i="18" s="1"/>
  <c r="R151" i="18"/>
  <c r="R231" i="18" s="1"/>
  <c r="Q146" i="18"/>
  <c r="Q226" i="18" s="1"/>
  <c r="N149" i="18"/>
  <c r="N229" i="18" s="1"/>
  <c r="N151" i="18"/>
  <c r="N231" i="18" s="1"/>
  <c r="N143" i="18"/>
  <c r="N223" i="18" s="1"/>
  <c r="Q150" i="18"/>
  <c r="Q230" i="18" s="1"/>
  <c r="R147" i="18"/>
  <c r="R227" i="18" s="1"/>
  <c r="P150" i="18"/>
  <c r="P230" i="18" s="1"/>
  <c r="N147" i="18"/>
  <c r="N227" i="18" s="1"/>
  <c r="T148" i="18"/>
  <c r="T228" i="18" s="1"/>
  <c r="Q152" i="18"/>
  <c r="Q232" i="18" s="1"/>
  <c r="P152" i="18"/>
  <c r="P232" i="18" s="1"/>
  <c r="N144" i="18"/>
  <c r="N224" i="18" s="1"/>
  <c r="W151" i="18"/>
  <c r="W231" i="18" s="1"/>
  <c r="O150" i="18"/>
  <c r="O230" i="18" s="1"/>
  <c r="O151" i="18"/>
  <c r="O231" i="18" s="1"/>
  <c r="O146" i="18"/>
  <c r="O226" i="18" s="1"/>
  <c r="T150" i="18"/>
  <c r="T230" i="18" s="1"/>
  <c r="X152" i="18"/>
  <c r="X232" i="18" s="1"/>
  <c r="P151" i="18"/>
  <c r="P231" i="18" s="1"/>
  <c r="Q151" i="18"/>
  <c r="Q231" i="18" s="1"/>
  <c r="U149" i="18"/>
  <c r="U229" i="18" s="1"/>
  <c r="T149" i="18"/>
  <c r="T229" i="18" s="1"/>
  <c r="O149" i="18"/>
  <c r="O229" i="18" s="1"/>
  <c r="W152" i="18"/>
  <c r="W232" i="18" s="1"/>
  <c r="O148" i="18"/>
  <c r="O228" i="18" s="1"/>
  <c r="N150" i="18"/>
  <c r="N230" i="18" s="1"/>
  <c r="P148" i="18"/>
  <c r="P228" i="18" s="1"/>
  <c r="R149" i="18"/>
  <c r="R229" i="18" s="1"/>
  <c r="S147" i="18"/>
  <c r="S227" i="18" s="1"/>
  <c r="P149" i="18"/>
  <c r="P229" i="18" s="1"/>
  <c r="R152" i="18"/>
  <c r="R232" i="18" s="1"/>
  <c r="R146" i="18"/>
  <c r="R226" i="18" s="1"/>
  <c r="R150" i="18"/>
  <c r="R230" i="18" s="1"/>
  <c r="S151" i="18"/>
  <c r="S231" i="18" s="1"/>
  <c r="Q148" i="18"/>
  <c r="Q228" i="18" s="1"/>
  <c r="S152" i="18"/>
  <c r="S232" i="18" s="1"/>
  <c r="O144" i="18"/>
  <c r="O224" i="18" s="1"/>
  <c r="V152" i="18"/>
  <c r="V232" i="18" s="1"/>
  <c r="T152" i="18"/>
  <c r="T232" i="18" s="1"/>
  <c r="N148" i="18"/>
  <c r="N228" i="18" s="1"/>
  <c r="R148" i="18"/>
  <c r="R228" i="18" s="1"/>
  <c r="O147" i="18"/>
  <c r="O227" i="18" s="1"/>
  <c r="P145" i="18"/>
  <c r="P225" i="18" s="1"/>
  <c r="BF209" i="19"/>
  <c r="BF50" i="19"/>
  <c r="BF52" i="15"/>
  <c r="BF168" i="15"/>
  <c r="BF182" i="15" s="1"/>
  <c r="BF164" i="15"/>
  <c r="BF48" i="15"/>
  <c r="BF212" i="19"/>
  <c r="BF53" i="19"/>
  <c r="BF49" i="19"/>
  <c r="BF208" i="19"/>
  <c r="BE116" i="17"/>
  <c r="BE48" i="17"/>
  <c r="BE61" i="17" s="1"/>
  <c r="BE74" i="17" s="1"/>
  <c r="BE129" i="17" s="1"/>
  <c r="BG19" i="17"/>
  <c r="BF167" i="17"/>
  <c r="BF37" i="17"/>
  <c r="BE121" i="17"/>
  <c r="BE53" i="17"/>
  <c r="BE66" i="17" s="1"/>
  <c r="BE79" i="17" s="1"/>
  <c r="BE134" i="17" s="1"/>
  <c r="BE110" i="15"/>
  <c r="BE136" i="15" s="1"/>
  <c r="BE65" i="15"/>
  <c r="BE78" i="15" s="1"/>
  <c r="BE91" i="15" s="1"/>
  <c r="BE123" i="15" s="1"/>
  <c r="BD198" i="15"/>
  <c r="BF204" i="18"/>
  <c r="BF68" i="18"/>
  <c r="BF62" i="18"/>
  <c r="BF198" i="18"/>
  <c r="BA191" i="15"/>
  <c r="M60" i="27"/>
  <c r="BE118" i="18"/>
  <c r="BE73" i="18"/>
  <c r="BE86" i="18" s="1"/>
  <c r="BE99" i="18" s="1"/>
  <c r="BE131" i="18" s="1"/>
  <c r="BF162" i="17"/>
  <c r="BF32" i="17"/>
  <c r="BE112" i="19"/>
  <c r="BE64" i="19"/>
  <c r="BE77" i="19" s="1"/>
  <c r="AO12" i="25"/>
  <c r="J60" i="27"/>
  <c r="BF169" i="15"/>
  <c r="BF183" i="15" s="1"/>
  <c r="BF53" i="15"/>
  <c r="BF165" i="15"/>
  <c r="BF49" i="15"/>
  <c r="BE64" i="15"/>
  <c r="BE77" i="15" s="1"/>
  <c r="BE90" i="15" s="1"/>
  <c r="BE122" i="15" s="1"/>
  <c r="BE109" i="15"/>
  <c r="BE135" i="15" s="1"/>
  <c r="BE123" i="17"/>
  <c r="BE55" i="17"/>
  <c r="BE68" i="17" s="1"/>
  <c r="BE81" i="17" s="1"/>
  <c r="BE136" i="17" s="1"/>
  <c r="BG22" i="18"/>
  <c r="BG18" i="18"/>
  <c r="BG19" i="18"/>
  <c r="BG17" i="18"/>
  <c r="BG16" i="18"/>
  <c r="BG15" i="18"/>
  <c r="BG14" i="18"/>
  <c r="BG23" i="18"/>
  <c r="BG13" i="18"/>
  <c r="BG24" i="18"/>
  <c r="BE104" i="15"/>
  <c r="BE59" i="15"/>
  <c r="BE72" i="15" s="1"/>
  <c r="BE85" i="15" s="1"/>
  <c r="BE117" i="15" s="1"/>
  <c r="BE119" i="17"/>
  <c r="BE51" i="17"/>
  <c r="BE64" i="17" s="1"/>
  <c r="BE77" i="17" s="1"/>
  <c r="BE132" i="17" s="1"/>
  <c r="BF213" i="19"/>
  <c r="BF54" i="19"/>
  <c r="BG21" i="19"/>
  <c r="BF210" i="19"/>
  <c r="BF51" i="19"/>
  <c r="BE120" i="17"/>
  <c r="BE52" i="17"/>
  <c r="BE65" i="17" s="1"/>
  <c r="BE78" i="17" s="1"/>
  <c r="BE133" i="17" s="1"/>
  <c r="BE113" i="19"/>
  <c r="BE65" i="19"/>
  <c r="BE78" i="19" s="1"/>
  <c r="BE106" i="19"/>
  <c r="BE58" i="19"/>
  <c r="BE71" i="19" s="1"/>
  <c r="BE102" i="15"/>
  <c r="BE57" i="15"/>
  <c r="BE70" i="15" s="1"/>
  <c r="BE83" i="15" s="1"/>
  <c r="BE115" i="15" s="1"/>
  <c r="BF193" i="18"/>
  <c r="BF57" i="18"/>
  <c r="BG21" i="18"/>
  <c r="BF201" i="18"/>
  <c r="BF65" i="18"/>
  <c r="BF164" i="17"/>
  <c r="BF34" i="17"/>
  <c r="BD194" i="15"/>
  <c r="S137" i="15"/>
  <c r="S197" i="15" s="1"/>
  <c r="R134" i="15"/>
  <c r="R194" i="15" s="1"/>
  <c r="P135" i="15"/>
  <c r="P195" i="15" s="1"/>
  <c r="T136" i="15"/>
  <c r="T196" i="15" s="1"/>
  <c r="P132" i="15"/>
  <c r="P192" i="15" s="1"/>
  <c r="U137" i="15"/>
  <c r="U197" i="15" s="1"/>
  <c r="P137" i="15"/>
  <c r="P197" i="15" s="1"/>
  <c r="R133" i="15"/>
  <c r="R193" i="15" s="1"/>
  <c r="T134" i="15"/>
  <c r="W137" i="15"/>
  <c r="T135" i="15"/>
  <c r="T195" i="15" s="1"/>
  <c r="N135" i="15"/>
  <c r="N195" i="15" s="1"/>
  <c r="O131" i="15"/>
  <c r="O191" i="15" s="1"/>
  <c r="Q131" i="15"/>
  <c r="O132" i="15"/>
  <c r="O192" i="15" s="1"/>
  <c r="P134" i="15"/>
  <c r="P194" i="15" s="1"/>
  <c r="R135" i="15"/>
  <c r="R195" i="15" s="1"/>
  <c r="O130" i="15"/>
  <c r="O190" i="15" s="1"/>
  <c r="N137" i="15"/>
  <c r="N197" i="15" s="1"/>
  <c r="W138" i="15"/>
  <c r="W198" i="15" s="1"/>
  <c r="P133" i="15"/>
  <c r="P193" i="15" s="1"/>
  <c r="O137" i="15"/>
  <c r="O197" i="15" s="1"/>
  <c r="N136" i="15"/>
  <c r="N196" i="15" s="1"/>
  <c r="O136" i="15"/>
  <c r="O196" i="15" s="1"/>
  <c r="T137" i="15"/>
  <c r="T197" i="15" s="1"/>
  <c r="S133" i="15"/>
  <c r="S138" i="15"/>
  <c r="S198" i="15" s="1"/>
  <c r="R132" i="15"/>
  <c r="N133" i="15"/>
  <c r="N193" i="15" s="1"/>
  <c r="V136" i="15"/>
  <c r="Q137" i="15"/>
  <c r="Q197" i="15" s="1"/>
  <c r="Q136" i="15"/>
  <c r="Q196" i="15" s="1"/>
  <c r="R138" i="15"/>
  <c r="R198" i="15" s="1"/>
  <c r="O129" i="15"/>
  <c r="N138" i="15"/>
  <c r="N198" i="15" s="1"/>
  <c r="X138" i="15"/>
  <c r="O138" i="15"/>
  <c r="O198" i="15" s="1"/>
  <c r="N131" i="15"/>
  <c r="N191" i="15" s="1"/>
  <c r="Q135" i="15"/>
  <c r="Q195" i="15" s="1"/>
  <c r="Q138" i="15"/>
  <c r="Q198" i="15" s="1"/>
  <c r="O133" i="15"/>
  <c r="O193" i="15" s="1"/>
  <c r="Q134" i="15"/>
  <c r="Q194" i="15" s="1"/>
  <c r="V138" i="15"/>
  <c r="V198" i="15" s="1"/>
  <c r="N128" i="15"/>
  <c r="Q133" i="15"/>
  <c r="Q193" i="15" s="1"/>
  <c r="S136" i="15"/>
  <c r="S196" i="15" s="1"/>
  <c r="N129" i="15"/>
  <c r="N189" i="15" s="1"/>
  <c r="P130" i="15"/>
  <c r="U138" i="15"/>
  <c r="U198" i="15" s="1"/>
  <c r="N132" i="15"/>
  <c r="N192" i="15" s="1"/>
  <c r="O134" i="15"/>
  <c r="O194" i="15" s="1"/>
  <c r="O135" i="15"/>
  <c r="O195" i="15" s="1"/>
  <c r="S135" i="15"/>
  <c r="S195" i="15" s="1"/>
  <c r="U135" i="15"/>
  <c r="Q132" i="15"/>
  <c r="Q192" i="15" s="1"/>
  <c r="U136" i="15"/>
  <c r="U196" i="15" s="1"/>
  <c r="R136" i="15"/>
  <c r="R196" i="15" s="1"/>
  <c r="N134" i="15"/>
  <c r="N194" i="15" s="1"/>
  <c r="V137" i="15"/>
  <c r="V197" i="15" s="1"/>
  <c r="R137" i="15"/>
  <c r="R197" i="15" s="1"/>
  <c r="N130" i="15"/>
  <c r="N190" i="15" s="1"/>
  <c r="S134" i="15"/>
  <c r="S194" i="15" s="1"/>
  <c r="T138" i="15"/>
  <c r="T198" i="15" s="1"/>
  <c r="P138" i="15"/>
  <c r="P198" i="15" s="1"/>
  <c r="P136" i="15"/>
  <c r="P196" i="15" s="1"/>
  <c r="P131" i="15"/>
  <c r="P191" i="15" s="1"/>
  <c r="BE117" i="18"/>
  <c r="BE72" i="18"/>
  <c r="BE85" i="18" s="1"/>
  <c r="BE98" i="18" s="1"/>
  <c r="BE130" i="18" s="1"/>
  <c r="BE82" i="19" l="1"/>
  <c r="BE117" i="19" s="1"/>
  <c r="BE87" i="19"/>
  <c r="BE122" i="19" s="1"/>
  <c r="BE83" i="19"/>
  <c r="BE118" i="19" s="1"/>
  <c r="BE86" i="19"/>
  <c r="BE121" i="19" s="1"/>
  <c r="BE93" i="19"/>
  <c r="BE128" i="19" s="1"/>
  <c r="BE84" i="19"/>
  <c r="BE119" i="19" s="1"/>
  <c r="BE92" i="19"/>
  <c r="BE127" i="19" s="1"/>
  <c r="BE85" i="19"/>
  <c r="BE120" i="19" s="1"/>
  <c r="BE91" i="19"/>
  <c r="BE126" i="19" s="1"/>
  <c r="BE88" i="19"/>
  <c r="BE123" i="19" s="1"/>
  <c r="BE90" i="19"/>
  <c r="BE125" i="19" s="1"/>
  <c r="BE89" i="19"/>
  <c r="BE124" i="19" s="1"/>
  <c r="AM227" i="19"/>
  <c r="AM286" i="19" s="1"/>
  <c r="AU227" i="19"/>
  <c r="AU286" i="19" s="1"/>
  <c r="AQ227" i="19"/>
  <c r="AQ286" i="19" s="1"/>
  <c r="AK227" i="19"/>
  <c r="AK286" i="19" s="1"/>
  <c r="AV227" i="19"/>
  <c r="AV286" i="19" s="1"/>
  <c r="AL227" i="19"/>
  <c r="AL286" i="19" s="1"/>
  <c r="AS227" i="19"/>
  <c r="AS286" i="19" s="1"/>
  <c r="AR227" i="19"/>
  <c r="AR286" i="19" s="1"/>
  <c r="AO227" i="19"/>
  <c r="AO286" i="19" s="1"/>
  <c r="AT227" i="19"/>
  <c r="AT286" i="19" s="1"/>
  <c r="AJ203" i="17"/>
  <c r="AJ212" i="17" s="1"/>
  <c r="AJ215" i="17" s="1"/>
  <c r="AJ23" i="23" s="1"/>
  <c r="AO226" i="19"/>
  <c r="AO285" i="19" s="1"/>
  <c r="AT226" i="19"/>
  <c r="AT285" i="19" s="1"/>
  <c r="AQ226" i="19"/>
  <c r="AQ285" i="19" s="1"/>
  <c r="AL226" i="19"/>
  <c r="AL285" i="19" s="1"/>
  <c r="AN226" i="19"/>
  <c r="AN285" i="19" s="1"/>
  <c r="AU226" i="19"/>
  <c r="AU285" i="19" s="1"/>
  <c r="AJ226" i="19"/>
  <c r="AJ285" i="19" s="1"/>
  <c r="AM226" i="19"/>
  <c r="AM285" i="19" s="1"/>
  <c r="AP226" i="19"/>
  <c r="AP285" i="19" s="1"/>
  <c r="AR226" i="19"/>
  <c r="AR285" i="19" s="1"/>
  <c r="AS226" i="19"/>
  <c r="AS285" i="19" s="1"/>
  <c r="AK226" i="19"/>
  <c r="AK285" i="19" s="1"/>
  <c r="AO190" i="19"/>
  <c r="AO300" i="19" s="1"/>
  <c r="AK190" i="19"/>
  <c r="AK300" i="19" s="1"/>
  <c r="AV190" i="19"/>
  <c r="AV300" i="19" s="1"/>
  <c r="AQ157" i="19"/>
  <c r="AQ241" i="19" s="1"/>
  <c r="AN157" i="19"/>
  <c r="AN241" i="19" s="1"/>
  <c r="AM156" i="19"/>
  <c r="AM240" i="19" s="1"/>
  <c r="AR189" i="19"/>
  <c r="AR299" i="19" s="1"/>
  <c r="AT190" i="19"/>
  <c r="AT300" i="19" s="1"/>
  <c r="AN190" i="19"/>
  <c r="AN300" i="19" s="1"/>
  <c r="AL157" i="19"/>
  <c r="AL241" i="19" s="1"/>
  <c r="AP156" i="19"/>
  <c r="AP240" i="19" s="1"/>
  <c r="AO189" i="19"/>
  <c r="AO299" i="19" s="1"/>
  <c r="AJ189" i="19"/>
  <c r="AJ299" i="19" s="1"/>
  <c r="AQ156" i="19"/>
  <c r="AQ240" i="19" s="1"/>
  <c r="AL190" i="19"/>
  <c r="AL300" i="19" s="1"/>
  <c r="AU190" i="19"/>
  <c r="AU300" i="19" s="1"/>
  <c r="AP157" i="19"/>
  <c r="AP241" i="19" s="1"/>
  <c r="AK203" i="17"/>
  <c r="AK212" i="17" s="1"/>
  <c r="AK215" i="17" s="1"/>
  <c r="AK23" i="23" s="1"/>
  <c r="AN156" i="19"/>
  <c r="AN240" i="19" s="1"/>
  <c r="AU189" i="19"/>
  <c r="AU299" i="19" s="1"/>
  <c r="AQ189" i="19"/>
  <c r="AQ299" i="19" s="1"/>
  <c r="AK189" i="19"/>
  <c r="AK299" i="19" s="1"/>
  <c r="AR190" i="19"/>
  <c r="AR300" i="19" s="1"/>
  <c r="AM190" i="19"/>
  <c r="AM300" i="19" s="1"/>
  <c r="AS157" i="19"/>
  <c r="AS241" i="19" s="1"/>
  <c r="AT156" i="19"/>
  <c r="AT240" i="19" s="1"/>
  <c r="AM189" i="19"/>
  <c r="AM299" i="19" s="1"/>
  <c r="AN189" i="19"/>
  <c r="AN299" i="19" s="1"/>
  <c r="AT157" i="19"/>
  <c r="AT241" i="19" s="1"/>
  <c r="AQ190" i="19"/>
  <c r="AQ300" i="19" s="1"/>
  <c r="AO157" i="19"/>
  <c r="AO241" i="19" s="1"/>
  <c r="AO156" i="19"/>
  <c r="AO240" i="19" s="1"/>
  <c r="AL156" i="19"/>
  <c r="AL240" i="19" s="1"/>
  <c r="AT189" i="19"/>
  <c r="AT299" i="19" s="1"/>
  <c r="AP189" i="19"/>
  <c r="AP299" i="19" s="1"/>
  <c r="AK156" i="19"/>
  <c r="AK240" i="19" s="1"/>
  <c r="AS190" i="19"/>
  <c r="AS300" i="19" s="1"/>
  <c r="AM157" i="19"/>
  <c r="AM241" i="19" s="1"/>
  <c r="AK157" i="19"/>
  <c r="AK241" i="19" s="1"/>
  <c r="AR156" i="19"/>
  <c r="AR240" i="19" s="1"/>
  <c r="AJ156" i="19"/>
  <c r="AJ240" i="19" s="1"/>
  <c r="AL189" i="19"/>
  <c r="AL299" i="19" s="1"/>
  <c r="AR157" i="19"/>
  <c r="AR241" i="19" s="1"/>
  <c r="AP190" i="19"/>
  <c r="AP300" i="19" s="1"/>
  <c r="AU157" i="19"/>
  <c r="AU241" i="19" s="1"/>
  <c r="AV157" i="19"/>
  <c r="AV241" i="19" s="1"/>
  <c r="AU156" i="19"/>
  <c r="AU240" i="19" s="1"/>
  <c r="AS156" i="19"/>
  <c r="AS240" i="19" s="1"/>
  <c r="AS189" i="19"/>
  <c r="AS299" i="19" s="1"/>
  <c r="AO19" i="25"/>
  <c r="AO25" i="25"/>
  <c r="L60" i="27"/>
  <c r="Q186" i="19"/>
  <c r="Q296" i="19" s="1"/>
  <c r="T187" i="19"/>
  <c r="T297" i="19" s="1"/>
  <c r="N189" i="19"/>
  <c r="N299" i="19" s="1"/>
  <c r="S186" i="19"/>
  <c r="S296" i="19" s="1"/>
  <c r="R185" i="19"/>
  <c r="R295" i="19" s="1"/>
  <c r="O183" i="19"/>
  <c r="O293" i="19" s="1"/>
  <c r="Q185" i="19"/>
  <c r="Q295" i="19" s="1"/>
  <c r="P186" i="19"/>
  <c r="P296" i="19" s="1"/>
  <c r="N185" i="19"/>
  <c r="N295" i="19" s="1"/>
  <c r="R189" i="19"/>
  <c r="R299" i="19" s="1"/>
  <c r="S189" i="19"/>
  <c r="S299" i="19" s="1"/>
  <c r="N184" i="19"/>
  <c r="N294" i="19" s="1"/>
  <c r="R186" i="19"/>
  <c r="R296" i="19" s="1"/>
  <c r="Q184" i="19"/>
  <c r="Q294" i="19" s="1"/>
  <c r="T190" i="19"/>
  <c r="T300" i="19" s="1"/>
  <c r="N187" i="19"/>
  <c r="N297" i="19" s="1"/>
  <c r="N183" i="19"/>
  <c r="N293" i="19" s="1"/>
  <c r="N180" i="19"/>
  <c r="N249" i="19" s="1"/>
  <c r="V189" i="19"/>
  <c r="V299" i="19" s="1"/>
  <c r="P187" i="19"/>
  <c r="P297" i="19" s="1"/>
  <c r="X190" i="19"/>
  <c r="X259" i="19" s="1"/>
  <c r="O190" i="19"/>
  <c r="O300" i="19" s="1"/>
  <c r="U189" i="19"/>
  <c r="U299" i="19" s="1"/>
  <c r="P190" i="19"/>
  <c r="P300" i="19" s="1"/>
  <c r="S187" i="19"/>
  <c r="S297" i="19" s="1"/>
  <c r="O187" i="19"/>
  <c r="O297" i="19" s="1"/>
  <c r="N188" i="19"/>
  <c r="N298" i="19" s="1"/>
  <c r="N182" i="19"/>
  <c r="N292" i="19" s="1"/>
  <c r="N190" i="19"/>
  <c r="N300" i="19" s="1"/>
  <c r="S190" i="19"/>
  <c r="S300" i="19" s="1"/>
  <c r="N181" i="19"/>
  <c r="N291" i="19" s="1"/>
  <c r="O189" i="19"/>
  <c r="O299" i="19" s="1"/>
  <c r="V190" i="19"/>
  <c r="V300" i="19" s="1"/>
  <c r="T186" i="19"/>
  <c r="T255" i="19" s="1"/>
  <c r="O185" i="19"/>
  <c r="O295" i="19" s="1"/>
  <c r="R184" i="19"/>
  <c r="R253" i="19" s="1"/>
  <c r="R187" i="19"/>
  <c r="R297" i="19" s="1"/>
  <c r="Q187" i="19"/>
  <c r="Q297" i="19" s="1"/>
  <c r="T188" i="19"/>
  <c r="T298" i="19" s="1"/>
  <c r="Q189" i="19"/>
  <c r="Q299" i="19" s="1"/>
  <c r="P184" i="19"/>
  <c r="P294" i="19" s="1"/>
  <c r="Q188" i="19"/>
  <c r="Q298" i="19" s="1"/>
  <c r="W189" i="19"/>
  <c r="W258" i="19" s="1"/>
  <c r="P183" i="19"/>
  <c r="P293" i="19" s="1"/>
  <c r="O186" i="19"/>
  <c r="O296" i="19" s="1"/>
  <c r="T189" i="19"/>
  <c r="T299" i="19" s="1"/>
  <c r="Q190" i="19"/>
  <c r="Q300" i="19" s="1"/>
  <c r="U190" i="19"/>
  <c r="U300" i="19" s="1"/>
  <c r="O181" i="19"/>
  <c r="O250" i="19" s="1"/>
  <c r="Q183" i="19"/>
  <c r="Q252" i="19" s="1"/>
  <c r="O182" i="19"/>
  <c r="O292" i="19" s="1"/>
  <c r="S185" i="19"/>
  <c r="S254" i="19" s="1"/>
  <c r="P185" i="19"/>
  <c r="P295" i="19" s="1"/>
  <c r="P188" i="19"/>
  <c r="P298" i="19" s="1"/>
  <c r="N186" i="19"/>
  <c r="N296" i="19" s="1"/>
  <c r="U188" i="19"/>
  <c r="U298" i="19" s="1"/>
  <c r="O188" i="19"/>
  <c r="O298" i="19" s="1"/>
  <c r="U187" i="19"/>
  <c r="U256" i="19" s="1"/>
  <c r="S188" i="19"/>
  <c r="S298" i="19" s="1"/>
  <c r="W190" i="19"/>
  <c r="W300" i="19" s="1"/>
  <c r="P182" i="19"/>
  <c r="P251" i="19" s="1"/>
  <c r="V188" i="19"/>
  <c r="V257" i="19" s="1"/>
  <c r="R188" i="19"/>
  <c r="R298" i="19" s="1"/>
  <c r="R190" i="19"/>
  <c r="R300" i="19" s="1"/>
  <c r="P189" i="19"/>
  <c r="P299" i="19" s="1"/>
  <c r="O184" i="19"/>
  <c r="O294" i="19" s="1"/>
  <c r="BE196" i="15"/>
  <c r="BE197" i="15"/>
  <c r="BI54" i="10"/>
  <c r="BH54" i="10" s="1"/>
  <c r="BG54" i="10" s="1"/>
  <c r="O189" i="15"/>
  <c r="O200" i="15" s="1"/>
  <c r="O140" i="15"/>
  <c r="O145" i="15" s="1"/>
  <c r="S193" i="15"/>
  <c r="S200" i="15" s="1"/>
  <c r="S140" i="15"/>
  <c r="S145" i="15" s="1"/>
  <c r="W197" i="15"/>
  <c r="W200" i="15" s="1"/>
  <c r="W140" i="15"/>
  <c r="W145" i="15" s="1"/>
  <c r="BG201" i="18"/>
  <c r="BG65" i="18"/>
  <c r="BG199" i="18"/>
  <c r="BG63" i="18"/>
  <c r="BF126" i="18"/>
  <c r="BF81" i="18"/>
  <c r="BF94" i="18" s="1"/>
  <c r="BF107" i="18" s="1"/>
  <c r="BF139" i="18" s="1"/>
  <c r="BF118" i="17"/>
  <c r="BF50" i="17"/>
  <c r="BF63" i="17" s="1"/>
  <c r="BF76" i="17" s="1"/>
  <c r="BF131" i="17" s="1"/>
  <c r="AL34" i="14"/>
  <c r="AL56" i="14"/>
  <c r="AL59" i="14" s="1"/>
  <c r="AL65" i="14" s="1"/>
  <c r="BF123" i="17"/>
  <c r="BF55" i="17"/>
  <c r="BF68" i="17" s="1"/>
  <c r="BF81" i="17" s="1"/>
  <c r="BF136" i="17" s="1"/>
  <c r="BG35" i="17"/>
  <c r="BG165" i="17"/>
  <c r="BF122" i="18"/>
  <c r="BF77" i="18"/>
  <c r="BF90" i="18" s="1"/>
  <c r="BF103" i="18" s="1"/>
  <c r="BF135" i="18" s="1"/>
  <c r="BF116" i="17"/>
  <c r="BF48" i="17"/>
  <c r="BF61" i="17" s="1"/>
  <c r="BF74" i="17" s="1"/>
  <c r="BF129" i="17" s="1"/>
  <c r="AM8" i="23"/>
  <c r="AM99" i="15"/>
  <c r="AM154" i="15"/>
  <c r="AM157" i="15" s="1"/>
  <c r="AM11" i="21"/>
  <c r="BG170" i="15"/>
  <c r="BG184" i="15" s="1"/>
  <c r="BG54" i="15"/>
  <c r="BG166" i="15"/>
  <c r="BG50" i="15"/>
  <c r="BH16" i="19"/>
  <c r="BG46" i="19"/>
  <c r="BG205" i="19"/>
  <c r="BF101" i="15"/>
  <c r="BF56" i="15"/>
  <c r="BF69" i="15" s="1"/>
  <c r="BF82" i="15" s="1"/>
  <c r="BF114" i="15" s="1"/>
  <c r="R152" i="19"/>
  <c r="N157" i="19"/>
  <c r="Q155" i="19"/>
  <c r="V157" i="19"/>
  <c r="S152" i="19"/>
  <c r="P155" i="19"/>
  <c r="W156" i="19"/>
  <c r="T157" i="19"/>
  <c r="BF112" i="17"/>
  <c r="BF44" i="17"/>
  <c r="BF57" i="17" s="1"/>
  <c r="BF70" i="17" s="1"/>
  <c r="BF125" i="17" s="1"/>
  <c r="T194" i="15"/>
  <c r="T200" i="15" s="1"/>
  <c r="T140" i="15"/>
  <c r="T145" i="15" s="1"/>
  <c r="BF115" i="18"/>
  <c r="BF70" i="18"/>
  <c r="BF83" i="18" s="1"/>
  <c r="BF96" i="18" s="1"/>
  <c r="BF128" i="18" s="1"/>
  <c r="BG204" i="18"/>
  <c r="BG68" i="18"/>
  <c r="BG198" i="18"/>
  <c r="BG62" i="18"/>
  <c r="BF111" i="15"/>
  <c r="BF137" i="15" s="1"/>
  <c r="BF66" i="15"/>
  <c r="BF79" i="15" s="1"/>
  <c r="BF92" i="15" s="1"/>
  <c r="BF124" i="15" s="1"/>
  <c r="BF124" i="18"/>
  <c r="BF79" i="18"/>
  <c r="BF92" i="18" s="1"/>
  <c r="BF105" i="18" s="1"/>
  <c r="BF137" i="18" s="1"/>
  <c r="BF105" i="15"/>
  <c r="BF60" i="15"/>
  <c r="BF73" i="15" s="1"/>
  <c r="BF86" i="15" s="1"/>
  <c r="BF118" i="15" s="1"/>
  <c r="BH22" i="17"/>
  <c r="BG170" i="17"/>
  <c r="BG40" i="17"/>
  <c r="BF120" i="17"/>
  <c r="BF52" i="17"/>
  <c r="BF65" i="17" s="1"/>
  <c r="BF78" i="17" s="1"/>
  <c r="BF133" i="17" s="1"/>
  <c r="BH20" i="18"/>
  <c r="BG200" i="18"/>
  <c r="BG64" i="18"/>
  <c r="BH41" i="10"/>
  <c r="BH307" i="19"/>
  <c r="BH238" i="18"/>
  <c r="BH207" i="17"/>
  <c r="BH204" i="15"/>
  <c r="BH33" i="14"/>
  <c r="BH64" i="14"/>
  <c r="BG159" i="15"/>
  <c r="BG43" i="15"/>
  <c r="BG167" i="15"/>
  <c r="BG51" i="15"/>
  <c r="BG207" i="19"/>
  <c r="BG48" i="19"/>
  <c r="P154" i="19"/>
  <c r="P157" i="19"/>
  <c r="X157" i="19"/>
  <c r="Q152" i="19"/>
  <c r="S157" i="19"/>
  <c r="T155" i="19"/>
  <c r="N153" i="19"/>
  <c r="P156" i="19"/>
  <c r="BF108" i="15"/>
  <c r="BF63" i="15"/>
  <c r="BF76" i="15" s="1"/>
  <c r="BF89" i="15" s="1"/>
  <c r="BF121" i="15" s="1"/>
  <c r="P190" i="15"/>
  <c r="P200" i="15" s="1"/>
  <c r="P140" i="15"/>
  <c r="P145" i="15" s="1"/>
  <c r="BG57" i="18"/>
  <c r="BG193" i="18"/>
  <c r="BG202" i="18"/>
  <c r="BG66" i="18"/>
  <c r="BH19" i="17"/>
  <c r="BG167" i="17"/>
  <c r="BG37" i="17"/>
  <c r="BF106" i="15"/>
  <c r="BF61" i="15"/>
  <c r="BF74" i="15" s="1"/>
  <c r="BF87" i="15" s="1"/>
  <c r="BF119" i="15" s="1"/>
  <c r="BG41" i="17"/>
  <c r="BG171" i="17"/>
  <c r="BH21" i="17"/>
  <c r="BG169" i="17"/>
  <c r="BG39" i="17"/>
  <c r="BH23" i="18"/>
  <c r="BH21" i="18"/>
  <c r="BH22" i="18"/>
  <c r="BH19" i="18"/>
  <c r="BH18" i="18"/>
  <c r="BH17" i="18"/>
  <c r="BH15" i="18"/>
  <c r="BH16" i="18"/>
  <c r="BH14" i="18"/>
  <c r="BH13" i="18"/>
  <c r="BH24" i="18"/>
  <c r="BF121" i="17"/>
  <c r="BF53" i="17"/>
  <c r="BF66" i="17" s="1"/>
  <c r="BF79" i="17" s="1"/>
  <c r="BF134" i="17" s="1"/>
  <c r="BF106" i="19"/>
  <c r="BF58" i="19"/>
  <c r="BF71" i="19" s="1"/>
  <c r="BG160" i="15"/>
  <c r="BG44" i="15"/>
  <c r="BG168" i="15"/>
  <c r="BG52" i="15"/>
  <c r="BF116" i="18"/>
  <c r="BF71" i="18"/>
  <c r="BF84" i="18" s="1"/>
  <c r="BF97" i="18" s="1"/>
  <c r="BF129" i="18" s="1"/>
  <c r="BG206" i="19"/>
  <c r="BG47" i="19"/>
  <c r="T156" i="19"/>
  <c r="R153" i="19"/>
  <c r="S154" i="19"/>
  <c r="O152" i="19"/>
  <c r="N149" i="19"/>
  <c r="Q154" i="19"/>
  <c r="O150" i="19"/>
  <c r="N148" i="19"/>
  <c r="BG4" i="25"/>
  <c r="BG4" i="23"/>
  <c r="BG4" i="21"/>
  <c r="BG4" i="19"/>
  <c r="BG4" i="18"/>
  <c r="BG4" i="17"/>
  <c r="BG4" i="15"/>
  <c r="BG4" i="14"/>
  <c r="BG4" i="12"/>
  <c r="BF112" i="19"/>
  <c r="BF64" i="19"/>
  <c r="BF77" i="19" s="1"/>
  <c r="BG203" i="18"/>
  <c r="BG67" i="18"/>
  <c r="BF46" i="17"/>
  <c r="BF59" i="17" s="1"/>
  <c r="BF72" i="17" s="1"/>
  <c r="BF127" i="17" s="1"/>
  <c r="BF114" i="17"/>
  <c r="BF108" i="19"/>
  <c r="BF60" i="19"/>
  <c r="BF73" i="19" s="1"/>
  <c r="BG172" i="17"/>
  <c r="BG42" i="17"/>
  <c r="BF122" i="17"/>
  <c r="BF54" i="17"/>
  <c r="BF67" i="17" s="1"/>
  <c r="BF80" i="17" s="1"/>
  <c r="BF135" i="17" s="1"/>
  <c r="BF107" i="19"/>
  <c r="BF59" i="19"/>
  <c r="BF72" i="19" s="1"/>
  <c r="BH23" i="19"/>
  <c r="BH22" i="19"/>
  <c r="BH20" i="19"/>
  <c r="BH19" i="19"/>
  <c r="BH18" i="19"/>
  <c r="BH17" i="19"/>
  <c r="BH15" i="19"/>
  <c r="BH14" i="19"/>
  <c r="BH13" i="19"/>
  <c r="BH24" i="19"/>
  <c r="BI39" i="10"/>
  <c r="BI38" i="10"/>
  <c r="I60" i="27"/>
  <c r="AN12" i="25"/>
  <c r="BG161" i="15"/>
  <c r="BG45" i="15"/>
  <c r="BF119" i="17"/>
  <c r="BF51" i="17"/>
  <c r="BF64" i="17" s="1"/>
  <c r="BF77" i="17" s="1"/>
  <c r="BF132" i="17" s="1"/>
  <c r="BG212" i="19"/>
  <c r="BG53" i="19"/>
  <c r="BG49" i="19"/>
  <c r="BG208" i="19"/>
  <c r="N156" i="19"/>
  <c r="O154" i="19"/>
  <c r="Q156" i="19"/>
  <c r="R155" i="19"/>
  <c r="Q151" i="19"/>
  <c r="P150" i="19"/>
  <c r="O151" i="19"/>
  <c r="N151" i="19"/>
  <c r="BF112" i="15"/>
  <c r="BF138" i="15" s="1"/>
  <c r="BF67" i="15"/>
  <c r="BF80" i="15" s="1"/>
  <c r="BF93" i="15" s="1"/>
  <c r="BF125" i="15" s="1"/>
  <c r="U195" i="15"/>
  <c r="U200" i="15" s="1"/>
  <c r="U140" i="15"/>
  <c r="U145" i="15" s="1"/>
  <c r="V196" i="15"/>
  <c r="V200" i="15" s="1"/>
  <c r="V140" i="15"/>
  <c r="V145" i="15" s="1"/>
  <c r="Q191" i="15"/>
  <c r="Q200" i="15" s="1"/>
  <c r="Q140" i="15"/>
  <c r="Q145" i="15" s="1"/>
  <c r="BF115" i="17"/>
  <c r="BF47" i="17"/>
  <c r="BF60" i="17" s="1"/>
  <c r="BF73" i="17" s="1"/>
  <c r="BF128" i="17" s="1"/>
  <c r="BG58" i="18"/>
  <c r="BG194" i="18"/>
  <c r="BF119" i="18"/>
  <c r="BF74" i="18"/>
  <c r="BF87" i="18" s="1"/>
  <c r="BF100" i="18" s="1"/>
  <c r="BF132" i="18" s="1"/>
  <c r="BG161" i="17"/>
  <c r="BG31" i="17"/>
  <c r="AZ190" i="15"/>
  <c r="BI97" i="19"/>
  <c r="BI11" i="19"/>
  <c r="BI111" i="18"/>
  <c r="BI11" i="18"/>
  <c r="BI108" i="17"/>
  <c r="BI11" i="17"/>
  <c r="BI97" i="15"/>
  <c r="BI11" i="15"/>
  <c r="BI21" i="14"/>
  <c r="BI23" i="14" s="1"/>
  <c r="AS175" i="15"/>
  <c r="AY175" i="15"/>
  <c r="AT175" i="15"/>
  <c r="AU175" i="15"/>
  <c r="AN175" i="15"/>
  <c r="AV175" i="15"/>
  <c r="AQ175" i="15"/>
  <c r="AO175" i="15"/>
  <c r="AW175" i="15"/>
  <c r="AP175" i="15"/>
  <c r="AX175" i="15"/>
  <c r="AR175" i="15"/>
  <c r="BG162" i="15"/>
  <c r="BG46" i="15"/>
  <c r="BF102" i="15"/>
  <c r="BF57" i="15"/>
  <c r="BF70" i="15" s="1"/>
  <c r="BF83" i="15" s="1"/>
  <c r="BF115" i="15" s="1"/>
  <c r="BG213" i="19"/>
  <c r="BG54" i="19"/>
  <c r="BG209" i="19"/>
  <c r="BG50" i="19"/>
  <c r="V155" i="19"/>
  <c r="P149" i="19"/>
  <c r="N154" i="19"/>
  <c r="S153" i="19"/>
  <c r="N152" i="19"/>
  <c r="R154" i="19"/>
  <c r="N147" i="19"/>
  <c r="U157" i="19"/>
  <c r="N155" i="19"/>
  <c r="BH21" i="19"/>
  <c r="BG51" i="19"/>
  <c r="BG210" i="19"/>
  <c r="BG195" i="18"/>
  <c r="BG59" i="18"/>
  <c r="BE195" i="15"/>
  <c r="BF110" i="15"/>
  <c r="BF136" i="15" s="1"/>
  <c r="BF65" i="15"/>
  <c r="BF78" i="15" s="1"/>
  <c r="BF91" i="15" s="1"/>
  <c r="BF123" i="15" s="1"/>
  <c r="BG163" i="17"/>
  <c r="BG33" i="17"/>
  <c r="BF113" i="19"/>
  <c r="BF65" i="19"/>
  <c r="BF78" i="19" s="1"/>
  <c r="BF109" i="19"/>
  <c r="BF61" i="19"/>
  <c r="BF74" i="19" s="1"/>
  <c r="BG162" i="17"/>
  <c r="BG32" i="17"/>
  <c r="BF104" i="15"/>
  <c r="BF59" i="15"/>
  <c r="BF72" i="15" s="1"/>
  <c r="BF85" i="15" s="1"/>
  <c r="BF117" i="15" s="1"/>
  <c r="BH23" i="15"/>
  <c r="BH22" i="15"/>
  <c r="BH21" i="15"/>
  <c r="BH20" i="15"/>
  <c r="BH19" i="15"/>
  <c r="BH18" i="15"/>
  <c r="BH17" i="15"/>
  <c r="BH16" i="15"/>
  <c r="BH15" i="15"/>
  <c r="BH14" i="15"/>
  <c r="BH13" i="15"/>
  <c r="BH24" i="15"/>
  <c r="BI40" i="25"/>
  <c r="BI19" i="25"/>
  <c r="BI39" i="25"/>
  <c r="BI22" i="25"/>
  <c r="BI20" i="25"/>
  <c r="BI21" i="25"/>
  <c r="BE198" i="15"/>
  <c r="BG163" i="15"/>
  <c r="BG47" i="15"/>
  <c r="BF105" i="19"/>
  <c r="BF57" i="19"/>
  <c r="BF70" i="19" s="1"/>
  <c r="BH20" i="17"/>
  <c r="BG168" i="17"/>
  <c r="BG38" i="17"/>
  <c r="BG43" i="19"/>
  <c r="BG202" i="19"/>
  <c r="BG211" i="19"/>
  <c r="BG52" i="19"/>
  <c r="Q157" i="19"/>
  <c r="R157" i="19"/>
  <c r="W157" i="19"/>
  <c r="U155" i="19"/>
  <c r="R156" i="19"/>
  <c r="O149" i="19"/>
  <c r="O148" i="19"/>
  <c r="R151" i="19"/>
  <c r="V156" i="19"/>
  <c r="N188" i="15"/>
  <c r="N200" i="15" s="1"/>
  <c r="N140" i="15"/>
  <c r="N145" i="15" s="1"/>
  <c r="X198" i="15"/>
  <c r="X200" i="15" s="1"/>
  <c r="X140" i="15"/>
  <c r="X145" i="15" s="1"/>
  <c r="R192" i="15"/>
  <c r="R200" i="15" s="1"/>
  <c r="R140" i="15"/>
  <c r="R145" i="15" s="1"/>
  <c r="BF123" i="18"/>
  <c r="BF78" i="18"/>
  <c r="BF91" i="18" s="1"/>
  <c r="BF104" i="18" s="1"/>
  <c r="BF136" i="18" s="1"/>
  <c r="BF115" i="19"/>
  <c r="BF67" i="19"/>
  <c r="BF80" i="19" s="1"/>
  <c r="BG60" i="18"/>
  <c r="BG196" i="18"/>
  <c r="BF110" i="19"/>
  <c r="BF62" i="19"/>
  <c r="BF75" i="19" s="1"/>
  <c r="BF111" i="19"/>
  <c r="BF63" i="19"/>
  <c r="BF76" i="19" s="1"/>
  <c r="BG164" i="17"/>
  <c r="BG34" i="17"/>
  <c r="BF118" i="18"/>
  <c r="BF73" i="18"/>
  <c r="BF86" i="18" s="1"/>
  <c r="BF99" i="18" s="1"/>
  <c r="BF131" i="18" s="1"/>
  <c r="BI5" i="19"/>
  <c r="R60" i="27"/>
  <c r="P60" i="27"/>
  <c r="O60" i="27"/>
  <c r="Q60" i="27"/>
  <c r="K60" i="27"/>
  <c r="BF117" i="18"/>
  <c r="BF72" i="18"/>
  <c r="BF85" i="18" s="1"/>
  <c r="BF98" i="18" s="1"/>
  <c r="BF130" i="18" s="1"/>
  <c r="AP129" i="15"/>
  <c r="AP189" i="15" s="1"/>
  <c r="AO129" i="15"/>
  <c r="AO189" i="15" s="1"/>
  <c r="AN129" i="15"/>
  <c r="AN189" i="15" s="1"/>
  <c r="AX129" i="15"/>
  <c r="AX189" i="15" s="1"/>
  <c r="AS129" i="15"/>
  <c r="AS189" i="15" s="1"/>
  <c r="AQ129" i="15"/>
  <c r="AQ189" i="15" s="1"/>
  <c r="AU129" i="15"/>
  <c r="AU189" i="15" s="1"/>
  <c r="AW129" i="15"/>
  <c r="AW189" i="15" s="1"/>
  <c r="AV129" i="15"/>
  <c r="AV189" i="15" s="1"/>
  <c r="AT129" i="15"/>
  <c r="AT189" i="15" s="1"/>
  <c r="AR129" i="15"/>
  <c r="AR189" i="15" s="1"/>
  <c r="AY129" i="15"/>
  <c r="BG164" i="15"/>
  <c r="BG48" i="15"/>
  <c r="BG204" i="19"/>
  <c r="BG45" i="19"/>
  <c r="BF109" i="15"/>
  <c r="BF64" i="15"/>
  <c r="BF77" i="15" s="1"/>
  <c r="BF90" i="15" s="1"/>
  <c r="BF122" i="15" s="1"/>
  <c r="Q153" i="19"/>
  <c r="O155" i="19"/>
  <c r="P153" i="19"/>
  <c r="Q150" i="19"/>
  <c r="P152" i="19"/>
  <c r="O157" i="19"/>
  <c r="T154" i="19"/>
  <c r="S155" i="19"/>
  <c r="BF125" i="18"/>
  <c r="BF80" i="18"/>
  <c r="BF93" i="18" s="1"/>
  <c r="BF106" i="18" s="1"/>
  <c r="BF138" i="18" s="1"/>
  <c r="BG197" i="18"/>
  <c r="BG61" i="18"/>
  <c r="BF107" i="15"/>
  <c r="BF62" i="15"/>
  <c r="BF75" i="15" s="1"/>
  <c r="BF88" i="15" s="1"/>
  <c r="BF120" i="15" s="1"/>
  <c r="BF113" i="17"/>
  <c r="BF45" i="17"/>
  <c r="BF58" i="17" s="1"/>
  <c r="BF71" i="17" s="1"/>
  <c r="BF126" i="17" s="1"/>
  <c r="BF120" i="18"/>
  <c r="BF75" i="18"/>
  <c r="BF88" i="18" s="1"/>
  <c r="BF101" i="18" s="1"/>
  <c r="BF133" i="18" s="1"/>
  <c r="BF114" i="19"/>
  <c r="BF66" i="19"/>
  <c r="BF79" i="19" s="1"/>
  <c r="BF121" i="18"/>
  <c r="BF76" i="18"/>
  <c r="BF89" i="18" s="1"/>
  <c r="BF102" i="18" s="1"/>
  <c r="BF134" i="18" s="1"/>
  <c r="BG36" i="17"/>
  <c r="BG166" i="17"/>
  <c r="BH23" i="17"/>
  <c r="BH17" i="17"/>
  <c r="BH18" i="17"/>
  <c r="BH15" i="17"/>
  <c r="BH14" i="17"/>
  <c r="BH16" i="17"/>
  <c r="BH13" i="17"/>
  <c r="BH24" i="17"/>
  <c r="BF103" i="15"/>
  <c r="BF58" i="15"/>
  <c r="BF71" i="15" s="1"/>
  <c r="BF84" i="15" s="1"/>
  <c r="BF116" i="15" s="1"/>
  <c r="BG169" i="15"/>
  <c r="BG183" i="15" s="1"/>
  <c r="BG53" i="15"/>
  <c r="BG165" i="15"/>
  <c r="BG49" i="15"/>
  <c r="BF117" i="17"/>
  <c r="BF49" i="17"/>
  <c r="BF62" i="17" s="1"/>
  <c r="BF75" i="17" s="1"/>
  <c r="BF130" i="17" s="1"/>
  <c r="BG203" i="19"/>
  <c r="BG44" i="19"/>
  <c r="U156" i="19"/>
  <c r="P151" i="19"/>
  <c r="O153" i="19"/>
  <c r="T153" i="19"/>
  <c r="S156" i="19"/>
  <c r="N150" i="19"/>
  <c r="O156" i="19"/>
  <c r="U154" i="19"/>
  <c r="BF104" i="19"/>
  <c r="BF56" i="19"/>
  <c r="BF69" i="19" s="1"/>
  <c r="N60" i="27"/>
  <c r="BI5" i="25" l="1"/>
  <c r="BF83" i="19"/>
  <c r="BF118" i="19" s="1"/>
  <c r="BI5" i="23"/>
  <c r="BF88" i="19"/>
  <c r="BF123" i="19" s="1"/>
  <c r="BF90" i="19"/>
  <c r="BF125" i="19" s="1"/>
  <c r="BI5" i="14"/>
  <c r="BI5" i="21"/>
  <c r="BF87" i="19"/>
  <c r="BF122" i="19" s="1"/>
  <c r="BF89" i="19"/>
  <c r="BF124" i="19" s="1"/>
  <c r="BI5" i="12"/>
  <c r="BF86" i="19"/>
  <c r="BF121" i="19" s="1"/>
  <c r="BI5" i="15"/>
  <c r="BF91" i="19"/>
  <c r="BF126" i="19" s="1"/>
  <c r="BF84" i="19"/>
  <c r="BF119" i="19" s="1"/>
  <c r="BF82" i="19"/>
  <c r="BF117" i="19" s="1"/>
  <c r="BF92" i="19"/>
  <c r="BF127" i="19" s="1"/>
  <c r="BI5" i="17"/>
  <c r="BF93" i="19"/>
  <c r="BF128" i="19" s="1"/>
  <c r="BF85" i="19"/>
  <c r="BF120" i="19" s="1"/>
  <c r="BI5" i="18"/>
  <c r="AL258" i="19"/>
  <c r="AV259" i="19"/>
  <c r="AT258" i="19"/>
  <c r="AR258" i="19"/>
  <c r="AJ258" i="19"/>
  <c r="AR259" i="19"/>
  <c r="AK259" i="19"/>
  <c r="AL259" i="19"/>
  <c r="AO259" i="19"/>
  <c r="AN259" i="19"/>
  <c r="AU259" i="19"/>
  <c r="AO258" i="19"/>
  <c r="AT259" i="19"/>
  <c r="AP258" i="19"/>
  <c r="AQ259" i="19"/>
  <c r="AK258" i="19"/>
  <c r="AP259" i="19"/>
  <c r="AN258" i="19"/>
  <c r="AM259" i="19"/>
  <c r="AU258" i="19"/>
  <c r="AM258" i="19"/>
  <c r="AS258" i="19"/>
  <c r="AS259" i="19"/>
  <c r="AQ258" i="19"/>
  <c r="AN19" i="25"/>
  <c r="AN25" i="25"/>
  <c r="AL67" i="14"/>
  <c r="AL155" i="15" s="1"/>
  <c r="AL36" i="14"/>
  <c r="AL8" i="23" s="1"/>
  <c r="N211" i="15"/>
  <c r="N215" i="15" s="1"/>
  <c r="N88" i="17" s="1"/>
  <c r="O211" i="15"/>
  <c r="O215" i="15" s="1"/>
  <c r="O88" i="17" s="1"/>
  <c r="T211" i="15"/>
  <c r="T215" i="15" s="1"/>
  <c r="T88" i="17" s="1"/>
  <c r="Q211" i="15"/>
  <c r="Q215" i="15" s="1"/>
  <c r="Q187" i="18" s="1"/>
  <c r="R211" i="15"/>
  <c r="R215" i="15" s="1"/>
  <c r="R88" i="17" s="1"/>
  <c r="V211" i="15"/>
  <c r="V215" i="15" s="1"/>
  <c r="V12" i="23" s="1"/>
  <c r="P211" i="15"/>
  <c r="P215" i="15" s="1"/>
  <c r="P187" i="18" s="1"/>
  <c r="W211" i="15"/>
  <c r="W215" i="15" s="1"/>
  <c r="W187" i="18" s="1"/>
  <c r="X211" i="15"/>
  <c r="X215" i="15" s="1"/>
  <c r="X12" i="23" s="1"/>
  <c r="U211" i="15"/>
  <c r="U215" i="15" s="1"/>
  <c r="U88" i="17" s="1"/>
  <c r="S211" i="15"/>
  <c r="S215" i="15" s="1"/>
  <c r="S12" i="23" s="1"/>
  <c r="S295" i="19"/>
  <c r="U257" i="19"/>
  <c r="N290" i="19"/>
  <c r="N256" i="19"/>
  <c r="Q255" i="19"/>
  <c r="T296" i="19"/>
  <c r="X300" i="19"/>
  <c r="R294" i="19"/>
  <c r="Q258" i="19"/>
  <c r="P255" i="19"/>
  <c r="Q293" i="19"/>
  <c r="P292" i="19"/>
  <c r="O258" i="19"/>
  <c r="V298" i="19"/>
  <c r="P258" i="19"/>
  <c r="Q256" i="19"/>
  <c r="O257" i="19"/>
  <c r="W259" i="19"/>
  <c r="O256" i="19"/>
  <c r="P256" i="19"/>
  <c r="S255" i="19"/>
  <c r="O291" i="19"/>
  <c r="R255" i="19"/>
  <c r="O259" i="19"/>
  <c r="N252" i="19"/>
  <c r="N253" i="19"/>
  <c r="O252" i="19"/>
  <c r="R259" i="19"/>
  <c r="P254" i="19"/>
  <c r="N259" i="19"/>
  <c r="P259" i="19"/>
  <c r="Q253" i="19"/>
  <c r="N254" i="19"/>
  <c r="N251" i="19"/>
  <c r="U297" i="19"/>
  <c r="P252" i="19"/>
  <c r="T256" i="19"/>
  <c r="U259" i="19"/>
  <c r="R254" i="19"/>
  <c r="W299" i="19"/>
  <c r="R257" i="19"/>
  <c r="S257" i="19"/>
  <c r="N255" i="19"/>
  <c r="O251" i="19"/>
  <c r="Q259" i="19"/>
  <c r="T257" i="19"/>
  <c r="O254" i="19"/>
  <c r="N250" i="19"/>
  <c r="N257" i="19"/>
  <c r="U258" i="19"/>
  <c r="V258" i="19"/>
  <c r="T259" i="19"/>
  <c r="S258" i="19"/>
  <c r="Q254" i="19"/>
  <c r="N258" i="19"/>
  <c r="O253" i="19"/>
  <c r="P257" i="19"/>
  <c r="T258" i="19"/>
  <c r="Q257" i="19"/>
  <c r="S259" i="19"/>
  <c r="R258" i="19"/>
  <c r="O255" i="19"/>
  <c r="P253" i="19"/>
  <c r="R256" i="19"/>
  <c r="V259" i="19"/>
  <c r="S256" i="19"/>
  <c r="S241" i="19"/>
  <c r="BH5" i="12"/>
  <c r="BH5" i="23"/>
  <c r="BH5" i="17"/>
  <c r="BH5" i="18"/>
  <c r="BH33" i="18" s="1"/>
  <c r="BH163" i="18" s="1"/>
  <c r="BH5" i="19"/>
  <c r="R237" i="19"/>
  <c r="BH5" i="21"/>
  <c r="V241" i="19"/>
  <c r="S238" i="19"/>
  <c r="P233" i="19"/>
  <c r="BH5" i="14"/>
  <c r="BH5" i="25"/>
  <c r="Q238" i="19"/>
  <c r="BH5" i="15"/>
  <c r="Q237" i="19"/>
  <c r="N231" i="19"/>
  <c r="V239" i="19"/>
  <c r="O236" i="19"/>
  <c r="BF196" i="15"/>
  <c r="N232" i="19"/>
  <c r="U239" i="19"/>
  <c r="R235" i="19"/>
  <c r="N233" i="19"/>
  <c r="T240" i="19"/>
  <c r="P236" i="19"/>
  <c r="N238" i="19"/>
  <c r="BF197" i="15"/>
  <c r="U240" i="19"/>
  <c r="R238" i="19"/>
  <c r="Q240" i="19"/>
  <c r="N236" i="19"/>
  <c r="S240" i="19"/>
  <c r="N239" i="19"/>
  <c r="O235" i="19"/>
  <c r="P238" i="19"/>
  <c r="T241" i="19"/>
  <c r="O234" i="19"/>
  <c r="BH164" i="17"/>
  <c r="BH34" i="17"/>
  <c r="BG117" i="17"/>
  <c r="BG49" i="17"/>
  <c r="BG62" i="17" s="1"/>
  <c r="BG75" i="17" s="1"/>
  <c r="BG130" i="17" s="1"/>
  <c r="T238" i="19"/>
  <c r="P237" i="19"/>
  <c r="BG106" i="19"/>
  <c r="BG58" i="19"/>
  <c r="BG71" i="19" s="1"/>
  <c r="BI43" i="14"/>
  <c r="BI45" i="14" s="1"/>
  <c r="BI50" i="14" s="1"/>
  <c r="BI52" i="14" s="1"/>
  <c r="BI57" i="14" s="1"/>
  <c r="BI13" i="14"/>
  <c r="BI15" i="14" s="1"/>
  <c r="BI26" i="14" s="1"/>
  <c r="BI28" i="14" s="1"/>
  <c r="O233" i="19"/>
  <c r="R241" i="19"/>
  <c r="BG119" i="17"/>
  <c r="BG51" i="17"/>
  <c r="BG64" i="17" s="1"/>
  <c r="BG77" i="17" s="1"/>
  <c r="BG132" i="17" s="1"/>
  <c r="BH159" i="15"/>
  <c r="BH43" i="15"/>
  <c r="BH167" i="15"/>
  <c r="BH51" i="15"/>
  <c r="BG104" i="15"/>
  <c r="BG59" i="15"/>
  <c r="BG72" i="15" s="1"/>
  <c r="BG85" i="15" s="1"/>
  <c r="BG117" i="15" s="1"/>
  <c r="BF198" i="15"/>
  <c r="BG114" i="19"/>
  <c r="BG66" i="19"/>
  <c r="BG79" i="19" s="1"/>
  <c r="BH44" i="19"/>
  <c r="BH203" i="19"/>
  <c r="BG110" i="15"/>
  <c r="BG65" i="15"/>
  <c r="BG78" i="15" s="1"/>
  <c r="BG91" i="15" s="1"/>
  <c r="BG123" i="15" s="1"/>
  <c r="BH196" i="18"/>
  <c r="BH60" i="18"/>
  <c r="BG120" i="17"/>
  <c r="BG52" i="17"/>
  <c r="BG65" i="17" s="1"/>
  <c r="BG78" i="17" s="1"/>
  <c r="BG133" i="17" s="1"/>
  <c r="BG118" i="17"/>
  <c r="BG50" i="17"/>
  <c r="BG63" i="17" s="1"/>
  <c r="BG76" i="17" s="1"/>
  <c r="BG131" i="17" s="1"/>
  <c r="BG109" i="19"/>
  <c r="BG61" i="19"/>
  <c r="BG74" i="19" s="1"/>
  <c r="T148" i="15"/>
  <c r="T210" i="15" s="1"/>
  <c r="T214" i="15" s="1"/>
  <c r="T147" i="15"/>
  <c r="T209" i="15" s="1"/>
  <c r="T213" i="15" s="1"/>
  <c r="BG59" i="19"/>
  <c r="BG72" i="19" s="1"/>
  <c r="BG107" i="19"/>
  <c r="W148" i="15"/>
  <c r="W210" i="15" s="1"/>
  <c r="W214" i="15" s="1"/>
  <c r="W147" i="15"/>
  <c r="W209" i="15" s="1"/>
  <c r="W213" i="15" s="1"/>
  <c r="U238" i="19"/>
  <c r="T237" i="19"/>
  <c r="BG66" i="15"/>
  <c r="BG79" i="15" s="1"/>
  <c r="BG92" i="15" s="1"/>
  <c r="BG124" i="15" s="1"/>
  <c r="BG111" i="15"/>
  <c r="BG137" i="15" s="1"/>
  <c r="BH162" i="17"/>
  <c r="BH32" i="17"/>
  <c r="BH160" i="15"/>
  <c r="BH44" i="15"/>
  <c r="BH168" i="15"/>
  <c r="BH52" i="15"/>
  <c r="BG117" i="18"/>
  <c r="BG72" i="18"/>
  <c r="BG85" i="18" s="1"/>
  <c r="BG98" i="18" s="1"/>
  <c r="BG130" i="18" s="1"/>
  <c r="U241" i="19"/>
  <c r="S237" i="19"/>
  <c r="BG111" i="19"/>
  <c r="BG63" i="19"/>
  <c r="BG76" i="19" s="1"/>
  <c r="BI24" i="19"/>
  <c r="BI21" i="19"/>
  <c r="BI23" i="19"/>
  <c r="BI20" i="19"/>
  <c r="BI19" i="19"/>
  <c r="BI17" i="19"/>
  <c r="BI18" i="19"/>
  <c r="BI16" i="19"/>
  <c r="BI14" i="19"/>
  <c r="BI15" i="19"/>
  <c r="BI13" i="19"/>
  <c r="Q147" i="15"/>
  <c r="Q209" i="15" s="1"/>
  <c r="Q213" i="15" s="1"/>
  <c r="Q148" i="15"/>
  <c r="Q210" i="15" s="1"/>
  <c r="Q214" i="15" s="1"/>
  <c r="P234" i="19"/>
  <c r="O238" i="19"/>
  <c r="BH204" i="19"/>
  <c r="BH45" i="19"/>
  <c r="BH195" i="18"/>
  <c r="BH59" i="18"/>
  <c r="P148" i="15"/>
  <c r="P210" i="15" s="1"/>
  <c r="P214" i="15" s="1"/>
  <c r="P147" i="15"/>
  <c r="P209" i="15" s="1"/>
  <c r="P213" i="15" s="1"/>
  <c r="N237" i="19"/>
  <c r="X241" i="19"/>
  <c r="BI22" i="17"/>
  <c r="BH170" i="17"/>
  <c r="BH40" i="17"/>
  <c r="BG120" i="18"/>
  <c r="BG75" i="18"/>
  <c r="BG88" i="18" s="1"/>
  <c r="BG101" i="18" s="1"/>
  <c r="BG133" i="18" s="1"/>
  <c r="P239" i="19"/>
  <c r="N241" i="19"/>
  <c r="BH205" i="19"/>
  <c r="BH46" i="19"/>
  <c r="AN128" i="15"/>
  <c r="AN188" i="15" s="1"/>
  <c r="AR128" i="15"/>
  <c r="AR188" i="15" s="1"/>
  <c r="AQ128" i="15"/>
  <c r="AQ188" i="15" s="1"/>
  <c r="AM128" i="15"/>
  <c r="AM188" i="15" s="1"/>
  <c r="AW128" i="15"/>
  <c r="AW188" i="15" s="1"/>
  <c r="AS128" i="15"/>
  <c r="AS188" i="15" s="1"/>
  <c r="AX128" i="15"/>
  <c r="AX188" i="15" s="1"/>
  <c r="AT128" i="15"/>
  <c r="AT188" i="15" s="1"/>
  <c r="AU128" i="15"/>
  <c r="AU188" i="15" s="1"/>
  <c r="AV128" i="15"/>
  <c r="AV188" i="15" s="1"/>
  <c r="AP128" i="15"/>
  <c r="AP188" i="15" s="1"/>
  <c r="AO128" i="15"/>
  <c r="AO188" i="15" s="1"/>
  <c r="BG116" i="17"/>
  <c r="BG48" i="17"/>
  <c r="BG61" i="17" s="1"/>
  <c r="BG74" i="17" s="1"/>
  <c r="BG129" i="17" s="1"/>
  <c r="BG105" i="19"/>
  <c r="BG57" i="19"/>
  <c r="BG70" i="19" s="1"/>
  <c r="BH163" i="17"/>
  <c r="BH33" i="17"/>
  <c r="O241" i="19"/>
  <c r="O239" i="19"/>
  <c r="V240" i="19"/>
  <c r="R240" i="19"/>
  <c r="Q241" i="19"/>
  <c r="BI20" i="17"/>
  <c r="BH38" i="17"/>
  <c r="BH168" i="17"/>
  <c r="BH161" i="15"/>
  <c r="BH45" i="15"/>
  <c r="BH169" i="15"/>
  <c r="BH53" i="15"/>
  <c r="BH206" i="19"/>
  <c r="BH47" i="19"/>
  <c r="BG102" i="15"/>
  <c r="BG57" i="15"/>
  <c r="BG70" i="15" s="1"/>
  <c r="BG83" i="15" s="1"/>
  <c r="BG115" i="15" s="1"/>
  <c r="BH197" i="18"/>
  <c r="BH61" i="18"/>
  <c r="BH169" i="17"/>
  <c r="BH39" i="17"/>
  <c r="BI19" i="17"/>
  <c r="BH167" i="17"/>
  <c r="BH37" i="17"/>
  <c r="BG122" i="18"/>
  <c r="BG77" i="18"/>
  <c r="BG90" i="18" s="1"/>
  <c r="BG103" i="18" s="1"/>
  <c r="BG135" i="18" s="1"/>
  <c r="AM12" i="25"/>
  <c r="H60" i="27"/>
  <c r="S148" i="15"/>
  <c r="S210" i="15" s="1"/>
  <c r="S214" i="15" s="1"/>
  <c r="S147" i="15"/>
  <c r="S209" i="15" s="1"/>
  <c r="S213" i="15" s="1"/>
  <c r="O240" i="19"/>
  <c r="O237" i="19"/>
  <c r="AN174" i="15"/>
  <c r="AO174" i="15"/>
  <c r="AX174" i="15"/>
  <c r="AW174" i="15"/>
  <c r="AP174" i="15"/>
  <c r="AS174" i="15"/>
  <c r="AT174" i="15"/>
  <c r="AQ174" i="15"/>
  <c r="AR174" i="15"/>
  <c r="AM174" i="15"/>
  <c r="AU174" i="15"/>
  <c r="AV174" i="15"/>
  <c r="BH166" i="17"/>
  <c r="BH36" i="17"/>
  <c r="BG106" i="15"/>
  <c r="BG61" i="15"/>
  <c r="BG74" i="15" s="1"/>
  <c r="BG87" i="15" s="1"/>
  <c r="BG119" i="15" s="1"/>
  <c r="R148" i="15"/>
  <c r="R210" i="15" s="1"/>
  <c r="R214" i="15" s="1"/>
  <c r="R147" i="15"/>
  <c r="R209" i="15" s="1"/>
  <c r="R213" i="15" s="1"/>
  <c r="BH162" i="15"/>
  <c r="BH46" i="15"/>
  <c r="BG115" i="19"/>
  <c r="BG67" i="19"/>
  <c r="BG80" i="19" s="1"/>
  <c r="BI24" i="15"/>
  <c r="BI23" i="15"/>
  <c r="BI22" i="15"/>
  <c r="BI21" i="15"/>
  <c r="BI20" i="15"/>
  <c r="BI19" i="15"/>
  <c r="BI18" i="15"/>
  <c r="BI17" i="15"/>
  <c r="BI16" i="15"/>
  <c r="BI15" i="15"/>
  <c r="BI14" i="15"/>
  <c r="BI13" i="15"/>
  <c r="V148" i="15"/>
  <c r="V210" i="15" s="1"/>
  <c r="V214" i="15" s="1"/>
  <c r="V147" i="15"/>
  <c r="V209" i="15" s="1"/>
  <c r="V213" i="15" s="1"/>
  <c r="Q235" i="19"/>
  <c r="N240" i="19"/>
  <c r="BH207" i="19"/>
  <c r="BH48" i="19"/>
  <c r="BH198" i="18"/>
  <c r="BH62" i="18"/>
  <c r="T239" i="19"/>
  <c r="P241" i="19"/>
  <c r="BG109" i="15"/>
  <c r="BG64" i="15"/>
  <c r="BG77" i="15" s="1"/>
  <c r="BG90" i="15" s="1"/>
  <c r="BG122" i="15" s="1"/>
  <c r="BG126" i="18"/>
  <c r="BG81" i="18"/>
  <c r="BG94" i="18" s="1"/>
  <c r="BG107" i="18" s="1"/>
  <c r="BG139" i="18" s="1"/>
  <c r="S236" i="19"/>
  <c r="R236" i="19"/>
  <c r="BG108" i="15"/>
  <c r="BG63" i="15"/>
  <c r="BG76" i="15" s="1"/>
  <c r="BG89" i="15" s="1"/>
  <c r="BG121" i="15" s="1"/>
  <c r="BH165" i="17"/>
  <c r="BH35" i="17"/>
  <c r="BG113" i="19"/>
  <c r="BG65" i="19"/>
  <c r="BG78" i="19" s="1"/>
  <c r="BH163" i="15"/>
  <c r="BH47" i="15"/>
  <c r="BG114" i="17"/>
  <c r="BG46" i="17"/>
  <c r="BG59" i="17" s="1"/>
  <c r="BG72" i="17" s="1"/>
  <c r="BG127" i="17" s="1"/>
  <c r="BG112" i="19"/>
  <c r="BG64" i="19"/>
  <c r="BG77" i="19" s="1"/>
  <c r="BG103" i="15"/>
  <c r="BG58" i="15"/>
  <c r="BG71" i="15" s="1"/>
  <c r="BG84" i="15" s="1"/>
  <c r="BG116" i="15" s="1"/>
  <c r="BI41" i="10"/>
  <c r="BI307" i="19"/>
  <c r="BI238" i="18"/>
  <c r="BI207" i="17"/>
  <c r="BI204" i="15"/>
  <c r="BI33" i="14"/>
  <c r="BI64" i="14"/>
  <c r="BH208" i="19"/>
  <c r="BH49" i="19"/>
  <c r="BG125" i="18"/>
  <c r="BG80" i="18"/>
  <c r="BG93" i="18" s="1"/>
  <c r="BG106" i="18" s="1"/>
  <c r="BG138" i="18" s="1"/>
  <c r="BG108" i="19"/>
  <c r="BG60" i="19"/>
  <c r="BG73" i="19" s="1"/>
  <c r="BH199" i="18"/>
  <c r="BH63" i="18"/>
  <c r="BG122" i="17"/>
  <c r="BG54" i="17"/>
  <c r="BG67" i="17" s="1"/>
  <c r="BG80" i="17" s="1"/>
  <c r="BG135" i="17" s="1"/>
  <c r="BG124" i="18"/>
  <c r="BG79" i="18"/>
  <c r="BG92" i="18" s="1"/>
  <c r="BG105" i="18" s="1"/>
  <c r="BG137" i="18" s="1"/>
  <c r="BH200" i="18"/>
  <c r="BH64" i="18"/>
  <c r="BG121" i="18"/>
  <c r="BG76" i="18"/>
  <c r="BG89" i="18" s="1"/>
  <c r="BG102" i="18" s="1"/>
  <c r="BG134" i="18" s="1"/>
  <c r="O148" i="15"/>
  <c r="O210" i="15" s="1"/>
  <c r="O214" i="15" s="1"/>
  <c r="O147" i="15"/>
  <c r="O209" i="15" s="1"/>
  <c r="O213" i="15" s="1"/>
  <c r="N234" i="19"/>
  <c r="P235" i="19"/>
  <c r="BI23" i="17"/>
  <c r="BH171" i="17"/>
  <c r="BH41" i="17"/>
  <c r="BG119" i="18"/>
  <c r="BG74" i="18"/>
  <c r="BG87" i="18" s="1"/>
  <c r="BG100" i="18" s="1"/>
  <c r="BG132" i="18" s="1"/>
  <c r="AY189" i="15"/>
  <c r="BG115" i="17"/>
  <c r="BG47" i="17"/>
  <c r="BG60" i="17" s="1"/>
  <c r="BG73" i="17" s="1"/>
  <c r="BG128" i="17" s="1"/>
  <c r="X148" i="15"/>
  <c r="X210" i="15" s="1"/>
  <c r="X214" i="15" s="1"/>
  <c r="X147" i="15"/>
  <c r="X209" i="15" s="1"/>
  <c r="X213" i="15" s="1"/>
  <c r="BH164" i="15"/>
  <c r="BH48" i="15"/>
  <c r="BG113" i="17"/>
  <c r="BG45" i="17"/>
  <c r="BG58" i="17" s="1"/>
  <c r="BG71" i="17" s="1"/>
  <c r="BG126" i="17" s="1"/>
  <c r="BH210" i="19"/>
  <c r="BH51" i="19"/>
  <c r="BI24" i="17"/>
  <c r="BI21" i="17"/>
  <c r="BI17" i="17"/>
  <c r="BI18" i="17"/>
  <c r="BI15" i="17"/>
  <c r="BI13" i="17"/>
  <c r="BI14" i="17"/>
  <c r="BI16" i="17"/>
  <c r="BG116" i="18"/>
  <c r="BG71" i="18"/>
  <c r="BG84" i="18" s="1"/>
  <c r="BG97" i="18" s="1"/>
  <c r="BG129" i="18" s="1"/>
  <c r="U147" i="15"/>
  <c r="U209" i="15" s="1"/>
  <c r="U213" i="15" s="1"/>
  <c r="U148" i="15"/>
  <c r="U210" i="15" s="1"/>
  <c r="U214" i="15" s="1"/>
  <c r="N235" i="19"/>
  <c r="R239" i="19"/>
  <c r="BH50" i="19"/>
  <c r="BH209" i="19"/>
  <c r="BG123" i="17"/>
  <c r="BG55" i="17"/>
  <c r="BG68" i="17" s="1"/>
  <c r="BG81" i="17" s="1"/>
  <c r="BG136" i="17" s="1"/>
  <c r="BH204" i="18"/>
  <c r="BH68" i="18"/>
  <c r="BH66" i="18"/>
  <c r="BH202" i="18"/>
  <c r="BG101" i="15"/>
  <c r="BG56" i="15"/>
  <c r="BG69" i="15" s="1"/>
  <c r="BG82" i="15" s="1"/>
  <c r="BG114" i="15" s="1"/>
  <c r="BH4" i="25"/>
  <c r="BH4" i="21"/>
  <c r="BH4" i="23"/>
  <c r="BH4" i="19"/>
  <c r="BH4" i="18"/>
  <c r="BH4" i="17"/>
  <c r="BH4" i="12"/>
  <c r="BH4" i="15"/>
  <c r="BH4" i="14"/>
  <c r="BG112" i="15"/>
  <c r="BG138" i="15" s="1"/>
  <c r="BG67" i="15"/>
  <c r="BG80" i="15" s="1"/>
  <c r="BG93" i="15" s="1"/>
  <c r="BG125" i="15" s="1"/>
  <c r="BH172" i="17"/>
  <c r="BH42" i="17"/>
  <c r="S239" i="19"/>
  <c r="Q234" i="19"/>
  <c r="BG118" i="18"/>
  <c r="BG73" i="18"/>
  <c r="BG86" i="18" s="1"/>
  <c r="BG99" i="18" s="1"/>
  <c r="BG131" i="18" s="1"/>
  <c r="O232" i="19"/>
  <c r="W241" i="19"/>
  <c r="BG105" i="15"/>
  <c r="BG60" i="15"/>
  <c r="BG73" i="15" s="1"/>
  <c r="BG86" i="15" s="1"/>
  <c r="BG118" i="15" s="1"/>
  <c r="BH165" i="15"/>
  <c r="BH49" i="15"/>
  <c r="BG112" i="17"/>
  <c r="BG44" i="17"/>
  <c r="BG57" i="17" s="1"/>
  <c r="BG70" i="17" s="1"/>
  <c r="BG125" i="17" s="1"/>
  <c r="BH213" i="19"/>
  <c r="BH54" i="19"/>
  <c r="BI22" i="19"/>
  <c r="BH211" i="19"/>
  <c r="BH52" i="19"/>
  <c r="BH193" i="18"/>
  <c r="BH57" i="18"/>
  <c r="BH201" i="18"/>
  <c r="BH65" i="18"/>
  <c r="BG123" i="18"/>
  <c r="BG78" i="18"/>
  <c r="BG91" i="18" s="1"/>
  <c r="BG104" i="18" s="1"/>
  <c r="BG136" i="18" s="1"/>
  <c r="BH43" i="14"/>
  <c r="BH45" i="14" s="1"/>
  <c r="BH50" i="14" s="1"/>
  <c r="BH52" i="14" s="1"/>
  <c r="BH57" i="14" s="1"/>
  <c r="BH13" i="14"/>
  <c r="BH15" i="14" s="1"/>
  <c r="BH26" i="14" s="1"/>
  <c r="BH28" i="14" s="1"/>
  <c r="BG107" i="15"/>
  <c r="BG62" i="15"/>
  <c r="BG75" i="15" s="1"/>
  <c r="BG88" i="15" s="1"/>
  <c r="BG120" i="15" s="1"/>
  <c r="BH161" i="17"/>
  <c r="BH31" i="17"/>
  <c r="N147" i="15"/>
  <c r="N209" i="15" s="1"/>
  <c r="N213" i="15" s="1"/>
  <c r="N148" i="15"/>
  <c r="N210" i="15" s="1"/>
  <c r="N214" i="15" s="1"/>
  <c r="BG104" i="19"/>
  <c r="BG56" i="19"/>
  <c r="BG69" i="19" s="1"/>
  <c r="BH54" i="15"/>
  <c r="BH170" i="15"/>
  <c r="BH184" i="15" s="1"/>
  <c r="BH166" i="15"/>
  <c r="BH50" i="15"/>
  <c r="BI24" i="18"/>
  <c r="BI38" i="18" s="1"/>
  <c r="BI168" i="18" s="1"/>
  <c r="BI20" i="18"/>
  <c r="BI34" i="18" s="1"/>
  <c r="BI164" i="18" s="1"/>
  <c r="BI21" i="18"/>
  <c r="BI35" i="18" s="1"/>
  <c r="BI165" i="18" s="1"/>
  <c r="BI22" i="18"/>
  <c r="BI36" i="18" s="1"/>
  <c r="BI166" i="18" s="1"/>
  <c r="BI18" i="18"/>
  <c r="BI32" i="18" s="1"/>
  <c r="BI162" i="18" s="1"/>
  <c r="BI19" i="18"/>
  <c r="BI33" i="18" s="1"/>
  <c r="BI163" i="18" s="1"/>
  <c r="BI17" i="18"/>
  <c r="BI31" i="18" s="1"/>
  <c r="BI161" i="18" s="1"/>
  <c r="BI16" i="18"/>
  <c r="BI30" i="18" s="1"/>
  <c r="BI160" i="18" s="1"/>
  <c r="BI15" i="18"/>
  <c r="BI29" i="18" s="1"/>
  <c r="BI159" i="18" s="1"/>
  <c r="BI13" i="18"/>
  <c r="BI27" i="18" s="1"/>
  <c r="BI157" i="18" s="1"/>
  <c r="BI14" i="18"/>
  <c r="BI28" i="18" s="1"/>
  <c r="BI158" i="18" s="1"/>
  <c r="BG110" i="19"/>
  <c r="BG62" i="19"/>
  <c r="BG75" i="19" s="1"/>
  <c r="BH202" i="19"/>
  <c r="BH43" i="19"/>
  <c r="BH53" i="19"/>
  <c r="BH212" i="19"/>
  <c r="BH194" i="18"/>
  <c r="BH58" i="18"/>
  <c r="BI23" i="18"/>
  <c r="BI37" i="18" s="1"/>
  <c r="BI167" i="18" s="1"/>
  <c r="BH203" i="18"/>
  <c r="BH67" i="18"/>
  <c r="BG115" i="18"/>
  <c r="BG70" i="18"/>
  <c r="BG83" i="18" s="1"/>
  <c r="BG96" i="18" s="1"/>
  <c r="BG128" i="18" s="1"/>
  <c r="P240" i="19"/>
  <c r="Q236" i="19"/>
  <c r="BG121" i="17"/>
  <c r="BG53" i="17"/>
  <c r="BG66" i="17" s="1"/>
  <c r="BG79" i="17" s="1"/>
  <c r="BG134" i="17" s="1"/>
  <c r="W240" i="19"/>
  <c r="Q239" i="19"/>
  <c r="BF54" i="10"/>
  <c r="BG5" i="25"/>
  <c r="BG5" i="21"/>
  <c r="BG5" i="23"/>
  <c r="BG5" i="19"/>
  <c r="BG5" i="18"/>
  <c r="BG5" i="17"/>
  <c r="BG5" i="15"/>
  <c r="BG5" i="12"/>
  <c r="BG5" i="14"/>
  <c r="AL154" i="15" l="1"/>
  <c r="AL157" i="15" s="1"/>
  <c r="AL11" i="21"/>
  <c r="BG83" i="19"/>
  <c r="BG118" i="19" s="1"/>
  <c r="BG89" i="19"/>
  <c r="BG124" i="19" s="1"/>
  <c r="BG90" i="19"/>
  <c r="BG125" i="19" s="1"/>
  <c r="BG93" i="19"/>
  <c r="BG128" i="19" s="1"/>
  <c r="BG84" i="19"/>
  <c r="BG119" i="19" s="1"/>
  <c r="BG86" i="19"/>
  <c r="BG121" i="19" s="1"/>
  <c r="BG92" i="19"/>
  <c r="BG127" i="19" s="1"/>
  <c r="BG88" i="19"/>
  <c r="BG123" i="19" s="1"/>
  <c r="BG85" i="19"/>
  <c r="BG120" i="19" s="1"/>
  <c r="BG82" i="19"/>
  <c r="BG117" i="19" s="1"/>
  <c r="BG87" i="19"/>
  <c r="BG122" i="19" s="1"/>
  <c r="BG91" i="19"/>
  <c r="BG126" i="19" s="1"/>
  <c r="AL99" i="15"/>
  <c r="AR127" i="15" s="1"/>
  <c r="O187" i="18"/>
  <c r="O12" i="23"/>
  <c r="X88" i="17"/>
  <c r="X187" i="18"/>
  <c r="AM19" i="25"/>
  <c r="AM25" i="25"/>
  <c r="U187" i="18"/>
  <c r="U12" i="23"/>
  <c r="S88" i="17"/>
  <c r="T187" i="18"/>
  <c r="S187" i="18"/>
  <c r="T12" i="23"/>
  <c r="Q12" i="23"/>
  <c r="Q88" i="17"/>
  <c r="P12" i="23"/>
  <c r="P88" i="17"/>
  <c r="V88" i="17"/>
  <c r="V187" i="18"/>
  <c r="N12" i="23"/>
  <c r="N187" i="18"/>
  <c r="R187" i="18"/>
  <c r="R12" i="23"/>
  <c r="W12" i="23"/>
  <c r="W88" i="17"/>
  <c r="X13" i="21"/>
  <c r="X9" i="23"/>
  <c r="P13" i="21"/>
  <c r="P9" i="23"/>
  <c r="W13" i="21"/>
  <c r="W9" i="23"/>
  <c r="N13" i="21"/>
  <c r="N9" i="23"/>
  <c r="S13" i="21"/>
  <c r="S9" i="23"/>
  <c r="T13" i="21"/>
  <c r="T9" i="23"/>
  <c r="U13" i="21"/>
  <c r="U9" i="23"/>
  <c r="V13" i="21"/>
  <c r="V9" i="23"/>
  <c r="O13" i="21"/>
  <c r="O9" i="23"/>
  <c r="R13" i="21"/>
  <c r="R9" i="23"/>
  <c r="Q13" i="21"/>
  <c r="Q9" i="23"/>
  <c r="BH31" i="18"/>
  <c r="BH161" i="18" s="1"/>
  <c r="BH35" i="18"/>
  <c r="BH165" i="18" s="1"/>
  <c r="BH30" i="18"/>
  <c r="BH160" i="18" s="1"/>
  <c r="BH37" i="18"/>
  <c r="BH167" i="18" s="1"/>
  <c r="BH28" i="18"/>
  <c r="BH158" i="18" s="1"/>
  <c r="BH27" i="18"/>
  <c r="BH157" i="18" s="1"/>
  <c r="BH32" i="18"/>
  <c r="BH162" i="18" s="1"/>
  <c r="BH36" i="18"/>
  <c r="BH166" i="18" s="1"/>
  <c r="BH34" i="18"/>
  <c r="BH164" i="18" s="1"/>
  <c r="BH38" i="18"/>
  <c r="BH168" i="18" s="1"/>
  <c r="BG28" i="18"/>
  <c r="BG158" i="18" s="1"/>
  <c r="BG32" i="18"/>
  <c r="BG162" i="18" s="1"/>
  <c r="BG37" i="18"/>
  <c r="BG167" i="18" s="1"/>
  <c r="BG27" i="18"/>
  <c r="BG157" i="18" s="1"/>
  <c r="BG35" i="18"/>
  <c r="BG165" i="18" s="1"/>
  <c r="BG36" i="18"/>
  <c r="BG166" i="18" s="1"/>
  <c r="BG29" i="18"/>
  <c r="BG159" i="18" s="1"/>
  <c r="BG34" i="18"/>
  <c r="BG164" i="18" s="1"/>
  <c r="BG30" i="18"/>
  <c r="BG160" i="18" s="1"/>
  <c r="BG31" i="18"/>
  <c r="BG161" i="18" s="1"/>
  <c r="BG33" i="18"/>
  <c r="BG163" i="18" s="1"/>
  <c r="BG38" i="18"/>
  <c r="BG168" i="18" s="1"/>
  <c r="BH29" i="18"/>
  <c r="BH159" i="18" s="1"/>
  <c r="BG198" i="15"/>
  <c r="BG197" i="15"/>
  <c r="AQ173" i="15"/>
  <c r="AL173" i="15"/>
  <c r="AU173" i="15"/>
  <c r="AR173" i="15"/>
  <c r="AS173" i="15"/>
  <c r="AT173" i="15"/>
  <c r="AM173" i="15"/>
  <c r="AN173" i="15"/>
  <c r="AV173" i="15"/>
  <c r="AO173" i="15"/>
  <c r="AP173" i="15"/>
  <c r="AW173" i="15"/>
  <c r="BH116" i="18"/>
  <c r="BH71" i="18"/>
  <c r="BH84" i="18" s="1"/>
  <c r="BH97" i="18" s="1"/>
  <c r="BH129" i="18" s="1"/>
  <c r="BI202" i="18"/>
  <c r="BI66" i="18"/>
  <c r="BH112" i="15"/>
  <c r="BH138" i="15" s="1"/>
  <c r="BH67" i="15"/>
  <c r="BH80" i="15" s="1"/>
  <c r="BH93" i="15" s="1"/>
  <c r="BH125" i="15" s="1"/>
  <c r="BH112" i="17"/>
  <c r="BH44" i="17"/>
  <c r="BH57" i="17" s="1"/>
  <c r="BH70" i="17" s="1"/>
  <c r="BH125" i="17" s="1"/>
  <c r="BH65" i="19"/>
  <c r="BH78" i="19" s="1"/>
  <c r="BH113" i="19"/>
  <c r="BH111" i="19"/>
  <c r="BH63" i="19"/>
  <c r="BH76" i="19" s="1"/>
  <c r="BI34" i="17"/>
  <c r="BI164" i="17"/>
  <c r="BH112" i="19"/>
  <c r="BH64" i="19"/>
  <c r="BH77" i="19" s="1"/>
  <c r="BI46" i="15"/>
  <c r="BI162" i="15"/>
  <c r="BI170" i="15"/>
  <c r="BI54" i="15"/>
  <c r="BH117" i="18"/>
  <c r="BH72" i="18"/>
  <c r="BH85" i="18" s="1"/>
  <c r="BH98" i="18" s="1"/>
  <c r="BH130" i="18" s="1"/>
  <c r="Q10" i="23"/>
  <c r="Q13" i="25" s="1"/>
  <c r="Q20" i="25" s="1"/>
  <c r="Q12" i="21"/>
  <c r="Q186" i="18"/>
  <c r="Q87" i="17"/>
  <c r="Q91" i="17" s="1"/>
  <c r="Q97" i="17" s="1"/>
  <c r="Q100" i="17" s="1"/>
  <c r="Q103" i="17" s="1"/>
  <c r="Q113" i="18"/>
  <c r="BI208" i="19"/>
  <c r="BI49" i="19"/>
  <c r="T87" i="17"/>
  <c r="T91" i="17" s="1"/>
  <c r="T97" i="17" s="1"/>
  <c r="T100" i="17" s="1"/>
  <c r="T103" i="17" s="1"/>
  <c r="T12" i="21"/>
  <c r="T10" i="23"/>
  <c r="T13" i="25" s="1"/>
  <c r="T20" i="25" s="1"/>
  <c r="T113" i="18"/>
  <c r="T186" i="18"/>
  <c r="BG43" i="14"/>
  <c r="BG45" i="14" s="1"/>
  <c r="BG50" i="14" s="1"/>
  <c r="BG52" i="14" s="1"/>
  <c r="BG57" i="14" s="1"/>
  <c r="BG13" i="14"/>
  <c r="BG15" i="14" s="1"/>
  <c r="BG26" i="14" s="1"/>
  <c r="BG28" i="14" s="1"/>
  <c r="BI194" i="18"/>
  <c r="BI58" i="18"/>
  <c r="BI201" i="18"/>
  <c r="BI65" i="18"/>
  <c r="AL127" i="15"/>
  <c r="AS127" i="15"/>
  <c r="AM127" i="15"/>
  <c r="AP127" i="15"/>
  <c r="AW127" i="15"/>
  <c r="AN127" i="15"/>
  <c r="AU127" i="15"/>
  <c r="BI162" i="17"/>
  <c r="BI32" i="17"/>
  <c r="BH122" i="17"/>
  <c r="BH54" i="17"/>
  <c r="BH67" i="17" s="1"/>
  <c r="BH80" i="17" s="1"/>
  <c r="BH135" i="17" s="1"/>
  <c r="BH122" i="18"/>
  <c r="BH77" i="18"/>
  <c r="BH90" i="18" s="1"/>
  <c r="BH103" i="18" s="1"/>
  <c r="BH135" i="18" s="1"/>
  <c r="BH121" i="18"/>
  <c r="BH76" i="18"/>
  <c r="BH89" i="18" s="1"/>
  <c r="BH102" i="18" s="1"/>
  <c r="BH134" i="18" s="1"/>
  <c r="BH116" i="17"/>
  <c r="BH48" i="17"/>
  <c r="BH61" i="17" s="1"/>
  <c r="BH74" i="17" s="1"/>
  <c r="BH129" i="17" s="1"/>
  <c r="BI47" i="15"/>
  <c r="BI163" i="15"/>
  <c r="BH111" i="15"/>
  <c r="BH66" i="15"/>
  <c r="BH79" i="15" s="1"/>
  <c r="BH92" i="15" s="1"/>
  <c r="BH124" i="15" s="1"/>
  <c r="BH107" i="19"/>
  <c r="BH59" i="19"/>
  <c r="BH72" i="19" s="1"/>
  <c r="BI170" i="17"/>
  <c r="BI40" i="17"/>
  <c r="BI209" i="19"/>
  <c r="BI50" i="19"/>
  <c r="BH118" i="18"/>
  <c r="BH73" i="18"/>
  <c r="BH86" i="18" s="1"/>
  <c r="BH99" i="18" s="1"/>
  <c r="BH131" i="18" s="1"/>
  <c r="BE54" i="10"/>
  <c r="BF5" i="25"/>
  <c r="BF5" i="21"/>
  <c r="BF5" i="23"/>
  <c r="BF5" i="19"/>
  <c r="BF5" i="18"/>
  <c r="BF5" i="17"/>
  <c r="BF5" i="12"/>
  <c r="BF5" i="14"/>
  <c r="BF5" i="15"/>
  <c r="BI193" i="18"/>
  <c r="BI57" i="18"/>
  <c r="BI200" i="18"/>
  <c r="BI64" i="18"/>
  <c r="BI52" i="19"/>
  <c r="BI211" i="19"/>
  <c r="AL12" i="25"/>
  <c r="G60" i="27"/>
  <c r="BH124" i="18"/>
  <c r="BH79" i="18"/>
  <c r="BH92" i="18" s="1"/>
  <c r="BH105" i="18" s="1"/>
  <c r="BH137" i="18" s="1"/>
  <c r="BI161" i="17"/>
  <c r="BI31" i="17"/>
  <c r="V12" i="21"/>
  <c r="V113" i="18"/>
  <c r="V186" i="18"/>
  <c r="V87" i="17"/>
  <c r="V91" i="17" s="1"/>
  <c r="V97" i="17" s="1"/>
  <c r="V100" i="17" s="1"/>
  <c r="V103" i="17" s="1"/>
  <c r="V10" i="23"/>
  <c r="V13" i="25" s="1"/>
  <c r="V20" i="25" s="1"/>
  <c r="BI48" i="15"/>
  <c r="BI164" i="15"/>
  <c r="BH117" i="17"/>
  <c r="BH49" i="17"/>
  <c r="BH62" i="17" s="1"/>
  <c r="BH75" i="17" s="1"/>
  <c r="BH130" i="17" s="1"/>
  <c r="S186" i="18"/>
  <c r="S12" i="21"/>
  <c r="S113" i="18"/>
  <c r="S10" i="23"/>
  <c r="S13" i="25" s="1"/>
  <c r="S20" i="25" s="1"/>
  <c r="S87" i="17"/>
  <c r="S91" i="17" s="1"/>
  <c r="S97" i="17" s="1"/>
  <c r="S100" i="17" s="1"/>
  <c r="S103" i="17" s="1"/>
  <c r="BH118" i="17"/>
  <c r="BH50" i="17"/>
  <c r="BH63" i="17" s="1"/>
  <c r="BH76" i="17" s="1"/>
  <c r="BH131" i="17" s="1"/>
  <c r="BI202" i="19"/>
  <c r="BI43" i="19"/>
  <c r="BI53" i="19"/>
  <c r="BI212" i="19"/>
  <c r="W87" i="17"/>
  <c r="W91" i="17" s="1"/>
  <c r="W97" i="17" s="1"/>
  <c r="W100" i="17" s="1"/>
  <c r="W103" i="17" s="1"/>
  <c r="W186" i="18"/>
  <c r="W10" i="23"/>
  <c r="W13" i="25" s="1"/>
  <c r="W20" i="25" s="1"/>
  <c r="W113" i="18"/>
  <c r="W12" i="21"/>
  <c r="BI59" i="18"/>
  <c r="BI195" i="18"/>
  <c r="BI204" i="18"/>
  <c r="BI68" i="18"/>
  <c r="BH115" i="19"/>
  <c r="BH67" i="19"/>
  <c r="BH80" i="19" s="1"/>
  <c r="BH123" i="17"/>
  <c r="BH55" i="17"/>
  <c r="BH68" i="17" s="1"/>
  <c r="BH81" i="17" s="1"/>
  <c r="BH136" i="17" s="1"/>
  <c r="BH126" i="18"/>
  <c r="BH81" i="18"/>
  <c r="BH94" i="18" s="1"/>
  <c r="BH107" i="18" s="1"/>
  <c r="BH139" i="18" s="1"/>
  <c r="BI163" i="17"/>
  <c r="BI33" i="17"/>
  <c r="BI171" i="17"/>
  <c r="BI41" i="17"/>
  <c r="BI49" i="15"/>
  <c r="BI165" i="15"/>
  <c r="BH104" i="15"/>
  <c r="BH59" i="15"/>
  <c r="BH72" i="15" s="1"/>
  <c r="BH85" i="15" s="1"/>
  <c r="BH117" i="15" s="1"/>
  <c r="BH103" i="15"/>
  <c r="BH58" i="15"/>
  <c r="BH71" i="15" s="1"/>
  <c r="BH84" i="15" s="1"/>
  <c r="BH116" i="15" s="1"/>
  <c r="BH106" i="19"/>
  <c r="BH58" i="19"/>
  <c r="BH71" i="19" s="1"/>
  <c r="BI204" i="19"/>
  <c r="BI45" i="19"/>
  <c r="BI210" i="19"/>
  <c r="BI51" i="19"/>
  <c r="BH114" i="19"/>
  <c r="BH66" i="19"/>
  <c r="BH79" i="19" s="1"/>
  <c r="BI196" i="18"/>
  <c r="BI60" i="18"/>
  <c r="BH56" i="14"/>
  <c r="BH59" i="14" s="1"/>
  <c r="BH65" i="14" s="1"/>
  <c r="BH67" i="14" s="1"/>
  <c r="BH155" i="15" s="1"/>
  <c r="BH34" i="14"/>
  <c r="BH36" i="14" s="1"/>
  <c r="BH123" i="18"/>
  <c r="BH78" i="18"/>
  <c r="BH91" i="18" s="1"/>
  <c r="BH104" i="18" s="1"/>
  <c r="BH136" i="18" s="1"/>
  <c r="BI36" i="17"/>
  <c r="BI166" i="17"/>
  <c r="BH106" i="15"/>
  <c r="BH61" i="15"/>
  <c r="BH74" i="15" s="1"/>
  <c r="BH87" i="15" s="1"/>
  <c r="BH119" i="15" s="1"/>
  <c r="BI50" i="15"/>
  <c r="BI166" i="15"/>
  <c r="BI167" i="17"/>
  <c r="BI37" i="17"/>
  <c r="BH108" i="19"/>
  <c r="BH60" i="19"/>
  <c r="BH73" i="19" s="1"/>
  <c r="P113" i="18"/>
  <c r="P87" i="17"/>
  <c r="P91" i="17" s="1"/>
  <c r="P97" i="17" s="1"/>
  <c r="P100" i="17" s="1"/>
  <c r="P103" i="17" s="1"/>
  <c r="P10" i="23"/>
  <c r="P13" i="25" s="1"/>
  <c r="P20" i="25" s="1"/>
  <c r="P12" i="21"/>
  <c r="P186" i="18"/>
  <c r="BI203" i="19"/>
  <c r="BI44" i="19"/>
  <c r="BI213" i="19"/>
  <c r="BI54" i="19"/>
  <c r="BH110" i="15"/>
  <c r="BH65" i="15"/>
  <c r="BH78" i="15" s="1"/>
  <c r="BH91" i="15" s="1"/>
  <c r="BH123" i="15" s="1"/>
  <c r="BH113" i="17"/>
  <c r="BH45" i="17"/>
  <c r="BH58" i="17" s="1"/>
  <c r="BH71" i="17" s="1"/>
  <c r="BH126" i="17" s="1"/>
  <c r="BH125" i="18"/>
  <c r="BH80" i="18"/>
  <c r="BH93" i="18" s="1"/>
  <c r="BH106" i="18" s="1"/>
  <c r="BH138" i="18" s="1"/>
  <c r="BH104" i="19"/>
  <c r="BH56" i="19"/>
  <c r="BH69" i="19" s="1"/>
  <c r="BI197" i="18"/>
  <c r="BI61" i="18"/>
  <c r="BH108" i="15"/>
  <c r="BH63" i="15"/>
  <c r="BH76" i="15" s="1"/>
  <c r="BH89" i="15" s="1"/>
  <c r="BH121" i="15" s="1"/>
  <c r="N12" i="21"/>
  <c r="N87" i="17"/>
  <c r="N91" i="17" s="1"/>
  <c r="N97" i="17" s="1"/>
  <c r="N100" i="17" s="1"/>
  <c r="N103" i="17" s="1"/>
  <c r="N10" i="23"/>
  <c r="N113" i="18"/>
  <c r="N186" i="18"/>
  <c r="U113" i="18"/>
  <c r="U87" i="17"/>
  <c r="U91" i="17" s="1"/>
  <c r="U97" i="17" s="1"/>
  <c r="U100" i="17" s="1"/>
  <c r="U103" i="17" s="1"/>
  <c r="U12" i="21"/>
  <c r="U10" i="23"/>
  <c r="U13" i="25" s="1"/>
  <c r="U20" i="25" s="1"/>
  <c r="U186" i="18"/>
  <c r="BI35" i="17"/>
  <c r="BI165" i="17"/>
  <c r="BH109" i="19"/>
  <c r="BH61" i="19"/>
  <c r="BH74" i="19" s="1"/>
  <c r="BI159" i="15"/>
  <c r="BI43" i="15"/>
  <c r="BI51" i="15"/>
  <c r="BI167" i="15"/>
  <c r="R186" i="18"/>
  <c r="R87" i="17"/>
  <c r="R91" i="17" s="1"/>
  <c r="R97" i="17" s="1"/>
  <c r="R100" i="17" s="1"/>
  <c r="R103" i="17" s="1"/>
  <c r="R12" i="21"/>
  <c r="R10" i="23"/>
  <c r="R13" i="25" s="1"/>
  <c r="R20" i="25" s="1"/>
  <c r="R113" i="18"/>
  <c r="BH120" i="17"/>
  <c r="BH52" i="17"/>
  <c r="BH65" i="17" s="1"/>
  <c r="BH78" i="17" s="1"/>
  <c r="BH133" i="17" s="1"/>
  <c r="BI205" i="19"/>
  <c r="BI46" i="19"/>
  <c r="BH109" i="15"/>
  <c r="BH64" i="15"/>
  <c r="BH77" i="15" s="1"/>
  <c r="BH90" i="15" s="1"/>
  <c r="BH122" i="15" s="1"/>
  <c r="BI34" i="14"/>
  <c r="BI36" i="14" s="1"/>
  <c r="BI56" i="14"/>
  <c r="BI59" i="14" s="1"/>
  <c r="BI65" i="14" s="1"/>
  <c r="BI67" i="14" s="1"/>
  <c r="BI155" i="15" s="1"/>
  <c r="BI199" i="18"/>
  <c r="BI63" i="18"/>
  <c r="BH115" i="18"/>
  <c r="BH70" i="18"/>
  <c r="BH83" i="18" s="1"/>
  <c r="BH96" i="18" s="1"/>
  <c r="BH128" i="18" s="1"/>
  <c r="BI39" i="17"/>
  <c r="BI169" i="17"/>
  <c r="X87" i="17"/>
  <c r="X91" i="17" s="1"/>
  <c r="X97" i="17" s="1"/>
  <c r="X100" i="17" s="1"/>
  <c r="X103" i="17" s="1"/>
  <c r="X186" i="18"/>
  <c r="X10" i="23"/>
  <c r="X13" i="25" s="1"/>
  <c r="X20" i="25" s="1"/>
  <c r="X113" i="18"/>
  <c r="X12" i="21"/>
  <c r="BI44" i="15"/>
  <c r="BI160" i="15"/>
  <c r="BI168" i="15"/>
  <c r="BI52" i="15"/>
  <c r="BH119" i="17"/>
  <c r="BH51" i="17"/>
  <c r="BH64" i="17" s="1"/>
  <c r="BH77" i="17" s="1"/>
  <c r="BH132" i="17" s="1"/>
  <c r="BI207" i="19"/>
  <c r="BI48" i="19"/>
  <c r="BH102" i="15"/>
  <c r="BH57" i="15"/>
  <c r="BH70" i="15" s="1"/>
  <c r="BH83" i="15" s="1"/>
  <c r="BH115" i="15" s="1"/>
  <c r="BH105" i="19"/>
  <c r="BH57" i="19"/>
  <c r="BH70" i="19" s="1"/>
  <c r="BH115" i="17"/>
  <c r="BH47" i="17"/>
  <c r="BH60" i="17" s="1"/>
  <c r="BH73" i="17" s="1"/>
  <c r="BH128" i="17" s="1"/>
  <c r="BI203" i="18"/>
  <c r="BI67" i="18"/>
  <c r="BI198" i="18"/>
  <c r="BI62" i="18"/>
  <c r="BH107" i="15"/>
  <c r="BH62" i="15"/>
  <c r="BH75" i="15" s="1"/>
  <c r="BH88" i="15" s="1"/>
  <c r="BH120" i="15" s="1"/>
  <c r="BI42" i="17"/>
  <c r="BI172" i="17"/>
  <c r="O87" i="17"/>
  <c r="O91" i="17" s="1"/>
  <c r="O97" i="17" s="1"/>
  <c r="O100" i="17" s="1"/>
  <c r="O103" i="17" s="1"/>
  <c r="O113" i="18"/>
  <c r="O10" i="23"/>
  <c r="O13" i="25" s="1"/>
  <c r="O20" i="25" s="1"/>
  <c r="O186" i="18"/>
  <c r="O12" i="21"/>
  <c r="BH110" i="19"/>
  <c r="BH62" i="19"/>
  <c r="BH75" i="19" s="1"/>
  <c r="BI4" i="21"/>
  <c r="BI4" i="23"/>
  <c r="BI4" i="25"/>
  <c r="BI4" i="19"/>
  <c r="BI4" i="18"/>
  <c r="BI4" i="17"/>
  <c r="BI4" i="12"/>
  <c r="BI4" i="15"/>
  <c r="BI4" i="14"/>
  <c r="BH105" i="15"/>
  <c r="BH60" i="15"/>
  <c r="BH73" i="15" s="1"/>
  <c r="BH86" i="15" s="1"/>
  <c r="BH118" i="15" s="1"/>
  <c r="BH120" i="18"/>
  <c r="BH75" i="18"/>
  <c r="BH88" i="18" s="1"/>
  <c r="BH101" i="18" s="1"/>
  <c r="BH133" i="18" s="1"/>
  <c r="BI45" i="15"/>
  <c r="BI161" i="15"/>
  <c r="BI53" i="15"/>
  <c r="BI169" i="15"/>
  <c r="BH119" i="18"/>
  <c r="BH74" i="18"/>
  <c r="BH87" i="18" s="1"/>
  <c r="BH100" i="18" s="1"/>
  <c r="BH132" i="18" s="1"/>
  <c r="BI38" i="17"/>
  <c r="BI168" i="17"/>
  <c r="BH114" i="17"/>
  <c r="BH46" i="17"/>
  <c r="BH59" i="17" s="1"/>
  <c r="BH72" i="17" s="1"/>
  <c r="BH127" i="17" s="1"/>
  <c r="BH121" i="17"/>
  <c r="BH53" i="17"/>
  <c r="BH66" i="17" s="1"/>
  <c r="BH79" i="17" s="1"/>
  <c r="BH134" i="17" s="1"/>
  <c r="BI206" i="19"/>
  <c r="BI47" i="19"/>
  <c r="BH101" i="15"/>
  <c r="BH56" i="15"/>
  <c r="BH69" i="15" s="1"/>
  <c r="BH82" i="15" s="1"/>
  <c r="BH114" i="15" s="1"/>
  <c r="BH82" i="19" l="1"/>
  <c r="BH117" i="19" s="1"/>
  <c r="BH91" i="19"/>
  <c r="BH126" i="19" s="1"/>
  <c r="BH86" i="19"/>
  <c r="BH121" i="19" s="1"/>
  <c r="BH92" i="19"/>
  <c r="BH127" i="19" s="1"/>
  <c r="BH90" i="19"/>
  <c r="BH125" i="19" s="1"/>
  <c r="BH85" i="19"/>
  <c r="BH120" i="19" s="1"/>
  <c r="BH88" i="19"/>
  <c r="BH123" i="19" s="1"/>
  <c r="BH89" i="19"/>
  <c r="BH124" i="19" s="1"/>
  <c r="BH83" i="19"/>
  <c r="BH118" i="19" s="1"/>
  <c r="BH87" i="19"/>
  <c r="BH122" i="19" s="1"/>
  <c r="BH84" i="19"/>
  <c r="BH119" i="19" s="1"/>
  <c r="BH93" i="19"/>
  <c r="BH128" i="19" s="1"/>
  <c r="AO127" i="15"/>
  <c r="AT127" i="15"/>
  <c r="AT140" i="15" s="1"/>
  <c r="AT145" i="15" s="1"/>
  <c r="AV127" i="15"/>
  <c r="AQ127" i="15"/>
  <c r="AQ140" i="15" s="1"/>
  <c r="AQ145" i="15" s="1"/>
  <c r="AL19" i="25"/>
  <c r="AL25" i="25"/>
  <c r="N14" i="21"/>
  <c r="O10" i="21" s="1"/>
  <c r="O14" i="21" s="1"/>
  <c r="P10" i="21" s="1"/>
  <c r="P14" i="21" s="1"/>
  <c r="Q10" i="21" s="1"/>
  <c r="Q14" i="21" s="1"/>
  <c r="R10" i="21" s="1"/>
  <c r="R14" i="21" s="1"/>
  <c r="S10" i="21" s="1"/>
  <c r="S14" i="21" s="1"/>
  <c r="T10" i="21" s="1"/>
  <c r="T14" i="21" s="1"/>
  <c r="U10" i="21" s="1"/>
  <c r="U14" i="21" s="1"/>
  <c r="V10" i="21" s="1"/>
  <c r="V14" i="21" s="1"/>
  <c r="W10" i="21" s="1"/>
  <c r="W14" i="21" s="1"/>
  <c r="X10" i="21" s="1"/>
  <c r="X14" i="21" s="1"/>
  <c r="Y10" i="21" s="1"/>
  <c r="Y14" i="21" s="1"/>
  <c r="Z10" i="21" s="1"/>
  <c r="Z14" i="21" s="1"/>
  <c r="AA10" i="21" s="1"/>
  <c r="AA14" i="21" s="1"/>
  <c r="AB10" i="21" s="1"/>
  <c r="AB14" i="21" s="1"/>
  <c r="AC10" i="21" s="1"/>
  <c r="AC14" i="21" s="1"/>
  <c r="AD10" i="21" s="1"/>
  <c r="AD14" i="21" s="1"/>
  <c r="AE10" i="21" s="1"/>
  <c r="AE14" i="21" s="1"/>
  <c r="AF10" i="21" s="1"/>
  <c r="AF14" i="21" s="1"/>
  <c r="AG10" i="21" s="1"/>
  <c r="AG14" i="21" s="1"/>
  <c r="AH10" i="21" s="1"/>
  <c r="AH14" i="21" s="1"/>
  <c r="AI10" i="21" s="1"/>
  <c r="AI14" i="21" s="1"/>
  <c r="AJ10" i="21" s="1"/>
  <c r="AJ14" i="21" s="1"/>
  <c r="AK10" i="21" s="1"/>
  <c r="AK14" i="21" s="1"/>
  <c r="AL10" i="21" s="1"/>
  <c r="BF37" i="18"/>
  <c r="BF167" i="18" s="1"/>
  <c r="BF38" i="18"/>
  <c r="BF168" i="18" s="1"/>
  <c r="BF33" i="18"/>
  <c r="BF163" i="18" s="1"/>
  <c r="BF28" i="18"/>
  <c r="BF158" i="18" s="1"/>
  <c r="BF32" i="18"/>
  <c r="BF162" i="18" s="1"/>
  <c r="BF34" i="18"/>
  <c r="BF164" i="18" s="1"/>
  <c r="BF29" i="18"/>
  <c r="BF159" i="18" s="1"/>
  <c r="BF35" i="18"/>
  <c r="BF165" i="18" s="1"/>
  <c r="BF30" i="18"/>
  <c r="BF160" i="18" s="1"/>
  <c r="BF31" i="18"/>
  <c r="BF161" i="18" s="1"/>
  <c r="BF36" i="18"/>
  <c r="BF166" i="18" s="1"/>
  <c r="BF27" i="18"/>
  <c r="BF157" i="18" s="1"/>
  <c r="Y28" i="23"/>
  <c r="U28" i="23"/>
  <c r="Q28" i="23"/>
  <c r="R28" i="23"/>
  <c r="W28" i="23"/>
  <c r="S28" i="23"/>
  <c r="O28" i="23"/>
  <c r="V28" i="23"/>
  <c r="T28" i="23"/>
  <c r="X28" i="23"/>
  <c r="N28" i="23"/>
  <c r="P28" i="23"/>
  <c r="AI28" i="23"/>
  <c r="AD28" i="23"/>
  <c r="AB28" i="23"/>
  <c r="AG28" i="23"/>
  <c r="AE28" i="23"/>
  <c r="AK28" i="23"/>
  <c r="AC28" i="23"/>
  <c r="Z28" i="23"/>
  <c r="AF28" i="23"/>
  <c r="AJ28" i="23"/>
  <c r="AA28" i="23"/>
  <c r="AH28" i="23"/>
  <c r="W90" i="17"/>
  <c r="W92" i="17" s="1"/>
  <c r="W98" i="17" s="1"/>
  <c r="W101" i="17" s="1"/>
  <c r="W189" i="18" s="1"/>
  <c r="Q90" i="17"/>
  <c r="Q92" i="17" s="1"/>
  <c r="Q98" i="17" s="1"/>
  <c r="Q188" i="18" s="1"/>
  <c r="P90" i="17"/>
  <c r="P92" i="17" s="1"/>
  <c r="P98" i="17" s="1"/>
  <c r="P101" i="17" s="1"/>
  <c r="P189" i="18" s="1"/>
  <c r="S90" i="17"/>
  <c r="S92" i="17" s="1"/>
  <c r="S98" i="17" s="1"/>
  <c r="S188" i="18" s="1"/>
  <c r="T90" i="17"/>
  <c r="T92" i="17" s="1"/>
  <c r="T98" i="17" s="1"/>
  <c r="T101" i="17" s="1"/>
  <c r="T189" i="18" s="1"/>
  <c r="V90" i="17"/>
  <c r="V92" i="17" s="1"/>
  <c r="V98" i="17" s="1"/>
  <c r="V101" i="17" s="1"/>
  <c r="R90" i="17"/>
  <c r="R92" i="17" s="1"/>
  <c r="R98" i="17" s="1"/>
  <c r="R188" i="18" s="1"/>
  <c r="U90" i="17"/>
  <c r="U92" i="17" s="1"/>
  <c r="U98" i="17" s="1"/>
  <c r="U188" i="18" s="1"/>
  <c r="BI123" i="17"/>
  <c r="BI55" i="17"/>
  <c r="BI68" i="17" s="1"/>
  <c r="BI81" i="17" s="1"/>
  <c r="BI136" i="17" s="1"/>
  <c r="BI120" i="17"/>
  <c r="BI52" i="17"/>
  <c r="BI65" i="17" s="1"/>
  <c r="BI78" i="17" s="1"/>
  <c r="BI133" i="17" s="1"/>
  <c r="X90" i="17"/>
  <c r="X92" i="17" s="1"/>
  <c r="X98" i="17" s="1"/>
  <c r="AD148" i="18"/>
  <c r="AD228" i="18" s="1"/>
  <c r="AA148" i="18"/>
  <c r="AA228" i="18" s="1"/>
  <c r="W148" i="18"/>
  <c r="W228" i="18" s="1"/>
  <c r="AF148" i="18"/>
  <c r="AE148" i="18"/>
  <c r="AE228" i="18" s="1"/>
  <c r="Z148" i="18"/>
  <c r="Z228" i="18" s="1"/>
  <c r="X148" i="18"/>
  <c r="X228" i="18" s="1"/>
  <c r="U148" i="18"/>
  <c r="U228" i="18" s="1"/>
  <c r="AB148" i="18"/>
  <c r="AB228" i="18" s="1"/>
  <c r="AC148" i="18"/>
  <c r="AC228" i="18" s="1"/>
  <c r="Y148" i="18"/>
  <c r="Y228" i="18" s="1"/>
  <c r="V148" i="18"/>
  <c r="V228" i="18" s="1"/>
  <c r="BI117" i="18"/>
  <c r="BI72" i="18"/>
  <c r="BI85" i="18" s="1"/>
  <c r="BI98" i="18" s="1"/>
  <c r="BI130" i="18" s="1"/>
  <c r="W156" i="17"/>
  <c r="W110" i="17"/>
  <c r="BF13" i="14"/>
  <c r="BF15" i="14" s="1"/>
  <c r="BF26" i="14" s="1"/>
  <c r="BF28" i="14" s="1"/>
  <c r="BF43" i="14"/>
  <c r="BF45" i="14" s="1"/>
  <c r="BF50" i="14" s="1"/>
  <c r="BF52" i="14" s="1"/>
  <c r="BF57" i="14" s="1"/>
  <c r="BD54" i="10"/>
  <c r="BE5" i="25"/>
  <c r="BE5" i="21"/>
  <c r="BE5" i="23"/>
  <c r="BE5" i="19"/>
  <c r="BE5" i="18"/>
  <c r="BE5" i="17"/>
  <c r="BE5" i="12"/>
  <c r="BE5" i="14"/>
  <c r="BE5" i="15"/>
  <c r="AP140" i="15"/>
  <c r="AP145" i="15" s="1"/>
  <c r="AP187" i="15"/>
  <c r="AP200" i="15" s="1"/>
  <c r="T144" i="18"/>
  <c r="T224" i="18" s="1"/>
  <c r="R144" i="18"/>
  <c r="R224" i="18" s="1"/>
  <c r="AA144" i="18"/>
  <c r="AA224" i="18" s="1"/>
  <c r="Q144" i="18"/>
  <c r="Q224" i="18" s="1"/>
  <c r="W144" i="18"/>
  <c r="W224" i="18" s="1"/>
  <c r="Z144" i="18"/>
  <c r="Z224" i="18" s="1"/>
  <c r="V144" i="18"/>
  <c r="V224" i="18" s="1"/>
  <c r="X144" i="18"/>
  <c r="X224" i="18" s="1"/>
  <c r="U144" i="18"/>
  <c r="U224" i="18" s="1"/>
  <c r="S144" i="18"/>
  <c r="S224" i="18" s="1"/>
  <c r="AB144" i="18"/>
  <c r="Y144" i="18"/>
  <c r="Y224" i="18" s="1"/>
  <c r="BI124" i="18"/>
  <c r="BI79" i="18"/>
  <c r="BI92" i="18" s="1"/>
  <c r="BI105" i="18" s="1"/>
  <c r="BI137" i="18" s="1"/>
  <c r="BI58" i="15"/>
  <c r="BI71" i="15" s="1"/>
  <c r="BI84" i="15" s="1"/>
  <c r="BI116" i="15" s="1"/>
  <c r="BI103" i="15"/>
  <c r="BI125" i="18"/>
  <c r="BI80" i="18"/>
  <c r="BI93" i="18" s="1"/>
  <c r="BI106" i="18" s="1"/>
  <c r="BI138" i="18" s="1"/>
  <c r="BI119" i="18"/>
  <c r="BI74" i="18"/>
  <c r="BI87" i="18" s="1"/>
  <c r="BI100" i="18" s="1"/>
  <c r="BI132" i="18" s="1"/>
  <c r="BH99" i="15"/>
  <c r="BH137" i="15" s="1"/>
  <c r="BH197" i="15" s="1"/>
  <c r="BH154" i="15"/>
  <c r="BH157" i="15" s="1"/>
  <c r="BH183" i="15" s="1"/>
  <c r="BH11" i="21"/>
  <c r="BH8" i="23"/>
  <c r="BH12" i="25" s="1"/>
  <c r="BH25" i="25" s="1"/>
  <c r="BI122" i="17"/>
  <c r="BI54" i="17"/>
  <c r="BI67" i="17" s="1"/>
  <c r="BI80" i="17" s="1"/>
  <c r="BI135" i="17" s="1"/>
  <c r="BI113" i="19"/>
  <c r="BI65" i="19"/>
  <c r="BI78" i="19" s="1"/>
  <c r="BI113" i="17"/>
  <c r="BI45" i="17"/>
  <c r="BI58" i="17" s="1"/>
  <c r="BI71" i="17" s="1"/>
  <c r="BI126" i="17" s="1"/>
  <c r="AO140" i="15"/>
  <c r="AO145" i="15" s="1"/>
  <c r="AO187" i="15"/>
  <c r="AO200" i="15" s="1"/>
  <c r="BI123" i="18"/>
  <c r="BI78" i="18"/>
  <c r="BI91" i="18" s="1"/>
  <c r="BI104" i="18" s="1"/>
  <c r="BI136" i="18" s="1"/>
  <c r="Q156" i="17"/>
  <c r="Q110" i="17"/>
  <c r="BI119" i="17"/>
  <c r="BI51" i="17"/>
  <c r="BI64" i="17" s="1"/>
  <c r="BI77" i="17" s="1"/>
  <c r="BI132" i="17" s="1"/>
  <c r="BI8" i="23"/>
  <c r="BI12" i="25" s="1"/>
  <c r="BI25" i="25" s="1"/>
  <c r="BI99" i="15"/>
  <c r="BI11" i="21"/>
  <c r="BI154" i="15"/>
  <c r="BI157" i="15" s="1"/>
  <c r="BI184" i="15" s="1"/>
  <c r="BI109" i="15"/>
  <c r="BI64" i="15"/>
  <c r="BI77" i="15" s="1"/>
  <c r="BI90" i="15" s="1"/>
  <c r="BI122" i="15" s="1"/>
  <c r="BI118" i="17"/>
  <c r="BI50" i="17"/>
  <c r="BI63" i="17" s="1"/>
  <c r="BI76" i="17" s="1"/>
  <c r="BI131" i="17" s="1"/>
  <c r="BI112" i="19"/>
  <c r="BI64" i="19"/>
  <c r="BI77" i="19" s="1"/>
  <c r="S156" i="17"/>
  <c r="S110" i="17"/>
  <c r="BI61" i="15"/>
  <c r="BI74" i="15" s="1"/>
  <c r="BI87" i="15" s="1"/>
  <c r="BI119" i="15" s="1"/>
  <c r="BI106" i="15"/>
  <c r="AT187" i="15"/>
  <c r="AT200" i="15" s="1"/>
  <c r="AD147" i="18"/>
  <c r="AD227" i="18" s="1"/>
  <c r="Z147" i="18"/>
  <c r="Z227" i="18" s="1"/>
  <c r="W147" i="18"/>
  <c r="W227" i="18" s="1"/>
  <c r="T147" i="18"/>
  <c r="T227" i="18" s="1"/>
  <c r="AE147" i="18"/>
  <c r="AB147" i="18"/>
  <c r="AB227" i="18" s="1"/>
  <c r="U147" i="18"/>
  <c r="U227" i="18" s="1"/>
  <c r="X147" i="18"/>
  <c r="X227" i="18" s="1"/>
  <c r="AA147" i="18"/>
  <c r="AA227" i="18" s="1"/>
  <c r="Y147" i="18"/>
  <c r="Y227" i="18" s="1"/>
  <c r="V147" i="18"/>
  <c r="V227" i="18" s="1"/>
  <c r="AC147" i="18"/>
  <c r="AC227" i="18" s="1"/>
  <c r="BI108" i="19"/>
  <c r="BI60" i="19"/>
  <c r="BI73" i="19" s="1"/>
  <c r="AH151" i="18"/>
  <c r="AH231" i="18" s="1"/>
  <c r="AC151" i="18"/>
  <c r="AC231" i="18" s="1"/>
  <c r="AD151" i="18"/>
  <c r="AD231" i="18" s="1"/>
  <c r="AF151" i="18"/>
  <c r="AF231" i="18" s="1"/>
  <c r="AE151" i="18"/>
  <c r="AE231" i="18" s="1"/>
  <c r="X151" i="18"/>
  <c r="X231" i="18" s="1"/>
  <c r="Z151" i="18"/>
  <c r="Z231" i="18" s="1"/>
  <c r="AI151" i="18"/>
  <c r="AI171" i="18" s="1"/>
  <c r="AI101" i="19" s="1"/>
  <c r="AB151" i="18"/>
  <c r="AB231" i="18" s="1"/>
  <c r="AA151" i="18"/>
  <c r="AA231" i="18" s="1"/>
  <c r="Y151" i="18"/>
  <c r="Y231" i="18" s="1"/>
  <c r="AG151" i="18"/>
  <c r="BI101" i="15"/>
  <c r="BI56" i="15"/>
  <c r="BI69" i="15" s="1"/>
  <c r="BI82" i="15" s="1"/>
  <c r="BI114" i="15" s="1"/>
  <c r="BI116" i="17"/>
  <c r="BI48" i="17"/>
  <c r="BI61" i="17" s="1"/>
  <c r="BI74" i="17" s="1"/>
  <c r="BI129" i="17" s="1"/>
  <c r="P141" i="18"/>
  <c r="U141" i="18"/>
  <c r="Q141" i="18"/>
  <c r="W141" i="18"/>
  <c r="X141" i="18"/>
  <c r="R141" i="18"/>
  <c r="S141" i="18"/>
  <c r="T141" i="18"/>
  <c r="O141" i="18"/>
  <c r="N141" i="18"/>
  <c r="N171" i="18" s="1"/>
  <c r="N101" i="19" s="1"/>
  <c r="V141" i="18"/>
  <c r="Y141" i="18"/>
  <c r="BI118" i="18"/>
  <c r="BI73" i="18"/>
  <c r="BI86" i="18" s="1"/>
  <c r="BI99" i="18" s="1"/>
  <c r="BI131" i="18" s="1"/>
  <c r="BI114" i="19"/>
  <c r="BI66" i="19"/>
  <c r="BI79" i="19" s="1"/>
  <c r="Q72" i="27"/>
  <c r="X50" i="25" s="1"/>
  <c r="X62" i="25" s="1"/>
  <c r="I72" i="27"/>
  <c r="P50" i="25" s="1"/>
  <c r="L72" i="27"/>
  <c r="S50" i="25" s="1"/>
  <c r="N72" i="27"/>
  <c r="U50" i="25" s="1"/>
  <c r="P72" i="27"/>
  <c r="W50" i="25" s="1"/>
  <c r="W62" i="25" s="1"/>
  <c r="M72" i="27"/>
  <c r="T50" i="25" s="1"/>
  <c r="H72" i="27"/>
  <c r="O50" i="25" s="1"/>
  <c r="O72" i="27"/>
  <c r="K72" i="27"/>
  <c r="R50" i="25" s="1"/>
  <c r="G72" i="27"/>
  <c r="N50" i="25" s="1"/>
  <c r="R72" i="27"/>
  <c r="Y50" i="25" s="1"/>
  <c r="Y62" i="25" s="1"/>
  <c r="J72" i="27"/>
  <c r="Q50" i="25" s="1"/>
  <c r="BI122" i="18"/>
  <c r="BI77" i="18"/>
  <c r="BI90" i="18" s="1"/>
  <c r="BI103" i="18" s="1"/>
  <c r="BI135" i="18" s="1"/>
  <c r="BI111" i="19"/>
  <c r="BI63" i="19"/>
  <c r="BI76" i="19" s="1"/>
  <c r="AV187" i="15"/>
  <c r="AV200" i="15" s="1"/>
  <c r="AV140" i="15"/>
  <c r="AV145" i="15" s="1"/>
  <c r="BI116" i="18"/>
  <c r="BI71" i="18"/>
  <c r="BI84" i="18" s="1"/>
  <c r="BI97" i="18" s="1"/>
  <c r="BI129" i="18" s="1"/>
  <c r="BI65" i="15"/>
  <c r="BI78" i="15" s="1"/>
  <c r="BI91" i="15" s="1"/>
  <c r="BI123" i="15" s="1"/>
  <c r="BI110" i="15"/>
  <c r="X145" i="18"/>
  <c r="X225" i="18" s="1"/>
  <c r="T145" i="18"/>
  <c r="T225" i="18" s="1"/>
  <c r="Y145" i="18"/>
  <c r="Y225" i="18" s="1"/>
  <c r="U145" i="18"/>
  <c r="U225" i="18" s="1"/>
  <c r="S145" i="18"/>
  <c r="S225" i="18" s="1"/>
  <c r="AC145" i="18"/>
  <c r="Z145" i="18"/>
  <c r="Z225" i="18" s="1"/>
  <c r="V145" i="18"/>
  <c r="V225" i="18" s="1"/>
  <c r="R145" i="18"/>
  <c r="R225" i="18" s="1"/>
  <c r="W145" i="18"/>
  <c r="W225" i="18" s="1"/>
  <c r="AA145" i="18"/>
  <c r="AA225" i="18" s="1"/>
  <c r="AB145" i="18"/>
  <c r="AB225" i="18" s="1"/>
  <c r="N13" i="25"/>
  <c r="N20" i="25" s="1"/>
  <c r="P156" i="17"/>
  <c r="P110" i="17"/>
  <c r="BI106" i="19"/>
  <c r="BI58" i="19"/>
  <c r="BI71" i="19" s="1"/>
  <c r="BI114" i="17"/>
  <c r="BI46" i="17"/>
  <c r="BI59" i="17" s="1"/>
  <c r="BI72" i="17" s="1"/>
  <c r="BI127" i="17" s="1"/>
  <c r="BI104" i="19"/>
  <c r="BI56" i="19"/>
  <c r="BI69" i="19" s="1"/>
  <c r="AB146" i="18"/>
  <c r="AB226" i="18" s="1"/>
  <c r="AD146" i="18"/>
  <c r="Y146" i="18"/>
  <c r="Y226" i="18" s="1"/>
  <c r="X146" i="18"/>
  <c r="X226" i="18" s="1"/>
  <c r="V146" i="18"/>
  <c r="V226" i="18" s="1"/>
  <c r="AC146" i="18"/>
  <c r="AC226" i="18" s="1"/>
  <c r="Z146" i="18"/>
  <c r="Z226" i="18" s="1"/>
  <c r="S146" i="18"/>
  <c r="S226" i="18" s="1"/>
  <c r="U146" i="18"/>
  <c r="U226" i="18" s="1"/>
  <c r="AA146" i="18"/>
  <c r="AA226" i="18" s="1"/>
  <c r="W146" i="18"/>
  <c r="W226" i="18" s="1"/>
  <c r="T146" i="18"/>
  <c r="T226" i="18" s="1"/>
  <c r="V156" i="17"/>
  <c r="V110" i="17"/>
  <c r="AU140" i="15"/>
  <c r="AU145" i="15" s="1"/>
  <c r="AU187" i="15"/>
  <c r="AU200" i="15" s="1"/>
  <c r="AM140" i="15"/>
  <c r="AM145" i="15" s="1"/>
  <c r="AM187" i="15"/>
  <c r="AM200" i="15" s="1"/>
  <c r="BI112" i="15"/>
  <c r="BI67" i="15"/>
  <c r="BI80" i="15" s="1"/>
  <c r="BI93" i="15" s="1"/>
  <c r="BI125" i="15" s="1"/>
  <c r="X142" i="18"/>
  <c r="X222" i="18" s="1"/>
  <c r="W142" i="18"/>
  <c r="W222" i="18" s="1"/>
  <c r="O142" i="18"/>
  <c r="O222" i="18" s="1"/>
  <c r="Q142" i="18"/>
  <c r="Q222" i="18" s="1"/>
  <c r="Z142" i="18"/>
  <c r="R142" i="18"/>
  <c r="R222" i="18" s="1"/>
  <c r="V142" i="18"/>
  <c r="V222" i="18" s="1"/>
  <c r="Y142" i="18"/>
  <c r="Y222" i="18" s="1"/>
  <c r="T142" i="18"/>
  <c r="T222" i="18" s="1"/>
  <c r="P142" i="18"/>
  <c r="P222" i="18" s="1"/>
  <c r="U142" i="18"/>
  <c r="U222" i="18" s="1"/>
  <c r="S142" i="18"/>
  <c r="S222" i="18" s="1"/>
  <c r="BI121" i="18"/>
  <c r="BI76" i="18"/>
  <c r="BI89" i="18" s="1"/>
  <c r="BI102" i="18" s="1"/>
  <c r="BI134" i="18" s="1"/>
  <c r="N110" i="17"/>
  <c r="N156" i="17"/>
  <c r="BI115" i="19"/>
  <c r="BI67" i="19"/>
  <c r="BI80" i="19" s="1"/>
  <c r="W143" i="18"/>
  <c r="W223" i="18" s="1"/>
  <c r="P143" i="18"/>
  <c r="P223" i="18" s="1"/>
  <c r="R143" i="18"/>
  <c r="R223" i="18" s="1"/>
  <c r="Z143" i="18"/>
  <c r="Z223" i="18" s="1"/>
  <c r="X143" i="18"/>
  <c r="X223" i="18" s="1"/>
  <c r="S143" i="18"/>
  <c r="S223" i="18" s="1"/>
  <c r="Q143" i="18"/>
  <c r="Q223" i="18" s="1"/>
  <c r="AA143" i="18"/>
  <c r="Y143" i="18"/>
  <c r="Y223" i="18" s="1"/>
  <c r="T143" i="18"/>
  <c r="T223" i="18" s="1"/>
  <c r="U143" i="18"/>
  <c r="U223" i="18" s="1"/>
  <c r="V143" i="18"/>
  <c r="V223" i="18" s="1"/>
  <c r="BI126" i="18"/>
  <c r="BI81" i="18"/>
  <c r="BI94" i="18" s="1"/>
  <c r="BI107" i="18" s="1"/>
  <c r="BI139" i="18" s="1"/>
  <c r="W150" i="18"/>
  <c r="W230" i="18" s="1"/>
  <c r="AE150" i="18"/>
  <c r="AE230" i="18" s="1"/>
  <c r="Z150" i="18"/>
  <c r="Z230" i="18" s="1"/>
  <c r="AA150" i="18"/>
  <c r="AA230" i="18" s="1"/>
  <c r="X150" i="18"/>
  <c r="X230" i="18" s="1"/>
  <c r="AH150" i="18"/>
  <c r="AF150" i="18"/>
  <c r="AF230" i="18" s="1"/>
  <c r="AB150" i="18"/>
  <c r="AB230" i="18" s="1"/>
  <c r="Y150" i="18"/>
  <c r="Y230" i="18" s="1"/>
  <c r="AC150" i="18"/>
  <c r="AC230" i="18" s="1"/>
  <c r="AG150" i="18"/>
  <c r="AG230" i="18" s="1"/>
  <c r="AD150" i="18"/>
  <c r="AD230" i="18" s="1"/>
  <c r="BI115" i="18"/>
  <c r="BI70" i="18"/>
  <c r="BI83" i="18" s="1"/>
  <c r="BI96" i="18" s="1"/>
  <c r="BI128" i="18" s="1"/>
  <c r="BI121" i="17"/>
  <c r="BI53" i="17"/>
  <c r="BI66" i="17" s="1"/>
  <c r="BI79" i="17" s="1"/>
  <c r="BI134" i="17" s="1"/>
  <c r="AR140" i="15"/>
  <c r="AR145" i="15" s="1"/>
  <c r="AR187" i="15"/>
  <c r="AR200" i="15" s="1"/>
  <c r="BG34" i="14"/>
  <c r="BG36" i="14" s="1"/>
  <c r="BG56" i="14"/>
  <c r="BG59" i="14" s="1"/>
  <c r="BG65" i="14" s="1"/>
  <c r="BG67" i="14" s="1"/>
  <c r="BG155" i="15" s="1"/>
  <c r="T156" i="17"/>
  <c r="T110" i="17"/>
  <c r="O110" i="17"/>
  <c r="O156" i="17"/>
  <c r="BI109" i="19"/>
  <c r="BI61" i="19"/>
  <c r="BI74" i="19" s="1"/>
  <c r="X156" i="17"/>
  <c r="X110" i="17"/>
  <c r="BI107" i="19"/>
  <c r="BI59" i="19"/>
  <c r="BI72" i="19" s="1"/>
  <c r="BI108" i="15"/>
  <c r="BI63" i="15"/>
  <c r="BI76" i="15" s="1"/>
  <c r="BI89" i="15" s="1"/>
  <c r="BI121" i="15" s="1"/>
  <c r="BI117" i="17"/>
  <c r="BI49" i="17"/>
  <c r="BI62" i="17" s="1"/>
  <c r="BI75" i="17" s="1"/>
  <c r="BI130" i="17" s="1"/>
  <c r="AF149" i="18"/>
  <c r="AF229" i="18" s="1"/>
  <c r="V149" i="18"/>
  <c r="V229" i="18" s="1"/>
  <c r="Y149" i="18"/>
  <c r="Y229" i="18" s="1"/>
  <c r="AD149" i="18"/>
  <c r="AD229" i="18" s="1"/>
  <c r="AG149" i="18"/>
  <c r="AE149" i="18"/>
  <c r="AE229" i="18" s="1"/>
  <c r="Z149" i="18"/>
  <c r="Z229" i="18" s="1"/>
  <c r="AA149" i="18"/>
  <c r="AA229" i="18" s="1"/>
  <c r="W149" i="18"/>
  <c r="W229" i="18" s="1"/>
  <c r="AB149" i="18"/>
  <c r="AB229" i="18" s="1"/>
  <c r="X149" i="18"/>
  <c r="X229" i="18" s="1"/>
  <c r="AC149" i="18"/>
  <c r="AC229" i="18" s="1"/>
  <c r="BI60" i="15"/>
  <c r="BI73" i="15" s="1"/>
  <c r="BI86" i="15" s="1"/>
  <c r="BI118" i="15" s="1"/>
  <c r="BI105" i="15"/>
  <c r="AN187" i="15"/>
  <c r="AN200" i="15" s="1"/>
  <c r="AN140" i="15"/>
  <c r="AN145" i="15" s="1"/>
  <c r="AS187" i="15"/>
  <c r="AS200" i="15" s="1"/>
  <c r="AS140" i="15"/>
  <c r="AS145" i="15" s="1"/>
  <c r="BI110" i="19"/>
  <c r="BI62" i="19"/>
  <c r="BI75" i="19" s="1"/>
  <c r="BI115" i="17"/>
  <c r="BI47" i="17"/>
  <c r="BI60" i="17" s="1"/>
  <c r="BI73" i="17" s="1"/>
  <c r="BI128" i="17" s="1"/>
  <c r="BI66" i="15"/>
  <c r="BI79" i="15" s="1"/>
  <c r="BI92" i="15" s="1"/>
  <c r="BI124" i="15" s="1"/>
  <c r="BI111" i="15"/>
  <c r="BI120" i="18"/>
  <c r="BI75" i="18"/>
  <c r="BI88" i="18" s="1"/>
  <c r="BI101" i="18" s="1"/>
  <c r="BI133" i="18" s="1"/>
  <c r="BI57" i="15"/>
  <c r="BI70" i="15" s="1"/>
  <c r="BI83" i="15" s="1"/>
  <c r="BI115" i="15" s="1"/>
  <c r="BI102" i="15"/>
  <c r="R110" i="17"/>
  <c r="R156" i="17"/>
  <c r="U156" i="17"/>
  <c r="U110" i="17"/>
  <c r="N90" i="17"/>
  <c r="N92" i="17" s="1"/>
  <c r="N98" i="17" s="1"/>
  <c r="BI105" i="19"/>
  <c r="BI57" i="19"/>
  <c r="BI70" i="19" s="1"/>
  <c r="O90" i="17"/>
  <c r="O92" i="17" s="1"/>
  <c r="O98" i="17" s="1"/>
  <c r="BI62" i="15"/>
  <c r="BI75" i="15" s="1"/>
  <c r="BI88" i="15" s="1"/>
  <c r="BI120" i="15" s="1"/>
  <c r="BI107" i="15"/>
  <c r="BI112" i="17"/>
  <c r="BI44" i="17"/>
  <c r="BI57" i="17" s="1"/>
  <c r="BI70" i="17" s="1"/>
  <c r="BI125" i="17" s="1"/>
  <c r="AW187" i="15"/>
  <c r="AW200" i="15" s="1"/>
  <c r="AW140" i="15"/>
  <c r="AW145" i="15" s="1"/>
  <c r="AL140" i="15"/>
  <c r="AL145" i="15" s="1"/>
  <c r="AL187" i="15"/>
  <c r="AL200" i="15" s="1"/>
  <c r="BI59" i="15"/>
  <c r="BI72" i="15" s="1"/>
  <c r="BI85" i="15" s="1"/>
  <c r="BI117" i="15" s="1"/>
  <c r="BI104" i="15"/>
  <c r="BH198" i="15"/>
  <c r="BI84" i="19" l="1"/>
  <c r="BI119" i="19" s="1"/>
  <c r="BI88" i="19"/>
  <c r="BI123" i="19" s="1"/>
  <c r="BI85" i="19"/>
  <c r="BI120" i="19" s="1"/>
  <c r="BI90" i="19"/>
  <c r="BI125" i="19" s="1"/>
  <c r="BI83" i="19"/>
  <c r="BI118" i="19" s="1"/>
  <c r="BI82" i="19"/>
  <c r="BI117" i="19" s="1"/>
  <c r="BI87" i="19"/>
  <c r="BI122" i="19" s="1"/>
  <c r="BI93" i="19"/>
  <c r="BI128" i="19" s="1"/>
  <c r="BI91" i="19"/>
  <c r="BI126" i="19" s="1"/>
  <c r="BI89" i="19"/>
  <c r="BI124" i="19" s="1"/>
  <c r="BI92" i="19"/>
  <c r="BI127" i="19" s="1"/>
  <c r="BI86" i="19"/>
  <c r="BI121" i="19" s="1"/>
  <c r="AQ187" i="15"/>
  <c r="AQ200" i="15" s="1"/>
  <c r="AQ211" i="15" s="1"/>
  <c r="AQ215" i="15" s="1"/>
  <c r="AQ88" i="17" s="1"/>
  <c r="N56" i="25"/>
  <c r="N62" i="25"/>
  <c r="R56" i="25"/>
  <c r="R62" i="25"/>
  <c r="P56" i="25"/>
  <c r="P62" i="25"/>
  <c r="O56" i="25"/>
  <c r="O62" i="25"/>
  <c r="T56" i="25"/>
  <c r="T62" i="25"/>
  <c r="Q56" i="25"/>
  <c r="Q62" i="25"/>
  <c r="S56" i="25"/>
  <c r="S62" i="25"/>
  <c r="AR211" i="15"/>
  <c r="AR215" i="15" s="1"/>
  <c r="AR88" i="17" s="1"/>
  <c r="AU211" i="15"/>
  <c r="AU215" i="15" s="1"/>
  <c r="AU88" i="17" s="1"/>
  <c r="AN211" i="15"/>
  <c r="AN215" i="15" s="1"/>
  <c r="AN187" i="18" s="1"/>
  <c r="AS211" i="15"/>
  <c r="AS215" i="15" s="1"/>
  <c r="AS187" i="18" s="1"/>
  <c r="AP211" i="15"/>
  <c r="AP215" i="15" s="1"/>
  <c r="AP12" i="23" s="1"/>
  <c r="AV211" i="15"/>
  <c r="AV215" i="15" s="1"/>
  <c r="AV187" i="18" s="1"/>
  <c r="AT211" i="15"/>
  <c r="AT215" i="15" s="1"/>
  <c r="AT12" i="23" s="1"/>
  <c r="AO211" i="15"/>
  <c r="AO215" i="15" s="1"/>
  <c r="AO88" i="17" s="1"/>
  <c r="AL211" i="15"/>
  <c r="AW211" i="15"/>
  <c r="AW215" i="15" s="1"/>
  <c r="AW12" i="23" s="1"/>
  <c r="AM211" i="15"/>
  <c r="AM215" i="15" s="1"/>
  <c r="AM187" i="18" s="1"/>
  <c r="V50" i="25"/>
  <c r="V56" i="25" s="1"/>
  <c r="U56" i="25"/>
  <c r="U62" i="25"/>
  <c r="AH171" i="18"/>
  <c r="AH101" i="19" s="1"/>
  <c r="AH173" i="19" s="1"/>
  <c r="N165" i="19"/>
  <c r="O165" i="19"/>
  <c r="Q165" i="19"/>
  <c r="P165" i="19"/>
  <c r="R165" i="19"/>
  <c r="S165" i="19"/>
  <c r="T165" i="19"/>
  <c r="U165" i="19"/>
  <c r="V165" i="19"/>
  <c r="W165" i="19"/>
  <c r="X165" i="19"/>
  <c r="Y165" i="19"/>
  <c r="AI174" i="19"/>
  <c r="AJ174" i="19"/>
  <c r="AK174" i="19"/>
  <c r="AL174" i="19"/>
  <c r="AM174" i="19"/>
  <c r="AN174" i="19"/>
  <c r="AO174" i="19"/>
  <c r="AP174" i="19"/>
  <c r="AQ174" i="19"/>
  <c r="AR174" i="19"/>
  <c r="AS174" i="19"/>
  <c r="AT174" i="19"/>
  <c r="V171" i="18"/>
  <c r="V101" i="19" s="1"/>
  <c r="Q171" i="18"/>
  <c r="Q101" i="19" s="1"/>
  <c r="U171" i="18"/>
  <c r="U101" i="19" s="1"/>
  <c r="AF171" i="18"/>
  <c r="AF101" i="19" s="1"/>
  <c r="AA171" i="18"/>
  <c r="O171" i="18"/>
  <c r="O101" i="19" s="1"/>
  <c r="P171" i="18"/>
  <c r="P101" i="19" s="1"/>
  <c r="T171" i="18"/>
  <c r="T101" i="19" s="1"/>
  <c r="S171" i="18"/>
  <c r="S101" i="19" s="1"/>
  <c r="AE171" i="18"/>
  <c r="AE101" i="19" s="1"/>
  <c r="AB171" i="18"/>
  <c r="AB101" i="19" s="1"/>
  <c r="R171" i="18"/>
  <c r="R101" i="19" s="1"/>
  <c r="AD171" i="18"/>
  <c r="AD101" i="19" s="1"/>
  <c r="X171" i="18"/>
  <c r="X101" i="19" s="1"/>
  <c r="Z171" i="18"/>
  <c r="Z101" i="19" s="1"/>
  <c r="AC171" i="18"/>
  <c r="AC101" i="19" s="1"/>
  <c r="Y171" i="18"/>
  <c r="Y101" i="19" s="1"/>
  <c r="W171" i="18"/>
  <c r="W101" i="19" s="1"/>
  <c r="AG231" i="18"/>
  <c r="AG171" i="18"/>
  <c r="AG101" i="19" s="1"/>
  <c r="BE38" i="18"/>
  <c r="BE168" i="18" s="1"/>
  <c r="BE34" i="18"/>
  <c r="BE164" i="18" s="1"/>
  <c r="BE36" i="18"/>
  <c r="BE166" i="18" s="1"/>
  <c r="BE28" i="18"/>
  <c r="BE158" i="18" s="1"/>
  <c r="BE27" i="18"/>
  <c r="BE157" i="18" s="1"/>
  <c r="BE33" i="18"/>
  <c r="BE163" i="18" s="1"/>
  <c r="BE37" i="18"/>
  <c r="BE167" i="18" s="1"/>
  <c r="BE29" i="18"/>
  <c r="BE159" i="18" s="1"/>
  <c r="BE31" i="18"/>
  <c r="BE161" i="18" s="1"/>
  <c r="BE30" i="18"/>
  <c r="BE160" i="18" s="1"/>
  <c r="BE32" i="18"/>
  <c r="BE162" i="18" s="1"/>
  <c r="BE35" i="18"/>
  <c r="BE165" i="18" s="1"/>
  <c r="BI183" i="15"/>
  <c r="U101" i="17"/>
  <c r="U189" i="18" s="1"/>
  <c r="U191" i="18" s="1"/>
  <c r="S101" i="17"/>
  <c r="S189" i="18" s="1"/>
  <c r="S191" i="18" s="1"/>
  <c r="AD212" i="18" s="1"/>
  <c r="Q101" i="17"/>
  <c r="Q189" i="18" s="1"/>
  <c r="Q191" i="18" s="1"/>
  <c r="W188" i="18"/>
  <c r="W191" i="18" s="1"/>
  <c r="AE216" i="18" s="1"/>
  <c r="T188" i="18"/>
  <c r="T191" i="18" s="1"/>
  <c r="V213" i="18" s="1"/>
  <c r="P188" i="18"/>
  <c r="P191" i="18" s="1"/>
  <c r="R101" i="17"/>
  <c r="R189" i="18" s="1"/>
  <c r="R191" i="18" s="1"/>
  <c r="V189" i="18"/>
  <c r="V104" i="17"/>
  <c r="V157" i="17" s="1"/>
  <c r="V159" i="17" s="1"/>
  <c r="BI137" i="15"/>
  <c r="BI197" i="15" s="1"/>
  <c r="V188" i="18"/>
  <c r="W104" i="17"/>
  <c r="W157" i="17" s="1"/>
  <c r="W159" i="17" s="1"/>
  <c r="AG184" i="17" s="1"/>
  <c r="AQ148" i="15"/>
  <c r="AQ210" i="15" s="1"/>
  <c r="AQ214" i="15" s="1"/>
  <c r="AQ147" i="15"/>
  <c r="AQ209" i="15" s="1"/>
  <c r="AQ213" i="15" s="1"/>
  <c r="O221" i="18"/>
  <c r="O154" i="18"/>
  <c r="O178" i="18" s="1"/>
  <c r="O180" i="18" s="1"/>
  <c r="O242" i="18" s="1"/>
  <c r="O245" i="18" s="1"/>
  <c r="P221" i="18"/>
  <c r="P154" i="18"/>
  <c r="P178" i="18" s="1"/>
  <c r="P180" i="18" s="1"/>
  <c r="P242" i="18" s="1"/>
  <c r="P245" i="18" s="1"/>
  <c r="BI138" i="15"/>
  <c r="BI198" i="15" s="1"/>
  <c r="Z141" i="17"/>
  <c r="Z192" i="17" s="1"/>
  <c r="S141" i="17"/>
  <c r="S192" i="17" s="1"/>
  <c r="W141" i="17"/>
  <c r="W192" i="17" s="1"/>
  <c r="AA141" i="17"/>
  <c r="AA192" i="17" s="1"/>
  <c r="X141" i="17"/>
  <c r="X192" i="17" s="1"/>
  <c r="T141" i="17"/>
  <c r="T192" i="17" s="1"/>
  <c r="Q141" i="17"/>
  <c r="Q192" i="17" s="1"/>
  <c r="AB141" i="17"/>
  <c r="Y141" i="17"/>
  <c r="Y192" i="17" s="1"/>
  <c r="U141" i="17"/>
  <c r="U192" i="17" s="1"/>
  <c r="V141" i="17"/>
  <c r="V192" i="17" s="1"/>
  <c r="R141" i="17"/>
  <c r="R192" i="17" s="1"/>
  <c r="AP147" i="15"/>
  <c r="AP209" i="15" s="1"/>
  <c r="AP213" i="15" s="1"/>
  <c r="AP148" i="15"/>
  <c r="AP210" i="15" s="1"/>
  <c r="AP214" i="15" s="1"/>
  <c r="AF228" i="18"/>
  <c r="AF154" i="18"/>
  <c r="AF178" i="18" s="1"/>
  <c r="AF180" i="18" s="1"/>
  <c r="AF242" i="18" s="1"/>
  <c r="AF245" i="18" s="1"/>
  <c r="AG229" i="18"/>
  <c r="AG154" i="18"/>
  <c r="AG178" i="18" s="1"/>
  <c r="AG180" i="18" s="1"/>
  <c r="AG242" i="18" s="1"/>
  <c r="AG245" i="18" s="1"/>
  <c r="V138" i="17"/>
  <c r="Q138" i="17"/>
  <c r="W138" i="17"/>
  <c r="Y138" i="17"/>
  <c r="O138" i="17"/>
  <c r="R138" i="17"/>
  <c r="P138" i="17"/>
  <c r="S138" i="17"/>
  <c r="X138" i="17"/>
  <c r="T138" i="17"/>
  <c r="U138" i="17"/>
  <c r="N138" i="17"/>
  <c r="T221" i="18"/>
  <c r="T154" i="18"/>
  <c r="T178" i="18" s="1"/>
  <c r="T180" i="18" s="1"/>
  <c r="T242" i="18" s="1"/>
  <c r="T245" i="18" s="1"/>
  <c r="AE227" i="18"/>
  <c r="AE154" i="18"/>
  <c r="AE178" i="18" s="1"/>
  <c r="AE180" i="18" s="1"/>
  <c r="AE242" i="18" s="1"/>
  <c r="AE245" i="18" s="1"/>
  <c r="N188" i="18"/>
  <c r="N101" i="17"/>
  <c r="Z144" i="17"/>
  <c r="Z195" i="17" s="1"/>
  <c r="W144" i="17"/>
  <c r="W195" i="17" s="1"/>
  <c r="AA144" i="17"/>
  <c r="AA195" i="17" s="1"/>
  <c r="AE144" i="17"/>
  <c r="T144" i="17"/>
  <c r="T195" i="17" s="1"/>
  <c r="X144" i="17"/>
  <c r="X195" i="17" s="1"/>
  <c r="AB144" i="17"/>
  <c r="AB195" i="17" s="1"/>
  <c r="AC144" i="17"/>
  <c r="AC195" i="17" s="1"/>
  <c r="U144" i="17"/>
  <c r="U195" i="17" s="1"/>
  <c r="V144" i="17"/>
  <c r="V195" i="17" s="1"/>
  <c r="Y144" i="17"/>
  <c r="Y195" i="17" s="1"/>
  <c r="AD144" i="17"/>
  <c r="AD195" i="17" s="1"/>
  <c r="AC225" i="18"/>
  <c r="AC154" i="18"/>
  <c r="AC178" i="18" s="1"/>
  <c r="AC180" i="18" s="1"/>
  <c r="AC242" i="18" s="1"/>
  <c r="AC245" i="18" s="1"/>
  <c r="S221" i="18"/>
  <c r="S154" i="18"/>
  <c r="S178" i="18" s="1"/>
  <c r="S180" i="18" s="1"/>
  <c r="S242" i="18" s="1"/>
  <c r="S245" i="18" s="1"/>
  <c r="AI231" i="18"/>
  <c r="AI154" i="18"/>
  <c r="AI178" i="18" s="1"/>
  <c r="AI180" i="18" s="1"/>
  <c r="AI242" i="18" s="1"/>
  <c r="AI245" i="18" s="1"/>
  <c r="AS147" i="15"/>
  <c r="AS209" i="15" s="1"/>
  <c r="AS213" i="15" s="1"/>
  <c r="AS148" i="15"/>
  <c r="AS210" i="15" s="1"/>
  <c r="AS214" i="15" s="1"/>
  <c r="AM147" i="15"/>
  <c r="AM209" i="15" s="1"/>
  <c r="AM213" i="15" s="1"/>
  <c r="AM148" i="15"/>
  <c r="AM210" i="15" s="1"/>
  <c r="AM214" i="15" s="1"/>
  <c r="AD226" i="18"/>
  <c r="AD154" i="18"/>
  <c r="AD178" i="18" s="1"/>
  <c r="AD180" i="18" s="1"/>
  <c r="AD242" i="18" s="1"/>
  <c r="AD245" i="18" s="1"/>
  <c r="R221" i="18"/>
  <c r="R154" i="18"/>
  <c r="R178" i="18" s="1"/>
  <c r="R180" i="18" s="1"/>
  <c r="R242" i="18" s="1"/>
  <c r="R245" i="18" s="1"/>
  <c r="BE43" i="14"/>
  <c r="BE45" i="14" s="1"/>
  <c r="BE50" i="14" s="1"/>
  <c r="BE52" i="14" s="1"/>
  <c r="BE57" i="14" s="1"/>
  <c r="BE13" i="14"/>
  <c r="BE15" i="14" s="1"/>
  <c r="BE26" i="14" s="1"/>
  <c r="BE28" i="14" s="1"/>
  <c r="BC54" i="10"/>
  <c r="BD5" i="25"/>
  <c r="BD5" i="21"/>
  <c r="BD5" i="23"/>
  <c r="BD5" i="19"/>
  <c r="BD5" i="18"/>
  <c r="BD5" i="17"/>
  <c r="BD5" i="12"/>
  <c r="BD5" i="14"/>
  <c r="BD5" i="15"/>
  <c r="X145" i="17"/>
  <c r="X196" i="17" s="1"/>
  <c r="V145" i="17"/>
  <c r="V196" i="17" s="1"/>
  <c r="AF145" i="17"/>
  <c r="AD145" i="17"/>
  <c r="AD196" i="17" s="1"/>
  <c r="Y145" i="17"/>
  <c r="Y196" i="17" s="1"/>
  <c r="Z145" i="17"/>
  <c r="Z196" i="17" s="1"/>
  <c r="AA145" i="17"/>
  <c r="AA196" i="17" s="1"/>
  <c r="AB145" i="17"/>
  <c r="AB196" i="17" s="1"/>
  <c r="W145" i="17"/>
  <c r="W196" i="17" s="1"/>
  <c r="U145" i="17"/>
  <c r="U196" i="17" s="1"/>
  <c r="AE145" i="17"/>
  <c r="AE196" i="17" s="1"/>
  <c r="AC145" i="17"/>
  <c r="AC196" i="17" s="1"/>
  <c r="AV147" i="15"/>
  <c r="AV209" i="15" s="1"/>
  <c r="AV213" i="15" s="1"/>
  <c r="AV148" i="15"/>
  <c r="AV210" i="15" s="1"/>
  <c r="AV214" i="15" s="1"/>
  <c r="X221" i="18"/>
  <c r="X154" i="18"/>
  <c r="X178" i="18" s="1"/>
  <c r="X180" i="18" s="1"/>
  <c r="X242" i="18" s="1"/>
  <c r="X245" i="18" s="1"/>
  <c r="P104" i="17"/>
  <c r="P157" i="17" s="1"/>
  <c r="P159" i="17" s="1"/>
  <c r="AB224" i="18"/>
  <c r="AB154" i="18"/>
  <c r="AB178" i="18" s="1"/>
  <c r="AB180" i="18" s="1"/>
  <c r="AB242" i="18" s="1"/>
  <c r="AB245" i="18" s="1"/>
  <c r="X188" i="18"/>
  <c r="X101" i="17"/>
  <c r="X189" i="18" s="1"/>
  <c r="AL148" i="15"/>
  <c r="AL210" i="15" s="1"/>
  <c r="AL147" i="15"/>
  <c r="AL209" i="15" s="1"/>
  <c r="AN148" i="15"/>
  <c r="AN210" i="15" s="1"/>
  <c r="AN214" i="15" s="1"/>
  <c r="AN147" i="15"/>
  <c r="AN209" i="15" s="1"/>
  <c r="AN213" i="15" s="1"/>
  <c r="X139" i="17"/>
  <c r="X190" i="17" s="1"/>
  <c r="Q139" i="17"/>
  <c r="Q190" i="17" s="1"/>
  <c r="Y139" i="17"/>
  <c r="Y190" i="17" s="1"/>
  <c r="Z139" i="17"/>
  <c r="U139" i="17"/>
  <c r="U190" i="17" s="1"/>
  <c r="R139" i="17"/>
  <c r="R190" i="17" s="1"/>
  <c r="V139" i="17"/>
  <c r="V190" i="17" s="1"/>
  <c r="P139" i="17"/>
  <c r="P190" i="17" s="1"/>
  <c r="S139" i="17"/>
  <c r="S190" i="17" s="1"/>
  <c r="W139" i="17"/>
  <c r="W190" i="17" s="1"/>
  <c r="T139" i="17"/>
  <c r="T190" i="17" s="1"/>
  <c r="O139" i="17"/>
  <c r="O190" i="17" s="1"/>
  <c r="BG154" i="15"/>
  <c r="BG157" i="15" s="1"/>
  <c r="BG8" i="23"/>
  <c r="BG12" i="25" s="1"/>
  <c r="BG25" i="25" s="1"/>
  <c r="BG11" i="21"/>
  <c r="BG99" i="15"/>
  <c r="BI136" i="15" s="1"/>
  <c r="BI196" i="15" s="1"/>
  <c r="AU147" i="15"/>
  <c r="AU209" i="15" s="1"/>
  <c r="AU213" i="15" s="1"/>
  <c r="AU148" i="15"/>
  <c r="AU210" i="15" s="1"/>
  <c r="AU214" i="15" s="1"/>
  <c r="X140" i="17"/>
  <c r="X191" i="17" s="1"/>
  <c r="Q140" i="17"/>
  <c r="Q191" i="17" s="1"/>
  <c r="Y140" i="17"/>
  <c r="Y191" i="17" s="1"/>
  <c r="T140" i="17"/>
  <c r="T191" i="17" s="1"/>
  <c r="R140" i="17"/>
  <c r="R191" i="17" s="1"/>
  <c r="U140" i="17"/>
  <c r="U191" i="17" s="1"/>
  <c r="Z140" i="17"/>
  <c r="Z191" i="17" s="1"/>
  <c r="V140" i="17"/>
  <c r="V191" i="17" s="1"/>
  <c r="S140" i="17"/>
  <c r="S191" i="17" s="1"/>
  <c r="W140" i="17"/>
  <c r="W191" i="17" s="1"/>
  <c r="AA140" i="17"/>
  <c r="P140" i="17"/>
  <c r="P191" i="17" s="1"/>
  <c r="Y221" i="18"/>
  <c r="Y154" i="18"/>
  <c r="Y178" i="18" s="1"/>
  <c r="Y180" i="18" s="1"/>
  <c r="Y242" i="18" s="1"/>
  <c r="Y245" i="18" s="1"/>
  <c r="W221" i="18"/>
  <c r="W154" i="18"/>
  <c r="W178" i="18" s="1"/>
  <c r="W180" i="18" s="1"/>
  <c r="W242" i="18" s="1"/>
  <c r="W245" i="18" s="1"/>
  <c r="AO148" i="15"/>
  <c r="AO210" i="15" s="1"/>
  <c r="AO214" i="15" s="1"/>
  <c r="AO147" i="15"/>
  <c r="AO209" i="15" s="1"/>
  <c r="AO213" i="15" s="1"/>
  <c r="BF34" i="14"/>
  <c r="BF36" i="14" s="1"/>
  <c r="BF56" i="14"/>
  <c r="BF59" i="14" s="1"/>
  <c r="BF65" i="14" s="1"/>
  <c r="BF67" i="14" s="1"/>
  <c r="BF155" i="15" s="1"/>
  <c r="AW148" i="15"/>
  <c r="AW210" i="15" s="1"/>
  <c r="AW214" i="15" s="1"/>
  <c r="AW147" i="15"/>
  <c r="AW209" i="15" s="1"/>
  <c r="AW213" i="15" s="1"/>
  <c r="AH230" i="18"/>
  <c r="AH154" i="18"/>
  <c r="AH178" i="18" s="1"/>
  <c r="AH180" i="18" s="1"/>
  <c r="AH242" i="18" s="1"/>
  <c r="AH245" i="18" s="1"/>
  <c r="AA223" i="18"/>
  <c r="AA154" i="18"/>
  <c r="AA178" i="18" s="1"/>
  <c r="AA180" i="18" s="1"/>
  <c r="AA242" i="18" s="1"/>
  <c r="AA245" i="18" s="1"/>
  <c r="V221" i="18"/>
  <c r="V154" i="18"/>
  <c r="V178" i="18" s="1"/>
  <c r="V180" i="18" s="1"/>
  <c r="V242" i="18" s="1"/>
  <c r="V245" i="18" s="1"/>
  <c r="Q221" i="18"/>
  <c r="Q154" i="18"/>
  <c r="Q178" i="18" s="1"/>
  <c r="Q180" i="18" s="1"/>
  <c r="Q242" i="18" s="1"/>
  <c r="Q245" i="18" s="1"/>
  <c r="AB143" i="17"/>
  <c r="AB194" i="17" s="1"/>
  <c r="W143" i="17"/>
  <c r="W194" i="17" s="1"/>
  <c r="AC143" i="17"/>
  <c r="AC194" i="17" s="1"/>
  <c r="Y143" i="17"/>
  <c r="Y194" i="17" s="1"/>
  <c r="S143" i="17"/>
  <c r="S194" i="17" s="1"/>
  <c r="Z143" i="17"/>
  <c r="Z194" i="17" s="1"/>
  <c r="V143" i="17"/>
  <c r="V194" i="17" s="1"/>
  <c r="U143" i="17"/>
  <c r="U194" i="17" s="1"/>
  <c r="X143" i="17"/>
  <c r="X194" i="17" s="1"/>
  <c r="AA143" i="17"/>
  <c r="AA194" i="17" s="1"/>
  <c r="T143" i="17"/>
  <c r="T194" i="17" s="1"/>
  <c r="AD143" i="17"/>
  <c r="O101" i="17"/>
  <c r="O189" i="18" s="1"/>
  <c r="O188" i="18"/>
  <c r="AC142" i="17"/>
  <c r="Z142" i="17"/>
  <c r="Z193" i="17" s="1"/>
  <c r="V142" i="17"/>
  <c r="V193" i="17" s="1"/>
  <c r="W142" i="17"/>
  <c r="W193" i="17" s="1"/>
  <c r="S142" i="17"/>
  <c r="S193" i="17" s="1"/>
  <c r="X142" i="17"/>
  <c r="X193" i="17" s="1"/>
  <c r="T142" i="17"/>
  <c r="T193" i="17" s="1"/>
  <c r="Y142" i="17"/>
  <c r="Y193" i="17" s="1"/>
  <c r="AA142" i="17"/>
  <c r="AA193" i="17" s="1"/>
  <c r="AB142" i="17"/>
  <c r="AB193" i="17" s="1"/>
  <c r="U142" i="17"/>
  <c r="U193" i="17" s="1"/>
  <c r="R142" i="17"/>
  <c r="R193" i="17" s="1"/>
  <c r="AH148" i="17"/>
  <c r="AH199" i="17" s="1"/>
  <c r="AC148" i="17"/>
  <c r="AC199" i="17" s="1"/>
  <c r="AD148" i="17"/>
  <c r="AD199" i="17" s="1"/>
  <c r="AE148" i="17"/>
  <c r="AE199" i="17" s="1"/>
  <c r="AA148" i="17"/>
  <c r="AA199" i="17" s="1"/>
  <c r="X148" i="17"/>
  <c r="X199" i="17" s="1"/>
  <c r="AI148" i="17"/>
  <c r="AF148" i="17"/>
  <c r="AF199" i="17" s="1"/>
  <c r="AB148" i="17"/>
  <c r="AB199" i="17" s="1"/>
  <c r="Y148" i="17"/>
  <c r="Y199" i="17" s="1"/>
  <c r="AG148" i="17"/>
  <c r="AG199" i="17" s="1"/>
  <c r="Z148" i="17"/>
  <c r="Z199" i="17" s="1"/>
  <c r="AR147" i="15"/>
  <c r="AR209" i="15" s="1"/>
  <c r="AR213" i="15" s="1"/>
  <c r="AR148" i="15"/>
  <c r="AR210" i="15" s="1"/>
  <c r="AR214" i="15" s="1"/>
  <c r="Z222" i="18"/>
  <c r="Z154" i="18"/>
  <c r="Z178" i="18" s="1"/>
  <c r="Z180" i="18" s="1"/>
  <c r="Z242" i="18" s="1"/>
  <c r="Z245" i="18" s="1"/>
  <c r="V146" i="17"/>
  <c r="V197" i="17" s="1"/>
  <c r="AD146" i="17"/>
  <c r="AD197" i="17" s="1"/>
  <c r="W146" i="17"/>
  <c r="W197" i="17" s="1"/>
  <c r="AF146" i="17"/>
  <c r="AF197" i="17" s="1"/>
  <c r="Z146" i="17"/>
  <c r="Z197" i="17" s="1"/>
  <c r="X146" i="17"/>
  <c r="X197" i="17" s="1"/>
  <c r="AA146" i="17"/>
  <c r="AA197" i="17" s="1"/>
  <c r="AB146" i="17"/>
  <c r="AB197" i="17" s="1"/>
  <c r="Y146" i="17"/>
  <c r="Y197" i="17" s="1"/>
  <c r="AG146" i="17"/>
  <c r="AE146" i="17"/>
  <c r="AE197" i="17" s="1"/>
  <c r="AC146" i="17"/>
  <c r="AC197" i="17" s="1"/>
  <c r="N154" i="18"/>
  <c r="N178" i="18" s="1"/>
  <c r="N180" i="18" s="1"/>
  <c r="N242" i="18" s="1"/>
  <c r="N245" i="18" s="1"/>
  <c r="N221" i="18"/>
  <c r="U221" i="18"/>
  <c r="U154" i="18"/>
  <c r="U178" i="18" s="1"/>
  <c r="U180" i="18" s="1"/>
  <c r="U242" i="18" s="1"/>
  <c r="U245" i="18" s="1"/>
  <c r="AT147" i="15"/>
  <c r="AT209" i="15" s="1"/>
  <c r="AT213" i="15" s="1"/>
  <c r="AT148" i="15"/>
  <c r="AT210" i="15" s="1"/>
  <c r="AT214" i="15" s="1"/>
  <c r="T104" i="17"/>
  <c r="T157" i="17" s="1"/>
  <c r="T159" i="17" s="1"/>
  <c r="AF147" i="17"/>
  <c r="AF198" i="17" s="1"/>
  <c r="Y147" i="17"/>
  <c r="Y198" i="17" s="1"/>
  <c r="AG147" i="17"/>
  <c r="AG198" i="17" s="1"/>
  <c r="AD147" i="17"/>
  <c r="AD198" i="17" s="1"/>
  <c r="AH147" i="17"/>
  <c r="Z147" i="17"/>
  <c r="Z198" i="17" s="1"/>
  <c r="AA147" i="17"/>
  <c r="AA198" i="17" s="1"/>
  <c r="W147" i="17"/>
  <c r="W198" i="17" s="1"/>
  <c r="AB147" i="17"/>
  <c r="AB198" i="17" s="1"/>
  <c r="AE147" i="17"/>
  <c r="AE198" i="17" s="1"/>
  <c r="AC147" i="17"/>
  <c r="AC198" i="17" s="1"/>
  <c r="X147" i="17"/>
  <c r="X198" i="17" s="1"/>
  <c r="V62" i="25" l="1"/>
  <c r="AR12" i="23"/>
  <c r="AO12" i="23"/>
  <c r="AR187" i="18"/>
  <c r="AO187" i="18"/>
  <c r="AS88" i="17"/>
  <c r="AU12" i="23"/>
  <c r="AU187" i="18"/>
  <c r="AW88" i="17"/>
  <c r="AN12" i="23"/>
  <c r="AW187" i="18"/>
  <c r="AN88" i="17"/>
  <c r="AL214" i="15"/>
  <c r="AL9" i="23" s="1"/>
  <c r="AM12" i="23"/>
  <c r="AP88" i="17"/>
  <c r="AS12" i="23"/>
  <c r="AL213" i="15"/>
  <c r="AL10" i="23" s="1"/>
  <c r="AL215" i="15"/>
  <c r="AL187" i="18" s="1"/>
  <c r="AV12" i="23"/>
  <c r="AV88" i="17"/>
  <c r="AQ187" i="18"/>
  <c r="AT88" i="17"/>
  <c r="AT187" i="18"/>
  <c r="AQ12" i="23"/>
  <c r="AM88" i="17"/>
  <c r="AP187" i="18"/>
  <c r="AW13" i="21"/>
  <c r="AW9" i="23"/>
  <c r="AN13" i="21"/>
  <c r="AN9" i="23"/>
  <c r="AR13" i="21"/>
  <c r="AR9" i="23"/>
  <c r="AQ13" i="21"/>
  <c r="AQ9" i="23"/>
  <c r="AV13" i="21"/>
  <c r="AV9" i="23"/>
  <c r="AM13" i="21"/>
  <c r="AM9" i="23"/>
  <c r="AO13" i="21"/>
  <c r="AO9" i="23"/>
  <c r="AT13" i="21"/>
  <c r="AT9" i="23"/>
  <c r="AU13" i="21"/>
  <c r="AU9" i="23"/>
  <c r="AS13" i="21"/>
  <c r="AS9" i="23"/>
  <c r="AP13" i="21"/>
  <c r="AP9" i="23"/>
  <c r="AS173" i="19"/>
  <c r="AS187" i="19" s="1"/>
  <c r="AS297" i="19" s="1"/>
  <c r="AR173" i="19"/>
  <c r="AR187" i="19" s="1"/>
  <c r="AR297" i="19" s="1"/>
  <c r="AQ173" i="19"/>
  <c r="AQ187" i="19" s="1"/>
  <c r="AQ297" i="19" s="1"/>
  <c r="AO173" i="19"/>
  <c r="AO187" i="19" s="1"/>
  <c r="AO297" i="19" s="1"/>
  <c r="AN173" i="19"/>
  <c r="AN187" i="19" s="1"/>
  <c r="AN297" i="19" s="1"/>
  <c r="AM173" i="19"/>
  <c r="AM187" i="19" s="1"/>
  <c r="AM297" i="19" s="1"/>
  <c r="AL173" i="19"/>
  <c r="AL187" i="19" s="1"/>
  <c r="AL297" i="19" s="1"/>
  <c r="AK173" i="19"/>
  <c r="AK187" i="19" s="1"/>
  <c r="AK297" i="19" s="1"/>
  <c r="AJ173" i="19"/>
  <c r="AJ187" i="19" s="1"/>
  <c r="AJ297" i="19" s="1"/>
  <c r="AI173" i="19"/>
  <c r="AI187" i="19" s="1"/>
  <c r="AI297" i="19" s="1"/>
  <c r="AP173" i="19"/>
  <c r="AP187" i="19" s="1"/>
  <c r="AP297" i="19" s="1"/>
  <c r="AP188" i="19"/>
  <c r="AP298" i="19" s="1"/>
  <c r="Y179" i="19"/>
  <c r="Y248" i="19" s="1"/>
  <c r="P179" i="19"/>
  <c r="P248" i="19" s="1"/>
  <c r="AO188" i="19"/>
  <c r="AO298" i="19" s="1"/>
  <c r="X179" i="19"/>
  <c r="X248" i="19" s="1"/>
  <c r="Q179" i="19"/>
  <c r="Q248" i="19" s="1"/>
  <c r="AN188" i="19"/>
  <c r="AN298" i="19" s="1"/>
  <c r="W179" i="19"/>
  <c r="W248" i="19" s="1"/>
  <c r="O179" i="19"/>
  <c r="O248" i="19" s="1"/>
  <c r="AM188" i="19"/>
  <c r="AM298" i="19" s="1"/>
  <c r="V179" i="19"/>
  <c r="V248" i="19" s="1"/>
  <c r="N179" i="19"/>
  <c r="N248" i="19" s="1"/>
  <c r="AT188" i="19"/>
  <c r="AT298" i="19" s="1"/>
  <c r="AL188" i="19"/>
  <c r="AL298" i="19" s="1"/>
  <c r="U179" i="19"/>
  <c r="U248" i="19" s="1"/>
  <c r="AS188" i="19"/>
  <c r="AS298" i="19" s="1"/>
  <c r="AK188" i="19"/>
  <c r="AK298" i="19" s="1"/>
  <c r="T179" i="19"/>
  <c r="T248" i="19" s="1"/>
  <c r="AR188" i="19"/>
  <c r="AR298" i="19" s="1"/>
  <c r="AJ188" i="19"/>
  <c r="AJ298" i="19" s="1"/>
  <c r="S179" i="19"/>
  <c r="S248" i="19" s="1"/>
  <c r="AQ188" i="19"/>
  <c r="AQ298" i="19" s="1"/>
  <c r="AI188" i="19"/>
  <c r="AI298" i="19" s="1"/>
  <c r="R179" i="19"/>
  <c r="R248" i="19" s="1"/>
  <c r="AH187" i="19"/>
  <c r="AH297" i="19" s="1"/>
  <c r="AD169" i="19"/>
  <c r="AE169" i="19"/>
  <c r="AF169" i="19"/>
  <c r="AG169" i="19"/>
  <c r="AH169" i="19"/>
  <c r="AI169" i="19"/>
  <c r="AJ169" i="19"/>
  <c r="AK169" i="19"/>
  <c r="AL169" i="19"/>
  <c r="AM169" i="19"/>
  <c r="AN169" i="19"/>
  <c r="AO169" i="19"/>
  <c r="AA173" i="18"/>
  <c r="AA101" i="19"/>
  <c r="X175" i="19"/>
  <c r="Y175" i="19"/>
  <c r="Z175" i="19"/>
  <c r="AA175" i="19"/>
  <c r="AB175" i="19"/>
  <c r="AC175" i="19"/>
  <c r="AD175" i="19"/>
  <c r="AE175" i="19"/>
  <c r="AF175" i="19"/>
  <c r="AG175" i="19"/>
  <c r="AH175" i="19"/>
  <c r="AI175" i="19"/>
  <c r="AG172" i="19"/>
  <c r="AH172" i="19"/>
  <c r="AI172" i="19"/>
  <c r="AJ172" i="19"/>
  <c r="AK172" i="19"/>
  <c r="AL172" i="19"/>
  <c r="AM172" i="19"/>
  <c r="AN172" i="19"/>
  <c r="AO172" i="19"/>
  <c r="AP172" i="19"/>
  <c r="AQ172" i="19"/>
  <c r="AR172" i="19"/>
  <c r="R169" i="19"/>
  <c r="S169" i="19"/>
  <c r="T169" i="19"/>
  <c r="U169" i="19"/>
  <c r="V169" i="19"/>
  <c r="W169" i="19"/>
  <c r="X169" i="19"/>
  <c r="Y169" i="19"/>
  <c r="Z169" i="19"/>
  <c r="AA169" i="19"/>
  <c r="AB169" i="19"/>
  <c r="AC169" i="19"/>
  <c r="AF171" i="19"/>
  <c r="AG171" i="19"/>
  <c r="AH171" i="19"/>
  <c r="AI171" i="19"/>
  <c r="AJ171" i="19"/>
  <c r="AK171" i="19"/>
  <c r="AL171" i="19"/>
  <c r="AM171" i="19"/>
  <c r="AN171" i="19"/>
  <c r="AO171" i="19"/>
  <c r="AP171" i="19"/>
  <c r="AQ171" i="19"/>
  <c r="W289" i="19"/>
  <c r="AB167" i="19"/>
  <c r="AC167" i="19"/>
  <c r="AD167" i="19"/>
  <c r="AE167" i="19"/>
  <c r="AF167" i="19"/>
  <c r="AG167" i="19"/>
  <c r="AH167" i="19"/>
  <c r="AI167" i="19"/>
  <c r="AJ167" i="19"/>
  <c r="AK167" i="19"/>
  <c r="AL167" i="19"/>
  <c r="AM167" i="19"/>
  <c r="U172" i="19"/>
  <c r="V172" i="19"/>
  <c r="W172" i="19"/>
  <c r="X172" i="19"/>
  <c r="Y172" i="19"/>
  <c r="Z172" i="19"/>
  <c r="AA172" i="19"/>
  <c r="AB172" i="19"/>
  <c r="AC172" i="19"/>
  <c r="AD172" i="19"/>
  <c r="AE172" i="19"/>
  <c r="AF172" i="19"/>
  <c r="W174" i="19"/>
  <c r="X174" i="19"/>
  <c r="Y174" i="19"/>
  <c r="Z174" i="19"/>
  <c r="AA174" i="19"/>
  <c r="AB174" i="19"/>
  <c r="AC174" i="19"/>
  <c r="AD174" i="19"/>
  <c r="AE174" i="19"/>
  <c r="AF174" i="19"/>
  <c r="AG174" i="19"/>
  <c r="AH174" i="19"/>
  <c r="AE170" i="19"/>
  <c r="AF170" i="19"/>
  <c r="AG170" i="19"/>
  <c r="AH170" i="19"/>
  <c r="AI170" i="19"/>
  <c r="AJ170" i="19"/>
  <c r="AK170" i="19"/>
  <c r="AL170" i="19"/>
  <c r="AM170" i="19"/>
  <c r="AN170" i="19"/>
  <c r="AO170" i="19"/>
  <c r="AP170" i="19"/>
  <c r="Q168" i="19"/>
  <c r="R168" i="19"/>
  <c r="S168" i="19"/>
  <c r="T168" i="19"/>
  <c r="U168" i="19"/>
  <c r="V168" i="19"/>
  <c r="W168" i="19"/>
  <c r="X168" i="19"/>
  <c r="Y168" i="19"/>
  <c r="Z168" i="19"/>
  <c r="AA168" i="19"/>
  <c r="AB168" i="19"/>
  <c r="Y176" i="19"/>
  <c r="Z176" i="19"/>
  <c r="AA176" i="19"/>
  <c r="AB176" i="19"/>
  <c r="AC176" i="19"/>
  <c r="AD176" i="19"/>
  <c r="AE176" i="19"/>
  <c r="AF176" i="19"/>
  <c r="AG176" i="19"/>
  <c r="AH176" i="19"/>
  <c r="AI176" i="19"/>
  <c r="AJ176" i="19"/>
  <c r="S170" i="19"/>
  <c r="T170" i="19"/>
  <c r="U170" i="19"/>
  <c r="V170" i="19"/>
  <c r="W170" i="19"/>
  <c r="X170" i="19"/>
  <c r="Y170" i="19"/>
  <c r="Z170" i="19"/>
  <c r="AA170" i="19"/>
  <c r="AB170" i="19"/>
  <c r="AC170" i="19"/>
  <c r="AD170" i="19"/>
  <c r="V173" i="19"/>
  <c r="W173" i="19"/>
  <c r="X173" i="19"/>
  <c r="Y173" i="19"/>
  <c r="Z173" i="19"/>
  <c r="AA173" i="19"/>
  <c r="AB173" i="19"/>
  <c r="AC173" i="19"/>
  <c r="AD173" i="19"/>
  <c r="AE173" i="19"/>
  <c r="AF173" i="19"/>
  <c r="AG173" i="19"/>
  <c r="O166" i="19"/>
  <c r="P166" i="19"/>
  <c r="Q166" i="19"/>
  <c r="R166" i="19"/>
  <c r="S166" i="19"/>
  <c r="T166" i="19"/>
  <c r="U166" i="19"/>
  <c r="V166" i="19"/>
  <c r="W166" i="19"/>
  <c r="X166" i="19"/>
  <c r="Y166" i="19"/>
  <c r="Z166" i="19"/>
  <c r="AC168" i="19"/>
  <c r="AD168" i="19"/>
  <c r="AE168" i="19"/>
  <c r="AF168" i="19"/>
  <c r="AG168" i="19"/>
  <c r="AH168" i="19"/>
  <c r="AI168" i="19"/>
  <c r="AJ168" i="19"/>
  <c r="AK168" i="19"/>
  <c r="AL168" i="19"/>
  <c r="AM168" i="19"/>
  <c r="AN168" i="19"/>
  <c r="T171" i="19"/>
  <c r="U171" i="19"/>
  <c r="V171" i="19"/>
  <c r="W171" i="19"/>
  <c r="X171" i="19"/>
  <c r="Y171" i="19"/>
  <c r="Z171" i="19"/>
  <c r="AA171" i="19"/>
  <c r="AB171" i="19"/>
  <c r="AC171" i="19"/>
  <c r="AD171" i="19"/>
  <c r="AE171" i="19"/>
  <c r="S289" i="19"/>
  <c r="Z165" i="19"/>
  <c r="AA165" i="19"/>
  <c r="AB165" i="19"/>
  <c r="AC165" i="19"/>
  <c r="AD165" i="19"/>
  <c r="AE165" i="19"/>
  <c r="AF165" i="19"/>
  <c r="AG165" i="19"/>
  <c r="AH165" i="19"/>
  <c r="AI165" i="19"/>
  <c r="AJ165" i="19"/>
  <c r="AK165" i="19"/>
  <c r="P167" i="19"/>
  <c r="Q167" i="19"/>
  <c r="R167" i="19"/>
  <c r="S167" i="19"/>
  <c r="T167" i="19"/>
  <c r="U167" i="19"/>
  <c r="V167" i="19"/>
  <c r="W167" i="19"/>
  <c r="X167" i="19"/>
  <c r="Y167" i="19"/>
  <c r="Z167" i="19"/>
  <c r="AA167" i="19"/>
  <c r="AG173" i="18"/>
  <c r="R173" i="18"/>
  <c r="AF173" i="18"/>
  <c r="AD173" i="18"/>
  <c r="AB173" i="18"/>
  <c r="U173" i="18"/>
  <c r="W173" i="18"/>
  <c r="AE173" i="18"/>
  <c r="Q173" i="18"/>
  <c r="Y173" i="18"/>
  <c r="S173" i="18"/>
  <c r="V173" i="18"/>
  <c r="AC173" i="18"/>
  <c r="T173" i="18"/>
  <c r="AH173" i="18"/>
  <c r="Z173" i="18"/>
  <c r="P173" i="18"/>
  <c r="AI173" i="18"/>
  <c r="X173" i="18"/>
  <c r="O173" i="18"/>
  <c r="N173" i="18"/>
  <c r="BD37" i="18"/>
  <c r="BD167" i="18" s="1"/>
  <c r="BD31" i="18"/>
  <c r="BD161" i="18" s="1"/>
  <c r="BD27" i="18"/>
  <c r="BD157" i="18" s="1"/>
  <c r="BD35" i="18"/>
  <c r="BD165" i="18" s="1"/>
  <c r="BD28" i="18"/>
  <c r="BD158" i="18" s="1"/>
  <c r="BD29" i="18"/>
  <c r="BD159" i="18" s="1"/>
  <c r="BD30" i="18"/>
  <c r="BD160" i="18" s="1"/>
  <c r="BD34" i="18"/>
  <c r="BD164" i="18" s="1"/>
  <c r="BD36" i="18"/>
  <c r="BD166" i="18" s="1"/>
  <c r="BD38" i="18"/>
  <c r="BD168" i="18" s="1"/>
  <c r="BD33" i="18"/>
  <c r="BD163" i="18" s="1"/>
  <c r="BD32" i="18"/>
  <c r="BD162" i="18" s="1"/>
  <c r="S104" i="17"/>
  <c r="S157" i="17" s="1"/>
  <c r="S159" i="17" s="1"/>
  <c r="T180" i="17" s="1"/>
  <c r="U104" i="17"/>
  <c r="U157" i="17" s="1"/>
  <c r="U159" i="17" s="1"/>
  <c r="V182" i="17" s="1"/>
  <c r="Q104" i="17"/>
  <c r="Q157" i="17" s="1"/>
  <c r="Q159" i="17" s="1"/>
  <c r="AA178" i="17" s="1"/>
  <c r="V212" i="18"/>
  <c r="AA209" i="18"/>
  <c r="Z209" i="18"/>
  <c r="V209" i="18"/>
  <c r="R104" i="17"/>
  <c r="R157" i="17" s="1"/>
  <c r="R159" i="17" s="1"/>
  <c r="Z179" i="17" s="1"/>
  <c r="AA211" i="18"/>
  <c r="AC211" i="18"/>
  <c r="Y211" i="18"/>
  <c r="V211" i="18"/>
  <c r="S211" i="18"/>
  <c r="X211" i="18"/>
  <c r="Z211" i="18"/>
  <c r="U211" i="18"/>
  <c r="AB211" i="18"/>
  <c r="W211" i="18"/>
  <c r="W209" i="18"/>
  <c r="P209" i="18"/>
  <c r="AD216" i="18"/>
  <c r="R209" i="18"/>
  <c r="S209" i="18"/>
  <c r="X209" i="18"/>
  <c r="Z216" i="18"/>
  <c r="AG216" i="18"/>
  <c r="AC216" i="18"/>
  <c r="AB216" i="18"/>
  <c r="X216" i="18"/>
  <c r="W216" i="18"/>
  <c r="AF216" i="18"/>
  <c r="AH216" i="18"/>
  <c r="V183" i="17"/>
  <c r="AD183" i="17"/>
  <c r="Q209" i="18"/>
  <c r="Y209" i="18"/>
  <c r="U209" i="18"/>
  <c r="T209" i="18"/>
  <c r="AC213" i="18"/>
  <c r="T211" i="18"/>
  <c r="Y216" i="18"/>
  <c r="AA216" i="18"/>
  <c r="X184" i="17"/>
  <c r="R211" i="18"/>
  <c r="AA183" i="17"/>
  <c r="AG183" i="17"/>
  <c r="Z183" i="17"/>
  <c r="AB184" i="17"/>
  <c r="Y212" i="18"/>
  <c r="Z213" i="18"/>
  <c r="U213" i="18"/>
  <c r="AA184" i="17"/>
  <c r="AB213" i="18"/>
  <c r="W184" i="17"/>
  <c r="X213" i="18"/>
  <c r="AF184" i="17"/>
  <c r="AH184" i="17"/>
  <c r="Y183" i="17"/>
  <c r="AD213" i="18"/>
  <c r="Y213" i="18"/>
  <c r="AE184" i="17"/>
  <c r="AA213" i="18"/>
  <c r="AE213" i="18"/>
  <c r="AD184" i="17"/>
  <c r="W213" i="18"/>
  <c r="T213" i="18"/>
  <c r="V191" i="18"/>
  <c r="AD215" i="18" s="1"/>
  <c r="AC184" i="17"/>
  <c r="Z184" i="17"/>
  <c r="Z212" i="18"/>
  <c r="S212" i="18"/>
  <c r="AC212" i="18"/>
  <c r="AB212" i="18"/>
  <c r="AA212" i="18"/>
  <c r="X212" i="18"/>
  <c r="Y184" i="17"/>
  <c r="W212" i="18"/>
  <c r="U212" i="18"/>
  <c r="T212" i="18"/>
  <c r="AC183" i="17"/>
  <c r="X183" i="17"/>
  <c r="W183" i="17"/>
  <c r="AE183" i="17"/>
  <c r="AF183" i="17"/>
  <c r="AB183" i="17"/>
  <c r="O191" i="18"/>
  <c r="P208" i="18" s="1"/>
  <c r="O104" i="17"/>
  <c r="O157" i="17" s="1"/>
  <c r="O159" i="17" s="1"/>
  <c r="W176" i="17" s="1"/>
  <c r="BI182" i="15"/>
  <c r="BG182" i="15"/>
  <c r="BH182" i="15"/>
  <c r="AI199" i="17"/>
  <c r="AI202" i="17" s="1"/>
  <c r="AI211" i="17" s="1"/>
  <c r="AI214" i="17" s="1"/>
  <c r="AI151" i="17"/>
  <c r="Q17" i="23"/>
  <c r="Q14" i="25" s="1"/>
  <c r="Q21" i="25" s="1"/>
  <c r="Q19" i="21"/>
  <c r="Q197" i="19"/>
  <c r="Q99" i="19"/>
  <c r="AA99" i="19"/>
  <c r="AA197" i="19"/>
  <c r="AA17" i="23"/>
  <c r="AA14" i="25" s="1"/>
  <c r="AA21" i="25" s="1"/>
  <c r="AA19" i="21"/>
  <c r="AO12" i="21"/>
  <c r="AO87" i="17"/>
  <c r="AO91" i="17" s="1"/>
  <c r="AO97" i="17" s="1"/>
  <c r="AO100" i="17" s="1"/>
  <c r="AO103" i="17" s="1"/>
  <c r="AO186" i="18"/>
  <c r="AO113" i="18"/>
  <c r="AO10" i="23"/>
  <c r="W17" i="23"/>
  <c r="W14" i="25" s="1"/>
  <c r="W21" i="25" s="1"/>
  <c r="W197" i="19"/>
  <c r="W19" i="21"/>
  <c r="W99" i="19"/>
  <c r="AV10" i="23"/>
  <c r="AV113" i="18"/>
  <c r="AV87" i="17"/>
  <c r="AV91" i="17" s="1"/>
  <c r="AV97" i="17" s="1"/>
  <c r="AV100" i="17" s="1"/>
  <c r="AV103" i="17" s="1"/>
  <c r="AV12" i="21"/>
  <c r="AV186" i="18"/>
  <c r="AI19" i="21"/>
  <c r="AI197" i="19"/>
  <c r="AI17" i="23"/>
  <c r="AI14" i="25" s="1"/>
  <c r="AI21" i="25" s="1"/>
  <c r="AI99" i="19"/>
  <c r="AC17" i="23"/>
  <c r="AC14" i="25" s="1"/>
  <c r="AC21" i="25" s="1"/>
  <c r="AC19" i="21"/>
  <c r="AC99" i="19"/>
  <c r="AC197" i="19"/>
  <c r="N104" i="17"/>
  <c r="N157" i="17" s="1"/>
  <c r="N159" i="17" s="1"/>
  <c r="N189" i="18"/>
  <c r="N191" i="18" s="1"/>
  <c r="U210" i="18"/>
  <c r="X210" i="18"/>
  <c r="S210" i="18"/>
  <c r="AB210" i="18"/>
  <c r="T210" i="18"/>
  <c r="Z210" i="18"/>
  <c r="W210" i="18"/>
  <c r="AA210" i="18"/>
  <c r="Y210" i="18"/>
  <c r="V210" i="18"/>
  <c r="Q210" i="18"/>
  <c r="R210" i="18"/>
  <c r="O189" i="17"/>
  <c r="O202" i="17" s="1"/>
  <c r="O211" i="17" s="1"/>
  <c r="O214" i="17" s="1"/>
  <c r="O151" i="17"/>
  <c r="P17" i="23"/>
  <c r="P14" i="25" s="1"/>
  <c r="P21" i="25" s="1"/>
  <c r="P197" i="19"/>
  <c r="P19" i="21"/>
  <c r="P99" i="19"/>
  <c r="AH198" i="17"/>
  <c r="AH202" i="17" s="1"/>
  <c r="AH211" i="17" s="1"/>
  <c r="AH214" i="17" s="1"/>
  <c r="AH151" i="17"/>
  <c r="AG197" i="17"/>
  <c r="AG202" i="17" s="1"/>
  <c r="AG211" i="17" s="1"/>
  <c r="AG214" i="17" s="1"/>
  <c r="AG151" i="17"/>
  <c r="Z190" i="17"/>
  <c r="Z202" i="17" s="1"/>
  <c r="Z211" i="17" s="1"/>
  <c r="Z214" i="17" s="1"/>
  <c r="Z151" i="17"/>
  <c r="AE17" i="23"/>
  <c r="AE14" i="25" s="1"/>
  <c r="AE21" i="25" s="1"/>
  <c r="AE19" i="21"/>
  <c r="AE197" i="19"/>
  <c r="AE99" i="19"/>
  <c r="N151" i="17"/>
  <c r="N189" i="17"/>
  <c r="N202" i="17" s="1"/>
  <c r="N211" i="17" s="1"/>
  <c r="Y189" i="17"/>
  <c r="Y202" i="17" s="1"/>
  <c r="Y211" i="17" s="1"/>
  <c r="Y214" i="17" s="1"/>
  <c r="Y151" i="17"/>
  <c r="AP10" i="23"/>
  <c r="AP186" i="18"/>
  <c r="AP113" i="18"/>
  <c r="AP12" i="21"/>
  <c r="AP87" i="17"/>
  <c r="AP91" i="17" s="1"/>
  <c r="AP97" i="17" s="1"/>
  <c r="AP100" i="17" s="1"/>
  <c r="AP103" i="17" s="1"/>
  <c r="AT10" i="23"/>
  <c r="AT12" i="21"/>
  <c r="AT186" i="18"/>
  <c r="AT113" i="18"/>
  <c r="AT87" i="17"/>
  <c r="AT91" i="17" s="1"/>
  <c r="AT97" i="17" s="1"/>
  <c r="AT100" i="17" s="1"/>
  <c r="AT103" i="17" s="1"/>
  <c r="V19" i="21"/>
  <c r="V99" i="19"/>
  <c r="V197" i="19"/>
  <c r="V17" i="23"/>
  <c r="V14" i="25" s="1"/>
  <c r="V21" i="25" s="1"/>
  <c r="AH17" i="23"/>
  <c r="AH14" i="25" s="1"/>
  <c r="AH21" i="25" s="1"/>
  <c r="AH197" i="19"/>
  <c r="AH19" i="21"/>
  <c r="AH99" i="19"/>
  <c r="Y19" i="21"/>
  <c r="Y99" i="19"/>
  <c r="Y197" i="19"/>
  <c r="Y17" i="23"/>
  <c r="Y14" i="25" s="1"/>
  <c r="Y21" i="25" s="1"/>
  <c r="AU87" i="17"/>
  <c r="AU91" i="17" s="1"/>
  <c r="AU97" i="17" s="1"/>
  <c r="AU100" i="17" s="1"/>
  <c r="AU103" i="17" s="1"/>
  <c r="AU186" i="18"/>
  <c r="AU113" i="18"/>
  <c r="AU10" i="23"/>
  <c r="AU12" i="21"/>
  <c r="AS113" i="18"/>
  <c r="AS87" i="17"/>
  <c r="AS91" i="17" s="1"/>
  <c r="AS97" i="17" s="1"/>
  <c r="AS100" i="17" s="1"/>
  <c r="AS103" i="17" s="1"/>
  <c r="AS186" i="18"/>
  <c r="AS10" i="23"/>
  <c r="AS12" i="21"/>
  <c r="AE195" i="17"/>
  <c r="AE202" i="17" s="1"/>
  <c r="AE211" i="17" s="1"/>
  <c r="AE214" i="17" s="1"/>
  <c r="AE151" i="17"/>
  <c r="U189" i="17"/>
  <c r="U202" i="17" s="1"/>
  <c r="U211" i="17" s="1"/>
  <c r="U214" i="17" s="1"/>
  <c r="U151" i="17"/>
  <c r="W189" i="17"/>
  <c r="W202" i="17" s="1"/>
  <c r="W211" i="17" s="1"/>
  <c r="W214" i="17" s="1"/>
  <c r="W151" i="17"/>
  <c r="O19" i="21"/>
  <c r="O99" i="19"/>
  <c r="O17" i="23"/>
  <c r="O14" i="25" s="1"/>
  <c r="O21" i="25" s="1"/>
  <c r="O197" i="19"/>
  <c r="U17" i="23"/>
  <c r="U14" i="25" s="1"/>
  <c r="U21" i="25" s="1"/>
  <c r="U19" i="21"/>
  <c r="U99" i="19"/>
  <c r="U197" i="19"/>
  <c r="Z17" i="23"/>
  <c r="Z197" i="19"/>
  <c r="Z99" i="19"/>
  <c r="Z19" i="21"/>
  <c r="AC193" i="17"/>
  <c r="AC202" i="17" s="1"/>
  <c r="AC211" i="17" s="1"/>
  <c r="AC214" i="17" s="1"/>
  <c r="AC151" i="17"/>
  <c r="X104" i="17"/>
  <c r="X157" i="17" s="1"/>
  <c r="X159" i="17" s="1"/>
  <c r="X177" i="17"/>
  <c r="Y177" i="17"/>
  <c r="R177" i="17"/>
  <c r="T177" i="17"/>
  <c r="W177" i="17"/>
  <c r="Z177" i="17"/>
  <c r="P177" i="17"/>
  <c r="S177" i="17"/>
  <c r="U177" i="17"/>
  <c r="Q177" i="17"/>
  <c r="V177" i="17"/>
  <c r="AA177" i="17"/>
  <c r="S17" i="23"/>
  <c r="S14" i="25" s="1"/>
  <c r="S21" i="25" s="1"/>
  <c r="S19" i="21"/>
  <c r="S99" i="19"/>
  <c r="S197" i="19"/>
  <c r="T189" i="17"/>
  <c r="T202" i="17" s="1"/>
  <c r="T211" i="17" s="1"/>
  <c r="T214" i="17" s="1"/>
  <c r="T151" i="17"/>
  <c r="Q189" i="17"/>
  <c r="Q202" i="17" s="1"/>
  <c r="Q211" i="17" s="1"/>
  <c r="Q214" i="17" s="1"/>
  <c r="Q151" i="17"/>
  <c r="AD194" i="17"/>
  <c r="AD202" i="17" s="1"/>
  <c r="AD211" i="17" s="1"/>
  <c r="AD214" i="17" s="1"/>
  <c r="AD151" i="17"/>
  <c r="X191" i="18"/>
  <c r="AD99" i="19"/>
  <c r="AD19" i="21"/>
  <c r="AD17" i="23"/>
  <c r="AD14" i="25" s="1"/>
  <c r="AD21" i="25" s="1"/>
  <c r="AD197" i="19"/>
  <c r="X189" i="17"/>
  <c r="X202" i="17" s="1"/>
  <c r="X211" i="17" s="1"/>
  <c r="X214" i="17" s="1"/>
  <c r="X151" i="17"/>
  <c r="V189" i="17"/>
  <c r="V202" i="17" s="1"/>
  <c r="V211" i="17" s="1"/>
  <c r="V214" i="17" s="1"/>
  <c r="V151" i="17"/>
  <c r="BG136" i="15"/>
  <c r="BG196" i="15" s="1"/>
  <c r="BH136" i="15"/>
  <c r="BH196" i="15" s="1"/>
  <c r="AN113" i="18"/>
  <c r="AN10" i="23"/>
  <c r="AN186" i="18"/>
  <c r="AN12" i="21"/>
  <c r="AN87" i="17"/>
  <c r="AN91" i="17" s="1"/>
  <c r="AN97" i="17" s="1"/>
  <c r="AN100" i="17" s="1"/>
  <c r="AN103" i="17" s="1"/>
  <c r="X19" i="21"/>
  <c r="X17" i="23"/>
  <c r="X14" i="25" s="1"/>
  <c r="X21" i="25" s="1"/>
  <c r="X197" i="19"/>
  <c r="X99" i="19"/>
  <c r="R17" i="23"/>
  <c r="R14" i="25" s="1"/>
  <c r="R21" i="25" s="1"/>
  <c r="R99" i="19"/>
  <c r="R19" i="21"/>
  <c r="R197" i="19"/>
  <c r="S189" i="17"/>
  <c r="S202" i="17" s="1"/>
  <c r="S211" i="17" s="1"/>
  <c r="S214" i="17" s="1"/>
  <c r="S151" i="17"/>
  <c r="Y181" i="17"/>
  <c r="AE181" i="17"/>
  <c r="U181" i="17"/>
  <c r="AB181" i="17"/>
  <c r="Z181" i="17"/>
  <c r="AC181" i="17"/>
  <c r="AA181" i="17"/>
  <c r="T181" i="17"/>
  <c r="V181" i="17"/>
  <c r="W181" i="17"/>
  <c r="X181" i="17"/>
  <c r="AD181" i="17"/>
  <c r="N197" i="19"/>
  <c r="N99" i="19"/>
  <c r="N17" i="23"/>
  <c r="N19" i="21"/>
  <c r="BF11" i="21"/>
  <c r="BF8" i="23"/>
  <c r="BF12" i="25" s="1"/>
  <c r="BF25" i="25" s="1"/>
  <c r="BF99" i="15"/>
  <c r="BF154" i="15"/>
  <c r="BF157" i="15" s="1"/>
  <c r="AA191" i="17"/>
  <c r="AA202" i="17" s="1"/>
  <c r="AA211" i="17" s="1"/>
  <c r="AA214" i="17" s="1"/>
  <c r="AA151" i="17"/>
  <c r="AB197" i="19"/>
  <c r="AB19" i="21"/>
  <c r="AB17" i="23"/>
  <c r="AB14" i="25" s="1"/>
  <c r="AB21" i="25" s="1"/>
  <c r="AB99" i="19"/>
  <c r="AF196" i="17"/>
  <c r="AF202" i="17" s="1"/>
  <c r="AF211" i="17" s="1"/>
  <c r="AF214" i="17" s="1"/>
  <c r="AF151" i="17"/>
  <c r="BD43" i="14"/>
  <c r="BD45" i="14" s="1"/>
  <c r="BD50" i="14" s="1"/>
  <c r="BD52" i="14" s="1"/>
  <c r="BD57" i="14" s="1"/>
  <c r="BD13" i="14"/>
  <c r="BD15" i="14" s="1"/>
  <c r="BD26" i="14" s="1"/>
  <c r="BD28" i="14" s="1"/>
  <c r="BB54" i="10"/>
  <c r="BC5" i="23"/>
  <c r="BC5" i="25"/>
  <c r="BC5" i="19"/>
  <c r="BC5" i="21"/>
  <c r="BC5" i="18"/>
  <c r="BC5" i="17"/>
  <c r="BC5" i="15"/>
  <c r="BC5" i="12"/>
  <c r="BC5" i="14"/>
  <c r="T99" i="19"/>
  <c r="T17" i="23"/>
  <c r="T14" i="25" s="1"/>
  <c r="T21" i="25" s="1"/>
  <c r="T19" i="21"/>
  <c r="T197" i="19"/>
  <c r="P189" i="17"/>
  <c r="P202" i="17" s="1"/>
  <c r="P211" i="17" s="1"/>
  <c r="P214" i="17" s="1"/>
  <c r="P151" i="17"/>
  <c r="AG197" i="19"/>
  <c r="AG99" i="19"/>
  <c r="AG17" i="23"/>
  <c r="AG14" i="25" s="1"/>
  <c r="AG21" i="25" s="1"/>
  <c r="AG19" i="21"/>
  <c r="AF197" i="19"/>
  <c r="AF99" i="19"/>
  <c r="AF19" i="21"/>
  <c r="AF17" i="23"/>
  <c r="AF14" i="25" s="1"/>
  <c r="AF21" i="25" s="1"/>
  <c r="AB192" i="17"/>
  <c r="AB202" i="17" s="1"/>
  <c r="AB211" i="17" s="1"/>
  <c r="AB214" i="17" s="1"/>
  <c r="AB151" i="17"/>
  <c r="AQ10" i="23"/>
  <c r="AQ87" i="17"/>
  <c r="AQ91" i="17" s="1"/>
  <c r="AQ97" i="17" s="1"/>
  <c r="AQ100" i="17" s="1"/>
  <c r="AQ103" i="17" s="1"/>
  <c r="AQ12" i="21"/>
  <c r="AQ113" i="18"/>
  <c r="AQ186" i="18"/>
  <c r="AR186" i="18"/>
  <c r="AR10" i="23"/>
  <c r="AR113" i="18"/>
  <c r="AR12" i="21"/>
  <c r="AR87" i="17"/>
  <c r="AR91" i="17" s="1"/>
  <c r="AR97" i="17" s="1"/>
  <c r="AR100" i="17" s="1"/>
  <c r="AR103" i="17" s="1"/>
  <c r="AW12" i="21"/>
  <c r="AW10" i="23"/>
  <c r="AW186" i="18"/>
  <c r="AW113" i="18"/>
  <c r="AW87" i="17"/>
  <c r="AW91" i="17" s="1"/>
  <c r="AW97" i="17" s="1"/>
  <c r="AW100" i="17" s="1"/>
  <c r="AW103" i="17" s="1"/>
  <c r="BE56" i="14"/>
  <c r="BE59" i="14" s="1"/>
  <c r="BE65" i="14" s="1"/>
  <c r="BE67" i="14" s="1"/>
  <c r="BE155" i="15" s="1"/>
  <c r="BE34" i="14"/>
  <c r="BE36" i="14" s="1"/>
  <c r="AM113" i="18"/>
  <c r="AM10" i="23"/>
  <c r="AM186" i="18"/>
  <c r="AM12" i="21"/>
  <c r="AM87" i="17"/>
  <c r="AM91" i="17" s="1"/>
  <c r="AM97" i="17" s="1"/>
  <c r="AM100" i="17" s="1"/>
  <c r="AM103" i="17" s="1"/>
  <c r="U214" i="18"/>
  <c r="AA214" i="18"/>
  <c r="X214" i="18"/>
  <c r="V214" i="18"/>
  <c r="AC214" i="18"/>
  <c r="AB214" i="18"/>
  <c r="Z214" i="18"/>
  <c r="AD214" i="18"/>
  <c r="AE214" i="18"/>
  <c r="AF214" i="18"/>
  <c r="W214" i="18"/>
  <c r="Y214" i="18"/>
  <c r="R189" i="17"/>
  <c r="R202" i="17" s="1"/>
  <c r="R211" i="17" s="1"/>
  <c r="R214" i="17" s="1"/>
  <c r="R151" i="17"/>
  <c r="AL13" i="21" l="1"/>
  <c r="N214" i="17"/>
  <c r="AL12" i="21"/>
  <c r="AL113" i="18"/>
  <c r="AL186" i="18"/>
  <c r="AL87" i="17"/>
  <c r="AL91" i="17" s="1"/>
  <c r="AL97" i="17" s="1"/>
  <c r="AL100" i="17" s="1"/>
  <c r="AL103" i="17" s="1"/>
  <c r="AL156" i="17" s="1"/>
  <c r="AL88" i="17"/>
  <c r="AL12" i="23"/>
  <c r="V289" i="19"/>
  <c r="X289" i="19"/>
  <c r="U289" i="19"/>
  <c r="T289" i="19"/>
  <c r="R289" i="19"/>
  <c r="N192" i="19"/>
  <c r="N318" i="19" s="1"/>
  <c r="N325" i="19" s="1"/>
  <c r="N20" i="23" s="1"/>
  <c r="N289" i="19"/>
  <c r="Q289" i="19"/>
  <c r="AN257" i="19"/>
  <c r="AP257" i="19"/>
  <c r="Y90" i="25"/>
  <c r="N90" i="25"/>
  <c r="T90" i="25"/>
  <c r="W90" i="25"/>
  <c r="V90" i="25"/>
  <c r="S90" i="25"/>
  <c r="U90" i="25"/>
  <c r="X90" i="25"/>
  <c r="Q90" i="25"/>
  <c r="R90" i="25"/>
  <c r="O90" i="25"/>
  <c r="P90" i="25"/>
  <c r="AQ256" i="19"/>
  <c r="P289" i="19"/>
  <c r="O289" i="19"/>
  <c r="AL257" i="19"/>
  <c r="AR257" i="19"/>
  <c r="Y289" i="19"/>
  <c r="AM257" i="19"/>
  <c r="AP256" i="19"/>
  <c r="AJ256" i="19"/>
  <c r="AK256" i="19"/>
  <c r="AI257" i="19"/>
  <c r="AK257" i="19"/>
  <c r="AO257" i="19"/>
  <c r="AS257" i="19"/>
  <c r="AI256" i="19"/>
  <c r="AT257" i="19"/>
  <c r="U181" i="19"/>
  <c r="U291" i="19" s="1"/>
  <c r="AI179" i="19"/>
  <c r="AI248" i="19" s="1"/>
  <c r="AA179" i="19"/>
  <c r="AA248" i="19" s="1"/>
  <c r="Z185" i="19"/>
  <c r="Z295" i="19" s="1"/>
  <c r="AM182" i="19"/>
  <c r="AM292" i="19" s="1"/>
  <c r="AE182" i="19"/>
  <c r="AE292" i="19" s="1"/>
  <c r="U180" i="19"/>
  <c r="U290" i="19" s="1"/>
  <c r="AG187" i="19"/>
  <c r="AG297" i="19" s="1"/>
  <c r="Y187" i="19"/>
  <c r="Y297" i="19" s="1"/>
  <c r="Z184" i="19"/>
  <c r="Z294" i="19" s="1"/>
  <c r="AJ190" i="19"/>
  <c r="AJ300" i="19" s="1"/>
  <c r="AB190" i="19"/>
  <c r="AB300" i="19" s="1"/>
  <c r="Y182" i="19"/>
  <c r="Y292" i="19" s="1"/>
  <c r="Q182" i="19"/>
  <c r="Q292" i="19" s="1"/>
  <c r="AI184" i="19"/>
  <c r="AI294" i="19" s="1"/>
  <c r="AE188" i="19"/>
  <c r="AE298" i="19" s="1"/>
  <c r="W188" i="19"/>
  <c r="W298" i="19" s="1"/>
  <c r="AB186" i="19"/>
  <c r="AB296" i="19" s="1"/>
  <c r="AM181" i="19"/>
  <c r="AM291" i="19" s="1"/>
  <c r="AE181" i="19"/>
  <c r="AE291" i="19" s="1"/>
  <c r="AP185" i="19"/>
  <c r="AP295" i="19" s="1"/>
  <c r="AH185" i="19"/>
  <c r="AH295" i="19" s="1"/>
  <c r="X183" i="19"/>
  <c r="X293" i="19" s="1"/>
  <c r="AQ186" i="19"/>
  <c r="AQ296" i="19" s="1"/>
  <c r="AI186" i="19"/>
  <c r="AI296" i="19" s="1"/>
  <c r="AE189" i="19"/>
  <c r="AE299" i="19" s="1"/>
  <c r="AK183" i="19"/>
  <c r="AK293" i="19" s="1"/>
  <c r="AH256" i="19"/>
  <c r="AQ257" i="19"/>
  <c r="AJ257" i="19"/>
  <c r="AS256" i="19"/>
  <c r="AL256" i="19"/>
  <c r="AM256" i="19"/>
  <c r="AN256" i="19"/>
  <c r="AO256" i="19"/>
  <c r="T181" i="19"/>
  <c r="T291" i="19" s="1"/>
  <c r="AH179" i="19"/>
  <c r="AH248" i="19" s="1"/>
  <c r="Z179" i="19"/>
  <c r="Z248" i="19" s="1"/>
  <c r="Y185" i="19"/>
  <c r="Y295" i="19" s="1"/>
  <c r="AL182" i="19"/>
  <c r="AL292" i="19" s="1"/>
  <c r="AD182" i="19"/>
  <c r="AD292" i="19" s="1"/>
  <c r="T180" i="19"/>
  <c r="T290" i="19" s="1"/>
  <c r="AF187" i="19"/>
  <c r="AF297" i="19" s="1"/>
  <c r="X187" i="19"/>
  <c r="X297" i="19" s="1"/>
  <c r="Y184" i="19"/>
  <c r="Y294" i="19" s="1"/>
  <c r="AI190" i="19"/>
  <c r="AI300" i="19" s="1"/>
  <c r="AA190" i="19"/>
  <c r="AA300" i="19" s="1"/>
  <c r="X182" i="19"/>
  <c r="X292" i="19" s="1"/>
  <c r="AP184" i="19"/>
  <c r="AP294" i="19" s="1"/>
  <c r="AH184" i="19"/>
  <c r="AH294" i="19" s="1"/>
  <c r="AD188" i="19"/>
  <c r="AD298" i="19" s="1"/>
  <c r="AA186" i="19"/>
  <c r="AA296" i="19" s="1"/>
  <c r="AL181" i="19"/>
  <c r="AL291" i="19" s="1"/>
  <c r="AD181" i="19"/>
  <c r="AD291" i="19" s="1"/>
  <c r="AO185" i="19"/>
  <c r="AO295" i="19" s="1"/>
  <c r="AG185" i="19"/>
  <c r="AG295" i="19" s="1"/>
  <c r="W183" i="19"/>
  <c r="W293" i="19" s="1"/>
  <c r="AP186" i="19"/>
  <c r="AP296" i="19" s="1"/>
  <c r="AH186" i="19"/>
  <c r="AH296" i="19" s="1"/>
  <c r="AD189" i="19"/>
  <c r="AD299" i="19" s="1"/>
  <c r="AJ183" i="19"/>
  <c r="AJ293" i="19" s="1"/>
  <c r="AA181" i="19"/>
  <c r="AA291" i="19" s="1"/>
  <c r="S181" i="19"/>
  <c r="S291" i="19" s="1"/>
  <c r="AG179" i="19"/>
  <c r="AG248" i="19" s="1"/>
  <c r="X185" i="19"/>
  <c r="X295" i="19" s="1"/>
  <c r="AK182" i="19"/>
  <c r="AK292" i="19" s="1"/>
  <c r="AC182" i="19"/>
  <c r="AC292" i="19" s="1"/>
  <c r="S180" i="19"/>
  <c r="S290" i="19" s="1"/>
  <c r="AE187" i="19"/>
  <c r="AE297" i="19" s="1"/>
  <c r="W187" i="19"/>
  <c r="W297" i="19" s="1"/>
  <c r="X184" i="19"/>
  <c r="X294" i="19" s="1"/>
  <c r="AH190" i="19"/>
  <c r="AH300" i="19" s="1"/>
  <c r="Z190" i="19"/>
  <c r="Z300" i="19" s="1"/>
  <c r="W182" i="19"/>
  <c r="W292" i="19" s="1"/>
  <c r="AO184" i="19"/>
  <c r="AO294" i="19" s="1"/>
  <c r="AG184" i="19"/>
  <c r="AG294" i="19" s="1"/>
  <c r="AC188" i="19"/>
  <c r="AC298" i="19" s="1"/>
  <c r="Z186" i="19"/>
  <c r="Z296" i="19" s="1"/>
  <c r="AK181" i="19"/>
  <c r="AK291" i="19" s="1"/>
  <c r="AC181" i="19"/>
  <c r="AC291" i="19" s="1"/>
  <c r="AN185" i="19"/>
  <c r="AN295" i="19" s="1"/>
  <c r="AF185" i="19"/>
  <c r="AF295" i="19" s="1"/>
  <c r="V183" i="19"/>
  <c r="V293" i="19" s="1"/>
  <c r="AO186" i="19"/>
  <c r="AO296" i="19" s="1"/>
  <c r="AG186" i="19"/>
  <c r="AG296" i="19" s="1"/>
  <c r="AC189" i="19"/>
  <c r="AC299" i="19" s="1"/>
  <c r="AI183" i="19"/>
  <c r="AI293" i="19" s="1"/>
  <c r="Z181" i="19"/>
  <c r="Z291" i="19" s="1"/>
  <c r="R181" i="19"/>
  <c r="R291" i="19" s="1"/>
  <c r="AF179" i="19"/>
  <c r="AF248" i="19" s="1"/>
  <c r="AE185" i="19"/>
  <c r="AE295" i="19" s="1"/>
  <c r="W185" i="19"/>
  <c r="W295" i="19" s="1"/>
  <c r="AJ182" i="19"/>
  <c r="AJ292" i="19" s="1"/>
  <c r="Z180" i="19"/>
  <c r="Z290" i="19" s="1"/>
  <c r="R180" i="19"/>
  <c r="R290" i="19" s="1"/>
  <c r="AD187" i="19"/>
  <c r="AD297" i="19" s="1"/>
  <c r="V187" i="19"/>
  <c r="V297" i="19" s="1"/>
  <c r="W184" i="19"/>
  <c r="W294" i="19" s="1"/>
  <c r="AG190" i="19"/>
  <c r="AG300" i="19" s="1"/>
  <c r="Y190" i="19"/>
  <c r="Y300" i="19" s="1"/>
  <c r="V182" i="19"/>
  <c r="V292" i="19" s="1"/>
  <c r="AN184" i="19"/>
  <c r="AN294" i="19" s="1"/>
  <c r="AF184" i="19"/>
  <c r="AF294" i="19" s="1"/>
  <c r="AB188" i="19"/>
  <c r="AB298" i="19" s="1"/>
  <c r="Y186" i="19"/>
  <c r="Y296" i="19" s="1"/>
  <c r="AJ181" i="19"/>
  <c r="AJ291" i="19" s="1"/>
  <c r="AB181" i="19"/>
  <c r="AB291" i="19" s="1"/>
  <c r="AM185" i="19"/>
  <c r="AM295" i="19" s="1"/>
  <c r="AC183" i="19"/>
  <c r="AC293" i="19" s="1"/>
  <c r="U183" i="19"/>
  <c r="U293" i="19" s="1"/>
  <c r="AN186" i="19"/>
  <c r="AN296" i="19" s="1"/>
  <c r="AB189" i="19"/>
  <c r="AB299" i="19" s="1"/>
  <c r="AH183" i="19"/>
  <c r="AH293" i="19" s="1"/>
  <c r="Y181" i="19"/>
  <c r="Y291" i="19" s="1"/>
  <c r="Q181" i="19"/>
  <c r="Q291" i="19" s="1"/>
  <c r="AE179" i="19"/>
  <c r="AE248" i="19" s="1"/>
  <c r="AD185" i="19"/>
  <c r="AD295" i="19" s="1"/>
  <c r="V185" i="19"/>
  <c r="V295" i="19" s="1"/>
  <c r="AI182" i="19"/>
  <c r="AI292" i="19" s="1"/>
  <c r="Y180" i="19"/>
  <c r="Y290" i="19" s="1"/>
  <c r="Q180" i="19"/>
  <c r="Q290" i="19" s="1"/>
  <c r="AC187" i="19"/>
  <c r="AC297" i="19" s="1"/>
  <c r="AD184" i="19"/>
  <c r="AD294" i="19" s="1"/>
  <c r="V184" i="19"/>
  <c r="V294" i="19" s="1"/>
  <c r="AF190" i="19"/>
  <c r="AF300" i="19" s="1"/>
  <c r="U182" i="19"/>
  <c r="U292" i="19" s="1"/>
  <c r="AM184" i="19"/>
  <c r="AM294" i="19" s="1"/>
  <c r="AE184" i="19"/>
  <c r="AE294" i="19" s="1"/>
  <c r="AA188" i="19"/>
  <c r="AA298" i="19" s="1"/>
  <c r="AF186" i="19"/>
  <c r="AF296" i="19" s="1"/>
  <c r="X186" i="19"/>
  <c r="X296" i="19" s="1"/>
  <c r="AI181" i="19"/>
  <c r="AI291" i="19" s="1"/>
  <c r="AL185" i="19"/>
  <c r="AL295" i="19" s="1"/>
  <c r="AB183" i="19"/>
  <c r="AB293" i="19" s="1"/>
  <c r="T183" i="19"/>
  <c r="T293" i="19" s="1"/>
  <c r="AM186" i="19"/>
  <c r="AM296" i="19" s="1"/>
  <c r="AI189" i="19"/>
  <c r="AI299" i="19" s="1"/>
  <c r="AA189" i="19"/>
  <c r="AA299" i="19" s="1"/>
  <c r="AO183" i="19"/>
  <c r="AO293" i="19" s="1"/>
  <c r="AG183" i="19"/>
  <c r="AG293" i="19" s="1"/>
  <c r="X181" i="19"/>
  <c r="X291" i="19" s="1"/>
  <c r="P181" i="19"/>
  <c r="P291" i="19" s="1"/>
  <c r="AD179" i="19"/>
  <c r="AD248" i="19" s="1"/>
  <c r="AC185" i="19"/>
  <c r="AC295" i="19" s="1"/>
  <c r="U185" i="19"/>
  <c r="U295" i="19" s="1"/>
  <c r="AH182" i="19"/>
  <c r="AH292" i="19" s="1"/>
  <c r="X180" i="19"/>
  <c r="X290" i="19" s="1"/>
  <c r="P180" i="19"/>
  <c r="P290" i="19" s="1"/>
  <c r="AB187" i="19"/>
  <c r="AB297" i="19" s="1"/>
  <c r="AC184" i="19"/>
  <c r="AC294" i="19" s="1"/>
  <c r="U184" i="19"/>
  <c r="U294" i="19" s="1"/>
  <c r="AE190" i="19"/>
  <c r="AE300" i="19" s="1"/>
  <c r="AB182" i="19"/>
  <c r="AB292" i="19" s="1"/>
  <c r="T182" i="19"/>
  <c r="T292" i="19" s="1"/>
  <c r="AL184" i="19"/>
  <c r="AL294" i="19" s="1"/>
  <c r="AH188" i="19"/>
  <c r="AH298" i="19" s="1"/>
  <c r="Z188" i="19"/>
  <c r="Z298" i="19" s="1"/>
  <c r="AE186" i="19"/>
  <c r="AE296" i="19" s="1"/>
  <c r="W186" i="19"/>
  <c r="W296" i="19" s="1"/>
  <c r="AH181" i="19"/>
  <c r="AH291" i="19" s="1"/>
  <c r="AK185" i="19"/>
  <c r="AK295" i="19" s="1"/>
  <c r="AA183" i="19"/>
  <c r="AA293" i="19" s="1"/>
  <c r="S183" i="19"/>
  <c r="S293" i="19" s="1"/>
  <c r="AL186" i="19"/>
  <c r="AL296" i="19" s="1"/>
  <c r="AH189" i="19"/>
  <c r="AH299" i="19" s="1"/>
  <c r="Z189" i="19"/>
  <c r="Z299" i="19" s="1"/>
  <c r="AN183" i="19"/>
  <c r="AN293" i="19" s="1"/>
  <c r="AF183" i="19"/>
  <c r="AF293" i="19" s="1"/>
  <c r="W181" i="19"/>
  <c r="W291" i="19" s="1"/>
  <c r="AK179" i="19"/>
  <c r="AK248" i="19" s="1"/>
  <c r="AC179" i="19"/>
  <c r="AC248" i="19" s="1"/>
  <c r="AB185" i="19"/>
  <c r="AB295" i="19" s="1"/>
  <c r="T185" i="19"/>
  <c r="T295" i="19" s="1"/>
  <c r="AG182" i="19"/>
  <c r="AG292" i="19" s="1"/>
  <c r="W180" i="19"/>
  <c r="W290" i="19" s="1"/>
  <c r="O180" i="19"/>
  <c r="O290" i="19" s="1"/>
  <c r="AA187" i="19"/>
  <c r="AA297" i="19" s="1"/>
  <c r="AB184" i="19"/>
  <c r="AB294" i="19" s="1"/>
  <c r="T184" i="19"/>
  <c r="T294" i="19" s="1"/>
  <c r="AD190" i="19"/>
  <c r="AD300" i="19" s="1"/>
  <c r="AA182" i="19"/>
  <c r="AA292" i="19" s="1"/>
  <c r="S182" i="19"/>
  <c r="S292" i="19" s="1"/>
  <c r="AK184" i="19"/>
  <c r="AK294" i="19" s="1"/>
  <c r="AG188" i="19"/>
  <c r="AG298" i="19" s="1"/>
  <c r="Y188" i="19"/>
  <c r="Y298" i="19" s="1"/>
  <c r="AD186" i="19"/>
  <c r="AD296" i="19" s="1"/>
  <c r="V186" i="19"/>
  <c r="V296" i="19" s="1"/>
  <c r="AG181" i="19"/>
  <c r="AG291" i="19" s="1"/>
  <c r="AJ185" i="19"/>
  <c r="AJ295" i="19" s="1"/>
  <c r="Z183" i="19"/>
  <c r="Z293" i="19" s="1"/>
  <c r="R183" i="19"/>
  <c r="R293" i="19" s="1"/>
  <c r="AK186" i="19"/>
  <c r="AK296" i="19" s="1"/>
  <c r="AG189" i="19"/>
  <c r="AG299" i="19" s="1"/>
  <c r="Y189" i="19"/>
  <c r="Y299" i="19" s="1"/>
  <c r="AM183" i="19"/>
  <c r="AM293" i="19" s="1"/>
  <c r="AE183" i="19"/>
  <c r="AE293" i="19" s="1"/>
  <c r="AR256" i="19"/>
  <c r="V181" i="19"/>
  <c r="V291" i="19" s="1"/>
  <c r="AJ179" i="19"/>
  <c r="AJ248" i="19" s="1"/>
  <c r="AB179" i="19"/>
  <c r="AB248" i="19" s="1"/>
  <c r="AA185" i="19"/>
  <c r="AA295" i="19" s="1"/>
  <c r="AN182" i="19"/>
  <c r="AN292" i="19" s="1"/>
  <c r="AF182" i="19"/>
  <c r="AF292" i="19" s="1"/>
  <c r="V180" i="19"/>
  <c r="V290" i="19" s="1"/>
  <c r="Z187" i="19"/>
  <c r="Z297" i="19" s="1"/>
  <c r="AA184" i="19"/>
  <c r="AA294" i="19" s="1"/>
  <c r="S184" i="19"/>
  <c r="S294" i="19" s="1"/>
  <c r="AC190" i="19"/>
  <c r="AC300" i="19" s="1"/>
  <c r="Z182" i="19"/>
  <c r="Z292" i="19" s="1"/>
  <c r="R182" i="19"/>
  <c r="R292" i="19" s="1"/>
  <c r="AJ184" i="19"/>
  <c r="AJ294" i="19" s="1"/>
  <c r="AF188" i="19"/>
  <c r="AF298" i="19" s="1"/>
  <c r="X188" i="19"/>
  <c r="X298" i="19" s="1"/>
  <c r="AC186" i="19"/>
  <c r="AC296" i="19" s="1"/>
  <c r="U186" i="19"/>
  <c r="U296" i="19" s="1"/>
  <c r="AF181" i="19"/>
  <c r="AF291" i="19" s="1"/>
  <c r="AQ185" i="19"/>
  <c r="AQ295" i="19" s="1"/>
  <c r="AI185" i="19"/>
  <c r="AI295" i="19" s="1"/>
  <c r="Y183" i="19"/>
  <c r="Y293" i="19" s="1"/>
  <c r="AR186" i="19"/>
  <c r="AR296" i="19" s="1"/>
  <c r="AJ186" i="19"/>
  <c r="AJ296" i="19" s="1"/>
  <c r="AF189" i="19"/>
  <c r="AF299" i="19" s="1"/>
  <c r="X189" i="19"/>
  <c r="X299" i="19" s="1"/>
  <c r="AL183" i="19"/>
  <c r="AL293" i="19" s="1"/>
  <c r="AD183" i="19"/>
  <c r="AD293" i="19" s="1"/>
  <c r="AQ28" i="23"/>
  <c r="AA166" i="19"/>
  <c r="AB166" i="19"/>
  <c r="AC166" i="19"/>
  <c r="AD166" i="19"/>
  <c r="AE166" i="19"/>
  <c r="AF166" i="19"/>
  <c r="AG166" i="19"/>
  <c r="AH166" i="19"/>
  <c r="AI166" i="19"/>
  <c r="AJ166" i="19"/>
  <c r="AK166" i="19"/>
  <c r="AL166" i="19"/>
  <c r="BC31" i="18"/>
  <c r="BC161" i="18" s="1"/>
  <c r="BC33" i="18"/>
  <c r="BC163" i="18" s="1"/>
  <c r="BC30" i="18"/>
  <c r="BC160" i="18" s="1"/>
  <c r="BC34" i="18"/>
  <c r="BC164" i="18" s="1"/>
  <c r="BC36" i="18"/>
  <c r="BC166" i="18" s="1"/>
  <c r="BC38" i="18"/>
  <c r="BC168" i="18" s="1"/>
  <c r="BC29" i="18"/>
  <c r="BC159" i="18" s="1"/>
  <c r="BC28" i="18"/>
  <c r="BC158" i="18" s="1"/>
  <c r="BC27" i="18"/>
  <c r="BC157" i="18" s="1"/>
  <c r="BC35" i="18"/>
  <c r="BC165" i="18" s="1"/>
  <c r="BC37" i="18"/>
  <c r="BC167" i="18" s="1"/>
  <c r="BC32" i="18"/>
  <c r="BC162" i="18" s="1"/>
  <c r="AI29" i="23"/>
  <c r="R29" i="23"/>
  <c r="AA29" i="23"/>
  <c r="AJ29" i="23"/>
  <c r="S29" i="23"/>
  <c r="AF29" i="23"/>
  <c r="AK29" i="23"/>
  <c r="AB29" i="23"/>
  <c r="X29" i="23"/>
  <c r="AE29" i="23"/>
  <c r="AC29" i="23"/>
  <c r="T29" i="23"/>
  <c r="AG29" i="23"/>
  <c r="P29" i="23"/>
  <c r="W29" i="23"/>
  <c r="U29" i="23"/>
  <c r="Y29" i="23"/>
  <c r="O29" i="23"/>
  <c r="N29" i="23"/>
  <c r="AH29" i="23"/>
  <c r="Q29" i="23"/>
  <c r="Z29" i="23"/>
  <c r="V29" i="23"/>
  <c r="AD29" i="23"/>
  <c r="AN28" i="23"/>
  <c r="AP28" i="23"/>
  <c r="AV28" i="23"/>
  <c r="AS28" i="23"/>
  <c r="AR28" i="23"/>
  <c r="AT28" i="23"/>
  <c r="AU28" i="23"/>
  <c r="AL28" i="23"/>
  <c r="AO28" i="23"/>
  <c r="AW28" i="23"/>
  <c r="AM28" i="23"/>
  <c r="AE182" i="17"/>
  <c r="U178" i="17"/>
  <c r="Z182" i="17"/>
  <c r="W182" i="17"/>
  <c r="W180" i="17"/>
  <c r="AC182" i="17"/>
  <c r="X180" i="17"/>
  <c r="AB182" i="17"/>
  <c r="AD182" i="17"/>
  <c r="Y182" i="17"/>
  <c r="AF182" i="17"/>
  <c r="AA182" i="17"/>
  <c r="S178" i="17"/>
  <c r="S180" i="17"/>
  <c r="AA180" i="17"/>
  <c r="AB180" i="17"/>
  <c r="AD180" i="17"/>
  <c r="Q178" i="17"/>
  <c r="V178" i="17"/>
  <c r="W178" i="17"/>
  <c r="Z178" i="17"/>
  <c r="T178" i="17"/>
  <c r="X178" i="17"/>
  <c r="AB178" i="17"/>
  <c r="Z180" i="17"/>
  <c r="U180" i="17"/>
  <c r="AC180" i="17"/>
  <c r="Y178" i="17"/>
  <c r="X182" i="17"/>
  <c r="V180" i="17"/>
  <c r="Y180" i="17"/>
  <c r="R178" i="17"/>
  <c r="U182" i="17"/>
  <c r="W179" i="17"/>
  <c r="U179" i="17"/>
  <c r="AB179" i="17"/>
  <c r="S179" i="17"/>
  <c r="X179" i="17"/>
  <c r="R179" i="17"/>
  <c r="AC179" i="17"/>
  <c r="T179" i="17"/>
  <c r="Y179" i="17"/>
  <c r="V179" i="17"/>
  <c r="AT90" i="17"/>
  <c r="AT92" i="17" s="1"/>
  <c r="AT98" i="17" s="1"/>
  <c r="AT101" i="17" s="1"/>
  <c r="AT189" i="18" s="1"/>
  <c r="AS90" i="17"/>
  <c r="AS92" i="17" s="1"/>
  <c r="AS98" i="17" s="1"/>
  <c r="AS188" i="18" s="1"/>
  <c r="AA179" i="17"/>
  <c r="AV90" i="17"/>
  <c r="AV92" i="17" s="1"/>
  <c r="AV98" i="17" s="1"/>
  <c r="AV188" i="18" s="1"/>
  <c r="V176" i="17"/>
  <c r="Q176" i="17"/>
  <c r="R176" i="17"/>
  <c r="O176" i="17"/>
  <c r="AE215" i="18"/>
  <c r="AA215" i="18"/>
  <c r="AG215" i="18"/>
  <c r="AC215" i="18"/>
  <c r="V215" i="18"/>
  <c r="W215" i="18"/>
  <c r="AB215" i="18"/>
  <c r="Y215" i="18"/>
  <c r="AF215" i="18"/>
  <c r="Z215" i="18"/>
  <c r="X215" i="18"/>
  <c r="U176" i="17"/>
  <c r="S176" i="17"/>
  <c r="P176" i="17"/>
  <c r="X176" i="17"/>
  <c r="T176" i="17"/>
  <c r="Y176" i="17"/>
  <c r="Z176" i="17"/>
  <c r="S208" i="18"/>
  <c r="X208" i="18"/>
  <c r="AO90" i="17"/>
  <c r="AO92" i="17" s="1"/>
  <c r="AO98" i="17" s="1"/>
  <c r="AO101" i="17" s="1"/>
  <c r="AO189" i="18" s="1"/>
  <c r="W208" i="18"/>
  <c r="U208" i="18"/>
  <c r="Z208" i="18"/>
  <c r="T208" i="18"/>
  <c r="V208" i="18"/>
  <c r="Y208" i="18"/>
  <c r="O208" i="18"/>
  <c r="Q208" i="18"/>
  <c r="R208" i="18"/>
  <c r="AR90" i="17"/>
  <c r="AR92" i="17" s="1"/>
  <c r="AR98" i="17" s="1"/>
  <c r="AR101" i="17" s="1"/>
  <c r="AR189" i="18" s="1"/>
  <c r="AQ156" i="17"/>
  <c r="AQ110" i="17"/>
  <c r="AF140" i="19"/>
  <c r="AD140" i="19"/>
  <c r="AG140" i="19"/>
  <c r="AE140" i="19"/>
  <c r="Z140" i="19"/>
  <c r="Y140" i="19"/>
  <c r="AH140" i="19"/>
  <c r="X140" i="19"/>
  <c r="AA140" i="19"/>
  <c r="AI140" i="19"/>
  <c r="AC140" i="19"/>
  <c r="AB140" i="19"/>
  <c r="AY143" i="18"/>
  <c r="AY223" i="18" s="1"/>
  <c r="AV143" i="18"/>
  <c r="AV223" i="18" s="1"/>
  <c r="AT143" i="18"/>
  <c r="AT223" i="18" s="1"/>
  <c r="AS143" i="18"/>
  <c r="AS223" i="18" s="1"/>
  <c r="AR143" i="18"/>
  <c r="AR223" i="18" s="1"/>
  <c r="AQ143" i="18"/>
  <c r="AQ223" i="18" s="1"/>
  <c r="AP143" i="18"/>
  <c r="AP223" i="18" s="1"/>
  <c r="AX143" i="18"/>
  <c r="AX223" i="18" s="1"/>
  <c r="AW143" i="18"/>
  <c r="AW223" i="18" s="1"/>
  <c r="AO143" i="18"/>
  <c r="AO223" i="18" s="1"/>
  <c r="AU143" i="18"/>
  <c r="AU223" i="18" s="1"/>
  <c r="AN143" i="18"/>
  <c r="AN223" i="18" s="1"/>
  <c r="AA135" i="19"/>
  <c r="X135" i="19"/>
  <c r="T135" i="19"/>
  <c r="Y135" i="19"/>
  <c r="AB135" i="19"/>
  <c r="Z135" i="19"/>
  <c r="U135" i="19"/>
  <c r="AC135" i="19"/>
  <c r="V135" i="19"/>
  <c r="AD135" i="19"/>
  <c r="S135" i="19"/>
  <c r="W135" i="19"/>
  <c r="AS156" i="17"/>
  <c r="AS110" i="17"/>
  <c r="AU156" i="17"/>
  <c r="AU110" i="17"/>
  <c r="AT149" i="18"/>
  <c r="AT229" i="18" s="1"/>
  <c r="BE149" i="18"/>
  <c r="BE229" i="18" s="1"/>
  <c r="AW149" i="18"/>
  <c r="AW229" i="18" s="1"/>
  <c r="AU149" i="18"/>
  <c r="AU229" i="18" s="1"/>
  <c r="AV149" i="18"/>
  <c r="AV229" i="18" s="1"/>
  <c r="AX149" i="18"/>
  <c r="AX229" i="18" s="1"/>
  <c r="AY149" i="18"/>
  <c r="AY229" i="18" s="1"/>
  <c r="BB149" i="18"/>
  <c r="BB229" i="18" s="1"/>
  <c r="BA149" i="18"/>
  <c r="BA229" i="18" s="1"/>
  <c r="BD149" i="18"/>
  <c r="BD229" i="18" s="1"/>
  <c r="AZ149" i="18"/>
  <c r="AZ229" i="18" s="1"/>
  <c r="BC149" i="18"/>
  <c r="BC229" i="18" s="1"/>
  <c r="AN135" i="19"/>
  <c r="AI135" i="19"/>
  <c r="AG135" i="19"/>
  <c r="AO135" i="19"/>
  <c r="AP135" i="19"/>
  <c r="AK135" i="19"/>
  <c r="AL135" i="19"/>
  <c r="AE135" i="19"/>
  <c r="AH135" i="19"/>
  <c r="AM135" i="19"/>
  <c r="AJ135" i="19"/>
  <c r="AF135" i="19"/>
  <c r="G61" i="27"/>
  <c r="AL13" i="25"/>
  <c r="AO156" i="17"/>
  <c r="AO110" i="17"/>
  <c r="AS147" i="18"/>
  <c r="AS227" i="18" s="1"/>
  <c r="BC147" i="18"/>
  <c r="BC227" i="18" s="1"/>
  <c r="BA147" i="18"/>
  <c r="BA227" i="18" s="1"/>
  <c r="AY147" i="18"/>
  <c r="AY227" i="18" s="1"/>
  <c r="AT147" i="18"/>
  <c r="AT227" i="18" s="1"/>
  <c r="BB147" i="18"/>
  <c r="BB227" i="18" s="1"/>
  <c r="AV147" i="18"/>
  <c r="AV227" i="18" s="1"/>
  <c r="AZ147" i="18"/>
  <c r="AZ227" i="18" s="1"/>
  <c r="AX147" i="18"/>
  <c r="AX227" i="18" s="1"/>
  <c r="AR147" i="18"/>
  <c r="AR227" i="18" s="1"/>
  <c r="AW147" i="18"/>
  <c r="AW227" i="18" s="1"/>
  <c r="AU147" i="18"/>
  <c r="AU227" i="18" s="1"/>
  <c r="AQ13" i="25"/>
  <c r="L61" i="27"/>
  <c r="AD136" i="19"/>
  <c r="Z136" i="19"/>
  <c r="U136" i="19"/>
  <c r="AA136" i="19"/>
  <c r="AE136" i="19"/>
  <c r="T136" i="19"/>
  <c r="X136" i="19"/>
  <c r="AB136" i="19"/>
  <c r="Y136" i="19"/>
  <c r="V136" i="19"/>
  <c r="W136" i="19"/>
  <c r="AC136" i="19"/>
  <c r="AH132" i="19"/>
  <c r="AL132" i="19"/>
  <c r="AG132" i="19"/>
  <c r="AF132" i="19"/>
  <c r="AI132" i="19"/>
  <c r="AE132" i="19"/>
  <c r="AD132" i="19"/>
  <c r="AB132" i="19"/>
  <c r="AM132" i="19"/>
  <c r="AJ132" i="19"/>
  <c r="AK132" i="19"/>
  <c r="AC132" i="19"/>
  <c r="BF135" i="15"/>
  <c r="BF195" i="15" s="1"/>
  <c r="BG135" i="15"/>
  <c r="BG195" i="15" s="1"/>
  <c r="BH135" i="15"/>
  <c r="BH195" i="15" s="1"/>
  <c r="BI135" i="15"/>
  <c r="BI195" i="15" s="1"/>
  <c r="AN90" i="17"/>
  <c r="AN92" i="17" s="1"/>
  <c r="AN98" i="17" s="1"/>
  <c r="AZ148" i="18"/>
  <c r="AZ228" i="18" s="1"/>
  <c r="AY148" i="18"/>
  <c r="AY228" i="18" s="1"/>
  <c r="BD148" i="18"/>
  <c r="BD228" i="18" s="1"/>
  <c r="AT148" i="18"/>
  <c r="AT228" i="18" s="1"/>
  <c r="AW148" i="18"/>
  <c r="AW228" i="18" s="1"/>
  <c r="BA148" i="18"/>
  <c r="BA228" i="18" s="1"/>
  <c r="AS148" i="18"/>
  <c r="AS228" i="18" s="1"/>
  <c r="BB148" i="18"/>
  <c r="BB228" i="18" s="1"/>
  <c r="AU148" i="18"/>
  <c r="AU228" i="18" s="1"/>
  <c r="AX148" i="18"/>
  <c r="AX228" i="18" s="1"/>
  <c r="BC148" i="18"/>
  <c r="BC228" i="18" s="1"/>
  <c r="AV148" i="18"/>
  <c r="AV228" i="18" s="1"/>
  <c r="AS145" i="18"/>
  <c r="AS225" i="18" s="1"/>
  <c r="AP145" i="18"/>
  <c r="AP225" i="18" s="1"/>
  <c r="BA145" i="18"/>
  <c r="BA225" i="18" s="1"/>
  <c r="AX145" i="18"/>
  <c r="AX225" i="18" s="1"/>
  <c r="AT145" i="18"/>
  <c r="AT225" i="18" s="1"/>
  <c r="AQ145" i="18"/>
  <c r="AQ225" i="18" s="1"/>
  <c r="AR145" i="18"/>
  <c r="AR225" i="18" s="1"/>
  <c r="AY145" i="18"/>
  <c r="AY225" i="18" s="1"/>
  <c r="AU145" i="18"/>
  <c r="AU225" i="18" s="1"/>
  <c r="AV145" i="18"/>
  <c r="AV225" i="18" s="1"/>
  <c r="AZ145" i="18"/>
  <c r="AZ225" i="18" s="1"/>
  <c r="AW145" i="18"/>
  <c r="AW225" i="18" s="1"/>
  <c r="Y207" i="18"/>
  <c r="N207" i="18"/>
  <c r="N234" i="18" s="1"/>
  <c r="N243" i="18" s="1"/>
  <c r="N246" i="18" s="1"/>
  <c r="N198" i="19" s="1"/>
  <c r="N200" i="19" s="1"/>
  <c r="S207" i="18"/>
  <c r="P207" i="18"/>
  <c r="P234" i="18" s="1"/>
  <c r="P243" i="18" s="1"/>
  <c r="P246" i="18" s="1"/>
  <c r="P198" i="19" s="1"/>
  <c r="P200" i="19" s="1"/>
  <c r="O207" i="18"/>
  <c r="U207" i="18"/>
  <c r="R207" i="18"/>
  <c r="X207" i="18"/>
  <c r="V207" i="18"/>
  <c r="Q207" i="18"/>
  <c r="T207" i="18"/>
  <c r="W207" i="18"/>
  <c r="AF139" i="19"/>
  <c r="X139" i="19"/>
  <c r="AA139" i="19"/>
  <c r="Y139" i="19"/>
  <c r="AG139" i="19"/>
  <c r="Z139" i="19"/>
  <c r="AD139" i="19"/>
  <c r="AH139" i="19"/>
  <c r="AE139" i="19"/>
  <c r="AB139" i="19"/>
  <c r="W139" i="19"/>
  <c r="AC139" i="19"/>
  <c r="AM156" i="17"/>
  <c r="AM110" i="17"/>
  <c r="AW156" i="17"/>
  <c r="AW110" i="17"/>
  <c r="AR13" i="25"/>
  <c r="M61" i="27"/>
  <c r="AP137" i="19"/>
  <c r="AK137" i="19"/>
  <c r="AI137" i="19"/>
  <c r="AL137" i="19"/>
  <c r="AQ137" i="19"/>
  <c r="AM137" i="19"/>
  <c r="AJ137" i="19"/>
  <c r="AN137" i="19"/>
  <c r="AR137" i="19"/>
  <c r="AO137" i="19"/>
  <c r="AH137" i="19"/>
  <c r="AG137" i="19"/>
  <c r="AH134" i="19"/>
  <c r="AO134" i="19"/>
  <c r="AI134" i="19"/>
  <c r="AG134" i="19"/>
  <c r="AJ134" i="19"/>
  <c r="AK134" i="19"/>
  <c r="AF134" i="19"/>
  <c r="AD134" i="19"/>
  <c r="AM134" i="19"/>
  <c r="AN134" i="19"/>
  <c r="AL134" i="19"/>
  <c r="AE134" i="19"/>
  <c r="AG130" i="19"/>
  <c r="AE130" i="19"/>
  <c r="AA130" i="19"/>
  <c r="Z130" i="19"/>
  <c r="AJ130" i="19"/>
  <c r="AH130" i="19"/>
  <c r="AF130" i="19"/>
  <c r="AC130" i="19"/>
  <c r="AB130" i="19"/>
  <c r="AK130" i="19"/>
  <c r="AI130" i="19"/>
  <c r="AD130" i="19"/>
  <c r="W175" i="17"/>
  <c r="Q175" i="17"/>
  <c r="V175" i="17"/>
  <c r="X175" i="17"/>
  <c r="O175" i="17"/>
  <c r="U175" i="17"/>
  <c r="N175" i="17"/>
  <c r="N203" i="17" s="1"/>
  <c r="N212" i="17" s="1"/>
  <c r="P175" i="17"/>
  <c r="S175" i="17"/>
  <c r="T175" i="17"/>
  <c r="R175" i="17"/>
  <c r="Y175" i="17"/>
  <c r="AQ90" i="17"/>
  <c r="AQ92" i="17" s="1"/>
  <c r="AQ98" i="17" s="1"/>
  <c r="BB152" i="18"/>
  <c r="BB232" i="18" s="1"/>
  <c r="AY152" i="18"/>
  <c r="AY232" i="18" s="1"/>
  <c r="BA152" i="18"/>
  <c r="BA232" i="18" s="1"/>
  <c r="AZ152" i="18"/>
  <c r="AZ232" i="18" s="1"/>
  <c r="BD152" i="18"/>
  <c r="BD232" i="18" s="1"/>
  <c r="BG152" i="18"/>
  <c r="BG232" i="18" s="1"/>
  <c r="AW152" i="18"/>
  <c r="AW232" i="18" s="1"/>
  <c r="BC152" i="18"/>
  <c r="BC232" i="18" s="1"/>
  <c r="BE152" i="18"/>
  <c r="BE232" i="18" s="1"/>
  <c r="AX152" i="18"/>
  <c r="AX232" i="18" s="1"/>
  <c r="BF152" i="18"/>
  <c r="BF232" i="18" s="1"/>
  <c r="BH152" i="18"/>
  <c r="BH232" i="18" s="1"/>
  <c r="BC13" i="14"/>
  <c r="BC15" i="14" s="1"/>
  <c r="BC26" i="14" s="1"/>
  <c r="BC28" i="14" s="1"/>
  <c r="BC43" i="14"/>
  <c r="BC45" i="14" s="1"/>
  <c r="BC50" i="14" s="1"/>
  <c r="BC52" i="14" s="1"/>
  <c r="BC57" i="14" s="1"/>
  <c r="AI141" i="19"/>
  <c r="AF141" i="19"/>
  <c r="Y141" i="19"/>
  <c r="AH141" i="19"/>
  <c r="AE141" i="19"/>
  <c r="AC141" i="19"/>
  <c r="Z141" i="19"/>
  <c r="AJ141" i="19"/>
  <c r="AA141" i="19"/>
  <c r="AG141" i="19"/>
  <c r="AD141" i="19"/>
  <c r="AB141" i="19"/>
  <c r="AT13" i="25"/>
  <c r="O61" i="27"/>
  <c r="AP13" i="25"/>
  <c r="K61" i="27"/>
  <c r="BA54" i="10"/>
  <c r="BB5" i="23"/>
  <c r="BB5" i="25"/>
  <c r="BB5" i="19"/>
  <c r="BB5" i="21"/>
  <c r="BB5" i="18"/>
  <c r="BB5" i="17"/>
  <c r="BB5" i="15"/>
  <c r="BB5" i="12"/>
  <c r="BB5" i="14"/>
  <c r="AN156" i="17"/>
  <c r="AN110" i="17"/>
  <c r="BI181" i="15"/>
  <c r="BF181" i="15"/>
  <c r="BG181" i="15"/>
  <c r="BH181" i="15"/>
  <c r="Z14" i="25"/>
  <c r="Z21" i="25" s="1"/>
  <c r="AC138" i="19"/>
  <c r="AB138" i="19"/>
  <c r="V138" i="19"/>
  <c r="Y138" i="19"/>
  <c r="AF138" i="19"/>
  <c r="AG138" i="19"/>
  <c r="X138" i="19"/>
  <c r="AE138" i="19"/>
  <c r="W138" i="19"/>
  <c r="AA138" i="19"/>
  <c r="AD138" i="19"/>
  <c r="Z138" i="19"/>
  <c r="AW90" i="17"/>
  <c r="AW92" i="17" s="1"/>
  <c r="AW98" i="17" s="1"/>
  <c r="AF133" i="19"/>
  <c r="AC133" i="19"/>
  <c r="AM133" i="19"/>
  <c r="AK133" i="19"/>
  <c r="AJ133" i="19"/>
  <c r="AG133" i="19"/>
  <c r="AL133" i="19"/>
  <c r="AI133" i="19"/>
  <c r="AN133" i="19"/>
  <c r="AD133" i="19"/>
  <c r="AH133" i="19"/>
  <c r="AE133" i="19"/>
  <c r="AM13" i="25"/>
  <c r="H61" i="27"/>
  <c r="R61" i="27"/>
  <c r="AW13" i="25"/>
  <c r="AW26" i="25" s="1"/>
  <c r="BD34" i="14"/>
  <c r="BD36" i="14" s="1"/>
  <c r="BD56" i="14"/>
  <c r="BD59" i="14" s="1"/>
  <c r="BD65" i="14" s="1"/>
  <c r="BD67" i="14" s="1"/>
  <c r="BD155" i="15" s="1"/>
  <c r="N14" i="25"/>
  <c r="N21" i="25" s="1"/>
  <c r="AI217" i="18"/>
  <c r="AI234" i="18" s="1"/>
  <c r="AI243" i="18" s="1"/>
  <c r="AI246" i="18" s="1"/>
  <c r="AI198" i="19" s="1"/>
  <c r="AI200" i="19" s="1"/>
  <c r="AD217" i="18"/>
  <c r="AD234" i="18" s="1"/>
  <c r="AD243" i="18" s="1"/>
  <c r="AD246" i="18" s="1"/>
  <c r="AD198" i="19" s="1"/>
  <c r="AD200" i="19" s="1"/>
  <c r="AG217" i="18"/>
  <c r="Z217" i="18"/>
  <c r="AF217" i="18"/>
  <c r="AC217" i="18"/>
  <c r="Y217" i="18"/>
  <c r="X217" i="18"/>
  <c r="AB217" i="18"/>
  <c r="AH217" i="18"/>
  <c r="AH234" i="18" s="1"/>
  <c r="AH243" i="18" s="1"/>
  <c r="AH246" i="18" s="1"/>
  <c r="AH198" i="19" s="1"/>
  <c r="AH200" i="19" s="1"/>
  <c r="AA217" i="18"/>
  <c r="AE217" i="18"/>
  <c r="W131" i="19"/>
  <c r="T131" i="19"/>
  <c r="P131" i="19"/>
  <c r="X131" i="19"/>
  <c r="Q131" i="19"/>
  <c r="Y131" i="19"/>
  <c r="U131" i="19"/>
  <c r="R131" i="19"/>
  <c r="V131" i="19"/>
  <c r="Z131" i="19"/>
  <c r="O131" i="19"/>
  <c r="S131" i="19"/>
  <c r="AU13" i="25"/>
  <c r="AU26" i="25" s="1"/>
  <c r="P61" i="27"/>
  <c r="AQ138" i="19"/>
  <c r="AL138" i="19"/>
  <c r="AS138" i="19"/>
  <c r="AI138" i="19"/>
  <c r="AM138" i="19"/>
  <c r="AJ138" i="19"/>
  <c r="AN138" i="19"/>
  <c r="AR138" i="19"/>
  <c r="AP138" i="19"/>
  <c r="AO138" i="19"/>
  <c r="AK138" i="19"/>
  <c r="AH138" i="19"/>
  <c r="AM90" i="17"/>
  <c r="AM92" i="17" s="1"/>
  <c r="AM98" i="17" s="1"/>
  <c r="AW141" i="18"/>
  <c r="AS141" i="18"/>
  <c r="AQ141" i="18"/>
  <c r="AM141" i="18"/>
  <c r="AR141" i="18"/>
  <c r="AU141" i="18"/>
  <c r="AN141" i="18"/>
  <c r="AV141" i="18"/>
  <c r="AL141" i="18"/>
  <c r="AL171" i="18" s="1"/>
  <c r="AL101" i="19" s="1"/>
  <c r="AP141" i="18"/>
  <c r="AO141" i="18"/>
  <c r="AT141" i="18"/>
  <c r="AV156" i="17"/>
  <c r="AV110" i="17"/>
  <c r="AO13" i="25"/>
  <c r="J61" i="27"/>
  <c r="AI131" i="19"/>
  <c r="AF131" i="19"/>
  <c r="AA131" i="19"/>
  <c r="AG131" i="19"/>
  <c r="AJ131" i="19"/>
  <c r="AH131" i="19"/>
  <c r="AK131" i="19"/>
  <c r="AC131" i="19"/>
  <c r="AB131" i="19"/>
  <c r="AD131" i="19"/>
  <c r="AE131" i="19"/>
  <c r="AL131" i="19"/>
  <c r="AR142" i="18"/>
  <c r="AR222" i="18" s="1"/>
  <c r="AO142" i="18"/>
  <c r="AO222" i="18" s="1"/>
  <c r="AN142" i="18"/>
  <c r="AN222" i="18" s="1"/>
  <c r="AW142" i="18"/>
  <c r="AW222" i="18" s="1"/>
  <c r="AM142" i="18"/>
  <c r="AM222" i="18" s="1"/>
  <c r="AP142" i="18"/>
  <c r="AP222" i="18" s="1"/>
  <c r="AU142" i="18"/>
  <c r="AU222" i="18" s="1"/>
  <c r="AT142" i="18"/>
  <c r="AT222" i="18" s="1"/>
  <c r="AX142" i="18"/>
  <c r="AX222" i="18" s="1"/>
  <c r="AV142" i="18"/>
  <c r="AV222" i="18" s="1"/>
  <c r="AQ142" i="18"/>
  <c r="AQ222" i="18" s="1"/>
  <c r="AS142" i="18"/>
  <c r="AS222" i="18" s="1"/>
  <c r="AY146" i="18"/>
  <c r="AY226" i="18" s="1"/>
  <c r="AV146" i="18"/>
  <c r="AV226" i="18" s="1"/>
  <c r="BA146" i="18"/>
  <c r="BA226" i="18" s="1"/>
  <c r="AR146" i="18"/>
  <c r="AR226" i="18" s="1"/>
  <c r="AZ146" i="18"/>
  <c r="AZ226" i="18" s="1"/>
  <c r="BB146" i="18"/>
  <c r="BB226" i="18" s="1"/>
  <c r="AQ146" i="18"/>
  <c r="AQ226" i="18" s="1"/>
  <c r="AX146" i="18"/>
  <c r="AX226" i="18" s="1"/>
  <c r="AS146" i="18"/>
  <c r="AS226" i="18" s="1"/>
  <c r="AW146" i="18"/>
  <c r="AW226" i="18" s="1"/>
  <c r="AT146" i="18"/>
  <c r="AT226" i="18" s="1"/>
  <c r="AU146" i="18"/>
  <c r="AU226" i="18" s="1"/>
  <c r="AO136" i="19"/>
  <c r="AM136" i="19"/>
  <c r="AN136" i="19"/>
  <c r="AG136" i="19"/>
  <c r="AH136" i="19"/>
  <c r="AP136" i="19"/>
  <c r="AK136" i="19"/>
  <c r="AL136" i="19"/>
  <c r="AI136" i="19"/>
  <c r="AQ136" i="19"/>
  <c r="AF136" i="19"/>
  <c r="AJ136" i="19"/>
  <c r="Q130" i="19"/>
  <c r="X130" i="19"/>
  <c r="W130" i="19"/>
  <c r="O130" i="19"/>
  <c r="P130" i="19"/>
  <c r="Y130" i="19"/>
  <c r="R130" i="19"/>
  <c r="N130" i="19"/>
  <c r="S130" i="19"/>
  <c r="V130" i="19"/>
  <c r="T130" i="19"/>
  <c r="U130" i="19"/>
  <c r="AA134" i="19"/>
  <c r="S134" i="19"/>
  <c r="AB134" i="19"/>
  <c r="X134" i="19"/>
  <c r="U134" i="19"/>
  <c r="Y134" i="19"/>
  <c r="AC134" i="19"/>
  <c r="R134" i="19"/>
  <c r="V134" i="19"/>
  <c r="Z134" i="19"/>
  <c r="W134" i="19"/>
  <c r="T134" i="19"/>
  <c r="AE137" i="19"/>
  <c r="AB137" i="19"/>
  <c r="X137" i="19"/>
  <c r="U137" i="19"/>
  <c r="AF137" i="19"/>
  <c r="AC137" i="19"/>
  <c r="Y137" i="19"/>
  <c r="V137" i="19"/>
  <c r="Z137" i="19"/>
  <c r="AD137" i="19"/>
  <c r="AA137" i="19"/>
  <c r="W137" i="19"/>
  <c r="AS13" i="25"/>
  <c r="N61" i="27"/>
  <c r="AX150" i="18"/>
  <c r="AX230" i="18" s="1"/>
  <c r="BF150" i="18"/>
  <c r="BF230" i="18" s="1"/>
  <c r="AY150" i="18"/>
  <c r="AY230" i="18" s="1"/>
  <c r="AV150" i="18"/>
  <c r="AV230" i="18" s="1"/>
  <c r="BA150" i="18"/>
  <c r="BA230" i="18" s="1"/>
  <c r="BB150" i="18"/>
  <c r="BB230" i="18" s="1"/>
  <c r="BD150" i="18"/>
  <c r="BD230" i="18" s="1"/>
  <c r="BC150" i="18"/>
  <c r="BC230" i="18" s="1"/>
  <c r="AU150" i="18"/>
  <c r="AU230" i="18" s="1"/>
  <c r="AW150" i="18"/>
  <c r="AW230" i="18" s="1"/>
  <c r="AZ150" i="18"/>
  <c r="AZ230" i="18" s="1"/>
  <c r="BE150" i="18"/>
  <c r="BE230" i="18" s="1"/>
  <c r="AU90" i="17"/>
  <c r="AU92" i="17" s="1"/>
  <c r="AU98" i="17" s="1"/>
  <c r="AP90" i="17"/>
  <c r="AP92" i="17" s="1"/>
  <c r="AP98" i="17" s="1"/>
  <c r="BD151" i="18"/>
  <c r="BD231" i="18" s="1"/>
  <c r="BA151" i="18"/>
  <c r="BA231" i="18" s="1"/>
  <c r="AY151" i="18"/>
  <c r="AY231" i="18" s="1"/>
  <c r="BE151" i="18"/>
  <c r="BE231" i="18" s="1"/>
  <c r="BF151" i="18"/>
  <c r="BF231" i="18" s="1"/>
  <c r="BG151" i="18"/>
  <c r="BG231" i="18" s="1"/>
  <c r="AV151" i="18"/>
  <c r="AV231" i="18" s="1"/>
  <c r="AX151" i="18"/>
  <c r="AX231" i="18" s="1"/>
  <c r="AW151" i="18"/>
  <c r="AW231" i="18" s="1"/>
  <c r="BC151" i="18"/>
  <c r="BC231" i="18" s="1"/>
  <c r="AZ151" i="18"/>
  <c r="AZ231" i="18" s="1"/>
  <c r="BB151" i="18"/>
  <c r="BB231" i="18" s="1"/>
  <c r="AY144" i="18"/>
  <c r="AY224" i="18" s="1"/>
  <c r="AR144" i="18"/>
  <c r="AR224" i="18" s="1"/>
  <c r="AV144" i="18"/>
  <c r="AV224" i="18" s="1"/>
  <c r="AZ144" i="18"/>
  <c r="AZ224" i="18" s="1"/>
  <c r="AO144" i="18"/>
  <c r="AO224" i="18" s="1"/>
  <c r="AU144" i="18"/>
  <c r="AU224" i="18" s="1"/>
  <c r="AW144" i="18"/>
  <c r="AW224" i="18" s="1"/>
  <c r="AS144" i="18"/>
  <c r="AS224" i="18" s="1"/>
  <c r="AP144" i="18"/>
  <c r="AP224" i="18" s="1"/>
  <c r="AT144" i="18"/>
  <c r="AT224" i="18" s="1"/>
  <c r="AQ144" i="18"/>
  <c r="AQ224" i="18" s="1"/>
  <c r="AX144" i="18"/>
  <c r="AX224" i="18" s="1"/>
  <c r="X133" i="19"/>
  <c r="S133" i="19"/>
  <c r="Q133" i="19"/>
  <c r="AA133" i="19"/>
  <c r="Y133" i="19"/>
  <c r="T133" i="19"/>
  <c r="R133" i="19"/>
  <c r="AB133" i="19"/>
  <c r="Z133" i="19"/>
  <c r="U133" i="19"/>
  <c r="V133" i="19"/>
  <c r="W133" i="19"/>
  <c r="BE99" i="15"/>
  <c r="BE154" i="15"/>
  <c r="BE157" i="15" s="1"/>
  <c r="BE11" i="21"/>
  <c r="BE8" i="23"/>
  <c r="BE12" i="25" s="1"/>
  <c r="BE25" i="25" s="1"/>
  <c r="AR156" i="17"/>
  <c r="AR110" i="17"/>
  <c r="AN13" i="25"/>
  <c r="I61" i="27"/>
  <c r="AG185" i="17"/>
  <c r="AG203" i="17" s="1"/>
  <c r="AG212" i="17" s="1"/>
  <c r="AG215" i="17" s="1"/>
  <c r="AG23" i="23" s="1"/>
  <c r="AI185" i="17"/>
  <c r="AI203" i="17" s="1"/>
  <c r="AI212" i="17" s="1"/>
  <c r="AI215" i="17" s="1"/>
  <c r="AI23" i="23" s="1"/>
  <c r="AD185" i="17"/>
  <c r="AB185" i="17"/>
  <c r="AA185" i="17"/>
  <c r="Z185" i="17"/>
  <c r="Y185" i="17"/>
  <c r="AC185" i="17"/>
  <c r="X185" i="17"/>
  <c r="AF185" i="17"/>
  <c r="AH185" i="17"/>
  <c r="AH203" i="17" s="1"/>
  <c r="AH212" i="17" s="1"/>
  <c r="AH215" i="17" s="1"/>
  <c r="AH23" i="23" s="1"/>
  <c r="AE185" i="17"/>
  <c r="AT156" i="17"/>
  <c r="AT110" i="17"/>
  <c r="AP156" i="17"/>
  <c r="AP110" i="17"/>
  <c r="V132" i="19"/>
  <c r="S132" i="19"/>
  <c r="R132" i="19"/>
  <c r="X132" i="19"/>
  <c r="P132" i="19"/>
  <c r="Y132" i="19"/>
  <c r="U132" i="19"/>
  <c r="AA132" i="19"/>
  <c r="T132" i="19"/>
  <c r="W132" i="19"/>
  <c r="Z132" i="19"/>
  <c r="Q132" i="19"/>
  <c r="AQ139" i="19"/>
  <c r="AN139" i="19"/>
  <c r="AI139" i="19"/>
  <c r="AT139" i="19"/>
  <c r="AR139" i="19"/>
  <c r="AP139" i="19"/>
  <c r="AK139" i="19"/>
  <c r="AM139" i="19"/>
  <c r="AS139" i="19"/>
  <c r="AO139" i="19"/>
  <c r="AL139" i="19"/>
  <c r="AJ139" i="19"/>
  <c r="Q61" i="27"/>
  <c r="AV13" i="25"/>
  <c r="AV26" i="25" s="1"/>
  <c r="AL110" i="17" l="1"/>
  <c r="AL14" i="21"/>
  <c r="AM10" i="21" s="1"/>
  <c r="AM14" i="21" s="1"/>
  <c r="AN10" i="21" s="1"/>
  <c r="AN14" i="21" s="1"/>
  <c r="AO10" i="21" s="1"/>
  <c r="AO14" i="21" s="1"/>
  <c r="AP10" i="21" s="1"/>
  <c r="AP14" i="21" s="1"/>
  <c r="AQ10" i="21" s="1"/>
  <c r="AQ14" i="21" s="1"/>
  <c r="AR10" i="21" s="1"/>
  <c r="AR14" i="21" s="1"/>
  <c r="AS10" i="21" s="1"/>
  <c r="AS14" i="21" s="1"/>
  <c r="AT10" i="21" s="1"/>
  <c r="AT14" i="21" s="1"/>
  <c r="AU10" i="21" s="1"/>
  <c r="AU14" i="21" s="1"/>
  <c r="AV10" i="21" s="1"/>
  <c r="AV14" i="21" s="1"/>
  <c r="AW10" i="21" s="1"/>
  <c r="AW14" i="21" s="1"/>
  <c r="AX10" i="21" s="1"/>
  <c r="AL90" i="17"/>
  <c r="AL92" i="17" s="1"/>
  <c r="AL98" i="17" s="1"/>
  <c r="AL101" i="17" s="1"/>
  <c r="AL189" i="18" s="1"/>
  <c r="AM20" i="25"/>
  <c r="AM26" i="25"/>
  <c r="AR20" i="25"/>
  <c r="AR26" i="25"/>
  <c r="AN20" i="25"/>
  <c r="AN26" i="25"/>
  <c r="AO20" i="25"/>
  <c r="AO26" i="25"/>
  <c r="AP20" i="25"/>
  <c r="AP26" i="25"/>
  <c r="AL20" i="25"/>
  <c r="AL26" i="25"/>
  <c r="AQ20" i="25"/>
  <c r="AQ26" i="25"/>
  <c r="AA234" i="18"/>
  <c r="AA243" i="18" s="1"/>
  <c r="AA246" i="18" s="1"/>
  <c r="AA198" i="19" s="1"/>
  <c r="AA200" i="19" s="1"/>
  <c r="AC217" i="19" s="1"/>
  <c r="AC276" i="19" s="1"/>
  <c r="N215" i="17"/>
  <c r="N23" i="23" s="1"/>
  <c r="AI289" i="19"/>
  <c r="AA289" i="19"/>
  <c r="AS20" i="25"/>
  <c r="AS26" i="25"/>
  <c r="AE203" i="17"/>
  <c r="AE212" i="17" s="1"/>
  <c r="AE215" i="17" s="1"/>
  <c r="AE23" i="23" s="1"/>
  <c r="AA250" i="19"/>
  <c r="AE289" i="19"/>
  <c r="Y255" i="19"/>
  <c r="AI255" i="19"/>
  <c r="Z253" i="19"/>
  <c r="Z249" i="19"/>
  <c r="AE258" i="19"/>
  <c r="AH289" i="19"/>
  <c r="O192" i="19"/>
  <c r="O318" i="19" s="1"/>
  <c r="O325" i="19" s="1"/>
  <c r="O20" i="23" s="1"/>
  <c r="P192" i="19"/>
  <c r="P318" i="19" s="1"/>
  <c r="P325" i="19" s="1"/>
  <c r="P20" i="23" s="1"/>
  <c r="AB289" i="19"/>
  <c r="Y250" i="19"/>
  <c r="AF259" i="19"/>
  <c r="X254" i="19"/>
  <c r="S250" i="19"/>
  <c r="Y254" i="19"/>
  <c r="W252" i="19"/>
  <c r="AA252" i="19"/>
  <c r="AF256" i="19"/>
  <c r="X252" i="19"/>
  <c r="X257" i="19"/>
  <c r="AD250" i="19"/>
  <c r="Z256" i="19"/>
  <c r="AJ251" i="19"/>
  <c r="AC258" i="19"/>
  <c r="AI259" i="19"/>
  <c r="W253" i="19"/>
  <c r="X253" i="19"/>
  <c r="AJ259" i="19"/>
  <c r="X250" i="19"/>
  <c r="AG255" i="19"/>
  <c r="AB253" i="19"/>
  <c r="Z257" i="19"/>
  <c r="V252" i="19"/>
  <c r="Y251" i="19"/>
  <c r="AI254" i="19"/>
  <c r="AI252" i="19"/>
  <c r="AL250" i="19"/>
  <c r="T249" i="19"/>
  <c r="W257" i="19"/>
  <c r="AO253" i="19"/>
  <c r="AH254" i="19"/>
  <c r="AE251" i="19"/>
  <c r="Z289" i="19"/>
  <c r="R251" i="19"/>
  <c r="AJ254" i="19"/>
  <c r="AH251" i="19"/>
  <c r="W251" i="19"/>
  <c r="AD257" i="19"/>
  <c r="AI253" i="19"/>
  <c r="AM251" i="19"/>
  <c r="Q192" i="19"/>
  <c r="Q318" i="19" s="1"/>
  <c r="Q325" i="19" s="1"/>
  <c r="Q20" i="23" s="1"/>
  <c r="AJ255" i="19"/>
  <c r="AN251" i="19"/>
  <c r="Y258" i="19"/>
  <c r="T254" i="19"/>
  <c r="AF255" i="19"/>
  <c r="AC252" i="19"/>
  <c r="Z255" i="19"/>
  <c r="AK251" i="19"/>
  <c r="AH253" i="19"/>
  <c r="AM250" i="19"/>
  <c r="Q251" i="19"/>
  <c r="Z252" i="19"/>
  <c r="Y257" i="19"/>
  <c r="AG251" i="19"/>
  <c r="W250" i="19"/>
  <c r="AE255" i="19"/>
  <c r="AB251" i="19"/>
  <c r="P250" i="19"/>
  <c r="AI258" i="19"/>
  <c r="U251" i="19"/>
  <c r="Q249" i="19"/>
  <c r="U252" i="19"/>
  <c r="R250" i="19"/>
  <c r="AF289" i="19"/>
  <c r="AF258" i="19"/>
  <c r="AQ254" i="19"/>
  <c r="AA253" i="19"/>
  <c r="AA254" i="19"/>
  <c r="AK250" i="19"/>
  <c r="W256" i="19"/>
  <c r="AJ252" i="19"/>
  <c r="AA259" i="19"/>
  <c r="AP254" i="19"/>
  <c r="U249" i="19"/>
  <c r="AK289" i="19"/>
  <c r="AE256" i="19"/>
  <c r="AO254" i="19"/>
  <c r="AG258" i="19"/>
  <c r="S251" i="19"/>
  <c r="AA256" i="19"/>
  <c r="Z258" i="19"/>
  <c r="AK254" i="19"/>
  <c r="AC253" i="19"/>
  <c r="U254" i="19"/>
  <c r="AB252" i="19"/>
  <c r="AA257" i="19"/>
  <c r="V254" i="19"/>
  <c r="AH252" i="19"/>
  <c r="AN253" i="19"/>
  <c r="V256" i="19"/>
  <c r="AF254" i="19"/>
  <c r="Z259" i="19"/>
  <c r="AH255" i="19"/>
  <c r="AD251" i="19"/>
  <c r="U250" i="19"/>
  <c r="AD252" i="19"/>
  <c r="AC255" i="19"/>
  <c r="Z251" i="19"/>
  <c r="V250" i="19"/>
  <c r="AC257" i="19"/>
  <c r="Y253" i="19"/>
  <c r="AD255" i="19"/>
  <c r="AA251" i="19"/>
  <c r="AH258" i="19"/>
  <c r="T251" i="19"/>
  <c r="AB256" i="19"/>
  <c r="AA258" i="19"/>
  <c r="AL254" i="19"/>
  <c r="AC256" i="19"/>
  <c r="AD254" i="19"/>
  <c r="AJ250" i="19"/>
  <c r="V251" i="19"/>
  <c r="AN254" i="19"/>
  <c r="AC251" i="19"/>
  <c r="AP255" i="19"/>
  <c r="AP253" i="19"/>
  <c r="AK252" i="19"/>
  <c r="AB255" i="19"/>
  <c r="Y256" i="19"/>
  <c r="S192" i="19"/>
  <c r="S318" i="19" s="1"/>
  <c r="S325" i="19" s="1"/>
  <c r="S20" i="23" s="1"/>
  <c r="AJ289" i="19"/>
  <c r="AK180" i="19"/>
  <c r="AK290" i="19" s="1"/>
  <c r="AC180" i="19"/>
  <c r="AC290" i="19" s="1"/>
  <c r="AD180" i="19"/>
  <c r="AD290" i="19" s="1"/>
  <c r="X192" i="19"/>
  <c r="X318" i="19" s="1"/>
  <c r="X325" i="19" s="1"/>
  <c r="X20" i="23" s="1"/>
  <c r="AJ180" i="19"/>
  <c r="AJ290" i="19" s="1"/>
  <c r="AB180" i="19"/>
  <c r="AB290" i="19" s="1"/>
  <c r="AG252" i="19"/>
  <c r="AM255" i="19"/>
  <c r="AI250" i="19"/>
  <c r="AE253" i="19"/>
  <c r="V253" i="19"/>
  <c r="Y249" i="19"/>
  <c r="AB258" i="19"/>
  <c r="AM254" i="19"/>
  <c r="AB257" i="19"/>
  <c r="Y259" i="19"/>
  <c r="AD256" i="19"/>
  <c r="W254" i="19"/>
  <c r="Z250" i="19"/>
  <c r="Y192" i="19"/>
  <c r="Y318" i="19" s="1"/>
  <c r="Y325" i="19" s="1"/>
  <c r="Y20" i="23" s="1"/>
  <c r="V192" i="19"/>
  <c r="V318" i="19" s="1"/>
  <c r="V325" i="19" s="1"/>
  <c r="V20" i="23" s="1"/>
  <c r="AI180" i="19"/>
  <c r="AI290" i="19" s="1"/>
  <c r="AA180" i="19"/>
  <c r="AA290" i="19" s="1"/>
  <c r="AL180" i="19"/>
  <c r="AL290" i="19" s="1"/>
  <c r="T192" i="19"/>
  <c r="T318" i="19" s="1"/>
  <c r="T325" i="19" s="1"/>
  <c r="T20" i="23" s="1"/>
  <c r="U192" i="19"/>
  <c r="U318" i="19" s="1"/>
  <c r="U325" i="19" s="1"/>
  <c r="U20" i="23" s="1"/>
  <c r="AH180" i="19"/>
  <c r="AH290" i="19" s="1"/>
  <c r="W192" i="19"/>
  <c r="W318" i="19" s="1"/>
  <c r="W325" i="19" s="1"/>
  <c r="W20" i="23" s="1"/>
  <c r="AO252" i="19"/>
  <c r="T252" i="19"/>
  <c r="X255" i="19"/>
  <c r="AM253" i="19"/>
  <c r="AD253" i="19"/>
  <c r="AI251" i="19"/>
  <c r="Q250" i="19"/>
  <c r="AN255" i="19"/>
  <c r="AB250" i="19"/>
  <c r="AF253" i="19"/>
  <c r="AG259" i="19"/>
  <c r="R249" i="19"/>
  <c r="AE254" i="19"/>
  <c r="AC289" i="19"/>
  <c r="AG180" i="19"/>
  <c r="AG290" i="19" s="1"/>
  <c r="AL252" i="19"/>
  <c r="AR255" i="19"/>
  <c r="AF250" i="19"/>
  <c r="AF257" i="19"/>
  <c r="AC259" i="19"/>
  <c r="V249" i="19"/>
  <c r="AE252" i="19"/>
  <c r="AK255" i="19"/>
  <c r="AG250" i="19"/>
  <c r="AG257" i="19"/>
  <c r="AD259" i="19"/>
  <c r="O249" i="19"/>
  <c r="AB254" i="19"/>
  <c r="AF252" i="19"/>
  <c r="AL255" i="19"/>
  <c r="AH250" i="19"/>
  <c r="AH257" i="19"/>
  <c r="AE259" i="19"/>
  <c r="P249" i="19"/>
  <c r="AC254" i="19"/>
  <c r="Z192" i="19"/>
  <c r="Z318" i="19" s="1"/>
  <c r="Z325" i="19" s="1"/>
  <c r="Z20" i="23" s="1"/>
  <c r="AF180" i="19"/>
  <c r="AF290" i="19" s="1"/>
  <c r="R192" i="19"/>
  <c r="R318" i="19" s="1"/>
  <c r="R325" i="19" s="1"/>
  <c r="R20" i="23" s="1"/>
  <c r="AD289" i="19"/>
  <c r="AE180" i="19"/>
  <c r="AE290" i="19" s="1"/>
  <c r="AG289" i="19"/>
  <c r="X258" i="19"/>
  <c r="Y252" i="19"/>
  <c r="U255" i="19"/>
  <c r="AJ253" i="19"/>
  <c r="S253" i="19"/>
  <c r="AF251" i="19"/>
  <c r="AM252" i="19"/>
  <c r="R252" i="19"/>
  <c r="V255" i="19"/>
  <c r="AK253" i="19"/>
  <c r="T253" i="19"/>
  <c r="W249" i="19"/>
  <c r="AN252" i="19"/>
  <c r="S252" i="19"/>
  <c r="W255" i="19"/>
  <c r="AL253" i="19"/>
  <c r="U253" i="19"/>
  <c r="X249" i="19"/>
  <c r="AO255" i="19"/>
  <c r="AC250" i="19"/>
  <c r="AG253" i="19"/>
  <c r="AH259" i="19"/>
  <c r="S249" i="19"/>
  <c r="AD258" i="19"/>
  <c r="AG254" i="19"/>
  <c r="AA255" i="19"/>
  <c r="X251" i="19"/>
  <c r="X256" i="19"/>
  <c r="AL251" i="19"/>
  <c r="T250" i="19"/>
  <c r="AQ255" i="19"/>
  <c r="AE250" i="19"/>
  <c r="AE257" i="19"/>
  <c r="AB259" i="19"/>
  <c r="AG256" i="19"/>
  <c r="Z254" i="19"/>
  <c r="AL165" i="19"/>
  <c r="AM165" i="19"/>
  <c r="AN165" i="19"/>
  <c r="AO165" i="19"/>
  <c r="AP165" i="19"/>
  <c r="AQ165" i="19"/>
  <c r="AR165" i="19"/>
  <c r="AS165" i="19"/>
  <c r="AT165" i="19"/>
  <c r="AU165" i="19"/>
  <c r="AV165" i="19"/>
  <c r="AW165" i="19"/>
  <c r="AR171" i="18"/>
  <c r="AR101" i="19" s="1"/>
  <c r="AT171" i="18"/>
  <c r="AT101" i="19" s="1"/>
  <c r="AM171" i="18"/>
  <c r="AM101" i="19" s="1"/>
  <c r="AO171" i="18"/>
  <c r="AO101" i="19" s="1"/>
  <c r="AQ171" i="18"/>
  <c r="AQ101" i="19" s="1"/>
  <c r="AP171" i="18"/>
  <c r="AP101" i="19" s="1"/>
  <c r="AS171" i="18"/>
  <c r="AW171" i="18"/>
  <c r="AW101" i="19" s="1"/>
  <c r="AV171" i="18"/>
  <c r="AV101" i="19" s="1"/>
  <c r="AN171" i="18"/>
  <c r="AN101" i="19" s="1"/>
  <c r="AU171" i="18"/>
  <c r="AU101" i="19" s="1"/>
  <c r="BB31" i="18"/>
  <c r="BB161" i="18" s="1"/>
  <c r="BB37" i="18"/>
  <c r="BB167" i="18" s="1"/>
  <c r="BB30" i="18"/>
  <c r="BB160" i="18" s="1"/>
  <c r="BB28" i="18"/>
  <c r="BB158" i="18" s="1"/>
  <c r="BB35" i="18"/>
  <c r="BB165" i="18" s="1"/>
  <c r="BB33" i="18"/>
  <c r="BB163" i="18" s="1"/>
  <c r="BB32" i="18"/>
  <c r="BB162" i="18" s="1"/>
  <c r="BB27" i="18"/>
  <c r="BB157" i="18" s="1"/>
  <c r="BB34" i="18"/>
  <c r="BB164" i="18" s="1"/>
  <c r="BB36" i="18"/>
  <c r="BB166" i="18" s="1"/>
  <c r="BB29" i="18"/>
  <c r="BB159" i="18" s="1"/>
  <c r="BB38" i="18"/>
  <c r="BB168" i="18" s="1"/>
  <c r="AA203" i="17"/>
  <c r="AA212" i="17" s="1"/>
  <c r="AA215" i="17" s="1"/>
  <c r="AA23" i="23" s="1"/>
  <c r="AD203" i="17"/>
  <c r="AD212" i="17" s="1"/>
  <c r="AD215" i="17" s="1"/>
  <c r="AD23" i="23" s="1"/>
  <c r="AF203" i="17"/>
  <c r="AF212" i="17" s="1"/>
  <c r="AF215" i="17" s="1"/>
  <c r="AF23" i="23" s="1"/>
  <c r="AB203" i="17"/>
  <c r="AB212" i="17" s="1"/>
  <c r="AB215" i="17" s="1"/>
  <c r="AB23" i="23" s="1"/>
  <c r="W203" i="17"/>
  <c r="W212" i="17" s="1"/>
  <c r="W215" i="17" s="1"/>
  <c r="W23" i="23" s="1"/>
  <c r="V203" i="17"/>
  <c r="V212" i="17" s="1"/>
  <c r="V215" i="17" s="1"/>
  <c r="V23" i="23" s="1"/>
  <c r="S234" i="18"/>
  <c r="S243" i="18" s="1"/>
  <c r="S246" i="18" s="1"/>
  <c r="S198" i="19" s="1"/>
  <c r="S200" i="19" s="1"/>
  <c r="AB221" i="19" s="1"/>
  <c r="AB280" i="19" s="1"/>
  <c r="AC203" i="17"/>
  <c r="AC212" i="17" s="1"/>
  <c r="AC215" i="17" s="1"/>
  <c r="AC23" i="23" s="1"/>
  <c r="AT188" i="18"/>
  <c r="AT191" i="18" s="1"/>
  <c r="AS101" i="17"/>
  <c r="AS189" i="18" s="1"/>
  <c r="AS191" i="18" s="1"/>
  <c r="BC214" i="18" s="1"/>
  <c r="AV101" i="17"/>
  <c r="AV189" i="18" s="1"/>
  <c r="AV191" i="18" s="1"/>
  <c r="AB234" i="18"/>
  <c r="AB243" i="18" s="1"/>
  <c r="AB246" i="18" s="1"/>
  <c r="AB198" i="19" s="1"/>
  <c r="AB200" i="19" s="1"/>
  <c r="AK218" i="19" s="1"/>
  <c r="AK277" i="19" s="1"/>
  <c r="O203" i="17"/>
  <c r="O212" i="17" s="1"/>
  <c r="O215" i="17" s="1"/>
  <c r="O23" i="23" s="1"/>
  <c r="P203" i="17"/>
  <c r="P212" i="17" s="1"/>
  <c r="P215" i="17" s="1"/>
  <c r="P23" i="23" s="1"/>
  <c r="R203" i="17"/>
  <c r="R212" i="17" s="1"/>
  <c r="R215" i="17" s="1"/>
  <c r="R23" i="23" s="1"/>
  <c r="AG234" i="18"/>
  <c r="AG243" i="18" s="1"/>
  <c r="AG246" i="18" s="1"/>
  <c r="AG198" i="19" s="1"/>
  <c r="AG200" i="19" s="1"/>
  <c r="AN223" i="19" s="1"/>
  <c r="AN282" i="19" s="1"/>
  <c r="AE234" i="18"/>
  <c r="AE243" i="18" s="1"/>
  <c r="AE246" i="18" s="1"/>
  <c r="AE198" i="19" s="1"/>
  <c r="AE200" i="19" s="1"/>
  <c r="AK221" i="19" s="1"/>
  <c r="AK280" i="19" s="1"/>
  <c r="Z203" i="17"/>
  <c r="Z212" i="17" s="1"/>
  <c r="Z215" i="17" s="1"/>
  <c r="Z23" i="23" s="1"/>
  <c r="Q203" i="17"/>
  <c r="Q212" i="17" s="1"/>
  <c r="Q215" i="17" s="1"/>
  <c r="Q23" i="23" s="1"/>
  <c r="W234" i="18"/>
  <c r="W243" i="18" s="1"/>
  <c r="W246" i="18" s="1"/>
  <c r="W198" i="19" s="1"/>
  <c r="W200" i="19" s="1"/>
  <c r="AE225" i="19" s="1"/>
  <c r="AE284" i="19" s="1"/>
  <c r="AC234" i="18"/>
  <c r="AC243" i="18" s="1"/>
  <c r="AC246" i="18" s="1"/>
  <c r="AC198" i="19" s="1"/>
  <c r="AC200" i="19" s="1"/>
  <c r="AI219" i="19" s="1"/>
  <c r="AI278" i="19" s="1"/>
  <c r="R234" i="18"/>
  <c r="R243" i="18" s="1"/>
  <c r="R246" i="18" s="1"/>
  <c r="R198" i="19" s="1"/>
  <c r="R200" i="19" s="1"/>
  <c r="V220" i="19" s="1"/>
  <c r="V279" i="19" s="1"/>
  <c r="Z234" i="18"/>
  <c r="Z243" i="18" s="1"/>
  <c r="Z246" i="18" s="1"/>
  <c r="Z198" i="19" s="1"/>
  <c r="Z200" i="19" s="1"/>
  <c r="AA216" i="19" s="1"/>
  <c r="AF234" i="18"/>
  <c r="AF243" i="18" s="1"/>
  <c r="AF246" i="18" s="1"/>
  <c r="AF198" i="19" s="1"/>
  <c r="AF200" i="19" s="1"/>
  <c r="AF222" i="19" s="1"/>
  <c r="AF281" i="19" s="1"/>
  <c r="T234" i="18"/>
  <c r="T243" i="18" s="1"/>
  <c r="T246" i="18" s="1"/>
  <c r="T198" i="19" s="1"/>
  <c r="T200" i="19" s="1"/>
  <c r="AA222" i="19" s="1"/>
  <c r="AA281" i="19" s="1"/>
  <c r="S203" i="17"/>
  <c r="S212" i="17" s="1"/>
  <c r="S215" i="17" s="1"/>
  <c r="S23" i="23" s="1"/>
  <c r="AO188" i="18"/>
  <c r="AO191" i="18" s="1"/>
  <c r="Q234" i="18"/>
  <c r="Q243" i="18" s="1"/>
  <c r="Q246" i="18" s="1"/>
  <c r="Q198" i="19" s="1"/>
  <c r="Q200" i="19" s="1"/>
  <c r="U219" i="19" s="1"/>
  <c r="U278" i="19" s="1"/>
  <c r="AR188" i="18"/>
  <c r="AR191" i="18" s="1"/>
  <c r="AX213" i="18" s="1"/>
  <c r="O234" i="18"/>
  <c r="O243" i="18" s="1"/>
  <c r="O246" i="18" s="1"/>
  <c r="O198" i="19" s="1"/>
  <c r="O200" i="19" s="1"/>
  <c r="W217" i="19" s="1"/>
  <c r="W276" i="19" s="1"/>
  <c r="U203" i="17"/>
  <c r="U212" i="17" s="1"/>
  <c r="U215" i="17" s="1"/>
  <c r="U23" i="23" s="1"/>
  <c r="T203" i="17"/>
  <c r="T212" i="17" s="1"/>
  <c r="T215" i="17" s="1"/>
  <c r="T23" i="23" s="1"/>
  <c r="U234" i="18"/>
  <c r="U243" i="18" s="1"/>
  <c r="U246" i="18" s="1"/>
  <c r="U198" i="19" s="1"/>
  <c r="U200" i="19" s="1"/>
  <c r="AD223" i="19" s="1"/>
  <c r="AD282" i="19" s="1"/>
  <c r="V234" i="18"/>
  <c r="V243" i="18" s="1"/>
  <c r="V246" i="18" s="1"/>
  <c r="V198" i="19" s="1"/>
  <c r="V200" i="19" s="1"/>
  <c r="AC224" i="19" s="1"/>
  <c r="AC283" i="19" s="1"/>
  <c r="AR104" i="17"/>
  <c r="AR157" i="17" s="1"/>
  <c r="AR159" i="17" s="1"/>
  <c r="AT104" i="17"/>
  <c r="AT157" i="17" s="1"/>
  <c r="AT159" i="17" s="1"/>
  <c r="AA217" i="19"/>
  <c r="AA276" i="19" s="1"/>
  <c r="AF217" i="19"/>
  <c r="AF276" i="19" s="1"/>
  <c r="AN220" i="19"/>
  <c r="AN279" i="19" s="1"/>
  <c r="AJ220" i="19"/>
  <c r="AJ279" i="19" s="1"/>
  <c r="AG220" i="19"/>
  <c r="AG279" i="19" s="1"/>
  <c r="AK220" i="19"/>
  <c r="AK279" i="19" s="1"/>
  <c r="AO220" i="19"/>
  <c r="AO279" i="19" s="1"/>
  <c r="AE220" i="19"/>
  <c r="AE279" i="19" s="1"/>
  <c r="AH220" i="19"/>
  <c r="AH279" i="19" s="1"/>
  <c r="AL220" i="19"/>
  <c r="AL279" i="19" s="1"/>
  <c r="AI220" i="19"/>
  <c r="AI279" i="19" s="1"/>
  <c r="AD220" i="19"/>
  <c r="AD279" i="19" s="1"/>
  <c r="AM220" i="19"/>
  <c r="AM279" i="19" s="1"/>
  <c r="AF220" i="19"/>
  <c r="AF279" i="19" s="1"/>
  <c r="AM155" i="19"/>
  <c r="Q148" i="19"/>
  <c r="X148" i="19"/>
  <c r="BC146" i="17"/>
  <c r="BC197" i="17" s="1"/>
  <c r="BB146" i="17"/>
  <c r="BB197" i="17" s="1"/>
  <c r="AX146" i="17"/>
  <c r="AX197" i="17" s="1"/>
  <c r="BE146" i="17"/>
  <c r="BE197" i="17" s="1"/>
  <c r="AT146" i="17"/>
  <c r="AT197" i="17" s="1"/>
  <c r="BD146" i="17"/>
  <c r="BD197" i="17" s="1"/>
  <c r="AU146" i="17"/>
  <c r="AU197" i="17" s="1"/>
  <c r="AV146" i="17"/>
  <c r="AV197" i="17" s="1"/>
  <c r="AZ146" i="17"/>
  <c r="AZ197" i="17" s="1"/>
  <c r="AY146" i="17"/>
  <c r="AY197" i="17" s="1"/>
  <c r="AW146" i="17"/>
  <c r="AW197" i="17" s="1"/>
  <c r="BA146" i="17"/>
  <c r="BA197" i="17" s="1"/>
  <c r="V149" i="19"/>
  <c r="Q149" i="19"/>
  <c r="Y153" i="19"/>
  <c r="W150" i="19"/>
  <c r="AB150" i="19"/>
  <c r="R146" i="19"/>
  <c r="R230" i="19" s="1"/>
  <c r="R143" i="19"/>
  <c r="AF152" i="19"/>
  <c r="AN152" i="19"/>
  <c r="AD147" i="19"/>
  <c r="AF147" i="19"/>
  <c r="AU221" i="18"/>
  <c r="AU154" i="18"/>
  <c r="AU178" i="18" s="1"/>
  <c r="AU180" i="18" s="1"/>
  <c r="AU242" i="18" s="1"/>
  <c r="AU245" i="18" s="1"/>
  <c r="AK154" i="19"/>
  <c r="AS154" i="19"/>
  <c r="V147" i="19"/>
  <c r="W147" i="19"/>
  <c r="AH149" i="19"/>
  <c r="AM149" i="19"/>
  <c r="W154" i="19"/>
  <c r="AC154" i="19"/>
  <c r="AD157" i="19"/>
  <c r="Y157" i="19"/>
  <c r="AJ146" i="19"/>
  <c r="AJ230" i="19" s="1"/>
  <c r="AJ143" i="19"/>
  <c r="AN150" i="19"/>
  <c r="AO150" i="19"/>
  <c r="AJ153" i="19"/>
  <c r="AE155" i="19"/>
  <c r="AF155" i="19"/>
  <c r="AB148" i="19"/>
  <c r="AC152" i="19"/>
  <c r="AA152" i="19"/>
  <c r="AF151" i="19"/>
  <c r="AO151" i="19"/>
  <c r="BE147" i="17"/>
  <c r="BE198" i="17" s="1"/>
  <c r="BB147" i="17"/>
  <c r="BB198" i="17" s="1"/>
  <c r="BC147" i="17"/>
  <c r="BC198" i="17" s="1"/>
  <c r="AX147" i="17"/>
  <c r="AX198" i="17" s="1"/>
  <c r="BF147" i="17"/>
  <c r="BF198" i="17" s="1"/>
  <c r="AY147" i="17"/>
  <c r="AY198" i="17" s="1"/>
  <c r="AV147" i="17"/>
  <c r="AV198" i="17" s="1"/>
  <c r="AZ147" i="17"/>
  <c r="AZ198" i="17" s="1"/>
  <c r="BD147" i="17"/>
  <c r="BD198" i="17" s="1"/>
  <c r="BA147" i="17"/>
  <c r="BA198" i="17" s="1"/>
  <c r="AW147" i="17"/>
  <c r="AW198" i="17" s="1"/>
  <c r="AU147" i="17"/>
  <c r="AU198" i="17" s="1"/>
  <c r="AC151" i="19"/>
  <c r="X156" i="19"/>
  <c r="AS143" i="17"/>
  <c r="AS194" i="17" s="1"/>
  <c r="AU143" i="17"/>
  <c r="AU194" i="17" s="1"/>
  <c r="AW143" i="17"/>
  <c r="AW194" i="17" s="1"/>
  <c r="AV143" i="17"/>
  <c r="AV194" i="17" s="1"/>
  <c r="AQ143" i="17"/>
  <c r="AQ194" i="17" s="1"/>
  <c r="AZ143" i="17"/>
  <c r="AZ194" i="17" s="1"/>
  <c r="AR143" i="17"/>
  <c r="AR194" i="17" s="1"/>
  <c r="BA143" i="17"/>
  <c r="BA194" i="17" s="1"/>
  <c r="AX143" i="17"/>
  <c r="AX194" i="17" s="1"/>
  <c r="AT143" i="17"/>
  <c r="AT194" i="17" s="1"/>
  <c r="AY143" i="17"/>
  <c r="AY194" i="17" s="1"/>
  <c r="BB143" i="17"/>
  <c r="BB194" i="17" s="1"/>
  <c r="AK155" i="19"/>
  <c r="Z148" i="19"/>
  <c r="R148" i="19"/>
  <c r="AT144" i="17"/>
  <c r="AT195" i="17" s="1"/>
  <c r="BB144" i="17"/>
  <c r="BB195" i="17" s="1"/>
  <c r="AU144" i="17"/>
  <c r="AU195" i="17" s="1"/>
  <c r="BC144" i="17"/>
  <c r="BC195" i="17" s="1"/>
  <c r="AR144" i="17"/>
  <c r="AR195" i="17" s="1"/>
  <c r="AV144" i="17"/>
  <c r="AV195" i="17" s="1"/>
  <c r="AZ144" i="17"/>
  <c r="AZ195" i="17" s="1"/>
  <c r="AY144" i="17"/>
  <c r="AY195" i="17" s="1"/>
  <c r="AS144" i="17"/>
  <c r="AS195" i="17" s="1"/>
  <c r="AW144" i="17"/>
  <c r="AW195" i="17" s="1"/>
  <c r="BA144" i="17"/>
  <c r="BA195" i="17" s="1"/>
  <c r="AX144" i="17"/>
  <c r="AX195" i="17" s="1"/>
  <c r="U149" i="19"/>
  <c r="S149" i="19"/>
  <c r="AC153" i="19"/>
  <c r="Z150" i="19"/>
  <c r="S150" i="19"/>
  <c r="Y146" i="19"/>
  <c r="Y230" i="19" s="1"/>
  <c r="Y143" i="19"/>
  <c r="AQ152" i="19"/>
  <c r="AM152" i="19"/>
  <c r="AB147" i="19"/>
  <c r="AI147" i="19"/>
  <c r="AR221" i="18"/>
  <c r="AR154" i="18"/>
  <c r="AR178" i="18" s="1"/>
  <c r="AR180" i="18" s="1"/>
  <c r="AR242" i="18" s="1"/>
  <c r="AR245" i="18" s="1"/>
  <c r="AO154" i="19"/>
  <c r="AL154" i="19"/>
  <c r="R147" i="19"/>
  <c r="AA218" i="19"/>
  <c r="AA277" i="19" s="1"/>
  <c r="Q218" i="19"/>
  <c r="Q277" i="19" s="1"/>
  <c r="P218" i="19"/>
  <c r="P277" i="19" s="1"/>
  <c r="S218" i="19"/>
  <c r="S277" i="19" s="1"/>
  <c r="R218" i="19"/>
  <c r="R277" i="19" s="1"/>
  <c r="X218" i="19"/>
  <c r="X277" i="19" s="1"/>
  <c r="W218" i="19"/>
  <c r="W277" i="19" s="1"/>
  <c r="T218" i="19"/>
  <c r="T277" i="19" s="1"/>
  <c r="V218" i="19"/>
  <c r="V277" i="19" s="1"/>
  <c r="U218" i="19"/>
  <c r="U277" i="19" s="1"/>
  <c r="Y218" i="19"/>
  <c r="Y277" i="19" s="1"/>
  <c r="Z218" i="19"/>
  <c r="Z277" i="19" s="1"/>
  <c r="AD149" i="19"/>
  <c r="AC149" i="19"/>
  <c r="AE154" i="19"/>
  <c r="AG157" i="19"/>
  <c r="AF157" i="19"/>
  <c r="AD146" i="19"/>
  <c r="AD230" i="19" s="1"/>
  <c r="AD143" i="19"/>
  <c r="Z146" i="19"/>
  <c r="Z230" i="19" s="1"/>
  <c r="Z143" i="19"/>
  <c r="AM150" i="19"/>
  <c r="AH150" i="19"/>
  <c r="AM153" i="19"/>
  <c r="AX149" i="17"/>
  <c r="AX200" i="17" s="1"/>
  <c r="BF149" i="17"/>
  <c r="BF200" i="17" s="1"/>
  <c r="BA149" i="17"/>
  <c r="BA200" i="17" s="1"/>
  <c r="AY149" i="17"/>
  <c r="AY200" i="17" s="1"/>
  <c r="BB149" i="17"/>
  <c r="BB200" i="17" s="1"/>
  <c r="BG149" i="17"/>
  <c r="BG200" i="17" s="1"/>
  <c r="AZ149" i="17"/>
  <c r="AZ200" i="17" s="1"/>
  <c r="BC149" i="17"/>
  <c r="BC200" i="17" s="1"/>
  <c r="BD149" i="17"/>
  <c r="BD200" i="17" s="1"/>
  <c r="BH149" i="17"/>
  <c r="BH200" i="17" s="1"/>
  <c r="AW149" i="17"/>
  <c r="AW200" i="17" s="1"/>
  <c r="BE149" i="17"/>
  <c r="BE200" i="17" s="1"/>
  <c r="AH155" i="19"/>
  <c r="AD148" i="19"/>
  <c r="W152" i="19"/>
  <c r="U152" i="19"/>
  <c r="AJ151" i="19"/>
  <c r="AG151" i="19"/>
  <c r="U151" i="19"/>
  <c r="AH156" i="19"/>
  <c r="AP155" i="19"/>
  <c r="W148" i="19"/>
  <c r="S148" i="19"/>
  <c r="Z149" i="19"/>
  <c r="X149" i="19"/>
  <c r="AF153" i="19"/>
  <c r="V150" i="19"/>
  <c r="AA150" i="19"/>
  <c r="P146" i="19"/>
  <c r="P230" i="19" s="1"/>
  <c r="P143" i="19"/>
  <c r="AI152" i="19"/>
  <c r="AO152" i="19"/>
  <c r="AC147" i="19"/>
  <c r="AT221" i="18"/>
  <c r="AT154" i="18"/>
  <c r="AT178" i="18" s="1"/>
  <c r="AT180" i="18" s="1"/>
  <c r="AT242" i="18" s="1"/>
  <c r="AT245" i="18" s="1"/>
  <c r="AM221" i="18"/>
  <c r="AM154" i="18"/>
  <c r="AM178" i="18" s="1"/>
  <c r="AM180" i="18" s="1"/>
  <c r="AM242" i="18" s="1"/>
  <c r="AM245" i="18" s="1"/>
  <c r="AP154" i="19"/>
  <c r="AQ154" i="19"/>
  <c r="U147" i="19"/>
  <c r="BD154" i="15"/>
  <c r="BD157" i="15" s="1"/>
  <c r="BD11" i="21"/>
  <c r="BD8" i="23"/>
  <c r="BD12" i="25" s="1"/>
  <c r="BD25" i="25" s="1"/>
  <c r="BD99" i="15"/>
  <c r="AN149" i="19"/>
  <c r="AF149" i="19"/>
  <c r="X154" i="19"/>
  <c r="AA157" i="19"/>
  <c r="AI157" i="19"/>
  <c r="AI146" i="19"/>
  <c r="AI230" i="19" s="1"/>
  <c r="AI143" i="19"/>
  <c r="AA146" i="19"/>
  <c r="AA230" i="19" s="1"/>
  <c r="AA143" i="19"/>
  <c r="AD150" i="19"/>
  <c r="AQ153" i="19"/>
  <c r="AD155" i="19"/>
  <c r="AE148" i="19"/>
  <c r="V152" i="19"/>
  <c r="Z152" i="19"/>
  <c r="AU141" i="17"/>
  <c r="AU192" i="17" s="1"/>
  <c r="AQ141" i="17"/>
  <c r="AQ192" i="17" s="1"/>
  <c r="AX141" i="17"/>
  <c r="AX192" i="17" s="1"/>
  <c r="AY141" i="17"/>
  <c r="AY192" i="17" s="1"/>
  <c r="AV141" i="17"/>
  <c r="AV192" i="17" s="1"/>
  <c r="AP141" i="17"/>
  <c r="AP192" i="17" s="1"/>
  <c r="AW141" i="17"/>
  <c r="AW192" i="17" s="1"/>
  <c r="AZ141" i="17"/>
  <c r="AZ192" i="17" s="1"/>
  <c r="AT141" i="17"/>
  <c r="AT192" i="17" s="1"/>
  <c r="AO141" i="17"/>
  <c r="AO192" i="17" s="1"/>
  <c r="AR141" i="17"/>
  <c r="AR192" i="17" s="1"/>
  <c r="AS141" i="17"/>
  <c r="AS192" i="17" s="1"/>
  <c r="AM151" i="19"/>
  <c r="AI151" i="19"/>
  <c r="AZ145" i="17"/>
  <c r="AZ196" i="17" s="1"/>
  <c r="BA145" i="17"/>
  <c r="BA196" i="17" s="1"/>
  <c r="AY145" i="17"/>
  <c r="AY196" i="17" s="1"/>
  <c r="BD145" i="17"/>
  <c r="BD196" i="17" s="1"/>
  <c r="AX145" i="17"/>
  <c r="AX196" i="17" s="1"/>
  <c r="AU145" i="17"/>
  <c r="AU196" i="17" s="1"/>
  <c r="AS145" i="17"/>
  <c r="AS196" i="17" s="1"/>
  <c r="AT145" i="17"/>
  <c r="AT196" i="17" s="1"/>
  <c r="AW145" i="17"/>
  <c r="AW196" i="17" s="1"/>
  <c r="BB145" i="17"/>
  <c r="BB196" i="17" s="1"/>
  <c r="AV145" i="17"/>
  <c r="AV196" i="17" s="1"/>
  <c r="BC145" i="17"/>
  <c r="BC196" i="17" s="1"/>
  <c r="Z151" i="19"/>
  <c r="Y156" i="19"/>
  <c r="AR155" i="19"/>
  <c r="T148" i="19"/>
  <c r="V148" i="19"/>
  <c r="AB149" i="19"/>
  <c r="AP101" i="17"/>
  <c r="AP189" i="18" s="1"/>
  <c r="AP188" i="18"/>
  <c r="W153" i="19"/>
  <c r="U153" i="19"/>
  <c r="R150" i="19"/>
  <c r="U146" i="19"/>
  <c r="U143" i="19"/>
  <c r="O146" i="19"/>
  <c r="O230" i="19" s="1"/>
  <c r="O143" i="19"/>
  <c r="AL152" i="19"/>
  <c r="AK147" i="19"/>
  <c r="AO221" i="18"/>
  <c r="AO154" i="18"/>
  <c r="AO178" i="18" s="1"/>
  <c r="AO180" i="18" s="1"/>
  <c r="AO242" i="18" s="1"/>
  <c r="AO245" i="18" s="1"/>
  <c r="AQ221" i="18"/>
  <c r="AQ154" i="18"/>
  <c r="AQ178" i="18" s="1"/>
  <c r="AQ180" i="18" s="1"/>
  <c r="AQ242" i="18" s="1"/>
  <c r="AQ245" i="18" s="1"/>
  <c r="AR154" i="19"/>
  <c r="Y147" i="19"/>
  <c r="AI149" i="19"/>
  <c r="AG154" i="19"/>
  <c r="AJ157" i="19"/>
  <c r="AK146" i="19"/>
  <c r="AK230" i="19" s="1"/>
  <c r="AK143" i="19"/>
  <c r="AE146" i="19"/>
  <c r="AE230" i="19" s="1"/>
  <c r="AE143" i="19"/>
  <c r="AF150" i="19"/>
  <c r="AG153" i="19"/>
  <c r="AL153" i="19"/>
  <c r="AV139" i="17"/>
  <c r="AV190" i="17" s="1"/>
  <c r="AR139" i="17"/>
  <c r="AR190" i="17" s="1"/>
  <c r="AP139" i="17"/>
  <c r="AP190" i="17" s="1"/>
  <c r="AU139" i="17"/>
  <c r="AU190" i="17" s="1"/>
  <c r="AS139" i="17"/>
  <c r="AS190" i="17" s="1"/>
  <c r="AT139" i="17"/>
  <c r="AT190" i="17" s="1"/>
  <c r="AM139" i="17"/>
  <c r="AM190" i="17" s="1"/>
  <c r="AO139" i="17"/>
  <c r="AO190" i="17" s="1"/>
  <c r="AW139" i="17"/>
  <c r="AW190" i="17" s="1"/>
  <c r="AX139" i="17"/>
  <c r="AX190" i="17" s="1"/>
  <c r="AN139" i="17"/>
  <c r="AN190" i="17" s="1"/>
  <c r="AQ139" i="17"/>
  <c r="AQ190" i="17" s="1"/>
  <c r="Z155" i="19"/>
  <c r="Y216" i="19"/>
  <c r="P216" i="19"/>
  <c r="O216" i="19"/>
  <c r="O275" i="19" s="1"/>
  <c r="R216" i="19"/>
  <c r="W216" i="19"/>
  <c r="S216" i="19"/>
  <c r="Q216" i="19"/>
  <c r="T216" i="19"/>
  <c r="X216" i="19"/>
  <c r="V216" i="19"/>
  <c r="N216" i="19"/>
  <c r="N261" i="19" s="1"/>
  <c r="N268" i="19" s="1"/>
  <c r="U216" i="19"/>
  <c r="AI148" i="19"/>
  <c r="Y152" i="19"/>
  <c r="AD152" i="19"/>
  <c r="AH151" i="19"/>
  <c r="AN151" i="19"/>
  <c r="AB151" i="19"/>
  <c r="Z156" i="19"/>
  <c r="AJ155" i="19"/>
  <c r="AT155" i="19"/>
  <c r="AA148" i="19"/>
  <c r="AQ138" i="17"/>
  <c r="AV138" i="17"/>
  <c r="AR138" i="17"/>
  <c r="AO138" i="17"/>
  <c r="AS138" i="17"/>
  <c r="AW138" i="17"/>
  <c r="AM138" i="17"/>
  <c r="AP138" i="17"/>
  <c r="AT138" i="17"/>
  <c r="AL138" i="17"/>
  <c r="AU138" i="17"/>
  <c r="AN138" i="17"/>
  <c r="R149" i="19"/>
  <c r="AU101" i="17"/>
  <c r="AU189" i="18" s="1"/>
  <c r="AU188" i="18"/>
  <c r="AA153" i="19"/>
  <c r="X153" i="19"/>
  <c r="AC150" i="19"/>
  <c r="T146" i="19"/>
  <c r="T230" i="19" s="1"/>
  <c r="T143" i="19"/>
  <c r="W146" i="19"/>
  <c r="W230" i="19" s="1"/>
  <c r="W143" i="19"/>
  <c r="AK152" i="19"/>
  <c r="AH147" i="19"/>
  <c r="AW148" i="17"/>
  <c r="AW199" i="17" s="1"/>
  <c r="BB148" i="17"/>
  <c r="BB199" i="17" s="1"/>
  <c r="BE148" i="17"/>
  <c r="BE199" i="17" s="1"/>
  <c r="BC148" i="17"/>
  <c r="BC199" i="17" s="1"/>
  <c r="AX148" i="17"/>
  <c r="AX199" i="17" s="1"/>
  <c r="AV148" i="17"/>
  <c r="AV199" i="17" s="1"/>
  <c r="BF148" i="17"/>
  <c r="BF199" i="17" s="1"/>
  <c r="BD148" i="17"/>
  <c r="BD199" i="17" s="1"/>
  <c r="AY148" i="17"/>
  <c r="AY199" i="17" s="1"/>
  <c r="BG148" i="17"/>
  <c r="BG199" i="17" s="1"/>
  <c r="AZ148" i="17"/>
  <c r="AZ199" i="17" s="1"/>
  <c r="BA148" i="17"/>
  <c r="BA199" i="17" s="1"/>
  <c r="AP221" i="18"/>
  <c r="AP154" i="18"/>
  <c r="AP178" i="18" s="1"/>
  <c r="AP180" i="18" s="1"/>
  <c r="AP242" i="18" s="1"/>
  <c r="AP245" i="18" s="1"/>
  <c r="AS221" i="18"/>
  <c r="AS154" i="18"/>
  <c r="AS178" i="18" s="1"/>
  <c r="AS180" i="18" s="1"/>
  <c r="AS242" i="18" s="1"/>
  <c r="AS245" i="18" s="1"/>
  <c r="AN154" i="19"/>
  <c r="Q147" i="19"/>
  <c r="AQ224" i="19"/>
  <c r="AQ283" i="19" s="1"/>
  <c r="AJ224" i="19"/>
  <c r="AJ283" i="19" s="1"/>
  <c r="AR224" i="19"/>
  <c r="AR283" i="19" s="1"/>
  <c r="AN224" i="19"/>
  <c r="AN283" i="19" s="1"/>
  <c r="AK224" i="19"/>
  <c r="AK283" i="19" s="1"/>
  <c r="AO224" i="19"/>
  <c r="AO283" i="19" s="1"/>
  <c r="AS224" i="19"/>
  <c r="AS283" i="19" s="1"/>
  <c r="AH224" i="19"/>
  <c r="AH283" i="19" s="1"/>
  <c r="AL224" i="19"/>
  <c r="AL283" i="19" s="1"/>
  <c r="AI224" i="19"/>
  <c r="AI283" i="19" s="1"/>
  <c r="AP224" i="19"/>
  <c r="AP283" i="19" s="1"/>
  <c r="AM224" i="19"/>
  <c r="AM283" i="19" s="1"/>
  <c r="AL149" i="19"/>
  <c r="AW101" i="17"/>
  <c r="AW189" i="18" s="1"/>
  <c r="AW188" i="18"/>
  <c r="AF154" i="19"/>
  <c r="AX140" i="17"/>
  <c r="AX191" i="17" s="1"/>
  <c r="AP140" i="17"/>
  <c r="AP191" i="17" s="1"/>
  <c r="AU140" i="17"/>
  <c r="AU191" i="17" s="1"/>
  <c r="AQ140" i="17"/>
  <c r="AQ191" i="17" s="1"/>
  <c r="AW140" i="17"/>
  <c r="AW191" i="17" s="1"/>
  <c r="AR140" i="17"/>
  <c r="AR191" i="17" s="1"/>
  <c r="AN140" i="17"/>
  <c r="AN191" i="17" s="1"/>
  <c r="AT140" i="17"/>
  <c r="AT191" i="17" s="1"/>
  <c r="AV140" i="17"/>
  <c r="AV191" i="17" s="1"/>
  <c r="AS140" i="17"/>
  <c r="AS191" i="17" s="1"/>
  <c r="AO140" i="17"/>
  <c r="AO191" i="17" s="1"/>
  <c r="AY140" i="17"/>
  <c r="AY191" i="17" s="1"/>
  <c r="Z157" i="19"/>
  <c r="AQ101" i="17"/>
  <c r="AQ189" i="18" s="1"/>
  <c r="AQ188" i="18"/>
  <c r="AB146" i="19"/>
  <c r="AB143" i="19"/>
  <c r="AG146" i="19"/>
  <c r="AG230" i="19" s="1"/>
  <c r="AG143" i="19"/>
  <c r="AK150" i="19"/>
  <c r="AH153" i="19"/>
  <c r="AI153" i="19"/>
  <c r="AG155" i="19"/>
  <c r="Y234" i="18"/>
  <c r="Y243" i="18" s="1"/>
  <c r="Y246" i="18" s="1"/>
  <c r="Y198" i="19" s="1"/>
  <c r="Y200" i="19" s="1"/>
  <c r="AC148" i="19"/>
  <c r="AF148" i="19"/>
  <c r="AB152" i="19"/>
  <c r="AE151" i="19"/>
  <c r="W151" i="19"/>
  <c r="Y151" i="19"/>
  <c r="AB156" i="19"/>
  <c r="AE156" i="19"/>
  <c r="AL155" i="19"/>
  <c r="AI155" i="19"/>
  <c r="U148" i="19"/>
  <c r="BE180" i="15"/>
  <c r="BF180" i="15"/>
  <c r="BG180" i="15"/>
  <c r="BH180" i="15"/>
  <c r="BI180" i="15"/>
  <c r="T149" i="19"/>
  <c r="AD153" i="19"/>
  <c r="AB153" i="19"/>
  <c r="Y150" i="19"/>
  <c r="V146" i="19"/>
  <c r="V230" i="19" s="1"/>
  <c r="V143" i="19"/>
  <c r="X146" i="19"/>
  <c r="X230" i="19" s="1"/>
  <c r="X143" i="19"/>
  <c r="AP152" i="19"/>
  <c r="AJ147" i="19"/>
  <c r="AL154" i="18"/>
  <c r="AL178" i="18" s="1"/>
  <c r="AL180" i="18" s="1"/>
  <c r="AL242" i="18" s="1"/>
  <c r="AL245" i="18" s="1"/>
  <c r="AL221" i="18"/>
  <c r="AW221" i="18"/>
  <c r="AW154" i="18"/>
  <c r="AW178" i="18" s="1"/>
  <c r="AW180" i="18" s="1"/>
  <c r="AW242" i="18" s="1"/>
  <c r="AW245" i="18" s="1"/>
  <c r="AJ154" i="19"/>
  <c r="S147" i="19"/>
  <c r="X147" i="19"/>
  <c r="AM225" i="19"/>
  <c r="AM284" i="19" s="1"/>
  <c r="AO225" i="19"/>
  <c r="AO284" i="19" s="1"/>
  <c r="AT225" i="19"/>
  <c r="AT284" i="19" s="1"/>
  <c r="AP225" i="19"/>
  <c r="AP284" i="19" s="1"/>
  <c r="AL225" i="19"/>
  <c r="AL284" i="19" s="1"/>
  <c r="AI225" i="19"/>
  <c r="AI284" i="19" s="1"/>
  <c r="AK225" i="19"/>
  <c r="AK284" i="19" s="1"/>
  <c r="AN225" i="19"/>
  <c r="AN284" i="19" s="1"/>
  <c r="AJ225" i="19"/>
  <c r="AJ284" i="19" s="1"/>
  <c r="AR225" i="19"/>
  <c r="AR284" i="19" s="1"/>
  <c r="AQ225" i="19"/>
  <c r="AQ284" i="19" s="1"/>
  <c r="AS225" i="19"/>
  <c r="AS284" i="19" s="1"/>
  <c r="AG149" i="19"/>
  <c r="Z154" i="19"/>
  <c r="Y154" i="19"/>
  <c r="AO104" i="17"/>
  <c r="AO157" i="17" s="1"/>
  <c r="AO159" i="17" s="1"/>
  <c r="AC157" i="19"/>
  <c r="Y203" i="17"/>
  <c r="Y212" i="17" s="1"/>
  <c r="Y215" i="17" s="1"/>
  <c r="Y23" i="23" s="1"/>
  <c r="X203" i="17"/>
  <c r="X212" i="17" s="1"/>
  <c r="X215" i="17" s="1"/>
  <c r="X23" i="23" s="1"/>
  <c r="AC146" i="19"/>
  <c r="AC230" i="19" s="1"/>
  <c r="AC143" i="19"/>
  <c r="AJ150" i="19"/>
  <c r="AO153" i="19"/>
  <c r="AK153" i="19"/>
  <c r="AC155" i="19"/>
  <c r="Y155" i="19"/>
  <c r="X234" i="18"/>
  <c r="X243" i="18" s="1"/>
  <c r="X246" i="18" s="1"/>
  <c r="X198" i="19" s="1"/>
  <c r="X200" i="19" s="1"/>
  <c r="AK148" i="19"/>
  <c r="AG148" i="19"/>
  <c r="X152" i="19"/>
  <c r="AL151" i="19"/>
  <c r="S151" i="19"/>
  <c r="T151" i="19"/>
  <c r="AC156" i="19"/>
  <c r="AG156" i="19"/>
  <c r="AO155" i="19"/>
  <c r="AN155" i="19"/>
  <c r="Y148" i="19"/>
  <c r="BA142" i="17"/>
  <c r="BA193" i="17" s="1"/>
  <c r="AQ142" i="17"/>
  <c r="AQ193" i="17" s="1"/>
  <c r="AY142" i="17"/>
  <c r="AY193" i="17" s="1"/>
  <c r="AR142" i="17"/>
  <c r="AR193" i="17" s="1"/>
  <c r="AW142" i="17"/>
  <c r="AW193" i="17" s="1"/>
  <c r="AZ142" i="17"/>
  <c r="AZ193" i="17" s="1"/>
  <c r="AV142" i="17"/>
  <c r="AV193" i="17" s="1"/>
  <c r="AS142" i="17"/>
  <c r="AS193" i="17" s="1"/>
  <c r="AP142" i="17"/>
  <c r="AP193" i="17" s="1"/>
  <c r="AT142" i="17"/>
  <c r="AT193" i="17" s="1"/>
  <c r="AX142" i="17"/>
  <c r="AX193" i="17" s="1"/>
  <c r="AU142" i="17"/>
  <c r="AU193" i="17" s="1"/>
  <c r="BE134" i="15"/>
  <c r="BE194" i="15" s="1"/>
  <c r="BF134" i="15"/>
  <c r="BF194" i="15" s="1"/>
  <c r="BG134" i="15"/>
  <c r="BG194" i="15" s="1"/>
  <c r="BH134" i="15"/>
  <c r="BH194" i="15" s="1"/>
  <c r="BI134" i="15"/>
  <c r="BI194" i="15" s="1"/>
  <c r="Y149" i="19"/>
  <c r="Z153" i="19"/>
  <c r="AE153" i="19"/>
  <c r="U150" i="19"/>
  <c r="S146" i="19"/>
  <c r="S230" i="19" s="1"/>
  <c r="S143" i="19"/>
  <c r="Q146" i="19"/>
  <c r="Q230" i="19" s="1"/>
  <c r="Q143" i="19"/>
  <c r="AH152" i="19"/>
  <c r="AL147" i="19"/>
  <c r="AG147" i="19"/>
  <c r="AV221" i="18"/>
  <c r="AV154" i="18"/>
  <c r="AV178" i="18" s="1"/>
  <c r="AV180" i="18" s="1"/>
  <c r="AV242" i="18" s="1"/>
  <c r="AV245" i="18" s="1"/>
  <c r="AM101" i="17"/>
  <c r="AM189" i="18" s="1"/>
  <c r="AM188" i="18"/>
  <c r="AM154" i="19"/>
  <c r="O147" i="19"/>
  <c r="P147" i="19"/>
  <c r="AJ149" i="19"/>
  <c r="AD154" i="19"/>
  <c r="V154" i="19"/>
  <c r="BB43" i="14"/>
  <c r="BB45" i="14" s="1"/>
  <c r="BB50" i="14" s="1"/>
  <c r="BB52" i="14" s="1"/>
  <c r="BB57" i="14" s="1"/>
  <c r="BB13" i="14"/>
  <c r="BB15" i="14" s="1"/>
  <c r="BB26" i="14" s="1"/>
  <c r="BB28" i="14" s="1"/>
  <c r="AT26" i="25"/>
  <c r="AT20" i="25"/>
  <c r="AE157" i="19"/>
  <c r="AF146" i="19"/>
  <c r="AF230" i="19" s="1"/>
  <c r="AF143" i="19"/>
  <c r="AE150" i="19"/>
  <c r="AG150" i="19"/>
  <c r="AR153" i="19"/>
  <c r="AP153" i="19"/>
  <c r="W155" i="19"/>
  <c r="AA155" i="19"/>
  <c r="AN101" i="17"/>
  <c r="AN189" i="18" s="1"/>
  <c r="AN188" i="18"/>
  <c r="AJ148" i="19"/>
  <c r="AL148" i="19"/>
  <c r="T152" i="19"/>
  <c r="AK151" i="19"/>
  <c r="AD151" i="19"/>
  <c r="X151" i="19"/>
  <c r="AI156" i="19"/>
  <c r="AD156" i="19"/>
  <c r="AS155" i="19"/>
  <c r="AQ155" i="19"/>
  <c r="P148" i="19"/>
  <c r="W149" i="19"/>
  <c r="AA149" i="19"/>
  <c r="V153" i="19"/>
  <c r="T150" i="19"/>
  <c r="X150" i="19"/>
  <c r="N146" i="19"/>
  <c r="N230" i="19" s="1"/>
  <c r="N143" i="19"/>
  <c r="AJ152" i="19"/>
  <c r="AG152" i="19"/>
  <c r="AE147" i="19"/>
  <c r="AA147" i="19"/>
  <c r="AN221" i="18"/>
  <c r="AN154" i="18"/>
  <c r="AN178" i="18" s="1"/>
  <c r="AN180" i="18" s="1"/>
  <c r="AN242" i="18" s="1"/>
  <c r="AN245" i="18" s="1"/>
  <c r="AH154" i="19"/>
  <c r="AI154" i="19"/>
  <c r="Z147" i="19"/>
  <c r="T147" i="19"/>
  <c r="AE149" i="19"/>
  <c r="AK149" i="19"/>
  <c r="AA154" i="19"/>
  <c r="AB154" i="19"/>
  <c r="BA5" i="21"/>
  <c r="BA5" i="23"/>
  <c r="BA5" i="25"/>
  <c r="BA5" i="19"/>
  <c r="BA5" i="18"/>
  <c r="BA5" i="17"/>
  <c r="BA5" i="15"/>
  <c r="BA5" i="12"/>
  <c r="BA5" i="14"/>
  <c r="AZ54" i="10"/>
  <c r="AB157" i="19"/>
  <c r="AH157" i="19"/>
  <c r="BC34" i="14"/>
  <c r="BC36" i="14" s="1"/>
  <c r="BC56" i="14"/>
  <c r="BC59" i="14" s="1"/>
  <c r="BC65" i="14" s="1"/>
  <c r="BC67" i="14" s="1"/>
  <c r="BC155" i="15" s="1"/>
  <c r="AH146" i="19"/>
  <c r="AH230" i="19" s="1"/>
  <c r="AH143" i="19"/>
  <c r="AL150" i="19"/>
  <c r="AI150" i="19"/>
  <c r="AN153" i="19"/>
  <c r="AB155" i="19"/>
  <c r="X155" i="19"/>
  <c r="AM148" i="19"/>
  <c r="AH148" i="19"/>
  <c r="AE152" i="19"/>
  <c r="H73" i="27"/>
  <c r="O51" i="25" s="1"/>
  <c r="G73" i="27"/>
  <c r="N51" i="25" s="1"/>
  <c r="K73" i="27"/>
  <c r="R51" i="25" s="1"/>
  <c r="R73" i="27"/>
  <c r="Y51" i="25" s="1"/>
  <c r="Y63" i="25" s="1"/>
  <c r="N73" i="27"/>
  <c r="U51" i="25" s="1"/>
  <c r="J73" i="27"/>
  <c r="Q51" i="25" s="1"/>
  <c r="M73" i="27"/>
  <c r="T51" i="25" s="1"/>
  <c r="I73" i="27"/>
  <c r="P51" i="25" s="1"/>
  <c r="P73" i="27"/>
  <c r="W51" i="25" s="1"/>
  <c r="W63" i="25" s="1"/>
  <c r="Q73" i="27"/>
  <c r="X51" i="25" s="1"/>
  <c r="X63" i="25" s="1"/>
  <c r="O73" i="27"/>
  <c r="L73" i="27"/>
  <c r="S51" i="25" s="1"/>
  <c r="AP151" i="19"/>
  <c r="V151" i="19"/>
  <c r="AA151" i="19"/>
  <c r="AA156" i="19"/>
  <c r="AF156" i="19"/>
  <c r="AK217" i="19" l="1"/>
  <c r="AK276" i="19" s="1"/>
  <c r="AG217" i="19"/>
  <c r="AG276" i="19" s="1"/>
  <c r="AI217" i="19"/>
  <c r="AI276" i="19" s="1"/>
  <c r="AL217" i="19"/>
  <c r="AL276" i="19" s="1"/>
  <c r="Y84" i="25"/>
  <c r="N84" i="25"/>
  <c r="AD217" i="19"/>
  <c r="AD276" i="19" s="1"/>
  <c r="AE217" i="19"/>
  <c r="AE276" i="19" s="1"/>
  <c r="AB217" i="19"/>
  <c r="AB276" i="19" s="1"/>
  <c r="AH217" i="19"/>
  <c r="AH276" i="19" s="1"/>
  <c r="AJ217" i="19"/>
  <c r="AJ276" i="19" s="1"/>
  <c r="O57" i="25"/>
  <c r="O63" i="25"/>
  <c r="T57" i="25"/>
  <c r="T63" i="25"/>
  <c r="P57" i="25"/>
  <c r="P63" i="25"/>
  <c r="Q57" i="25"/>
  <c r="Q63" i="25"/>
  <c r="S57" i="25"/>
  <c r="S63" i="25"/>
  <c r="R57" i="25"/>
  <c r="R63" i="25"/>
  <c r="N57" i="25"/>
  <c r="N63" i="25"/>
  <c r="AL104" i="17"/>
  <c r="AL157" i="17" s="1"/>
  <c r="AL159" i="17" s="1"/>
  <c r="AO175" i="17" s="1"/>
  <c r="AL188" i="18"/>
  <c r="AL191" i="18" s="1"/>
  <c r="AW207" i="18" s="1"/>
  <c r="V51" i="25"/>
  <c r="V63" i="25" s="1"/>
  <c r="AG192" i="19"/>
  <c r="AG318" i="19" s="1"/>
  <c r="AG325" i="19" s="1"/>
  <c r="AG20" i="23" s="1"/>
  <c r="U57" i="25"/>
  <c r="U63" i="25"/>
  <c r="AJ192" i="19"/>
  <c r="AJ318" i="19" s="1"/>
  <c r="AJ325" i="19" s="1"/>
  <c r="AJ20" i="23" s="1"/>
  <c r="AA192" i="19"/>
  <c r="AA318" i="19" s="1"/>
  <c r="AA325" i="19" s="1"/>
  <c r="AA20" i="23" s="1"/>
  <c r="AI192" i="19"/>
  <c r="AI318" i="19" s="1"/>
  <c r="AI325" i="19" s="1"/>
  <c r="AI20" i="23" s="1"/>
  <c r="AB192" i="19"/>
  <c r="AB318" i="19" s="1"/>
  <c r="AB325" i="19" s="1"/>
  <c r="AB20" i="23" s="1"/>
  <c r="AA249" i="19"/>
  <c r="AD192" i="19"/>
  <c r="AD318" i="19" s="1"/>
  <c r="AD325" i="19" s="1"/>
  <c r="AD20" i="23" s="1"/>
  <c r="AK192" i="19"/>
  <c r="AK318" i="19" s="1"/>
  <c r="AK325" i="19" s="1"/>
  <c r="AK20" i="23" s="1"/>
  <c r="AD249" i="19"/>
  <c r="AH192" i="19"/>
  <c r="AH318" i="19" s="1"/>
  <c r="AH325" i="19" s="1"/>
  <c r="AH20" i="23" s="1"/>
  <c r="AE249" i="19"/>
  <c r="AJ249" i="19"/>
  <c r="AC192" i="19"/>
  <c r="AC318" i="19" s="1"/>
  <c r="AC325" i="19" s="1"/>
  <c r="AC20" i="23" s="1"/>
  <c r="AF249" i="19"/>
  <c r="AH249" i="19"/>
  <c r="AB249" i="19"/>
  <c r="AK249" i="19"/>
  <c r="AF192" i="19"/>
  <c r="AF318" i="19" s="1"/>
  <c r="AF325" i="19" s="1"/>
  <c r="AF20" i="23" s="1"/>
  <c r="AG249" i="19"/>
  <c r="AI249" i="19"/>
  <c r="AS179" i="19"/>
  <c r="AS248" i="19" s="1"/>
  <c r="AR179" i="19"/>
  <c r="AR248" i="19" s="1"/>
  <c r="AL249" i="19"/>
  <c r="AC249" i="19"/>
  <c r="AQ179" i="19"/>
  <c r="AQ248" i="19" s="1"/>
  <c r="AL179" i="19"/>
  <c r="AL248" i="19" s="1"/>
  <c r="AP179" i="19"/>
  <c r="AP248" i="19" s="1"/>
  <c r="AE192" i="19"/>
  <c r="AE318" i="19" s="1"/>
  <c r="AE325" i="19" s="1"/>
  <c r="AE20" i="23" s="1"/>
  <c r="AW179" i="19"/>
  <c r="AW248" i="19" s="1"/>
  <c r="AO179" i="19"/>
  <c r="AO248" i="19" s="1"/>
  <c r="AT179" i="19"/>
  <c r="AT248" i="19" s="1"/>
  <c r="AV179" i="19"/>
  <c r="AV289" i="19" s="1"/>
  <c r="AN179" i="19"/>
  <c r="AN248" i="19" s="1"/>
  <c r="AU179" i="19"/>
  <c r="AU248" i="19" s="1"/>
  <c r="AM179" i="19"/>
  <c r="AM289" i="19" s="1"/>
  <c r="AP169" i="19"/>
  <c r="AQ169" i="19"/>
  <c r="AR169" i="19"/>
  <c r="AS169" i="19"/>
  <c r="AT169" i="19"/>
  <c r="AU169" i="19"/>
  <c r="AV169" i="19"/>
  <c r="AW169" i="19"/>
  <c r="AX169" i="19"/>
  <c r="AY169" i="19"/>
  <c r="AZ169" i="19"/>
  <c r="BA169" i="19"/>
  <c r="AQ170" i="19"/>
  <c r="AR170" i="19"/>
  <c r="AS170" i="19"/>
  <c r="AT170" i="19"/>
  <c r="AU170" i="19"/>
  <c r="AV170" i="19"/>
  <c r="AW170" i="19"/>
  <c r="AX170" i="19"/>
  <c r="AY170" i="19"/>
  <c r="AZ170" i="19"/>
  <c r="BA170" i="19"/>
  <c r="BB170" i="19"/>
  <c r="AO168" i="19"/>
  <c r="AP168" i="19"/>
  <c r="AQ168" i="19"/>
  <c r="AR168" i="19"/>
  <c r="AS168" i="19"/>
  <c r="AT168" i="19"/>
  <c r="AU168" i="19"/>
  <c r="AV168" i="19"/>
  <c r="AW168" i="19"/>
  <c r="AX168" i="19"/>
  <c r="AY168" i="19"/>
  <c r="AZ168" i="19"/>
  <c r="AU174" i="19"/>
  <c r="AV174" i="19"/>
  <c r="AW174" i="19"/>
  <c r="AX174" i="19"/>
  <c r="AY174" i="19"/>
  <c r="AZ174" i="19"/>
  <c r="BA174" i="19"/>
  <c r="BB174" i="19"/>
  <c r="BC174" i="19"/>
  <c r="BD174" i="19"/>
  <c r="BE174" i="19"/>
  <c r="BF174" i="19"/>
  <c r="AM166" i="19"/>
  <c r="AN166" i="19"/>
  <c r="AO166" i="19"/>
  <c r="AP166" i="19"/>
  <c r="AQ166" i="19"/>
  <c r="AR166" i="19"/>
  <c r="AS166" i="19"/>
  <c r="AT166" i="19"/>
  <c r="AU166" i="19"/>
  <c r="AV166" i="19"/>
  <c r="AW166" i="19"/>
  <c r="AX166" i="19"/>
  <c r="AS173" i="18"/>
  <c r="AS101" i="19"/>
  <c r="AN167" i="19"/>
  <c r="AO167" i="19"/>
  <c r="AP167" i="19"/>
  <c r="AQ167" i="19"/>
  <c r="AR167" i="19"/>
  <c r="AS167" i="19"/>
  <c r="AT167" i="19"/>
  <c r="AU167" i="19"/>
  <c r="AV167" i="19"/>
  <c r="AW167" i="19"/>
  <c r="AX167" i="19"/>
  <c r="AY167" i="19"/>
  <c r="AT173" i="19"/>
  <c r="AU173" i="19"/>
  <c r="AV173" i="19"/>
  <c r="AW173" i="19"/>
  <c r="AX173" i="19"/>
  <c r="AY173" i="19"/>
  <c r="AZ173" i="19"/>
  <c r="BA173" i="19"/>
  <c r="BB173" i="19"/>
  <c r="BC173" i="19"/>
  <c r="BD173" i="19"/>
  <c r="BE173" i="19"/>
  <c r="AV175" i="19"/>
  <c r="AW175" i="19"/>
  <c r="AX175" i="19"/>
  <c r="AY175" i="19"/>
  <c r="AZ175" i="19"/>
  <c r="BA175" i="19"/>
  <c r="BB175" i="19"/>
  <c r="BC175" i="19"/>
  <c r="BD175" i="19"/>
  <c r="BE175" i="19"/>
  <c r="BF175" i="19"/>
  <c r="BG175" i="19"/>
  <c r="AR171" i="19"/>
  <c r="AS171" i="19"/>
  <c r="AT171" i="19"/>
  <c r="AU171" i="19"/>
  <c r="AV171" i="19"/>
  <c r="AW171" i="19"/>
  <c r="AX171" i="19"/>
  <c r="AY171" i="19"/>
  <c r="AZ171" i="19"/>
  <c r="BA171" i="19"/>
  <c r="BB171" i="19"/>
  <c r="BC171" i="19"/>
  <c r="AW176" i="19"/>
  <c r="AX176" i="19"/>
  <c r="AY176" i="19"/>
  <c r="AZ176" i="19"/>
  <c r="BA176" i="19"/>
  <c r="BB176" i="19"/>
  <c r="BC176" i="19"/>
  <c r="BD176" i="19"/>
  <c r="BE176" i="19"/>
  <c r="BF176" i="19"/>
  <c r="BG176" i="19"/>
  <c r="BH176" i="19"/>
  <c r="AP173" i="18"/>
  <c r="AQ173" i="18"/>
  <c r="AO173" i="18"/>
  <c r="AU173" i="18"/>
  <c r="AM173" i="18"/>
  <c r="AN173" i="18"/>
  <c r="AT173" i="18"/>
  <c r="AV173" i="18"/>
  <c r="AR173" i="18"/>
  <c r="AW173" i="18"/>
  <c r="AL173" i="18"/>
  <c r="BA34" i="18"/>
  <c r="BA164" i="18" s="1"/>
  <c r="BA32" i="18"/>
  <c r="BA162" i="18" s="1"/>
  <c r="BA29" i="18"/>
  <c r="BA159" i="18" s="1"/>
  <c r="BA36" i="18"/>
  <c r="BA166" i="18" s="1"/>
  <c r="BA35" i="18"/>
  <c r="BA165" i="18" s="1"/>
  <c r="BA38" i="18"/>
  <c r="BA168" i="18" s="1"/>
  <c r="BA30" i="18"/>
  <c r="BA160" i="18" s="1"/>
  <c r="BA37" i="18"/>
  <c r="BA167" i="18" s="1"/>
  <c r="BA31" i="18"/>
  <c r="BA161" i="18" s="1"/>
  <c r="BA27" i="18"/>
  <c r="BA157" i="18" s="1"/>
  <c r="BA33" i="18"/>
  <c r="BA163" i="18" s="1"/>
  <c r="BA28" i="18"/>
  <c r="BA158" i="18" s="1"/>
  <c r="AC221" i="19"/>
  <c r="AC280" i="19" s="1"/>
  <c r="W221" i="19"/>
  <c r="W280" i="19" s="1"/>
  <c r="AD221" i="19"/>
  <c r="AD280" i="19" s="1"/>
  <c r="V221" i="19"/>
  <c r="V280" i="19" s="1"/>
  <c r="Y221" i="19"/>
  <c r="Y280" i="19" s="1"/>
  <c r="T221" i="19"/>
  <c r="T280" i="19" s="1"/>
  <c r="S221" i="19"/>
  <c r="S280" i="19" s="1"/>
  <c r="AA221" i="19"/>
  <c r="AA280" i="19" s="1"/>
  <c r="U221" i="19"/>
  <c r="U280" i="19" s="1"/>
  <c r="Z221" i="19"/>
  <c r="Z280" i="19" s="1"/>
  <c r="X221" i="19"/>
  <c r="X280" i="19" s="1"/>
  <c r="AS104" i="17"/>
  <c r="AS157" i="17" s="1"/>
  <c r="AS159" i="17" s="1"/>
  <c r="BC182" i="17" s="1"/>
  <c r="AE218" i="19"/>
  <c r="AE277" i="19" s="1"/>
  <c r="AD216" i="19"/>
  <c r="AI216" i="19"/>
  <c r="AK216" i="19"/>
  <c r="AK275" i="19" s="1"/>
  <c r="AH218" i="19"/>
  <c r="AH277" i="19" s="1"/>
  <c r="AI218" i="19"/>
  <c r="AI277" i="19" s="1"/>
  <c r="AC218" i="19"/>
  <c r="AC277" i="19" s="1"/>
  <c r="AV104" i="17"/>
  <c r="AV157" i="17" s="1"/>
  <c r="AV159" i="17" s="1"/>
  <c r="AV185" i="17" s="1"/>
  <c r="AM218" i="19"/>
  <c r="AM277" i="19" s="1"/>
  <c r="AG218" i="19"/>
  <c r="AG277" i="19" s="1"/>
  <c r="AF218" i="19"/>
  <c r="AF277" i="19" s="1"/>
  <c r="AB218" i="19"/>
  <c r="AB277" i="19" s="1"/>
  <c r="AL218" i="19"/>
  <c r="AL277" i="19" s="1"/>
  <c r="AJ218" i="19"/>
  <c r="AJ277" i="19" s="1"/>
  <c r="AD218" i="19"/>
  <c r="AD277" i="19" s="1"/>
  <c r="AH223" i="19"/>
  <c r="AH282" i="19" s="1"/>
  <c r="AJ223" i="19"/>
  <c r="AJ282" i="19" s="1"/>
  <c r="AP223" i="19"/>
  <c r="AP282" i="19" s="1"/>
  <c r="AM223" i="19"/>
  <c r="AM282" i="19" s="1"/>
  <c r="AQ223" i="19"/>
  <c r="AQ282" i="19" s="1"/>
  <c r="AO223" i="19"/>
  <c r="AO282" i="19" s="1"/>
  <c r="AL223" i="19"/>
  <c r="AL282" i="19" s="1"/>
  <c r="AG223" i="19"/>
  <c r="AG282" i="19" s="1"/>
  <c r="AI223" i="19"/>
  <c r="AI282" i="19" s="1"/>
  <c r="AR223" i="19"/>
  <c r="AR282" i="19" s="1"/>
  <c r="AK223" i="19"/>
  <c r="AK282" i="19" s="1"/>
  <c r="AO221" i="19"/>
  <c r="AO280" i="19" s="1"/>
  <c r="Y225" i="19"/>
  <c r="Y284" i="19" s="1"/>
  <c r="X225" i="19"/>
  <c r="X284" i="19" s="1"/>
  <c r="AC225" i="19"/>
  <c r="AC284" i="19" s="1"/>
  <c r="AB225" i="19"/>
  <c r="AB284" i="19" s="1"/>
  <c r="AD225" i="19"/>
  <c r="AD284" i="19" s="1"/>
  <c r="Z225" i="19"/>
  <c r="Z284" i="19" s="1"/>
  <c r="W225" i="19"/>
  <c r="W284" i="19" s="1"/>
  <c r="AA225" i="19"/>
  <c r="AA284" i="19" s="1"/>
  <c r="AH225" i="19"/>
  <c r="AH284" i="19" s="1"/>
  <c r="AF225" i="19"/>
  <c r="AF284" i="19" s="1"/>
  <c r="AG225" i="19"/>
  <c r="AG284" i="19" s="1"/>
  <c r="AE221" i="19"/>
  <c r="AE280" i="19" s="1"/>
  <c r="AM221" i="19"/>
  <c r="AM280" i="19" s="1"/>
  <c r="AF221" i="19"/>
  <c r="AF280" i="19" s="1"/>
  <c r="AL221" i="19"/>
  <c r="AL280" i="19" s="1"/>
  <c r="AH221" i="19"/>
  <c r="AH280" i="19" s="1"/>
  <c r="AG216" i="19"/>
  <c r="AC216" i="19"/>
  <c r="AC275" i="19" s="1"/>
  <c r="AB216" i="19"/>
  <c r="AE216" i="19"/>
  <c r="AF216" i="19"/>
  <c r="AH216" i="19"/>
  <c r="AJ216" i="19"/>
  <c r="AJ275" i="19" s="1"/>
  <c r="Z216" i="19"/>
  <c r="P232" i="19"/>
  <c r="AN221" i="19"/>
  <c r="AN280" i="19" s="1"/>
  <c r="AP221" i="19"/>
  <c r="AP280" i="19" s="1"/>
  <c r="AI221" i="19"/>
  <c r="AI280" i="19" s="1"/>
  <c r="X217" i="19"/>
  <c r="X276" i="19" s="1"/>
  <c r="T220" i="19"/>
  <c r="T279" i="19" s="1"/>
  <c r="AG221" i="19"/>
  <c r="AG280" i="19" s="1"/>
  <c r="AJ221" i="19"/>
  <c r="AJ280" i="19" s="1"/>
  <c r="AE219" i="19"/>
  <c r="AE278" i="19" s="1"/>
  <c r="V57" i="25"/>
  <c r="AP222" i="19"/>
  <c r="AP281" i="19" s="1"/>
  <c r="T217" i="19"/>
  <c r="T276" i="19" s="1"/>
  <c r="Y220" i="19"/>
  <c r="Y279" i="19" s="1"/>
  <c r="Y217" i="19"/>
  <c r="Y276" i="19" s="1"/>
  <c r="AA220" i="19"/>
  <c r="AA279" i="19" s="1"/>
  <c r="R217" i="19"/>
  <c r="R276" i="19" s="1"/>
  <c r="O217" i="19"/>
  <c r="O276" i="19" s="1"/>
  <c r="U217" i="19"/>
  <c r="U276" i="19" s="1"/>
  <c r="V217" i="19"/>
  <c r="V276" i="19" s="1"/>
  <c r="AT210" i="18"/>
  <c r="AX210" i="18"/>
  <c r="Z224" i="19"/>
  <c r="Z283" i="19" s="1"/>
  <c r="AN222" i="19"/>
  <c r="AN281" i="19" s="1"/>
  <c r="AG222" i="19"/>
  <c r="AG281" i="19" s="1"/>
  <c r="AO222" i="19"/>
  <c r="AO281" i="19" s="1"/>
  <c r="AI222" i="19"/>
  <c r="AI281" i="19" s="1"/>
  <c r="AQ222" i="19"/>
  <c r="AQ281" i="19" s="1"/>
  <c r="AK222" i="19"/>
  <c r="AK281" i="19" s="1"/>
  <c r="AH222" i="19"/>
  <c r="AH281" i="19" s="1"/>
  <c r="AL222" i="19"/>
  <c r="AL281" i="19" s="1"/>
  <c r="T222" i="19"/>
  <c r="T281" i="19" s="1"/>
  <c r="AJ222" i="19"/>
  <c r="AJ281" i="19" s="1"/>
  <c r="AM222" i="19"/>
  <c r="AM281" i="19" s="1"/>
  <c r="W223" i="19"/>
  <c r="W282" i="19" s="1"/>
  <c r="AB222" i="19"/>
  <c r="AB281" i="19" s="1"/>
  <c r="V222" i="19"/>
  <c r="V281" i="19" s="1"/>
  <c r="Y222" i="19"/>
  <c r="Y281" i="19" s="1"/>
  <c r="U222" i="19"/>
  <c r="U281" i="19" s="1"/>
  <c r="AA223" i="19"/>
  <c r="AA282" i="19" s="1"/>
  <c r="AD222" i="19"/>
  <c r="AD281" i="19" s="1"/>
  <c r="W222" i="19"/>
  <c r="W281" i="19" s="1"/>
  <c r="AC222" i="19"/>
  <c r="AC281" i="19" s="1"/>
  <c r="X222" i="19"/>
  <c r="X281" i="19" s="1"/>
  <c r="U223" i="19"/>
  <c r="U282" i="19" s="1"/>
  <c r="AE222" i="19"/>
  <c r="AE281" i="19" s="1"/>
  <c r="Z222" i="19"/>
  <c r="Z281" i="19" s="1"/>
  <c r="AE223" i="19"/>
  <c r="AE282" i="19" s="1"/>
  <c r="BB213" i="18"/>
  <c r="AV213" i="18"/>
  <c r="AR213" i="18"/>
  <c r="AL219" i="19"/>
  <c r="AL278" i="19" s="1"/>
  <c r="AK219" i="19"/>
  <c r="AK278" i="19" s="1"/>
  <c r="AC219" i="19"/>
  <c r="AC278" i="19" s="1"/>
  <c r="AG219" i="19"/>
  <c r="AG278" i="19" s="1"/>
  <c r="AM219" i="19"/>
  <c r="AM278" i="19" s="1"/>
  <c r="AF219" i="19"/>
  <c r="AF278" i="19" s="1"/>
  <c r="AJ219" i="19"/>
  <c r="AJ278" i="19" s="1"/>
  <c r="AD219" i="19"/>
  <c r="AD278" i="19" s="1"/>
  <c r="AH219" i="19"/>
  <c r="AH278" i="19" s="1"/>
  <c r="AN219" i="19"/>
  <c r="AN278" i="19" s="1"/>
  <c r="Q219" i="19"/>
  <c r="Q278" i="19" s="1"/>
  <c r="X219" i="19"/>
  <c r="X278" i="19" s="1"/>
  <c r="AA219" i="19"/>
  <c r="Z219" i="19"/>
  <c r="Z278" i="19" s="1"/>
  <c r="R219" i="19"/>
  <c r="R278" i="19" s="1"/>
  <c r="Y219" i="19"/>
  <c r="Y278" i="19" s="1"/>
  <c r="T219" i="19"/>
  <c r="T278" i="19" s="1"/>
  <c r="S219" i="19"/>
  <c r="S278" i="19" s="1"/>
  <c r="V219" i="19"/>
  <c r="V278" i="19" s="1"/>
  <c r="AB219" i="19"/>
  <c r="AB278" i="19" s="1"/>
  <c r="W219" i="19"/>
  <c r="W278" i="19" s="1"/>
  <c r="R220" i="19"/>
  <c r="R279" i="19" s="1"/>
  <c r="Z220" i="19"/>
  <c r="Z279" i="19" s="1"/>
  <c r="W220" i="19"/>
  <c r="W279" i="19" s="1"/>
  <c r="P217" i="19"/>
  <c r="P276" i="19" s="1"/>
  <c r="Z217" i="19"/>
  <c r="Z276" i="19" s="1"/>
  <c r="U220" i="19"/>
  <c r="U279" i="19" s="1"/>
  <c r="X220" i="19"/>
  <c r="X279" i="19" s="1"/>
  <c r="Q217" i="19"/>
  <c r="Q276" i="19" s="1"/>
  <c r="S217" i="19"/>
  <c r="S276" i="19" s="1"/>
  <c r="S220" i="19"/>
  <c r="S279" i="19" s="1"/>
  <c r="AB220" i="19"/>
  <c r="AB279" i="19" s="1"/>
  <c r="AC220" i="19"/>
  <c r="AC279" i="19" s="1"/>
  <c r="AE224" i="19"/>
  <c r="AE283" i="19" s="1"/>
  <c r="AD224" i="19"/>
  <c r="AD283" i="19" s="1"/>
  <c r="AA224" i="19"/>
  <c r="AA283" i="19" s="1"/>
  <c r="AB224" i="19"/>
  <c r="AB283" i="19" s="1"/>
  <c r="W224" i="19"/>
  <c r="W283" i="19" s="1"/>
  <c r="Y224" i="19"/>
  <c r="Y283" i="19" s="1"/>
  <c r="AF224" i="19"/>
  <c r="AF283" i="19" s="1"/>
  <c r="AG224" i="19"/>
  <c r="AG283" i="19" s="1"/>
  <c r="X224" i="19"/>
  <c r="X283" i="19" s="1"/>
  <c r="V224" i="19"/>
  <c r="V283" i="19" s="1"/>
  <c r="AV210" i="18"/>
  <c r="AU213" i="18"/>
  <c r="Y223" i="19"/>
  <c r="Y282" i="19" s="1"/>
  <c r="X223" i="19"/>
  <c r="X282" i="19" s="1"/>
  <c r="BC213" i="18"/>
  <c r="AF223" i="19"/>
  <c r="AF282" i="19" s="1"/>
  <c r="Z223" i="19"/>
  <c r="Z282" i="19" s="1"/>
  <c r="AZ213" i="18"/>
  <c r="AT213" i="18"/>
  <c r="AB223" i="19"/>
  <c r="AB282" i="19" s="1"/>
  <c r="AY213" i="18"/>
  <c r="AW213" i="18"/>
  <c r="V223" i="19"/>
  <c r="V282" i="19" s="1"/>
  <c r="BA213" i="18"/>
  <c r="AS213" i="18"/>
  <c r="AC223" i="19"/>
  <c r="AC282" i="19" s="1"/>
  <c r="AW210" i="18"/>
  <c r="AZ210" i="18"/>
  <c r="AO210" i="18"/>
  <c r="AU210" i="18"/>
  <c r="AY210" i="18"/>
  <c r="AP210" i="18"/>
  <c r="AQ210" i="18"/>
  <c r="AR210" i="18"/>
  <c r="AS210" i="18"/>
  <c r="AY214" i="18"/>
  <c r="AV214" i="18"/>
  <c r="AU214" i="18"/>
  <c r="BD214" i="18"/>
  <c r="AX214" i="18"/>
  <c r="BA214" i="18"/>
  <c r="AZ214" i="18"/>
  <c r="AS214" i="18"/>
  <c r="AW214" i="18"/>
  <c r="BB214" i="18"/>
  <c r="AT214" i="18"/>
  <c r="AJ233" i="19"/>
  <c r="AI236" i="19"/>
  <c r="AH240" i="19"/>
  <c r="AC241" i="19"/>
  <c r="AD231" i="19"/>
  <c r="AL232" i="19"/>
  <c r="AA237" i="19"/>
  <c r="AF236" i="19"/>
  <c r="AJ237" i="19"/>
  <c r="V235" i="19"/>
  <c r="AF235" i="19"/>
  <c r="AC238" i="19"/>
  <c r="AI238" i="19"/>
  <c r="AQ104" i="17"/>
  <c r="AQ157" i="17" s="1"/>
  <c r="AQ159" i="17" s="1"/>
  <c r="AY180" i="17" s="1"/>
  <c r="AF238" i="19"/>
  <c r="Z235" i="19"/>
  <c r="U231" i="19"/>
  <c r="V237" i="19"/>
  <c r="AD240" i="19"/>
  <c r="AM238" i="19"/>
  <c r="AH231" i="19"/>
  <c r="AN104" i="17"/>
  <c r="AN157" i="17" s="1"/>
  <c r="AN159" i="17" s="1"/>
  <c r="AT177" i="17" s="1"/>
  <c r="AE240" i="19"/>
  <c r="AB231" i="19"/>
  <c r="R232" i="19"/>
  <c r="AK238" i="19"/>
  <c r="W238" i="19"/>
  <c r="AG239" i="19"/>
  <c r="AM235" i="19"/>
  <c r="AM236" i="19"/>
  <c r="AN191" i="18"/>
  <c r="AP209" i="18" s="1"/>
  <c r="V238" i="19"/>
  <c r="AC239" i="19"/>
  <c r="Q231" i="19"/>
  <c r="AG238" i="19"/>
  <c r="AF233" i="19"/>
  <c r="AC235" i="19"/>
  <c r="W231" i="19"/>
  <c r="AH238" i="19"/>
  <c r="AA231" i="19"/>
  <c r="Y233" i="19"/>
  <c r="T233" i="19"/>
  <c r="AK234" i="19"/>
  <c r="AE233" i="19"/>
  <c r="X236" i="19"/>
  <c r="V236" i="19"/>
  <c r="AM237" i="19"/>
  <c r="AD233" i="19"/>
  <c r="AO238" i="19"/>
  <c r="AC236" i="19"/>
  <c r="AG240" i="19"/>
  <c r="X232" i="19"/>
  <c r="AP104" i="17"/>
  <c r="AP157" i="17" s="1"/>
  <c r="AP159" i="17" s="1"/>
  <c r="BA179" i="17" s="1"/>
  <c r="Z231" i="19"/>
  <c r="AI240" i="19"/>
  <c r="AG234" i="19"/>
  <c r="Z240" i="19"/>
  <c r="AP191" i="18"/>
  <c r="AX211" i="18" s="1"/>
  <c r="AD239" i="19"/>
  <c r="AE236" i="19"/>
  <c r="AL231" i="19"/>
  <c r="T235" i="19"/>
  <c r="AB237" i="19"/>
  <c r="AL237" i="19"/>
  <c r="AD241" i="19"/>
  <c r="AH233" i="19"/>
  <c r="AJ239" i="19"/>
  <c r="AD236" i="19"/>
  <c r="Y240" i="19"/>
  <c r="AI235" i="19"/>
  <c r="Z236" i="19"/>
  <c r="AI241" i="19"/>
  <c r="AB234" i="19"/>
  <c r="AA238" i="19"/>
  <c r="AJ236" i="19"/>
  <c r="AK235" i="19"/>
  <c r="AN239" i="19"/>
  <c r="AI233" i="19"/>
  <c r="R234" i="19"/>
  <c r="AB233" i="19"/>
  <c r="AD234" i="19"/>
  <c r="S233" i="19"/>
  <c r="AW191" i="18"/>
  <c r="AZ218" i="18" s="1"/>
  <c r="Y241" i="19"/>
  <c r="AK233" i="19"/>
  <c r="W233" i="19"/>
  <c r="T236" i="19"/>
  <c r="AA239" i="19"/>
  <c r="O231" i="19"/>
  <c r="AL235" i="19"/>
  <c r="AW104" i="17"/>
  <c r="AW157" i="17" s="1"/>
  <c r="AW159" i="17" s="1"/>
  <c r="AW186" i="17" s="1"/>
  <c r="X237" i="19"/>
  <c r="AL236" i="19"/>
  <c r="V232" i="19"/>
  <c r="X238" i="19"/>
  <c r="R231" i="19"/>
  <c r="AI231" i="19"/>
  <c r="AK239" i="19"/>
  <c r="Z233" i="19"/>
  <c r="AL238" i="19"/>
  <c r="AN234" i="19"/>
  <c r="Q233" i="19"/>
  <c r="X235" i="19"/>
  <c r="AE241" i="19"/>
  <c r="AD238" i="19"/>
  <c r="AC240" i="19"/>
  <c r="AD237" i="19"/>
  <c r="AH235" i="19"/>
  <c r="AR239" i="19"/>
  <c r="AC231" i="19"/>
  <c r="Z234" i="19"/>
  <c r="AI234" i="19"/>
  <c r="AH241" i="19"/>
  <c r="AG236" i="19"/>
  <c r="AQ239" i="19"/>
  <c r="Y232" i="19"/>
  <c r="AG232" i="19"/>
  <c r="AE235" i="19"/>
  <c r="AI237" i="19"/>
  <c r="AQ237" i="19"/>
  <c r="AN233" i="19"/>
  <c r="AQ238" i="19"/>
  <c r="U236" i="19"/>
  <c r="AF239" i="19"/>
  <c r="AF231" i="19"/>
  <c r="AM239" i="19"/>
  <c r="BH179" i="15"/>
  <c r="BD179" i="15"/>
  <c r="BE179" i="15"/>
  <c r="BF179" i="15"/>
  <c r="BG179" i="15"/>
  <c r="BI179" i="15"/>
  <c r="AA240" i="19"/>
  <c r="AM232" i="19"/>
  <c r="AB239" i="19"/>
  <c r="X234" i="19"/>
  <c r="AP237" i="19"/>
  <c r="AV197" i="19"/>
  <c r="AV19" i="21"/>
  <c r="AV99" i="19"/>
  <c r="AV17" i="23"/>
  <c r="AE237" i="19"/>
  <c r="AO237" i="19"/>
  <c r="Y238" i="19"/>
  <c r="AW17" i="23"/>
  <c r="AW99" i="19"/>
  <c r="AW19" i="21"/>
  <c r="AW197" i="19"/>
  <c r="AL239" i="19"/>
  <c r="W235" i="19"/>
  <c r="AC232" i="19"/>
  <c r="AB159" i="19"/>
  <c r="AB317" i="19" s="1"/>
  <c r="AB324" i="19" s="1"/>
  <c r="Z241" i="19"/>
  <c r="R233" i="19"/>
  <c r="AW189" i="17"/>
  <c r="AW202" i="17" s="1"/>
  <c r="AW211" i="17" s="1"/>
  <c r="AW214" i="17" s="1"/>
  <c r="AW151" i="17"/>
  <c r="AT239" i="19"/>
  <c r="AN235" i="19"/>
  <c r="AI232" i="19"/>
  <c r="S275" i="19"/>
  <c r="AF234" i="19"/>
  <c r="AJ241" i="19"/>
  <c r="AR238" i="19"/>
  <c r="U159" i="19"/>
  <c r="U317" i="19" s="1"/>
  <c r="U324" i="19" s="1"/>
  <c r="V234" i="19"/>
  <c r="X233" i="19"/>
  <c r="AP239" i="19"/>
  <c r="AJ235" i="19"/>
  <c r="AG241" i="19"/>
  <c r="AC233" i="19"/>
  <c r="AC237" i="19"/>
  <c r="AA236" i="19"/>
  <c r="AE239" i="19"/>
  <c r="AU19" i="21"/>
  <c r="AU197" i="19"/>
  <c r="AU99" i="19"/>
  <c r="AU17" i="23"/>
  <c r="W234" i="19"/>
  <c r="AZ5" i="25"/>
  <c r="AZ5" i="21"/>
  <c r="AZ5" i="23"/>
  <c r="AZ5" i="19"/>
  <c r="AZ5" i="18"/>
  <c r="AZ5" i="17"/>
  <c r="AZ5" i="15"/>
  <c r="AZ5" i="12"/>
  <c r="AZ5" i="14"/>
  <c r="AY54" i="10"/>
  <c r="AA275" i="19"/>
  <c r="AI226" i="19"/>
  <c r="AI285" i="19" s="1"/>
  <c r="AC226" i="19"/>
  <c r="AC285" i="19" s="1"/>
  <c r="AA226" i="19"/>
  <c r="AA285" i="19" s="1"/>
  <c r="AE226" i="19"/>
  <c r="AE285" i="19" s="1"/>
  <c r="X226" i="19"/>
  <c r="X285" i="19" s="1"/>
  <c r="Z226" i="19"/>
  <c r="Z285" i="19" s="1"/>
  <c r="AH226" i="19"/>
  <c r="AH285" i="19" s="1"/>
  <c r="AD226" i="19"/>
  <c r="AD285" i="19" s="1"/>
  <c r="AF226" i="19"/>
  <c r="AF285" i="19" s="1"/>
  <c r="AG226" i="19"/>
  <c r="AG285" i="19" s="1"/>
  <c r="Y226" i="19"/>
  <c r="Y285" i="19" s="1"/>
  <c r="AB226" i="19"/>
  <c r="AB285" i="19" s="1"/>
  <c r="AS19" i="21"/>
  <c r="AS99" i="19"/>
  <c r="AS17" i="23"/>
  <c r="AS197" i="19"/>
  <c r="AS189" i="17"/>
  <c r="AS202" i="17" s="1"/>
  <c r="AS211" i="17" s="1"/>
  <c r="AS214" i="17" s="1"/>
  <c r="AS151" i="17"/>
  <c r="W275" i="19"/>
  <c r="AA159" i="19"/>
  <c r="AA317" i="19" s="1"/>
  <c r="AA324" i="19" s="1"/>
  <c r="AM197" i="19"/>
  <c r="AM99" i="19"/>
  <c r="AM17" i="23"/>
  <c r="AM19" i="21"/>
  <c r="AA235" i="19"/>
  <c r="AN237" i="19"/>
  <c r="AH159" i="19"/>
  <c r="AH317" i="19" s="1"/>
  <c r="AH324" i="19" s="1"/>
  <c r="BA13" i="14"/>
  <c r="BA15" i="14" s="1"/>
  <c r="BA26" i="14" s="1"/>
  <c r="BA28" i="14" s="1"/>
  <c r="BA43" i="14"/>
  <c r="BA45" i="14" s="1"/>
  <c r="BA50" i="14" s="1"/>
  <c r="BA52" i="14" s="1"/>
  <c r="BA57" i="14" s="1"/>
  <c r="T234" i="19"/>
  <c r="AR237" i="19"/>
  <c r="AF159" i="19"/>
  <c r="AF317" i="19" s="1"/>
  <c r="AF324" i="19" s="1"/>
  <c r="AG231" i="19"/>
  <c r="Q159" i="19"/>
  <c r="Q317" i="19" s="1"/>
  <c r="Q324" i="19" s="1"/>
  <c r="Z237" i="19"/>
  <c r="Y239" i="19"/>
  <c r="AJ234" i="19"/>
  <c r="AC159" i="19"/>
  <c r="AC317" i="19" s="1"/>
  <c r="AC324" i="19" s="1"/>
  <c r="Z238" i="19"/>
  <c r="X231" i="19"/>
  <c r="X159" i="19"/>
  <c r="X317" i="19" s="1"/>
  <c r="X324" i="19" s="1"/>
  <c r="AJ227" i="19"/>
  <c r="AJ286" i="19" s="1"/>
  <c r="AD227" i="19"/>
  <c r="AD286" i="19" s="1"/>
  <c r="AF227" i="19"/>
  <c r="AF286" i="19" s="1"/>
  <c r="AG227" i="19"/>
  <c r="AG286" i="19" s="1"/>
  <c r="Y227" i="19"/>
  <c r="Y286" i="19" s="1"/>
  <c r="AE227" i="19"/>
  <c r="AE286" i="19" s="1"/>
  <c r="AH227" i="19"/>
  <c r="AH286" i="19" s="1"/>
  <c r="AA227" i="19"/>
  <c r="AA286" i="19" s="1"/>
  <c r="AC227" i="19"/>
  <c r="AC286" i="19" s="1"/>
  <c r="Z227" i="19"/>
  <c r="Z286" i="19" s="1"/>
  <c r="AB227" i="19"/>
  <c r="AB286" i="19" s="1"/>
  <c r="AI227" i="19"/>
  <c r="AI286" i="19" s="1"/>
  <c r="AN189" i="17"/>
  <c r="AN202" i="17" s="1"/>
  <c r="AN211" i="17" s="1"/>
  <c r="AN214" i="17" s="1"/>
  <c r="AN151" i="17"/>
  <c r="AO189" i="17"/>
  <c r="AO202" i="17" s="1"/>
  <c r="AO211" i="17" s="1"/>
  <c r="AO214" i="17" s="1"/>
  <c r="AO151" i="17"/>
  <c r="U275" i="19"/>
  <c r="R275" i="19"/>
  <c r="AQ17" i="23"/>
  <c r="AQ99" i="19"/>
  <c r="AQ19" i="21"/>
  <c r="AQ197" i="19"/>
  <c r="Z159" i="19"/>
  <c r="Z317" i="19" s="1"/>
  <c r="Z324" i="19" s="1"/>
  <c r="AJ159" i="19"/>
  <c r="AJ317" i="19" s="1"/>
  <c r="AJ324" i="19" s="1"/>
  <c r="V231" i="19"/>
  <c r="AZ217" i="18"/>
  <c r="BA217" i="18"/>
  <c r="BE217" i="18"/>
  <c r="AY217" i="18"/>
  <c r="BF217" i="18"/>
  <c r="AV217" i="18"/>
  <c r="BD217" i="18"/>
  <c r="BC217" i="18"/>
  <c r="BB217" i="18"/>
  <c r="BG217" i="18"/>
  <c r="AW217" i="18"/>
  <c r="AX217" i="18"/>
  <c r="AT215" i="18"/>
  <c r="BC215" i="18"/>
  <c r="AZ215" i="18"/>
  <c r="BA215" i="18"/>
  <c r="AU215" i="18"/>
  <c r="AV215" i="18"/>
  <c r="AX215" i="18"/>
  <c r="AW215" i="18"/>
  <c r="BD215" i="18"/>
  <c r="BB215" i="18"/>
  <c r="BE215" i="18"/>
  <c r="AY215" i="18"/>
  <c r="AL19" i="21"/>
  <c r="AL197" i="19"/>
  <c r="AL17" i="23"/>
  <c r="AL99" i="19"/>
  <c r="AQ191" i="18"/>
  <c r="AP17" i="23"/>
  <c r="AP19" i="21"/>
  <c r="AP197" i="19"/>
  <c r="AP99" i="19"/>
  <c r="W159" i="19"/>
  <c r="W317" i="19" s="1"/>
  <c r="W324" i="19" s="1"/>
  <c r="AU189" i="17"/>
  <c r="AU202" i="17" s="1"/>
  <c r="AU211" i="17" s="1"/>
  <c r="AU214" i="17" s="1"/>
  <c r="AU151" i="17"/>
  <c r="AR189" i="17"/>
  <c r="AR202" i="17" s="1"/>
  <c r="AR211" i="17" s="1"/>
  <c r="AR214" i="17" s="1"/>
  <c r="AR151" i="17"/>
  <c r="N275" i="19"/>
  <c r="N243" i="19"/>
  <c r="AT197" i="19"/>
  <c r="AT17" i="23"/>
  <c r="AT99" i="19"/>
  <c r="AT19" i="21"/>
  <c r="Y159" i="19"/>
  <c r="Y317" i="19" s="1"/>
  <c r="Y324" i="19" s="1"/>
  <c r="Y237" i="19"/>
  <c r="BC11" i="21"/>
  <c r="BC99" i="15"/>
  <c r="BC8" i="23"/>
  <c r="BC12" i="25" s="1"/>
  <c r="BC25" i="25" s="1"/>
  <c r="BC154" i="15"/>
  <c r="BC157" i="15" s="1"/>
  <c r="AW183" i="17"/>
  <c r="AU183" i="17"/>
  <c r="BB183" i="17"/>
  <c r="AV183" i="17"/>
  <c r="AX183" i="17"/>
  <c r="BE183" i="17"/>
  <c r="BA183" i="17"/>
  <c r="BD183" i="17"/>
  <c r="BC183" i="17"/>
  <c r="AZ183" i="17"/>
  <c r="AT183" i="17"/>
  <c r="AY183" i="17"/>
  <c r="AG233" i="19"/>
  <c r="S231" i="19"/>
  <c r="AJ231" i="19"/>
  <c r="U232" i="19"/>
  <c r="AB240" i="19"/>
  <c r="AB236" i="19"/>
  <c r="AL189" i="17"/>
  <c r="AL202" i="17" s="1"/>
  <c r="AL211" i="17" s="1"/>
  <c r="AL151" i="17"/>
  <c r="AV189" i="17"/>
  <c r="AV202" i="17" s="1"/>
  <c r="AV211" i="17" s="1"/>
  <c r="AV214" i="17" s="1"/>
  <c r="AV151" i="17"/>
  <c r="V275" i="19"/>
  <c r="P275" i="19"/>
  <c r="AE159" i="19"/>
  <c r="AE317" i="19" s="1"/>
  <c r="AE324" i="19" s="1"/>
  <c r="AO197" i="19"/>
  <c r="AO17" i="23"/>
  <c r="AO99" i="19"/>
  <c r="AO19" i="21"/>
  <c r="U237" i="19"/>
  <c r="AI159" i="19"/>
  <c r="AI317" i="19" s="1"/>
  <c r="AI324" i="19" s="1"/>
  <c r="S232" i="19"/>
  <c r="U235" i="19"/>
  <c r="W236" i="19"/>
  <c r="AH239" i="19"/>
  <c r="AH234" i="19"/>
  <c r="S234" i="19"/>
  <c r="U233" i="19"/>
  <c r="Z232" i="19"/>
  <c r="X240" i="19"/>
  <c r="AO235" i="19"/>
  <c r="AB232" i="19"/>
  <c r="AO234" i="19"/>
  <c r="AM233" i="19"/>
  <c r="AS238" i="19"/>
  <c r="AM104" i="17"/>
  <c r="AM157" i="17" s="1"/>
  <c r="AM159" i="17" s="1"/>
  <c r="S159" i="19"/>
  <c r="S317" i="19" s="1"/>
  <c r="S324" i="19" s="1"/>
  <c r="V159" i="19"/>
  <c r="V317" i="19" s="1"/>
  <c r="V324" i="19" s="1"/>
  <c r="AG159" i="19"/>
  <c r="AG317" i="19" s="1"/>
  <c r="AG324" i="19" s="1"/>
  <c r="AU104" i="17"/>
  <c r="AU157" i="17" s="1"/>
  <c r="AU159" i="17" s="1"/>
  <c r="AT189" i="17"/>
  <c r="AT202" i="17" s="1"/>
  <c r="AT211" i="17" s="1"/>
  <c r="AT214" i="17" s="1"/>
  <c r="AT151" i="17"/>
  <c r="AQ189" i="17"/>
  <c r="AQ202" i="17" s="1"/>
  <c r="AQ211" i="17" s="1"/>
  <c r="AQ214" i="17" s="1"/>
  <c r="AQ151" i="17"/>
  <c r="X275" i="19"/>
  <c r="Y275" i="19"/>
  <c r="O159" i="19"/>
  <c r="O317" i="19" s="1"/>
  <c r="O324" i="19" s="1"/>
  <c r="P159" i="19"/>
  <c r="P317" i="19" s="1"/>
  <c r="P324" i="19" s="1"/>
  <c r="AD159" i="19"/>
  <c r="AD317" i="19" s="1"/>
  <c r="AD324" i="19" s="1"/>
  <c r="R159" i="19"/>
  <c r="R317" i="19" s="1"/>
  <c r="R324" i="19" s="1"/>
  <c r="AF240" i="19"/>
  <c r="AP235" i="19"/>
  <c r="AH232" i="19"/>
  <c r="X239" i="19"/>
  <c r="AL234" i="19"/>
  <c r="W239" i="19"/>
  <c r="AE234" i="19"/>
  <c r="AM191" i="18"/>
  <c r="AH236" i="19"/>
  <c r="U234" i="19"/>
  <c r="AK237" i="19"/>
  <c r="AJ238" i="19"/>
  <c r="AP236" i="19"/>
  <c r="Y234" i="19"/>
  <c r="AI239" i="19"/>
  <c r="Y235" i="19"/>
  <c r="AF232" i="19"/>
  <c r="T159" i="19"/>
  <c r="T317" i="19" s="1"/>
  <c r="T324" i="19" s="1"/>
  <c r="AU191" i="18"/>
  <c r="AP189" i="17"/>
  <c r="AP202" i="17" s="1"/>
  <c r="AP211" i="17" s="1"/>
  <c r="AP214" i="17" s="1"/>
  <c r="AP151" i="17"/>
  <c r="AA232" i="19"/>
  <c r="AB235" i="19"/>
  <c r="Y236" i="19"/>
  <c r="T275" i="19"/>
  <c r="Z239" i="19"/>
  <c r="AG237" i="19"/>
  <c r="Y231" i="19"/>
  <c r="AK231" i="19"/>
  <c r="W237" i="19"/>
  <c r="AA234" i="19"/>
  <c r="AF237" i="19"/>
  <c r="W232" i="19"/>
  <c r="AG235" i="19"/>
  <c r="AD232" i="19"/>
  <c r="AM234" i="19"/>
  <c r="AF241" i="19"/>
  <c r="AE238" i="19"/>
  <c r="AB241" i="19"/>
  <c r="AB238" i="19"/>
  <c r="T231" i="19"/>
  <c r="AN17" i="23"/>
  <c r="AN197" i="19"/>
  <c r="AN99" i="19"/>
  <c r="AN19" i="21"/>
  <c r="AE231" i="19"/>
  <c r="N159" i="19"/>
  <c r="N317" i="19" s="1"/>
  <c r="N324" i="19" s="1"/>
  <c r="AA233" i="19"/>
  <c r="AS239" i="19"/>
  <c r="AD235" i="19"/>
  <c r="AJ232" i="19"/>
  <c r="BB56" i="14"/>
  <c r="BB59" i="14" s="1"/>
  <c r="BB65" i="14" s="1"/>
  <c r="BB67" i="14" s="1"/>
  <c r="BB155" i="15" s="1"/>
  <c r="BB34" i="14"/>
  <c r="BB36" i="14" s="1"/>
  <c r="P231" i="19"/>
  <c r="AO239" i="19"/>
  <c r="S235" i="19"/>
  <c r="AK232" i="19"/>
  <c r="AV178" i="17"/>
  <c r="AQ178" i="17"/>
  <c r="AP178" i="17"/>
  <c r="AS178" i="17"/>
  <c r="AX178" i="17"/>
  <c r="AW178" i="17"/>
  <c r="AR178" i="17"/>
  <c r="AZ178" i="17"/>
  <c r="AY178" i="17"/>
  <c r="AO178" i="17"/>
  <c r="AT178" i="17"/>
  <c r="AU178" i="17"/>
  <c r="AH237" i="19"/>
  <c r="AB230" i="19"/>
  <c r="AL233" i="19"/>
  <c r="AN238" i="19"/>
  <c r="AK236" i="19"/>
  <c r="AC234" i="19"/>
  <c r="AM151" i="17"/>
  <c r="AM189" i="17"/>
  <c r="AM202" i="17" s="1"/>
  <c r="AM211" i="17" s="1"/>
  <c r="AM214" i="17" s="1"/>
  <c r="Q275" i="19"/>
  <c r="AK159" i="19"/>
  <c r="AK317" i="19" s="1"/>
  <c r="AK324" i="19" s="1"/>
  <c r="U230" i="19"/>
  <c r="T232" i="19"/>
  <c r="AE232" i="19"/>
  <c r="AA241" i="19"/>
  <c r="BD133" i="15"/>
  <c r="BD193" i="15" s="1"/>
  <c r="BE133" i="15"/>
  <c r="BE193" i="15" s="1"/>
  <c r="BF133" i="15"/>
  <c r="BF193" i="15" s="1"/>
  <c r="BG133" i="15"/>
  <c r="BG193" i="15" s="1"/>
  <c r="BH133" i="15"/>
  <c r="BH193" i="15" s="1"/>
  <c r="BI133" i="15"/>
  <c r="BI193" i="15" s="1"/>
  <c r="AP238" i="19"/>
  <c r="AO236" i="19"/>
  <c r="AR17" i="23"/>
  <c r="AR99" i="19"/>
  <c r="AR19" i="21"/>
  <c r="AR197" i="19"/>
  <c r="AQ236" i="19"/>
  <c r="BB181" i="17"/>
  <c r="AZ181" i="17"/>
  <c r="AV181" i="17"/>
  <c r="AR181" i="17"/>
  <c r="AX181" i="17"/>
  <c r="AU181" i="17"/>
  <c r="BA181" i="17"/>
  <c r="AS181" i="17"/>
  <c r="AY181" i="17"/>
  <c r="AW181" i="17"/>
  <c r="AT181" i="17"/>
  <c r="BC181" i="17"/>
  <c r="AN236" i="19"/>
  <c r="V233" i="19"/>
  <c r="Q232" i="19"/>
  <c r="AO207" i="18" l="1"/>
  <c r="AU207" i="18"/>
  <c r="AV207" i="18"/>
  <c r="AL207" i="18"/>
  <c r="AL234" i="18" s="1"/>
  <c r="AL243" i="18" s="1"/>
  <c r="AL246" i="18" s="1"/>
  <c r="AL198" i="19" s="1"/>
  <c r="AR207" i="18"/>
  <c r="AN207" i="18"/>
  <c r="AM207" i="18"/>
  <c r="AT207" i="18"/>
  <c r="AQ207" i="18"/>
  <c r="AS207" i="18"/>
  <c r="AP207" i="18"/>
  <c r="AR175" i="17"/>
  <c r="AW175" i="17"/>
  <c r="AM175" i="17"/>
  <c r="AT175" i="17"/>
  <c r="AQ175" i="17"/>
  <c r="AL175" i="17"/>
  <c r="AL203" i="17" s="1"/>
  <c r="AL212" i="17" s="1"/>
  <c r="AP175" i="17"/>
  <c r="AU175" i="17"/>
  <c r="AS175" i="17"/>
  <c r="AV175" i="17"/>
  <c r="AN175" i="17"/>
  <c r="AL214" i="17"/>
  <c r="AP289" i="19"/>
  <c r="AS182" i="17"/>
  <c r="BB182" i="17"/>
  <c r="AV182" i="17"/>
  <c r="AR289" i="19"/>
  <c r="AT289" i="19"/>
  <c r="AX182" i="17"/>
  <c r="BA182" i="17"/>
  <c r="AS289" i="19"/>
  <c r="AW182" i="17"/>
  <c r="AZ182" i="17"/>
  <c r="AT182" i="17"/>
  <c r="AU182" i="17"/>
  <c r="AY182" i="17"/>
  <c r="AW289" i="19"/>
  <c r="BD182" i="17"/>
  <c r="AL192" i="19"/>
  <c r="AL318" i="19" s="1"/>
  <c r="AL325" i="19" s="1"/>
  <c r="AL20" i="23" s="1"/>
  <c r="N92" i="25" s="1"/>
  <c r="N97" i="25" s="1"/>
  <c r="AU289" i="19"/>
  <c r="AL289" i="19"/>
  <c r="AK21" i="21"/>
  <c r="AK18" i="23"/>
  <c r="N21" i="21"/>
  <c r="N18" i="23"/>
  <c r="AD21" i="21"/>
  <c r="AD18" i="23"/>
  <c r="Y21" i="21"/>
  <c r="Y18" i="23"/>
  <c r="AH21" i="21"/>
  <c r="AH18" i="23"/>
  <c r="P21" i="21"/>
  <c r="P18" i="23"/>
  <c r="Q21" i="21"/>
  <c r="Q18" i="23"/>
  <c r="O21" i="21"/>
  <c r="O18" i="23"/>
  <c r="AG21" i="21"/>
  <c r="AG18" i="23"/>
  <c r="AE21" i="21"/>
  <c r="AE18" i="23"/>
  <c r="AJ21" i="21"/>
  <c r="AJ18" i="23"/>
  <c r="X21" i="21"/>
  <c r="X18" i="23"/>
  <c r="V21" i="21"/>
  <c r="V18" i="23"/>
  <c r="Z21" i="21"/>
  <c r="Z18" i="23"/>
  <c r="AF21" i="21"/>
  <c r="AF18" i="23"/>
  <c r="S21" i="21"/>
  <c r="S18" i="23"/>
  <c r="AI21" i="21"/>
  <c r="AI18" i="23"/>
  <c r="U21" i="21"/>
  <c r="U18" i="23"/>
  <c r="AB21" i="21"/>
  <c r="AB18" i="23"/>
  <c r="T21" i="21"/>
  <c r="T18" i="23"/>
  <c r="AC21" i="21"/>
  <c r="AC18" i="23"/>
  <c r="R21" i="21"/>
  <c r="R18" i="23"/>
  <c r="W21" i="21"/>
  <c r="W18" i="23"/>
  <c r="AA21" i="21"/>
  <c r="AA18" i="23"/>
  <c r="AQ289" i="19"/>
  <c r="AV248" i="19"/>
  <c r="AO289" i="19"/>
  <c r="R261" i="19"/>
  <c r="R268" i="19" s="1"/>
  <c r="BB185" i="19"/>
  <c r="BB295" i="19" s="1"/>
  <c r="BE188" i="19"/>
  <c r="BE298" i="19" s="1"/>
  <c r="BA190" i="19"/>
  <c r="BA300" i="19" s="1"/>
  <c r="BA185" i="19"/>
  <c r="BA295" i="19" s="1"/>
  <c r="AS185" i="19"/>
  <c r="AS295" i="19" s="1"/>
  <c r="BA189" i="19"/>
  <c r="BA299" i="19" s="1"/>
  <c r="BD187" i="19"/>
  <c r="BD297" i="19" s="1"/>
  <c r="AV187" i="19"/>
  <c r="AV297" i="19" s="1"/>
  <c r="AT181" i="19"/>
  <c r="AT291" i="19" s="1"/>
  <c r="AR180" i="19"/>
  <c r="AR290" i="19" s="1"/>
  <c r="BD188" i="19"/>
  <c r="BD298" i="19" s="1"/>
  <c r="AV188" i="19"/>
  <c r="AV298" i="19" s="1"/>
  <c r="AW182" i="19"/>
  <c r="AW292" i="19" s="1"/>
  <c r="AO182" i="19"/>
  <c r="AO292" i="19" s="1"/>
  <c r="AX184" i="19"/>
  <c r="AX294" i="19" s="1"/>
  <c r="AN289" i="19"/>
  <c r="AU183" i="19"/>
  <c r="AU293" i="19" s="1"/>
  <c r="AM248" i="19"/>
  <c r="O261" i="19"/>
  <c r="O268" i="19" s="1"/>
  <c r="AB275" i="19"/>
  <c r="AB302" i="19" s="1"/>
  <c r="AB319" i="19" s="1"/>
  <c r="AB261" i="19"/>
  <c r="AB268" i="19" s="1"/>
  <c r="BB189" i="19"/>
  <c r="BB299" i="19" s="1"/>
  <c r="AW188" i="19"/>
  <c r="AW298" i="19" s="1"/>
  <c r="AP182" i="19"/>
  <c r="AP292" i="19" s="1"/>
  <c r="AV183" i="19"/>
  <c r="AV293" i="19" s="1"/>
  <c r="AG275" i="19"/>
  <c r="AG302" i="19" s="1"/>
  <c r="AG319" i="19" s="1"/>
  <c r="AG261" i="19"/>
  <c r="AG268" i="19" s="1"/>
  <c r="BH190" i="19"/>
  <c r="BH300" i="19" s="1"/>
  <c r="AZ190" i="19"/>
  <c r="AZ300" i="19" s="1"/>
  <c r="AZ185" i="19"/>
  <c r="AZ295" i="19" s="1"/>
  <c r="AR185" i="19"/>
  <c r="AR295" i="19" s="1"/>
  <c r="AZ189" i="19"/>
  <c r="AZ299" i="19" s="1"/>
  <c r="BC187" i="19"/>
  <c r="BC297" i="19" s="1"/>
  <c r="AU187" i="19"/>
  <c r="AU297" i="19" s="1"/>
  <c r="AS181" i="19"/>
  <c r="AS291" i="19" s="1"/>
  <c r="AQ180" i="19"/>
  <c r="AQ290" i="19" s="1"/>
  <c r="BC188" i="19"/>
  <c r="BC298" i="19" s="1"/>
  <c r="AU188" i="19"/>
  <c r="AU298" i="19" s="1"/>
  <c r="AV182" i="19"/>
  <c r="AV292" i="19" s="1"/>
  <c r="AW184" i="19"/>
  <c r="AW294" i="19" s="1"/>
  <c r="AT183" i="19"/>
  <c r="AT293" i="19" s="1"/>
  <c r="Y261" i="19"/>
  <c r="Y268" i="19" s="1"/>
  <c r="AC261" i="19"/>
  <c r="AC268" i="19" s="1"/>
  <c r="AT185" i="19"/>
  <c r="AT295" i="19" s="1"/>
  <c r="V261" i="19"/>
  <c r="V268" i="19" s="1"/>
  <c r="AA278" i="19"/>
  <c r="AA302" i="19" s="1"/>
  <c r="AA319" i="19" s="1"/>
  <c r="AA261" i="19"/>
  <c r="AA268" i="19" s="1"/>
  <c r="Z275" i="19"/>
  <c r="Z302" i="19" s="1"/>
  <c r="Z319" i="19" s="1"/>
  <c r="Z261" i="19"/>
  <c r="Z268" i="19" s="1"/>
  <c r="AI275" i="19"/>
  <c r="AI302" i="19" s="1"/>
  <c r="AI319" i="19" s="1"/>
  <c r="AI261" i="19"/>
  <c r="AI268" i="19" s="1"/>
  <c r="BG190" i="19"/>
  <c r="BG300" i="19" s="1"/>
  <c r="AY190" i="19"/>
  <c r="AY300" i="19" s="1"/>
  <c r="AY185" i="19"/>
  <c r="AY295" i="19" s="1"/>
  <c r="BG189" i="19"/>
  <c r="BG299" i="19" s="1"/>
  <c r="AY189" i="19"/>
  <c r="AY299" i="19" s="1"/>
  <c r="BB187" i="19"/>
  <c r="BB297" i="19" s="1"/>
  <c r="AT187" i="19"/>
  <c r="AT297" i="19" s="1"/>
  <c r="AR181" i="19"/>
  <c r="AR291" i="19" s="1"/>
  <c r="AX180" i="19"/>
  <c r="AX290" i="19" s="1"/>
  <c r="AP180" i="19"/>
  <c r="AP290" i="19" s="1"/>
  <c r="BB188" i="19"/>
  <c r="BB298" i="19" s="1"/>
  <c r="AU182" i="19"/>
  <c r="AU292" i="19" s="1"/>
  <c r="AV184" i="19"/>
  <c r="AV294" i="19" s="1"/>
  <c r="BA183" i="19"/>
  <c r="BA293" i="19" s="1"/>
  <c r="AS183" i="19"/>
  <c r="AS293" i="19" s="1"/>
  <c r="AU181" i="19"/>
  <c r="AU291" i="19" s="1"/>
  <c r="AD275" i="19"/>
  <c r="AD302" i="19" s="1"/>
  <c r="AD319" i="19" s="1"/>
  <c r="AD261" i="19"/>
  <c r="AD268" i="19" s="1"/>
  <c r="BF190" i="19"/>
  <c r="BF300" i="19" s="1"/>
  <c r="AX190" i="19"/>
  <c r="AX300" i="19" s="1"/>
  <c r="AX185" i="19"/>
  <c r="AX295" i="19" s="1"/>
  <c r="BF189" i="19"/>
  <c r="BF299" i="19" s="1"/>
  <c r="AX189" i="19"/>
  <c r="AX299" i="19" s="1"/>
  <c r="BA187" i="19"/>
  <c r="BA297" i="19" s="1"/>
  <c r="AY181" i="19"/>
  <c r="AY291" i="19" s="1"/>
  <c r="AQ181" i="19"/>
  <c r="AQ291" i="19" s="1"/>
  <c r="AW180" i="19"/>
  <c r="AW290" i="19" s="1"/>
  <c r="AO180" i="19"/>
  <c r="AO290" i="19" s="1"/>
  <c r="BA188" i="19"/>
  <c r="BA298" i="19" s="1"/>
  <c r="AT182" i="19"/>
  <c r="AT292" i="19" s="1"/>
  <c r="AU184" i="19"/>
  <c r="AU294" i="19" s="1"/>
  <c r="AZ183" i="19"/>
  <c r="AZ293" i="19" s="1"/>
  <c r="AR183" i="19"/>
  <c r="AR293" i="19" s="1"/>
  <c r="P261" i="19"/>
  <c r="P268" i="19" s="1"/>
  <c r="AJ261" i="19"/>
  <c r="AJ268" i="19" s="1"/>
  <c r="BB190" i="19"/>
  <c r="BB300" i="19" s="1"/>
  <c r="AS180" i="19"/>
  <c r="AS290" i="19" s="1"/>
  <c r="AH275" i="19"/>
  <c r="AH302" i="19" s="1"/>
  <c r="AH319" i="19" s="1"/>
  <c r="AH261" i="19"/>
  <c r="AH268" i="19" s="1"/>
  <c r="BE190" i="19"/>
  <c r="BE300" i="19" s="1"/>
  <c r="AW190" i="19"/>
  <c r="AW300" i="19" s="1"/>
  <c r="AW185" i="19"/>
  <c r="AW295" i="19" s="1"/>
  <c r="BE189" i="19"/>
  <c r="BE299" i="19" s="1"/>
  <c r="AW189" i="19"/>
  <c r="AW299" i="19" s="1"/>
  <c r="AZ187" i="19"/>
  <c r="AZ297" i="19" s="1"/>
  <c r="AX181" i="19"/>
  <c r="AX291" i="19" s="1"/>
  <c r="AP181" i="19"/>
  <c r="AP291" i="19" s="1"/>
  <c r="AV180" i="19"/>
  <c r="AV290" i="19" s="1"/>
  <c r="AN180" i="19"/>
  <c r="AN290" i="19" s="1"/>
  <c r="AZ188" i="19"/>
  <c r="AZ298" i="19" s="1"/>
  <c r="AS182" i="19"/>
  <c r="AS292" i="19" s="1"/>
  <c r="BB184" i="19"/>
  <c r="BB294" i="19" s="1"/>
  <c r="AT184" i="19"/>
  <c r="AT294" i="19" s="1"/>
  <c r="AY183" i="19"/>
  <c r="AY293" i="19" s="1"/>
  <c r="AQ183" i="19"/>
  <c r="AQ293" i="19" s="1"/>
  <c r="U261" i="19"/>
  <c r="U268" i="19" s="1"/>
  <c r="X261" i="19"/>
  <c r="X268" i="19" s="1"/>
  <c r="AK261" i="19"/>
  <c r="AK268" i="19" s="1"/>
  <c r="AW187" i="19"/>
  <c r="AW297" i="19" s="1"/>
  <c r="AF275" i="19"/>
  <c r="AF302" i="19" s="1"/>
  <c r="AF319" i="19" s="1"/>
  <c r="AF261" i="19"/>
  <c r="AF268" i="19" s="1"/>
  <c r="BD190" i="19"/>
  <c r="BD300" i="19" s="1"/>
  <c r="AV185" i="19"/>
  <c r="AV295" i="19" s="1"/>
  <c r="BD189" i="19"/>
  <c r="BD299" i="19" s="1"/>
  <c r="AV189" i="19"/>
  <c r="AV299" i="19" s="1"/>
  <c r="AY187" i="19"/>
  <c r="AY297" i="19" s="1"/>
  <c r="AW181" i="19"/>
  <c r="AW291" i="19" s="1"/>
  <c r="AO181" i="19"/>
  <c r="AO291" i="19" s="1"/>
  <c r="AU180" i="19"/>
  <c r="AU290" i="19" s="1"/>
  <c r="AM180" i="19"/>
  <c r="AM290" i="19" s="1"/>
  <c r="AY188" i="19"/>
  <c r="AY298" i="19" s="1"/>
  <c r="AZ182" i="19"/>
  <c r="AZ292" i="19" s="1"/>
  <c r="AR182" i="19"/>
  <c r="AR292" i="19" s="1"/>
  <c r="BA184" i="19"/>
  <c r="BA294" i="19" s="1"/>
  <c r="AS184" i="19"/>
  <c r="AS294" i="19" s="1"/>
  <c r="AX183" i="19"/>
  <c r="AX293" i="19" s="1"/>
  <c r="AP183" i="19"/>
  <c r="AP293" i="19" s="1"/>
  <c r="Q261" i="19"/>
  <c r="Q268" i="19" s="1"/>
  <c r="BE187" i="19"/>
  <c r="BE297" i="19" s="1"/>
  <c r="AX182" i="19"/>
  <c r="AX292" i="19" s="1"/>
  <c r="AY184" i="19"/>
  <c r="AY294" i="19" s="1"/>
  <c r="AQ184" i="19"/>
  <c r="AQ294" i="19" s="1"/>
  <c r="AE275" i="19"/>
  <c r="AE302" i="19" s="1"/>
  <c r="AE319" i="19" s="1"/>
  <c r="AE261" i="19"/>
  <c r="AE268" i="19" s="1"/>
  <c r="BC190" i="19"/>
  <c r="BC300" i="19" s="1"/>
  <c r="BC185" i="19"/>
  <c r="BC295" i="19" s="1"/>
  <c r="AU185" i="19"/>
  <c r="AU295" i="19" s="1"/>
  <c r="BC189" i="19"/>
  <c r="BC299" i="19" s="1"/>
  <c r="AX187" i="19"/>
  <c r="AX297" i="19" s="1"/>
  <c r="AV181" i="19"/>
  <c r="AV291" i="19" s="1"/>
  <c r="AN181" i="19"/>
  <c r="AN291" i="19" s="1"/>
  <c r="AT180" i="19"/>
  <c r="AT290" i="19" s="1"/>
  <c r="BF188" i="19"/>
  <c r="BF298" i="19" s="1"/>
  <c r="AX188" i="19"/>
  <c r="AX298" i="19" s="1"/>
  <c r="AY182" i="19"/>
  <c r="AY292" i="19" s="1"/>
  <c r="AQ182" i="19"/>
  <c r="AQ292" i="19" s="1"/>
  <c r="AZ184" i="19"/>
  <c r="AZ294" i="19" s="1"/>
  <c r="AR184" i="19"/>
  <c r="AR294" i="19" s="1"/>
  <c r="AW183" i="19"/>
  <c r="AW293" i="19" s="1"/>
  <c r="W261" i="19"/>
  <c r="W268" i="19" s="1"/>
  <c r="S261" i="19"/>
  <c r="S268" i="19" s="1"/>
  <c r="T261" i="19"/>
  <c r="T268" i="19" s="1"/>
  <c r="AS172" i="19"/>
  <c r="AT172" i="19"/>
  <c r="AU172" i="19"/>
  <c r="AV172" i="19"/>
  <c r="AW172" i="19"/>
  <c r="AX172" i="19"/>
  <c r="AY172" i="19"/>
  <c r="AZ172" i="19"/>
  <c r="BA172" i="19"/>
  <c r="BB172" i="19"/>
  <c r="BC172" i="19"/>
  <c r="BD172" i="19"/>
  <c r="AZ32" i="18"/>
  <c r="AZ162" i="18" s="1"/>
  <c r="AZ28" i="18"/>
  <c r="AZ158" i="18" s="1"/>
  <c r="AZ30" i="18"/>
  <c r="AZ160" i="18" s="1"/>
  <c r="AZ27" i="18"/>
  <c r="AZ157" i="18" s="1"/>
  <c r="AZ33" i="18"/>
  <c r="AZ163" i="18" s="1"/>
  <c r="AZ37" i="18"/>
  <c r="AZ167" i="18" s="1"/>
  <c r="AZ36" i="18"/>
  <c r="AZ166" i="18" s="1"/>
  <c r="AZ35" i="18"/>
  <c r="AZ165" i="18" s="1"/>
  <c r="AZ38" i="18"/>
  <c r="AZ168" i="18" s="1"/>
  <c r="AZ29" i="18"/>
  <c r="AZ159" i="18" s="1"/>
  <c r="AZ31" i="18"/>
  <c r="AZ161" i="18" s="1"/>
  <c r="AZ34" i="18"/>
  <c r="AZ164" i="18" s="1"/>
  <c r="AN29" i="23"/>
  <c r="AP29" i="23"/>
  <c r="AQ29" i="23"/>
  <c r="AV29" i="23"/>
  <c r="AU29" i="23"/>
  <c r="AO29" i="23"/>
  <c r="AM29" i="23"/>
  <c r="AS29" i="23"/>
  <c r="AL29" i="23"/>
  <c r="AR29" i="23"/>
  <c r="AW29" i="23"/>
  <c r="AT29" i="23"/>
  <c r="BE185" i="17"/>
  <c r="BF185" i="17"/>
  <c r="BB185" i="17"/>
  <c r="AX185" i="17"/>
  <c r="AZ185" i="17"/>
  <c r="AY185" i="17"/>
  <c r="BA185" i="17"/>
  <c r="BD185" i="17"/>
  <c r="AW185" i="17"/>
  <c r="BG185" i="17"/>
  <c r="BC185" i="17"/>
  <c r="O243" i="19"/>
  <c r="BA218" i="18"/>
  <c r="BC186" i="17"/>
  <c r="AB160" i="19"/>
  <c r="AB315" i="19" s="1"/>
  <c r="AB322" i="19" s="1"/>
  <c r="AB19" i="23" s="1"/>
  <c r="AB15" i="25" s="1"/>
  <c r="AB22" i="25" s="1"/>
  <c r="AS180" i="17"/>
  <c r="AW177" i="17"/>
  <c r="U160" i="19"/>
  <c r="U315" i="19" s="1"/>
  <c r="U322" i="19" s="1"/>
  <c r="U19" i="23" s="1"/>
  <c r="U15" i="25" s="1"/>
  <c r="U22" i="25" s="1"/>
  <c r="AQ180" i="17"/>
  <c r="AR177" i="17"/>
  <c r="BA180" i="17"/>
  <c r="AU177" i="17"/>
  <c r="BB180" i="17"/>
  <c r="AT180" i="17"/>
  <c r="V243" i="19"/>
  <c r="V316" i="19" s="1"/>
  <c r="V323" i="19" s="1"/>
  <c r="V22" i="23" s="1"/>
  <c r="V24" i="23" s="1"/>
  <c r="V35" i="25" s="1"/>
  <c r="V40" i="25" s="1"/>
  <c r="P243" i="19"/>
  <c r="P316" i="19" s="1"/>
  <c r="P323" i="19" s="1"/>
  <c r="P22" i="23" s="1"/>
  <c r="P24" i="23" s="1"/>
  <c r="P35" i="25" s="1"/>
  <c r="P40" i="25" s="1"/>
  <c r="AX180" i="17"/>
  <c r="AR180" i="17"/>
  <c r="AN177" i="17"/>
  <c r="AW180" i="17"/>
  <c r="AO177" i="17"/>
  <c r="AU180" i="17"/>
  <c r="AV177" i="17"/>
  <c r="AV180" i="17"/>
  <c r="AX177" i="17"/>
  <c r="AY177" i="17"/>
  <c r="AZ180" i="17"/>
  <c r="AQ177" i="17"/>
  <c r="AP177" i="17"/>
  <c r="AS177" i="17"/>
  <c r="T302" i="19"/>
  <c r="T319" i="19" s="1"/>
  <c r="AZ186" i="17"/>
  <c r="U302" i="19"/>
  <c r="U319" i="19" s="1"/>
  <c r="X302" i="19"/>
  <c r="X319" i="19" s="1"/>
  <c r="Q243" i="19"/>
  <c r="Q316" i="19" s="1"/>
  <c r="Q323" i="19" s="1"/>
  <c r="Q22" i="23" s="1"/>
  <c r="Q24" i="23" s="1"/>
  <c r="Q35" i="25" s="1"/>
  <c r="Q40" i="25" s="1"/>
  <c r="AS211" i="18"/>
  <c r="BA186" i="17"/>
  <c r="AW218" i="18"/>
  <c r="BF186" i="17"/>
  <c r="BH218" i="18"/>
  <c r="BC218" i="18"/>
  <c r="AW211" i="18"/>
  <c r="AY211" i="18"/>
  <c r="AZ211" i="18"/>
  <c r="AP211" i="18"/>
  <c r="AU211" i="18"/>
  <c r="AQ211" i="18"/>
  <c r="AR211" i="18"/>
  <c r="AV211" i="18"/>
  <c r="AT211" i="18"/>
  <c r="BA211" i="18"/>
  <c r="AQ209" i="18"/>
  <c r="AO209" i="18"/>
  <c r="AR209" i="18"/>
  <c r="AU209" i="18"/>
  <c r="AV209" i="18"/>
  <c r="R302" i="19"/>
  <c r="R319" i="19" s="1"/>
  <c r="AW209" i="18"/>
  <c r="AR179" i="17"/>
  <c r="AT179" i="17"/>
  <c r="AZ179" i="17"/>
  <c r="BH186" i="17"/>
  <c r="AY186" i="17"/>
  <c r="BE218" i="18"/>
  <c r="AX186" i="17"/>
  <c r="BD186" i="17"/>
  <c r="BD218" i="18"/>
  <c r="Q302" i="19"/>
  <c r="Q319" i="19" s="1"/>
  <c r="BG186" i="17"/>
  <c r="BB218" i="18"/>
  <c r="AX218" i="18"/>
  <c r="BE186" i="17"/>
  <c r="AY218" i="18"/>
  <c r="BF218" i="18"/>
  <c r="AA160" i="19"/>
  <c r="AA315" i="19" s="1"/>
  <c r="AA322" i="19" s="1"/>
  <c r="AA20" i="21" s="1"/>
  <c r="BB186" i="17"/>
  <c r="BG218" i="18"/>
  <c r="AC243" i="19"/>
  <c r="AN209" i="18"/>
  <c r="AT209" i="18"/>
  <c r="AY209" i="18"/>
  <c r="AX209" i="18"/>
  <c r="AS209" i="18"/>
  <c r="R243" i="19"/>
  <c r="R316" i="19" s="1"/>
  <c r="R323" i="19" s="1"/>
  <c r="R22" i="23" s="1"/>
  <c r="R24" i="23" s="1"/>
  <c r="R35" i="25" s="1"/>
  <c r="R40" i="25" s="1"/>
  <c r="AQ179" i="17"/>
  <c r="AV179" i="17"/>
  <c r="AU179" i="17"/>
  <c r="AP179" i="17"/>
  <c r="AX179" i="17"/>
  <c r="AS179" i="17"/>
  <c r="AY179" i="17"/>
  <c r="AW179" i="17"/>
  <c r="Y302" i="19"/>
  <c r="Y319" i="19" s="1"/>
  <c r="T243" i="19"/>
  <c r="AJ243" i="19"/>
  <c r="AJ270" i="19" s="1"/>
  <c r="AJ320" i="19" s="1"/>
  <c r="AC302" i="19"/>
  <c r="AC319" i="19" s="1"/>
  <c r="X243" i="19"/>
  <c r="U243" i="19"/>
  <c r="AH243" i="19"/>
  <c r="AJ302" i="19"/>
  <c r="AJ319" i="19" s="1"/>
  <c r="AK243" i="19"/>
  <c r="AB243" i="19"/>
  <c r="AB316" i="19" s="1"/>
  <c r="AB323" i="19" s="1"/>
  <c r="AB22" i="23" s="1"/>
  <c r="AB24" i="23" s="1"/>
  <c r="AB35" i="25" s="1"/>
  <c r="AB40" i="25" s="1"/>
  <c r="W243" i="19"/>
  <c r="W316" i="19" s="1"/>
  <c r="W323" i="19" s="1"/>
  <c r="W22" i="23" s="1"/>
  <c r="W24" i="23" s="1"/>
  <c r="W35" i="25" s="1"/>
  <c r="W40" i="25" s="1"/>
  <c r="AE243" i="19"/>
  <c r="AE270" i="19" s="1"/>
  <c r="AE320" i="19" s="1"/>
  <c r="AF243" i="19"/>
  <c r="S243" i="19"/>
  <c r="AG243" i="19"/>
  <c r="AG316" i="19" s="1"/>
  <c r="AG323" i="19" s="1"/>
  <c r="AG22" i="23" s="1"/>
  <c r="AG24" i="23" s="1"/>
  <c r="AG35" i="25" s="1"/>
  <c r="AG40" i="25" s="1"/>
  <c r="AD243" i="19"/>
  <c r="Y243" i="19"/>
  <c r="Y316" i="19" s="1"/>
  <c r="Y323" i="19" s="1"/>
  <c r="Y22" i="23" s="1"/>
  <c r="Y24" i="23" s="1"/>
  <c r="Y35" i="25" s="1"/>
  <c r="Y40" i="25" s="1"/>
  <c r="BF178" i="15"/>
  <c r="BC178" i="15"/>
  <c r="BD178" i="15"/>
  <c r="BE178" i="15"/>
  <c r="BG178" i="15"/>
  <c r="BH178" i="15"/>
  <c r="BI178" i="15"/>
  <c r="AR14" i="25"/>
  <c r="M62" i="27"/>
  <c r="N160" i="19"/>
  <c r="N315" i="19" s="1"/>
  <c r="N322" i="19" s="1"/>
  <c r="AK160" i="19"/>
  <c r="AK315" i="19" s="1"/>
  <c r="AK322" i="19" s="1"/>
  <c r="AY133" i="19"/>
  <c r="AS133" i="19"/>
  <c r="AW133" i="19"/>
  <c r="AO133" i="19"/>
  <c r="AZ133" i="19"/>
  <c r="AV133" i="19"/>
  <c r="AR133" i="19"/>
  <c r="AU133" i="19"/>
  <c r="AT133" i="19"/>
  <c r="AQ133" i="19"/>
  <c r="AP133" i="19"/>
  <c r="AX133" i="19"/>
  <c r="V302" i="19"/>
  <c r="V319" i="19" s="1"/>
  <c r="AW212" i="18"/>
  <c r="AR212" i="18"/>
  <c r="AT212" i="18"/>
  <c r="AZ212" i="18"/>
  <c r="BB212" i="18"/>
  <c r="AQ212" i="18"/>
  <c r="AY212" i="18"/>
  <c r="AV212" i="18"/>
  <c r="AX212" i="18"/>
  <c r="AS212" i="18"/>
  <c r="BA212" i="18"/>
  <c r="AU212" i="18"/>
  <c r="AK302" i="19"/>
  <c r="AK319" i="19" s="1"/>
  <c r="BA34" i="14"/>
  <c r="BA36" i="14" s="1"/>
  <c r="BA56" i="14"/>
  <c r="BA59" i="14" s="1"/>
  <c r="BA65" i="14" s="1"/>
  <c r="BA67" i="14" s="1"/>
  <c r="BA155" i="15" s="1"/>
  <c r="AS14" i="25"/>
  <c r="N62" i="27"/>
  <c r="AL200" i="19"/>
  <c r="AZ140" i="19"/>
  <c r="AX140" i="19"/>
  <c r="BA140" i="19"/>
  <c r="BF140" i="19"/>
  <c r="BB140" i="19"/>
  <c r="BC140" i="19"/>
  <c r="AV140" i="19"/>
  <c r="BD140" i="19"/>
  <c r="AY140" i="19"/>
  <c r="AW140" i="19"/>
  <c r="BG140" i="19"/>
  <c r="BE140" i="19"/>
  <c r="I62" i="27"/>
  <c r="AN14" i="25"/>
  <c r="BA184" i="17"/>
  <c r="AW184" i="17"/>
  <c r="BB184" i="17"/>
  <c r="BE184" i="17"/>
  <c r="AY184" i="17"/>
  <c r="AU184" i="17"/>
  <c r="AV184" i="17"/>
  <c r="AX184" i="17"/>
  <c r="AZ184" i="17"/>
  <c r="BF184" i="17"/>
  <c r="BD184" i="17"/>
  <c r="BC184" i="17"/>
  <c r="AO14" i="25"/>
  <c r="J62" i="27"/>
  <c r="P160" i="19"/>
  <c r="P315" i="19" s="1"/>
  <c r="P322" i="19" s="1"/>
  <c r="AG160" i="19"/>
  <c r="AG315" i="19" s="1"/>
  <c r="AG322" i="19" s="1"/>
  <c r="AZ135" i="19"/>
  <c r="AS135" i="19"/>
  <c r="BA135" i="19"/>
  <c r="AW135" i="19"/>
  <c r="AT135" i="19"/>
  <c r="AX135" i="19"/>
  <c r="BB135" i="19"/>
  <c r="AQ135" i="19"/>
  <c r="AU135" i="19"/>
  <c r="AY135" i="19"/>
  <c r="AV135" i="19"/>
  <c r="AR135" i="19"/>
  <c r="O302" i="19"/>
  <c r="O319" i="19" s="1"/>
  <c r="AM14" i="25"/>
  <c r="H62" i="27"/>
  <c r="BC137" i="19"/>
  <c r="BA137" i="19"/>
  <c r="AV137" i="19"/>
  <c r="AT137" i="19"/>
  <c r="BD137" i="19"/>
  <c r="BB137" i="19"/>
  <c r="AW137" i="19"/>
  <c r="AX137" i="19"/>
  <c r="AY137" i="19"/>
  <c r="AZ137" i="19"/>
  <c r="AU137" i="19"/>
  <c r="AS137" i="19"/>
  <c r="S302" i="19"/>
  <c r="S319" i="19" s="1"/>
  <c r="AC160" i="19"/>
  <c r="AC315" i="19" s="1"/>
  <c r="AC322" i="19" s="1"/>
  <c r="O160" i="19"/>
  <c r="O315" i="19" s="1"/>
  <c r="O322" i="19" s="1"/>
  <c r="V160" i="19"/>
  <c r="V315" i="19" s="1"/>
  <c r="V322" i="19" s="1"/>
  <c r="AQ14" i="25"/>
  <c r="L62" i="27"/>
  <c r="AP131" i="19"/>
  <c r="AV131" i="19"/>
  <c r="AR131" i="19"/>
  <c r="AO131" i="19"/>
  <c r="AS131" i="19"/>
  <c r="AW131" i="19"/>
  <c r="AT131" i="19"/>
  <c r="AM131" i="19"/>
  <c r="AU131" i="19"/>
  <c r="AX131" i="19"/>
  <c r="AQ131" i="19"/>
  <c r="AN131" i="19"/>
  <c r="AY5" i="25"/>
  <c r="AY5" i="21"/>
  <c r="AY5" i="23"/>
  <c r="AY5" i="19"/>
  <c r="AY5" i="18"/>
  <c r="AY5" i="17"/>
  <c r="AY5" i="15"/>
  <c r="AY5" i="12"/>
  <c r="AY5" i="14"/>
  <c r="AX54" i="10"/>
  <c r="AW216" i="18"/>
  <c r="AV216" i="18"/>
  <c r="BB216" i="18"/>
  <c r="BD216" i="18"/>
  <c r="AX216" i="18"/>
  <c r="BE216" i="18"/>
  <c r="AU216" i="18"/>
  <c r="BF216" i="18"/>
  <c r="BC216" i="18"/>
  <c r="AY216" i="18"/>
  <c r="BA216" i="18"/>
  <c r="AZ216" i="18"/>
  <c r="AT176" i="17"/>
  <c r="AO176" i="17"/>
  <c r="AX176" i="17"/>
  <c r="AW176" i="17"/>
  <c r="AM176" i="17"/>
  <c r="AM203" i="17" s="1"/>
  <c r="AM212" i="17" s="1"/>
  <c r="AM215" i="17" s="1"/>
  <c r="AM23" i="23" s="1"/>
  <c r="AQ176" i="17"/>
  <c r="AU176" i="17"/>
  <c r="AR176" i="17"/>
  <c r="AS176" i="17"/>
  <c r="AN176" i="17"/>
  <c r="AP176" i="17"/>
  <c r="AV176" i="17"/>
  <c r="BC132" i="15"/>
  <c r="BC192" i="15" s="1"/>
  <c r="BD132" i="15"/>
  <c r="BD192" i="15" s="1"/>
  <c r="BE132" i="15"/>
  <c r="BE192" i="15" s="1"/>
  <c r="BF132" i="15"/>
  <c r="BF192" i="15" s="1"/>
  <c r="BG132" i="15"/>
  <c r="BG192" i="15" s="1"/>
  <c r="BH132" i="15"/>
  <c r="BH192" i="15" s="1"/>
  <c r="BI132" i="15"/>
  <c r="BI192" i="15" s="1"/>
  <c r="AT138" i="19"/>
  <c r="BC138" i="19"/>
  <c r="AY138" i="19"/>
  <c r="AV138" i="19"/>
  <c r="AX138" i="19"/>
  <c r="BD138" i="19"/>
  <c r="AZ138" i="19"/>
  <c r="AW138" i="19"/>
  <c r="BA138" i="19"/>
  <c r="BE138" i="19"/>
  <c r="AU138" i="19"/>
  <c r="BB138" i="19"/>
  <c r="N316" i="19"/>
  <c r="N323" i="19" s="1"/>
  <c r="N22" i="23" s="1"/>
  <c r="N24" i="23" s="1"/>
  <c r="N270" i="19"/>
  <c r="N320" i="19" s="1"/>
  <c r="AR134" i="19"/>
  <c r="BA134" i="19"/>
  <c r="AW134" i="19"/>
  <c r="AT134" i="19"/>
  <c r="AS134" i="19"/>
  <c r="AV134" i="19"/>
  <c r="AU134" i="19"/>
  <c r="AZ134" i="19"/>
  <c r="AX134" i="19"/>
  <c r="AQ134" i="19"/>
  <c r="AP134" i="19"/>
  <c r="AY134" i="19"/>
  <c r="AP130" i="19"/>
  <c r="AN130" i="19"/>
  <c r="AV130" i="19"/>
  <c r="AQ130" i="19"/>
  <c r="AR130" i="19"/>
  <c r="AO130" i="19"/>
  <c r="AS130" i="19"/>
  <c r="AW130" i="19"/>
  <c r="AL130" i="19"/>
  <c r="AT130" i="19"/>
  <c r="AM130" i="19"/>
  <c r="AU130" i="19"/>
  <c r="S160" i="19"/>
  <c r="S315" i="19" s="1"/>
  <c r="S322" i="19" s="1"/>
  <c r="AE160" i="19"/>
  <c r="AE315" i="19" s="1"/>
  <c r="AE322" i="19" s="1"/>
  <c r="W302" i="19"/>
  <c r="W319" i="19" s="1"/>
  <c r="AZ13" i="14"/>
  <c r="AZ15" i="14" s="1"/>
  <c r="AZ26" i="14" s="1"/>
  <c r="AZ28" i="14" s="1"/>
  <c r="AZ43" i="14"/>
  <c r="AZ45" i="14" s="1"/>
  <c r="AZ50" i="14" s="1"/>
  <c r="AZ52" i="14" s="1"/>
  <c r="AZ57" i="14" s="1"/>
  <c r="X160" i="19"/>
  <c r="X315" i="19" s="1"/>
  <c r="X322" i="19" s="1"/>
  <c r="Z243" i="19"/>
  <c r="AF160" i="19"/>
  <c r="AF315" i="19" s="1"/>
  <c r="AF322" i="19" s="1"/>
  <c r="AT14" i="25"/>
  <c r="O62" i="27"/>
  <c r="N302" i="19"/>
  <c r="N319" i="19" s="1"/>
  <c r="G62" i="27"/>
  <c r="AL14" i="25"/>
  <c r="AA243" i="19"/>
  <c r="BB8" i="23"/>
  <c r="BB12" i="25" s="1"/>
  <c r="BB25" i="25" s="1"/>
  <c r="BB11" i="21"/>
  <c r="BB99" i="15"/>
  <c r="BB154" i="15"/>
  <c r="BB157" i="15" s="1"/>
  <c r="AO208" i="18"/>
  <c r="AR208" i="18"/>
  <c r="AV208" i="18"/>
  <c r="AM208" i="18"/>
  <c r="AS208" i="18"/>
  <c r="AU208" i="18"/>
  <c r="AW208" i="18"/>
  <c r="AX208" i="18"/>
  <c r="AQ208" i="18"/>
  <c r="AN208" i="18"/>
  <c r="AT208" i="18"/>
  <c r="AP208" i="18"/>
  <c r="T160" i="19"/>
  <c r="T315" i="19" s="1"/>
  <c r="T322" i="19" s="1"/>
  <c r="AI243" i="19"/>
  <c r="AJ160" i="19"/>
  <c r="AJ315" i="19" s="1"/>
  <c r="AJ322" i="19" s="1"/>
  <c r="AU14" i="25"/>
  <c r="AU27" i="25" s="1"/>
  <c r="P62" i="27"/>
  <c r="AD160" i="19"/>
  <c r="AD315" i="19" s="1"/>
  <c r="AD322" i="19" s="1"/>
  <c r="P302" i="19"/>
  <c r="P319" i="19" s="1"/>
  <c r="R160" i="19"/>
  <c r="R315" i="19" s="1"/>
  <c r="R322" i="19" s="1"/>
  <c r="AP14" i="25"/>
  <c r="K62" i="27"/>
  <c r="AI160" i="19"/>
  <c r="AI315" i="19" s="1"/>
  <c r="AI322" i="19" s="1"/>
  <c r="Y160" i="19"/>
  <c r="Y315" i="19" s="1"/>
  <c r="Y322" i="19" s="1"/>
  <c r="W160" i="19"/>
  <c r="W315" i="19" s="1"/>
  <c r="W322" i="19" s="1"/>
  <c r="AV139" i="19"/>
  <c r="AY139" i="19"/>
  <c r="BC139" i="19"/>
  <c r="BA139" i="19"/>
  <c r="AU139" i="19"/>
  <c r="AZ139" i="19"/>
  <c r="BD139" i="19"/>
  <c r="AW139" i="19"/>
  <c r="BE139" i="19"/>
  <c r="AX139" i="19"/>
  <c r="BB139" i="19"/>
  <c r="BF139" i="19"/>
  <c r="AX141" i="19"/>
  <c r="BF141" i="19"/>
  <c r="AY141" i="19"/>
  <c r="BB141" i="19"/>
  <c r="BG141" i="19"/>
  <c r="BC141" i="19"/>
  <c r="AZ141" i="19"/>
  <c r="BH141" i="19"/>
  <c r="BD141" i="19"/>
  <c r="AW141" i="19"/>
  <c r="BA141" i="19"/>
  <c r="BE141" i="19"/>
  <c r="Q160" i="19"/>
  <c r="Q315" i="19" s="1"/>
  <c r="Q322" i="19" s="1"/>
  <c r="AH160" i="19"/>
  <c r="AH315" i="19" s="1"/>
  <c r="AH322" i="19" s="1"/>
  <c r="BA136" i="19"/>
  <c r="AS136" i="19"/>
  <c r="AW136" i="19"/>
  <c r="BB136" i="19"/>
  <c r="AX136" i="19"/>
  <c r="AU136" i="19"/>
  <c r="AY136" i="19"/>
  <c r="BC136" i="19"/>
  <c r="AR136" i="19"/>
  <c r="AV136" i="19"/>
  <c r="AZ136" i="19"/>
  <c r="AT136" i="19"/>
  <c r="AU132" i="19"/>
  <c r="AQ132" i="19"/>
  <c r="AR132" i="19"/>
  <c r="AW132" i="19"/>
  <c r="AV132" i="19"/>
  <c r="AN132" i="19"/>
  <c r="AX132" i="19"/>
  <c r="AY132" i="19"/>
  <c r="AT132" i="19"/>
  <c r="AP132" i="19"/>
  <c r="AS132" i="19"/>
  <c r="AO132" i="19"/>
  <c r="Z160" i="19"/>
  <c r="Z315" i="19" s="1"/>
  <c r="Z322" i="19" s="1"/>
  <c r="AW14" i="25"/>
  <c r="AW27" i="25" s="1"/>
  <c r="R62" i="27"/>
  <c r="AV14" i="25"/>
  <c r="AV27" i="25" s="1"/>
  <c r="Q62" i="27"/>
  <c r="AM234" i="18" l="1"/>
  <c r="AM243" i="18" s="1"/>
  <c r="AM246" i="18" s="1"/>
  <c r="AM198" i="19" s="1"/>
  <c r="AM200" i="19" s="1"/>
  <c r="AP217" i="19" s="1"/>
  <c r="AP276" i="19" s="1"/>
  <c r="AP21" i="25"/>
  <c r="AP27" i="25"/>
  <c r="AL21" i="25"/>
  <c r="AL27" i="25"/>
  <c r="AQ21" i="25"/>
  <c r="AQ27" i="25"/>
  <c r="AN21" i="25"/>
  <c r="AN27" i="25"/>
  <c r="AR21" i="25"/>
  <c r="AR27" i="25"/>
  <c r="AM21" i="25"/>
  <c r="AM27" i="25"/>
  <c r="N100" i="25"/>
  <c r="N101" i="25"/>
  <c r="AO21" i="25"/>
  <c r="AO27" i="25"/>
  <c r="U20" i="21"/>
  <c r="AL215" i="17"/>
  <c r="AL23" i="23" s="1"/>
  <c r="AK270" i="19"/>
  <c r="AK320" i="19" s="1"/>
  <c r="AK327" i="19" s="1"/>
  <c r="AK14" i="23" s="1"/>
  <c r="U270" i="19"/>
  <c r="U320" i="19" s="1"/>
  <c r="U327" i="19" s="1"/>
  <c r="U14" i="23" s="1"/>
  <c r="X270" i="19"/>
  <c r="X320" i="19" s="1"/>
  <c r="X327" i="19" s="1"/>
  <c r="X14" i="23" s="1"/>
  <c r="AD270" i="19"/>
  <c r="AD320" i="19" s="1"/>
  <c r="AD327" i="19" s="1"/>
  <c r="AD14" i="23" s="1"/>
  <c r="AS21" i="25"/>
  <c r="AS27" i="25"/>
  <c r="AH270" i="19"/>
  <c r="AH320" i="19" s="1"/>
  <c r="AH327" i="19" s="1"/>
  <c r="AH14" i="23" s="1"/>
  <c r="S270" i="19"/>
  <c r="S320" i="19" s="1"/>
  <c r="S327" i="19" s="1"/>
  <c r="S14" i="23" s="1"/>
  <c r="O270" i="19"/>
  <c r="O320" i="19" s="1"/>
  <c r="O327" i="19" s="1"/>
  <c r="O14" i="23" s="1"/>
  <c r="AC270" i="19"/>
  <c r="AC320" i="19" s="1"/>
  <c r="AC327" i="19" s="1"/>
  <c r="AC14" i="23" s="1"/>
  <c r="T270" i="19"/>
  <c r="T320" i="19" s="1"/>
  <c r="T327" i="19" s="1"/>
  <c r="T14" i="23" s="1"/>
  <c r="AM192" i="19"/>
  <c r="AM318" i="19" s="1"/>
  <c r="AM325" i="19" s="1"/>
  <c r="AM20" i="23" s="1"/>
  <c r="O92" i="25" s="1"/>
  <c r="O97" i="25" s="1"/>
  <c r="AY259" i="19"/>
  <c r="BG259" i="19"/>
  <c r="BC257" i="19"/>
  <c r="AX249" i="19"/>
  <c r="AR254" i="19"/>
  <c r="BC259" i="19"/>
  <c r="AT253" i="19"/>
  <c r="AQ251" i="19"/>
  <c r="AX256" i="19"/>
  <c r="AP249" i="19"/>
  <c r="BG258" i="19"/>
  <c r="AS250" i="19"/>
  <c r="BA259" i="19"/>
  <c r="BB256" i="19"/>
  <c r="AX252" i="19"/>
  <c r="AU249" i="19"/>
  <c r="AY252" i="19"/>
  <c r="AU250" i="19"/>
  <c r="AY258" i="19"/>
  <c r="AX253" i="19"/>
  <c r="AR250" i="19"/>
  <c r="AZ259" i="19"/>
  <c r="AP252" i="19"/>
  <c r="AZ256" i="19"/>
  <c r="AV251" i="19"/>
  <c r="AP192" i="19"/>
  <c r="AP318" i="19" s="1"/>
  <c r="AP325" i="19" s="1"/>
  <c r="AP20" i="23" s="1"/>
  <c r="BC256" i="19"/>
  <c r="AO192" i="19"/>
  <c r="AO318" i="19" s="1"/>
  <c r="AO325" i="19" s="1"/>
  <c r="AO20" i="23" s="1"/>
  <c r="AR192" i="19"/>
  <c r="AR318" i="19" s="1"/>
  <c r="AR325" i="19" s="1"/>
  <c r="AR20" i="23" s="1"/>
  <c r="AX251" i="19"/>
  <c r="AS253" i="19"/>
  <c r="AT249" i="19"/>
  <c r="AO250" i="19"/>
  <c r="AP250" i="19"/>
  <c r="AY250" i="19"/>
  <c r="BB257" i="19"/>
  <c r="AT256" i="19"/>
  <c r="AY254" i="19"/>
  <c r="AT252" i="19"/>
  <c r="AP251" i="19"/>
  <c r="AU252" i="19"/>
  <c r="BD257" i="19"/>
  <c r="AY257" i="19"/>
  <c r="AZ257" i="19"/>
  <c r="AW259" i="19"/>
  <c r="BA252" i="19"/>
  <c r="AR249" i="19"/>
  <c r="AV258" i="19"/>
  <c r="AN249" i="19"/>
  <c r="AV253" i="19"/>
  <c r="AU257" i="19"/>
  <c r="AU256" i="19"/>
  <c r="AZ254" i="19"/>
  <c r="AV252" i="19"/>
  <c r="AR251" i="19"/>
  <c r="BD258" i="19"/>
  <c r="BE258" i="19"/>
  <c r="BD256" i="19"/>
  <c r="AZ251" i="19"/>
  <c r="AV254" i="19"/>
  <c r="AS251" i="19"/>
  <c r="AW254" i="19"/>
  <c r="AX254" i="19"/>
  <c r="AS252" i="19"/>
  <c r="BF257" i="19"/>
  <c r="BC258" i="19"/>
  <c r="AW250" i="19"/>
  <c r="AQ252" i="19"/>
  <c r="AX250" i="19"/>
  <c r="AW253" i="19"/>
  <c r="AQ249" i="19"/>
  <c r="AZ258" i="19"/>
  <c r="BH259" i="19"/>
  <c r="AW257" i="19"/>
  <c r="AT186" i="19"/>
  <c r="AT296" i="19" s="1"/>
  <c r="BA186" i="19"/>
  <c r="BA296" i="19" s="1"/>
  <c r="AS186" i="19"/>
  <c r="AS296" i="19" s="1"/>
  <c r="AR253" i="19"/>
  <c r="AX257" i="19"/>
  <c r="AV250" i="19"/>
  <c r="BC254" i="19"/>
  <c r="AY253" i="19"/>
  <c r="AR252" i="19"/>
  <c r="BA257" i="19"/>
  <c r="AT254" i="19"/>
  <c r="AV257" i="19"/>
  <c r="AV256" i="19"/>
  <c r="BA254" i="19"/>
  <c r="AF270" i="19"/>
  <c r="AF320" i="19" s="1"/>
  <c r="AF327" i="19" s="1"/>
  <c r="AF14" i="23" s="1"/>
  <c r="AZ186" i="19"/>
  <c r="AZ296" i="19" s="1"/>
  <c r="AU251" i="19"/>
  <c r="BB258" i="19"/>
  <c r="AN192" i="19"/>
  <c r="AN318" i="19" s="1"/>
  <c r="AN325" i="19" s="1"/>
  <c r="AN20" i="23" s="1"/>
  <c r="AY186" i="19"/>
  <c r="AY296" i="19" s="1"/>
  <c r="AQ192" i="19"/>
  <c r="AQ318" i="19" s="1"/>
  <c r="AQ325" i="19" s="1"/>
  <c r="AQ20" i="23" s="1"/>
  <c r="AZ253" i="19"/>
  <c r="AW256" i="19"/>
  <c r="AS249" i="19"/>
  <c r="AZ252" i="19"/>
  <c r="AO249" i="19"/>
  <c r="BA256" i="19"/>
  <c r="AX259" i="19"/>
  <c r="BB186" i="19"/>
  <c r="BB296" i="19" s="1"/>
  <c r="AX186" i="19"/>
  <c r="AX296" i="19" s="1"/>
  <c r="AW186" i="19"/>
  <c r="AW296" i="19" s="1"/>
  <c r="BE256" i="19"/>
  <c r="BB259" i="19"/>
  <c r="AU253" i="19"/>
  <c r="AW249" i="19"/>
  <c r="AX258" i="19"/>
  <c r="BF259" i="19"/>
  <c r="AO251" i="19"/>
  <c r="BA258" i="19"/>
  <c r="BE257" i="19"/>
  <c r="BD186" i="19"/>
  <c r="BD296" i="19" s="1"/>
  <c r="AV186" i="19"/>
  <c r="AV296" i="19" s="1"/>
  <c r="BA253" i="19"/>
  <c r="AM249" i="19"/>
  <c r="AY256" i="19"/>
  <c r="BD259" i="19"/>
  <c r="BB253" i="19"/>
  <c r="AV249" i="19"/>
  <c r="AW258" i="19"/>
  <c r="BE259" i="19"/>
  <c r="BC186" i="19"/>
  <c r="BC296" i="19" s="1"/>
  <c r="AU186" i="19"/>
  <c r="AU296" i="19" s="1"/>
  <c r="AW252" i="19"/>
  <c r="AY251" i="19"/>
  <c r="AN250" i="19"/>
  <c r="AU254" i="19"/>
  <c r="AQ253" i="19"/>
  <c r="AT251" i="19"/>
  <c r="AQ250" i="19"/>
  <c r="BF258" i="19"/>
  <c r="AW251" i="19"/>
  <c r="AT250" i="19"/>
  <c r="AS254" i="19"/>
  <c r="BB254" i="19"/>
  <c r="AA326" i="19"/>
  <c r="AA13" i="23" s="1"/>
  <c r="R326" i="19"/>
  <c r="R13" i="23" s="1"/>
  <c r="Z326" i="19"/>
  <c r="Z13" i="23" s="1"/>
  <c r="AJ326" i="19"/>
  <c r="AJ13" i="23" s="1"/>
  <c r="AG326" i="19"/>
  <c r="AG13" i="23" s="1"/>
  <c r="O326" i="19"/>
  <c r="O13" i="23" s="1"/>
  <c r="AK326" i="19"/>
  <c r="AK13" i="23" s="1"/>
  <c r="Y326" i="19"/>
  <c r="Y13" i="23" s="1"/>
  <c r="T326" i="19"/>
  <c r="T13" i="23" s="1"/>
  <c r="P326" i="19"/>
  <c r="P13" i="23" s="1"/>
  <c r="N327" i="19"/>
  <c r="N14" i="23" s="1"/>
  <c r="S326" i="19"/>
  <c r="S13" i="23" s="1"/>
  <c r="AB326" i="19"/>
  <c r="AB13" i="23" s="1"/>
  <c r="AH326" i="19"/>
  <c r="AH13" i="23" s="1"/>
  <c r="AE327" i="19"/>
  <c r="AE14" i="23" s="1"/>
  <c r="AF326" i="19"/>
  <c r="AF13" i="23" s="1"/>
  <c r="Q326" i="19"/>
  <c r="Q13" i="23" s="1"/>
  <c r="U326" i="19"/>
  <c r="U13" i="23" s="1"/>
  <c r="AE326" i="19"/>
  <c r="AE13" i="23" s="1"/>
  <c r="AC326" i="19"/>
  <c r="AC13" i="23" s="1"/>
  <c r="AD326" i="19"/>
  <c r="AD13" i="23" s="1"/>
  <c r="W326" i="19"/>
  <c r="W13" i="23" s="1"/>
  <c r="AI326" i="19"/>
  <c r="AI13" i="23" s="1"/>
  <c r="N326" i="19"/>
  <c r="N13" i="23" s="1"/>
  <c r="V326" i="19"/>
  <c r="V13" i="23" s="1"/>
  <c r="AJ327" i="19"/>
  <c r="AJ14" i="23" s="1"/>
  <c r="X326" i="19"/>
  <c r="X13" i="23" s="1"/>
  <c r="AY27" i="18"/>
  <c r="AY157" i="18" s="1"/>
  <c r="AY33" i="18"/>
  <c r="AY163" i="18" s="1"/>
  <c r="AY30" i="18"/>
  <c r="AY160" i="18" s="1"/>
  <c r="AY34" i="18"/>
  <c r="AY164" i="18" s="1"/>
  <c r="AY28" i="18"/>
  <c r="AY158" i="18" s="1"/>
  <c r="AY32" i="18"/>
  <c r="AY162" i="18" s="1"/>
  <c r="AY31" i="18"/>
  <c r="AY161" i="18" s="1"/>
  <c r="AY35" i="18"/>
  <c r="AY165" i="18" s="1"/>
  <c r="AY36" i="18"/>
  <c r="AY166" i="18" s="1"/>
  <c r="AY37" i="18"/>
  <c r="AY167" i="18" s="1"/>
  <c r="AY29" i="18"/>
  <c r="AY159" i="18" s="1"/>
  <c r="AY38" i="18"/>
  <c r="AY168" i="18" s="1"/>
  <c r="N35" i="25"/>
  <c r="N40" i="25" s="1"/>
  <c r="O316" i="19"/>
  <c r="O323" i="19" s="1"/>
  <c r="O22" i="23" s="1"/>
  <c r="O24" i="23" s="1"/>
  <c r="O35" i="25" s="1"/>
  <c r="O40" i="25" s="1"/>
  <c r="AA19" i="23"/>
  <c r="AA15" i="25" s="1"/>
  <c r="AA22" i="25" s="1"/>
  <c r="AB20" i="21"/>
  <c r="V270" i="19"/>
  <c r="V320" i="19" s="1"/>
  <c r="P270" i="19"/>
  <c r="P320" i="19" s="1"/>
  <c r="AP234" i="18"/>
  <c r="AP243" i="18" s="1"/>
  <c r="AP246" i="18" s="1"/>
  <c r="AP198" i="19" s="1"/>
  <c r="AP200" i="19" s="1"/>
  <c r="AY220" i="19" s="1"/>
  <c r="AY279" i="19" s="1"/>
  <c r="AO203" i="17"/>
  <c r="AO212" i="17" s="1"/>
  <c r="AO215" i="17" s="1"/>
  <c r="AO23" i="23" s="1"/>
  <c r="AN203" i="17"/>
  <c r="AN212" i="17" s="1"/>
  <c r="AN215" i="17" s="1"/>
  <c r="AN23" i="23" s="1"/>
  <c r="AO234" i="18"/>
  <c r="AO243" i="18" s="1"/>
  <c r="AO246" i="18" s="1"/>
  <c r="AO198" i="19" s="1"/>
  <c r="AO200" i="19" s="1"/>
  <c r="AY219" i="19" s="1"/>
  <c r="AY278" i="19" s="1"/>
  <c r="Q270" i="19"/>
  <c r="Q320" i="19" s="1"/>
  <c r="AQ234" i="18"/>
  <c r="AQ243" i="18" s="1"/>
  <c r="AQ246" i="18" s="1"/>
  <c r="AQ198" i="19" s="1"/>
  <c r="AQ200" i="19" s="1"/>
  <c r="AQ221" i="19" s="1"/>
  <c r="AQ280" i="19" s="1"/>
  <c r="AH316" i="19"/>
  <c r="AH323" i="19" s="1"/>
  <c r="AH22" i="23" s="1"/>
  <c r="AH24" i="23" s="1"/>
  <c r="AH35" i="25" s="1"/>
  <c r="AH40" i="25" s="1"/>
  <c r="R270" i="19"/>
  <c r="R320" i="19" s="1"/>
  <c r="AR234" i="18"/>
  <c r="AR243" i="18" s="1"/>
  <c r="AR246" i="18" s="1"/>
  <c r="AR198" i="19" s="1"/>
  <c r="AR200" i="19" s="1"/>
  <c r="AR222" i="19" s="1"/>
  <c r="AR281" i="19" s="1"/>
  <c r="AN234" i="18"/>
  <c r="AN243" i="18" s="1"/>
  <c r="AN246" i="18" s="1"/>
  <c r="AN198" i="19" s="1"/>
  <c r="AN200" i="19" s="1"/>
  <c r="AX218" i="19" s="1"/>
  <c r="AX277" i="19" s="1"/>
  <c r="U316" i="19"/>
  <c r="U323" i="19" s="1"/>
  <c r="U22" i="23" s="1"/>
  <c r="U24" i="23" s="1"/>
  <c r="U35" i="25" s="1"/>
  <c r="U40" i="25" s="1"/>
  <c r="AU203" i="17"/>
  <c r="AU212" i="17" s="1"/>
  <c r="AU215" i="17" s="1"/>
  <c r="AU23" i="23" s="1"/>
  <c r="AF316" i="19"/>
  <c r="AF323" i="19" s="1"/>
  <c r="AF22" i="23" s="1"/>
  <c r="AF24" i="23" s="1"/>
  <c r="AF35" i="25" s="1"/>
  <c r="AF40" i="25" s="1"/>
  <c r="AS234" i="18"/>
  <c r="AS243" i="18" s="1"/>
  <c r="AS246" i="18" s="1"/>
  <c r="AS198" i="19" s="1"/>
  <c r="AS200" i="19" s="1"/>
  <c r="BA223" i="19" s="1"/>
  <c r="BA282" i="19" s="1"/>
  <c r="AR203" i="17"/>
  <c r="AR212" i="17" s="1"/>
  <c r="AR215" i="17" s="1"/>
  <c r="AR23" i="23" s="1"/>
  <c r="AE316" i="19"/>
  <c r="AE323" i="19" s="1"/>
  <c r="AE22" i="23" s="1"/>
  <c r="AE24" i="23" s="1"/>
  <c r="AE35" i="25" s="1"/>
  <c r="AE40" i="25" s="1"/>
  <c r="AC316" i="19"/>
  <c r="AC323" i="19" s="1"/>
  <c r="AC22" i="23" s="1"/>
  <c r="AC24" i="23" s="1"/>
  <c r="AC35" i="25" s="1"/>
  <c r="AC40" i="25" s="1"/>
  <c r="AU234" i="18"/>
  <c r="AU243" i="18" s="1"/>
  <c r="AU246" i="18" s="1"/>
  <c r="AU198" i="19" s="1"/>
  <c r="AU200" i="19" s="1"/>
  <c r="BF225" i="19" s="1"/>
  <c r="BF284" i="19" s="1"/>
  <c r="AW203" i="17"/>
  <c r="AW212" i="17" s="1"/>
  <c r="AW215" i="17" s="1"/>
  <c r="AW23" i="23" s="1"/>
  <c r="AS203" i="17"/>
  <c r="AS212" i="17" s="1"/>
  <c r="AS215" i="17" s="1"/>
  <c r="AS23" i="23" s="1"/>
  <c r="AT203" i="17"/>
  <c r="AT212" i="17" s="1"/>
  <c r="AT215" i="17" s="1"/>
  <c r="AT23" i="23" s="1"/>
  <c r="W270" i="19"/>
  <c r="W320" i="19" s="1"/>
  <c r="AQ203" i="17"/>
  <c r="AQ212" i="17" s="1"/>
  <c r="AQ215" i="17" s="1"/>
  <c r="AQ23" i="23" s="1"/>
  <c r="T316" i="19"/>
  <c r="T323" i="19" s="1"/>
  <c r="T22" i="23" s="1"/>
  <c r="T24" i="23" s="1"/>
  <c r="T35" i="25" s="1"/>
  <c r="T40" i="25" s="1"/>
  <c r="AT234" i="18"/>
  <c r="AT243" i="18" s="1"/>
  <c r="AT246" i="18" s="1"/>
  <c r="AT198" i="19" s="1"/>
  <c r="AT200" i="19" s="1"/>
  <c r="AY224" i="19" s="1"/>
  <c r="AY283" i="19" s="1"/>
  <c r="Y270" i="19"/>
  <c r="Y320" i="19" s="1"/>
  <c r="AW234" i="18"/>
  <c r="AW243" i="18" s="1"/>
  <c r="AW246" i="18" s="1"/>
  <c r="AW198" i="19" s="1"/>
  <c r="AW200" i="19" s="1"/>
  <c r="AY227" i="19" s="1"/>
  <c r="AY286" i="19" s="1"/>
  <c r="AK316" i="19"/>
  <c r="AK323" i="19" s="1"/>
  <c r="AK22" i="23" s="1"/>
  <c r="AK24" i="23" s="1"/>
  <c r="AK35" i="25" s="1"/>
  <c r="AP203" i="17"/>
  <c r="AP212" i="17" s="1"/>
  <c r="AP215" i="17" s="1"/>
  <c r="AP23" i="23" s="1"/>
  <c r="AJ316" i="19"/>
  <c r="AJ323" i="19" s="1"/>
  <c r="AJ22" i="23" s="1"/>
  <c r="AJ24" i="23" s="1"/>
  <c r="AJ35" i="25" s="1"/>
  <c r="AJ40" i="25" s="1"/>
  <c r="AG270" i="19"/>
  <c r="AG320" i="19" s="1"/>
  <c r="AB270" i="19"/>
  <c r="AB320" i="19" s="1"/>
  <c r="AV203" i="17"/>
  <c r="AV212" i="17" s="1"/>
  <c r="AV215" i="17" s="1"/>
  <c r="AV23" i="23" s="1"/>
  <c r="X316" i="19"/>
  <c r="X323" i="19" s="1"/>
  <c r="X22" i="23" s="1"/>
  <c r="X24" i="23" s="1"/>
  <c r="X35" i="25" s="1"/>
  <c r="X40" i="25" s="1"/>
  <c r="AV234" i="18"/>
  <c r="AV243" i="18" s="1"/>
  <c r="AV246" i="18" s="1"/>
  <c r="AV198" i="19" s="1"/>
  <c r="AV200" i="19" s="1"/>
  <c r="BD226" i="19" s="1"/>
  <c r="BD285" i="19" s="1"/>
  <c r="AD316" i="19"/>
  <c r="AD323" i="19" s="1"/>
  <c r="AD22" i="23" s="1"/>
  <c r="AD24" i="23" s="1"/>
  <c r="AD35" i="25" s="1"/>
  <c r="AD40" i="25" s="1"/>
  <c r="S316" i="19"/>
  <c r="S323" i="19" s="1"/>
  <c r="S22" i="23" s="1"/>
  <c r="S24" i="23" s="1"/>
  <c r="S35" i="25" s="1"/>
  <c r="S40" i="25" s="1"/>
  <c r="AU217" i="19"/>
  <c r="AU276" i="19" s="1"/>
  <c r="AT217" i="19"/>
  <c r="AT276" i="19" s="1"/>
  <c r="AM217" i="19"/>
  <c r="AM276" i="19" s="1"/>
  <c r="AR217" i="19"/>
  <c r="AR276" i="19" s="1"/>
  <c r="AW217" i="19"/>
  <c r="AW276" i="19" s="1"/>
  <c r="AV217" i="19"/>
  <c r="AV276" i="19" s="1"/>
  <c r="AS217" i="19"/>
  <c r="AS276" i="19" s="1"/>
  <c r="AN217" i="19"/>
  <c r="AN276" i="19" s="1"/>
  <c r="AO217" i="19"/>
  <c r="AO276" i="19" s="1"/>
  <c r="AX217" i="19"/>
  <c r="AX276" i="19" s="1"/>
  <c r="AN148" i="19"/>
  <c r="AV152" i="19"/>
  <c r="AS152" i="19"/>
  <c r="BH157" i="19"/>
  <c r="AU155" i="19"/>
  <c r="Y20" i="21"/>
  <c r="Y19" i="23"/>
  <c r="Y15" i="25" s="1"/>
  <c r="Y22" i="25" s="1"/>
  <c r="AD19" i="23"/>
  <c r="AD15" i="25" s="1"/>
  <c r="AD22" i="25" s="1"/>
  <c r="AD20" i="21"/>
  <c r="X19" i="23"/>
  <c r="X15" i="25" s="1"/>
  <c r="X22" i="25" s="1"/>
  <c r="X20" i="21"/>
  <c r="AU146" i="19"/>
  <c r="AU230" i="19" s="1"/>
  <c r="AU143" i="19"/>
  <c r="AQ146" i="19"/>
  <c r="AQ143" i="19"/>
  <c r="AZ150" i="19"/>
  <c r="AZ154" i="19"/>
  <c r="AY13" i="14"/>
  <c r="AY15" i="14" s="1"/>
  <c r="AY26" i="14" s="1"/>
  <c r="AY28" i="14" s="1"/>
  <c r="AY43" i="14"/>
  <c r="AY45" i="14" s="1"/>
  <c r="AY50" i="14" s="1"/>
  <c r="AY52" i="14" s="1"/>
  <c r="AY57" i="14" s="1"/>
  <c r="AS147" i="19"/>
  <c r="AC20" i="21"/>
  <c r="AC19" i="23"/>
  <c r="AC15" i="25" s="1"/>
  <c r="AC22" i="25" s="1"/>
  <c r="AW153" i="19"/>
  <c r="AX151" i="19"/>
  <c r="AV156" i="19"/>
  <c r="AS216" i="19"/>
  <c r="AN216" i="19"/>
  <c r="AR216" i="19"/>
  <c r="AU216" i="19"/>
  <c r="AT216" i="19"/>
  <c r="AQ216" i="19"/>
  <c r="AV216" i="19"/>
  <c r="AO216" i="19"/>
  <c r="AP216" i="19"/>
  <c r="AM216" i="19"/>
  <c r="AL216" i="19"/>
  <c r="AL261" i="19" s="1"/>
  <c r="AL268" i="19" s="1"/>
  <c r="AW216" i="19"/>
  <c r="AP149" i="19"/>
  <c r="AW149" i="19"/>
  <c r="AV148" i="19"/>
  <c r="AR152" i="19"/>
  <c r="BA152" i="19"/>
  <c r="AZ157" i="19"/>
  <c r="BF155" i="19"/>
  <c r="BA155" i="19"/>
  <c r="AJ20" i="21"/>
  <c r="AJ19" i="23"/>
  <c r="AJ15" i="25" s="1"/>
  <c r="AJ22" i="25" s="1"/>
  <c r="AM146" i="19"/>
  <c r="AM230" i="19" s="1"/>
  <c r="AM143" i="19"/>
  <c r="AV146" i="19"/>
  <c r="AV230" i="19" s="1"/>
  <c r="AV143" i="19"/>
  <c r="AU150" i="19"/>
  <c r="BD154" i="19"/>
  <c r="AN147" i="19"/>
  <c r="AO147" i="19"/>
  <c r="BB153" i="19"/>
  <c r="AT151" i="19"/>
  <c r="P20" i="21"/>
  <c r="P19" i="23"/>
  <c r="P15" i="25" s="1"/>
  <c r="P22" i="25" s="1"/>
  <c r="BC156" i="19"/>
  <c r="AQ149" i="19"/>
  <c r="AS149" i="19"/>
  <c r="AO148" i="19"/>
  <c r="AW148" i="19"/>
  <c r="BC152" i="19"/>
  <c r="AH20" i="21"/>
  <c r="AH19" i="23"/>
  <c r="AH15" i="25" s="1"/>
  <c r="AH22" i="25" s="1"/>
  <c r="BC157" i="19"/>
  <c r="BB155" i="19"/>
  <c r="BC155" i="19"/>
  <c r="AI19" i="23"/>
  <c r="AI15" i="25" s="1"/>
  <c r="AI22" i="25" s="1"/>
  <c r="AI20" i="21"/>
  <c r="AI316" i="19"/>
  <c r="AI323" i="19" s="1"/>
  <c r="AI22" i="23" s="1"/>
  <c r="AI24" i="23" s="1"/>
  <c r="AI35" i="25" s="1"/>
  <c r="AI40" i="25" s="1"/>
  <c r="AI270" i="19"/>
  <c r="AI320" i="19" s="1"/>
  <c r="AA316" i="19"/>
  <c r="AA323" i="19" s="1"/>
  <c r="AA22" i="23" s="1"/>
  <c r="AA24" i="23" s="1"/>
  <c r="AA35" i="25" s="1"/>
  <c r="AA40" i="25" s="1"/>
  <c r="AA270" i="19"/>
  <c r="AA320" i="19" s="1"/>
  <c r="AT146" i="19"/>
  <c r="AT230" i="19" s="1"/>
  <c r="AT143" i="19"/>
  <c r="AN146" i="19"/>
  <c r="AN230" i="19" s="1"/>
  <c r="AN143" i="19"/>
  <c r="AV150" i="19"/>
  <c r="AX154" i="19"/>
  <c r="AQ147" i="19"/>
  <c r="AR147" i="19"/>
  <c r="V20" i="21"/>
  <c r="V19" i="23"/>
  <c r="V15" i="25" s="1"/>
  <c r="V22" i="25" s="1"/>
  <c r="BD153" i="19"/>
  <c r="AR151" i="19"/>
  <c r="AW151" i="19"/>
  <c r="BB156" i="19"/>
  <c r="AT149" i="19"/>
  <c r="AY149" i="19"/>
  <c r="AS148" i="19"/>
  <c r="AR148" i="19"/>
  <c r="Q20" i="21"/>
  <c r="Q19" i="23"/>
  <c r="Q15" i="25" s="1"/>
  <c r="Q22" i="25" s="1"/>
  <c r="BG157" i="19"/>
  <c r="AY155" i="19"/>
  <c r="BE177" i="15"/>
  <c r="BB177" i="15"/>
  <c r="BC177" i="15"/>
  <c r="BD177" i="15"/>
  <c r="BF177" i="15"/>
  <c r="BG177" i="15"/>
  <c r="BH177" i="15"/>
  <c r="BI177" i="15"/>
  <c r="AT27" i="25"/>
  <c r="AT21" i="25"/>
  <c r="AZ56" i="14"/>
  <c r="AZ59" i="14" s="1"/>
  <c r="AZ65" i="14" s="1"/>
  <c r="AZ67" i="14" s="1"/>
  <c r="AZ155" i="15" s="1"/>
  <c r="AZ34" i="14"/>
  <c r="AZ36" i="14" s="1"/>
  <c r="AL146" i="19"/>
  <c r="AL230" i="19" s="1"/>
  <c r="AL143" i="19"/>
  <c r="AP146" i="19"/>
  <c r="AP230" i="19" s="1"/>
  <c r="AP143" i="19"/>
  <c r="AS150" i="19"/>
  <c r="BB154" i="19"/>
  <c r="AV154" i="19"/>
  <c r="AX147" i="19"/>
  <c r="AV147" i="19"/>
  <c r="O19" i="23"/>
  <c r="O15" i="25" s="1"/>
  <c r="O22" i="25" s="1"/>
  <c r="O20" i="21"/>
  <c r="AS153" i="19"/>
  <c r="AT153" i="19"/>
  <c r="AV151" i="19"/>
  <c r="BA151" i="19"/>
  <c r="BE156" i="19"/>
  <c r="BF156" i="19"/>
  <c r="AU149" i="19"/>
  <c r="AK19" i="23"/>
  <c r="AK15" i="25" s="1"/>
  <c r="AK20" i="21"/>
  <c r="AY152" i="19"/>
  <c r="AX155" i="19"/>
  <c r="AP148" i="19"/>
  <c r="AQ148" i="19"/>
  <c r="AU152" i="19"/>
  <c r="BE157" i="19"/>
  <c r="BB157" i="19"/>
  <c r="BE155" i="19"/>
  <c r="AV155" i="19"/>
  <c r="AW146" i="19"/>
  <c r="AW230" i="19" s="1"/>
  <c r="AW143" i="19"/>
  <c r="AY150" i="19"/>
  <c r="AT150" i="19"/>
  <c r="AU154" i="19"/>
  <c r="AY154" i="19"/>
  <c r="AU147" i="19"/>
  <c r="AP147" i="19"/>
  <c r="AU153" i="19"/>
  <c r="AV153" i="19"/>
  <c r="AY151" i="19"/>
  <c r="AS151" i="19"/>
  <c r="BG156" i="19"/>
  <c r="BA156" i="19"/>
  <c r="AR149" i="19"/>
  <c r="N20" i="21"/>
  <c r="N22" i="21" s="1"/>
  <c r="O18" i="21" s="1"/>
  <c r="N19" i="23"/>
  <c r="AT148" i="19"/>
  <c r="AU148" i="19"/>
  <c r="AX152" i="19"/>
  <c r="BA157" i="19"/>
  <c r="AY157" i="19"/>
  <c r="AW155" i="19"/>
  <c r="AS146" i="19"/>
  <c r="AS230" i="19" s="1"/>
  <c r="AS143" i="19"/>
  <c r="AP150" i="19"/>
  <c r="AW150" i="19"/>
  <c r="BE154" i="19"/>
  <c r="BC154" i="19"/>
  <c r="AM147" i="19"/>
  <c r="AZ153" i="19"/>
  <c r="BA153" i="19"/>
  <c r="AU151" i="19"/>
  <c r="AZ151" i="19"/>
  <c r="AW156" i="19"/>
  <c r="AX156" i="19"/>
  <c r="BA8" i="23"/>
  <c r="BA12" i="25" s="1"/>
  <c r="BA25" i="25" s="1"/>
  <c r="BA154" i="15"/>
  <c r="BA157" i="15" s="1"/>
  <c r="BA11" i="21"/>
  <c r="BA99" i="15"/>
  <c r="AV149" i="19"/>
  <c r="AY148" i="19"/>
  <c r="AT152" i="19"/>
  <c r="BB152" i="19"/>
  <c r="AW157" i="19"/>
  <c r="BF157" i="19"/>
  <c r="BD155" i="19"/>
  <c r="R20" i="21"/>
  <c r="R19" i="23"/>
  <c r="R15" i="25" s="1"/>
  <c r="R22" i="25" s="1"/>
  <c r="T19" i="23"/>
  <c r="T15" i="25" s="1"/>
  <c r="T22" i="25" s="1"/>
  <c r="T20" i="21"/>
  <c r="BB131" i="15"/>
  <c r="BB191" i="15" s="1"/>
  <c r="BC131" i="15"/>
  <c r="BC191" i="15" s="1"/>
  <c r="BD131" i="15"/>
  <c r="BD191" i="15" s="1"/>
  <c r="BE131" i="15"/>
  <c r="BE191" i="15" s="1"/>
  <c r="BF131" i="15"/>
  <c r="BF191" i="15" s="1"/>
  <c r="BG131" i="15"/>
  <c r="BG191" i="15" s="1"/>
  <c r="BH131" i="15"/>
  <c r="BH191" i="15" s="1"/>
  <c r="BI131" i="15"/>
  <c r="BI191" i="15" s="1"/>
  <c r="AF19" i="23"/>
  <c r="AF15" i="25" s="1"/>
  <c r="AF22" i="25" s="1"/>
  <c r="AF20" i="21"/>
  <c r="AE19" i="23"/>
  <c r="AE15" i="25" s="1"/>
  <c r="AE22" i="25" s="1"/>
  <c r="AE20" i="21"/>
  <c r="AO146" i="19"/>
  <c r="AO230" i="19" s="1"/>
  <c r="AO143" i="19"/>
  <c r="AQ150" i="19"/>
  <c r="BA150" i="19"/>
  <c r="BA154" i="19"/>
  <c r="AT154" i="19"/>
  <c r="AT147" i="19"/>
  <c r="AY153" i="19"/>
  <c r="BC153" i="19"/>
  <c r="AQ151" i="19"/>
  <c r="AY156" i="19"/>
  <c r="AZ156" i="19"/>
  <c r="AZ149" i="19"/>
  <c r="Z19" i="23"/>
  <c r="Z20" i="21"/>
  <c r="AX148" i="19"/>
  <c r="AZ152" i="19"/>
  <c r="AW152" i="19"/>
  <c r="BD157" i="19"/>
  <c r="AX157" i="19"/>
  <c r="AZ155" i="19"/>
  <c r="W19" i="23"/>
  <c r="W15" i="25" s="1"/>
  <c r="W22" i="25" s="1"/>
  <c r="W20" i="21"/>
  <c r="I74" i="27"/>
  <c r="P52" i="25" s="1"/>
  <c r="H74" i="27"/>
  <c r="O52" i="25" s="1"/>
  <c r="G74" i="27"/>
  <c r="N52" i="25" s="1"/>
  <c r="R74" i="27"/>
  <c r="Y52" i="25" s="1"/>
  <c r="Y64" i="25" s="1"/>
  <c r="N74" i="27"/>
  <c r="U52" i="25" s="1"/>
  <c r="K74" i="27"/>
  <c r="R52" i="25" s="1"/>
  <c r="O74" i="27"/>
  <c r="Q74" i="27"/>
  <c r="X52" i="25" s="1"/>
  <c r="X64" i="25" s="1"/>
  <c r="L74" i="27"/>
  <c r="S52" i="25" s="1"/>
  <c r="P74" i="27"/>
  <c r="W52" i="25" s="1"/>
  <c r="W64" i="25" s="1"/>
  <c r="J74" i="27"/>
  <c r="Q52" i="25" s="1"/>
  <c r="Z316" i="19"/>
  <c r="Z323" i="19" s="1"/>
  <c r="Z22" i="23" s="1"/>
  <c r="Z24" i="23" s="1"/>
  <c r="Z270" i="19"/>
  <c r="Z320" i="19" s="1"/>
  <c r="S19" i="23"/>
  <c r="S15" i="25" s="1"/>
  <c r="S22" i="25" s="1"/>
  <c r="S20" i="21"/>
  <c r="AR146" i="19"/>
  <c r="AR230" i="19" s="1"/>
  <c r="AR143" i="19"/>
  <c r="AX150" i="19"/>
  <c r="AR150" i="19"/>
  <c r="AW154" i="19"/>
  <c r="AX5" i="14"/>
  <c r="AX5" i="25"/>
  <c r="AX5" i="21"/>
  <c r="AX5" i="23"/>
  <c r="AX5" i="19"/>
  <c r="AX5" i="18"/>
  <c r="AX5" i="17"/>
  <c r="AX5" i="12"/>
  <c r="AX5" i="15"/>
  <c r="AW147" i="19"/>
  <c r="M74" i="27"/>
  <c r="T52" i="25" s="1"/>
  <c r="AX153" i="19"/>
  <c r="BB151" i="19"/>
  <c r="AG19" i="23"/>
  <c r="AG15" i="25" s="1"/>
  <c r="AG22" i="25" s="1"/>
  <c r="AG20" i="21"/>
  <c r="BD156" i="19"/>
  <c r="AX149" i="19"/>
  <c r="AO149" i="19"/>
  <c r="AQ217" i="19" l="1"/>
  <c r="AQ276" i="19" s="1"/>
  <c r="O58" i="25"/>
  <c r="O64" i="25"/>
  <c r="AK40" i="25"/>
  <c r="AK44" i="25"/>
  <c r="R58" i="25"/>
  <c r="R64" i="25"/>
  <c r="N58" i="25"/>
  <c r="N64" i="25"/>
  <c r="S58" i="25"/>
  <c r="S64" i="25"/>
  <c r="P58" i="25"/>
  <c r="P64" i="25"/>
  <c r="O100" i="25"/>
  <c r="O101" i="25"/>
  <c r="Q58" i="25"/>
  <c r="Q64" i="25"/>
  <c r="AK22" i="25"/>
  <c r="AK28" i="25"/>
  <c r="T58" i="25"/>
  <c r="T64" i="25"/>
  <c r="V52" i="25"/>
  <c r="V64" i="25" s="1"/>
  <c r="U58" i="25"/>
  <c r="U64" i="25"/>
  <c r="P92" i="25"/>
  <c r="P97" i="25" s="1"/>
  <c r="AS192" i="19"/>
  <c r="AS318" i="19" s="1"/>
  <c r="AS325" i="19" s="1"/>
  <c r="AS20" i="23" s="1"/>
  <c r="U92" i="25" s="1"/>
  <c r="U97" i="25" s="1"/>
  <c r="Q92" i="25"/>
  <c r="Q97" i="25" s="1"/>
  <c r="T92" i="25"/>
  <c r="T97" i="25" s="1"/>
  <c r="S92" i="25"/>
  <c r="S97" i="25" s="1"/>
  <c r="R92" i="25"/>
  <c r="R97" i="25" s="1"/>
  <c r="AS255" i="19"/>
  <c r="AW192" i="19"/>
  <c r="AW318" i="19" s="1"/>
  <c r="AW325" i="19" s="1"/>
  <c r="AW20" i="23" s="1"/>
  <c r="AU192" i="19"/>
  <c r="AU318" i="19" s="1"/>
  <c r="AU325" i="19" s="1"/>
  <c r="AU20" i="23" s="1"/>
  <c r="BA255" i="19"/>
  <c r="AM261" i="19"/>
  <c r="AM268" i="19" s="1"/>
  <c r="AW255" i="19"/>
  <c r="AT192" i="19"/>
  <c r="AT318" i="19" s="1"/>
  <c r="AT325" i="19" s="1"/>
  <c r="AT20" i="23" s="1"/>
  <c r="BD255" i="19"/>
  <c r="AV192" i="19"/>
  <c r="AV318" i="19" s="1"/>
  <c r="AV325" i="19" s="1"/>
  <c r="AV20" i="23" s="1"/>
  <c r="AX255" i="19"/>
  <c r="AT255" i="19"/>
  <c r="AY255" i="19"/>
  <c r="AU255" i="19"/>
  <c r="BC255" i="19"/>
  <c r="AV255" i="19"/>
  <c r="AZ255" i="19"/>
  <c r="BB255" i="19"/>
  <c r="N15" i="23"/>
  <c r="N34" i="25" s="1"/>
  <c r="N39" i="25" s="1"/>
  <c r="T15" i="23"/>
  <c r="T34" i="25" s="1"/>
  <c r="T39" i="25" s="1"/>
  <c r="AD15" i="23"/>
  <c r="AD34" i="25" s="1"/>
  <c r="AD39" i="25" s="1"/>
  <c r="AF15" i="23"/>
  <c r="AF34" i="25" s="1"/>
  <c r="AF39" i="25" s="1"/>
  <c r="AH15" i="23"/>
  <c r="AH34" i="25" s="1"/>
  <c r="AH39" i="25" s="1"/>
  <c r="S15" i="23"/>
  <c r="S34" i="25" s="1"/>
  <c r="S39" i="25" s="1"/>
  <c r="AC15" i="23"/>
  <c r="AC34" i="25" s="1"/>
  <c r="AC39" i="25" s="1"/>
  <c r="U15" i="23"/>
  <c r="U34" i="25" s="1"/>
  <c r="U39" i="25" s="1"/>
  <c r="AJ15" i="23"/>
  <c r="AJ34" i="25" s="1"/>
  <c r="AJ39" i="25" s="1"/>
  <c r="X15" i="23"/>
  <c r="X34" i="25" s="1"/>
  <c r="X39" i="25" s="1"/>
  <c r="AE15" i="23"/>
  <c r="AE34" i="25" s="1"/>
  <c r="AE39" i="25" s="1"/>
  <c r="AK15" i="23"/>
  <c r="AK34" i="25" s="1"/>
  <c r="O15" i="23"/>
  <c r="O34" i="25" s="1"/>
  <c r="O39" i="25" s="1"/>
  <c r="W327" i="19"/>
  <c r="W14" i="23" s="1"/>
  <c r="W15" i="23" s="1"/>
  <c r="W34" i="25" s="1"/>
  <c r="W39" i="25" s="1"/>
  <c r="R327" i="19"/>
  <c r="R14" i="23" s="1"/>
  <c r="R15" i="23" s="1"/>
  <c r="R34" i="25" s="1"/>
  <c r="R39" i="25" s="1"/>
  <c r="Z327" i="19"/>
  <c r="Z14" i="23" s="1"/>
  <c r="Z15" i="23" s="1"/>
  <c r="Y327" i="19"/>
  <c r="Y14" i="23" s="1"/>
  <c r="Y15" i="23" s="1"/>
  <c r="Y34" i="25" s="1"/>
  <c r="Y39" i="25" s="1"/>
  <c r="Q327" i="19"/>
  <c r="Q14" i="23" s="1"/>
  <c r="Q15" i="23" s="1"/>
  <c r="Q34" i="25" s="1"/>
  <c r="Q39" i="25" s="1"/>
  <c r="P327" i="19"/>
  <c r="P14" i="23" s="1"/>
  <c r="P15" i="23" s="1"/>
  <c r="AA327" i="19"/>
  <c r="AA14" i="23" s="1"/>
  <c r="AA15" i="23" s="1"/>
  <c r="AA34" i="25" s="1"/>
  <c r="AA39" i="25" s="1"/>
  <c r="V327" i="19"/>
  <c r="V14" i="23" s="1"/>
  <c r="V15" i="23" s="1"/>
  <c r="V34" i="25" s="1"/>
  <c r="V39" i="25" s="1"/>
  <c r="AB327" i="19"/>
  <c r="AB14" i="23" s="1"/>
  <c r="AB15" i="23" s="1"/>
  <c r="AB34" i="25" s="1"/>
  <c r="AB39" i="25" s="1"/>
  <c r="AI327" i="19"/>
  <c r="AI14" i="23" s="1"/>
  <c r="AI15" i="23" s="1"/>
  <c r="AI34" i="25" s="1"/>
  <c r="AI39" i="25" s="1"/>
  <c r="AG327" i="19"/>
  <c r="AG14" i="23" s="1"/>
  <c r="AG15" i="23" s="1"/>
  <c r="AG34" i="25" s="1"/>
  <c r="AG39" i="25" s="1"/>
  <c r="AX30" i="18"/>
  <c r="AX160" i="18" s="1"/>
  <c r="AX33" i="18"/>
  <c r="AX163" i="18" s="1"/>
  <c r="AX38" i="18"/>
  <c r="AX168" i="18" s="1"/>
  <c r="AX35" i="18"/>
  <c r="AX165" i="18" s="1"/>
  <c r="AX31" i="18"/>
  <c r="AX161" i="18" s="1"/>
  <c r="AX34" i="18"/>
  <c r="AX164" i="18" s="1"/>
  <c r="AX37" i="18"/>
  <c r="AX167" i="18" s="1"/>
  <c r="AX32" i="18"/>
  <c r="AX162" i="18" s="1"/>
  <c r="AX29" i="18"/>
  <c r="AX159" i="18" s="1"/>
  <c r="AX36" i="18"/>
  <c r="AX166" i="18" s="1"/>
  <c r="AX28" i="18"/>
  <c r="AX158" i="18" s="1"/>
  <c r="AX27" i="18"/>
  <c r="AX157" i="18" s="1"/>
  <c r="AK30" i="23"/>
  <c r="T30" i="23"/>
  <c r="AC30" i="23"/>
  <c r="AE30" i="23"/>
  <c r="U30" i="23"/>
  <c r="AG30" i="23"/>
  <c r="AF30" i="23"/>
  <c r="AD30" i="23"/>
  <c r="Y30" i="23"/>
  <c r="X30" i="23"/>
  <c r="V30" i="23"/>
  <c r="AH30" i="23"/>
  <c r="Q30" i="23"/>
  <c r="P30" i="23"/>
  <c r="AB30" i="23"/>
  <c r="AI30" i="23"/>
  <c r="Z30" i="23"/>
  <c r="N30" i="23"/>
  <c r="O30" i="23"/>
  <c r="AJ30" i="23"/>
  <c r="AA30" i="23"/>
  <c r="R30" i="23"/>
  <c r="W30" i="23"/>
  <c r="S30" i="23"/>
  <c r="Z35" i="25"/>
  <c r="Z40" i="25" s="1"/>
  <c r="H36" i="27"/>
  <c r="G36" i="27"/>
  <c r="AQ220" i="19"/>
  <c r="AQ279" i="19" s="1"/>
  <c r="AU222" i="19"/>
  <c r="AU281" i="19" s="1"/>
  <c r="AV222" i="19"/>
  <c r="AV281" i="19" s="1"/>
  <c r="BC223" i="19"/>
  <c r="BC282" i="19" s="1"/>
  <c r="AS219" i="19"/>
  <c r="AS278" i="19" s="1"/>
  <c r="AZ223" i="19"/>
  <c r="AZ282" i="19" s="1"/>
  <c r="AW223" i="19"/>
  <c r="AW282" i="19" s="1"/>
  <c r="AU220" i="19"/>
  <c r="AU279" i="19" s="1"/>
  <c r="AS220" i="19"/>
  <c r="AS279" i="19" s="1"/>
  <c r="AU223" i="19"/>
  <c r="AU282" i="19" s="1"/>
  <c r="AS223" i="19"/>
  <c r="AS282" i="19" s="1"/>
  <c r="AP220" i="19"/>
  <c r="AP279" i="19" s="1"/>
  <c r="BB223" i="19"/>
  <c r="BB282" i="19" s="1"/>
  <c r="AT220" i="19"/>
  <c r="AT279" i="19" s="1"/>
  <c r="AY223" i="19"/>
  <c r="AY282" i="19" s="1"/>
  <c r="AW220" i="19"/>
  <c r="AW279" i="19" s="1"/>
  <c r="AT223" i="19"/>
  <c r="AT282" i="19" s="1"/>
  <c r="AR220" i="19"/>
  <c r="AR279" i="19" s="1"/>
  <c r="AZ220" i="19"/>
  <c r="AZ279" i="19" s="1"/>
  <c r="BD223" i="19"/>
  <c r="BD282" i="19" s="1"/>
  <c r="AX223" i="19"/>
  <c r="AX282" i="19" s="1"/>
  <c r="AX220" i="19"/>
  <c r="AX279" i="19" s="1"/>
  <c r="AV220" i="19"/>
  <c r="AV279" i="19" s="1"/>
  <c r="AV223" i="19"/>
  <c r="AV282" i="19" s="1"/>
  <c r="BA220" i="19"/>
  <c r="BA279" i="19" s="1"/>
  <c r="AT219" i="19"/>
  <c r="AT278" i="19" s="1"/>
  <c r="AQ219" i="19"/>
  <c r="AQ278" i="19" s="1"/>
  <c r="AW219" i="19"/>
  <c r="AW278" i="19" s="1"/>
  <c r="AX219" i="19"/>
  <c r="AX278" i="19" s="1"/>
  <c r="AR219" i="19"/>
  <c r="AR278" i="19" s="1"/>
  <c r="AO219" i="19"/>
  <c r="AO278" i="19" s="1"/>
  <c r="AU225" i="19"/>
  <c r="AU284" i="19" s="1"/>
  <c r="AU219" i="19"/>
  <c r="AU278" i="19" s="1"/>
  <c r="AV219" i="19"/>
  <c r="AV278" i="19" s="1"/>
  <c r="AZ219" i="19"/>
  <c r="AZ278" i="19" s="1"/>
  <c r="BB221" i="19"/>
  <c r="BB280" i="19" s="1"/>
  <c r="AU221" i="19"/>
  <c r="AU280" i="19" s="1"/>
  <c r="AX221" i="19"/>
  <c r="AX280" i="19" s="1"/>
  <c r="AP219" i="19"/>
  <c r="AP278" i="19" s="1"/>
  <c r="AS218" i="19"/>
  <c r="AS277" i="19" s="1"/>
  <c r="AY222" i="19"/>
  <c r="AY281" i="19" s="1"/>
  <c r="BB222" i="19"/>
  <c r="BB281" i="19" s="1"/>
  <c r="AS222" i="19"/>
  <c r="AS281" i="19" s="1"/>
  <c r="AW222" i="19"/>
  <c r="AW281" i="19" s="1"/>
  <c r="BA222" i="19"/>
  <c r="BA281" i="19" s="1"/>
  <c r="AZ222" i="19"/>
  <c r="AZ281" i="19" s="1"/>
  <c r="AT222" i="19"/>
  <c r="AT281" i="19" s="1"/>
  <c r="BC222" i="19"/>
  <c r="BC281" i="19" s="1"/>
  <c r="AX222" i="19"/>
  <c r="AX281" i="19" s="1"/>
  <c r="AW218" i="19"/>
  <c r="AW277" i="19" s="1"/>
  <c r="AO218" i="19"/>
  <c r="AO277" i="19" s="1"/>
  <c r="AR218" i="19"/>
  <c r="AR277" i="19" s="1"/>
  <c r="AU218" i="19"/>
  <c r="AU277" i="19" s="1"/>
  <c r="AY218" i="19"/>
  <c r="AY277" i="19" s="1"/>
  <c r="AP218" i="19"/>
  <c r="AP277" i="19" s="1"/>
  <c r="AQ218" i="19"/>
  <c r="AQ277" i="19" s="1"/>
  <c r="AT218" i="19"/>
  <c r="AT277" i="19" s="1"/>
  <c r="AV218" i="19"/>
  <c r="AV277" i="19" s="1"/>
  <c r="AN218" i="19"/>
  <c r="AN277" i="19" s="1"/>
  <c r="AY221" i="19"/>
  <c r="AY280" i="19" s="1"/>
  <c r="BA221" i="19"/>
  <c r="BA280" i="19" s="1"/>
  <c r="AW221" i="19"/>
  <c r="AW280" i="19" s="1"/>
  <c r="AZ221" i="19"/>
  <c r="AZ280" i="19" s="1"/>
  <c r="AR221" i="19"/>
  <c r="AR280" i="19" s="1"/>
  <c r="AV221" i="19"/>
  <c r="AV280" i="19" s="1"/>
  <c r="AT221" i="19"/>
  <c r="AT280" i="19" s="1"/>
  <c r="BD227" i="19"/>
  <c r="BD286" i="19" s="1"/>
  <c r="AS221" i="19"/>
  <c r="AS280" i="19" s="1"/>
  <c r="AX225" i="19"/>
  <c r="AX284" i="19" s="1"/>
  <c r="BD225" i="19"/>
  <c r="BD284" i="19" s="1"/>
  <c r="AW225" i="19"/>
  <c r="AW284" i="19" s="1"/>
  <c r="BA225" i="19"/>
  <c r="BA284" i="19" s="1"/>
  <c r="BB225" i="19"/>
  <c r="BB284" i="19" s="1"/>
  <c r="AY225" i="19"/>
  <c r="AY284" i="19" s="1"/>
  <c r="BE225" i="19"/>
  <c r="BE284" i="19" s="1"/>
  <c r="AZ225" i="19"/>
  <c r="AZ284" i="19" s="1"/>
  <c r="AV225" i="19"/>
  <c r="AV284" i="19" s="1"/>
  <c r="BC225" i="19"/>
  <c r="BC284" i="19" s="1"/>
  <c r="BC227" i="19"/>
  <c r="BC286" i="19" s="1"/>
  <c r="AX227" i="19"/>
  <c r="AX286" i="19" s="1"/>
  <c r="BB227" i="19"/>
  <c r="BB286" i="19" s="1"/>
  <c r="AW227" i="19"/>
  <c r="AW286" i="19" s="1"/>
  <c r="AZ227" i="19"/>
  <c r="AZ286" i="19" s="1"/>
  <c r="BE227" i="19"/>
  <c r="BE286" i="19" s="1"/>
  <c r="BG227" i="19"/>
  <c r="BG286" i="19" s="1"/>
  <c r="BA227" i="19"/>
  <c r="BA286" i="19" s="1"/>
  <c r="BH227" i="19"/>
  <c r="BH286" i="19" s="1"/>
  <c r="BF227" i="19"/>
  <c r="BF286" i="19" s="1"/>
  <c r="BB226" i="19"/>
  <c r="BB285" i="19" s="1"/>
  <c r="AZ224" i="19"/>
  <c r="AZ283" i="19" s="1"/>
  <c r="AV224" i="19"/>
  <c r="AV283" i="19" s="1"/>
  <c r="AU224" i="19"/>
  <c r="AU283" i="19" s="1"/>
  <c r="BB224" i="19"/>
  <c r="BB283" i="19" s="1"/>
  <c r="AT224" i="19"/>
  <c r="AT283" i="19" s="1"/>
  <c r="BA224" i="19"/>
  <c r="BA283" i="19" s="1"/>
  <c r="BE224" i="19"/>
  <c r="BE283" i="19" s="1"/>
  <c r="BD224" i="19"/>
  <c r="BD283" i="19" s="1"/>
  <c r="AW224" i="19"/>
  <c r="AW283" i="19" s="1"/>
  <c r="BC224" i="19"/>
  <c r="BC283" i="19" s="1"/>
  <c r="AX224" i="19"/>
  <c r="AX283" i="19" s="1"/>
  <c r="AX226" i="19"/>
  <c r="AX285" i="19" s="1"/>
  <c r="AW226" i="19"/>
  <c r="AW285" i="19" s="1"/>
  <c r="BG226" i="19"/>
  <c r="BG285" i="19" s="1"/>
  <c r="BF226" i="19"/>
  <c r="BF285" i="19" s="1"/>
  <c r="AY226" i="19"/>
  <c r="AY285" i="19" s="1"/>
  <c r="AQ232" i="19"/>
  <c r="BE226" i="19"/>
  <c r="BE285" i="19" s="1"/>
  <c r="BA226" i="19"/>
  <c r="BA285" i="19" s="1"/>
  <c r="AV226" i="19"/>
  <c r="AV285" i="19" s="1"/>
  <c r="BC226" i="19"/>
  <c r="BC285" i="19" s="1"/>
  <c r="AZ226" i="19"/>
  <c r="AZ285" i="19" s="1"/>
  <c r="AQ233" i="19"/>
  <c r="BB236" i="19"/>
  <c r="AW238" i="19"/>
  <c r="AQ234" i="19"/>
  <c r="AX240" i="19"/>
  <c r="BG241" i="19"/>
  <c r="AT233" i="19"/>
  <c r="AO231" i="19"/>
  <c r="AU232" i="19"/>
  <c r="AP231" i="19"/>
  <c r="AX234" i="19"/>
  <c r="AU231" i="19"/>
  <c r="BC237" i="19"/>
  <c r="BC240" i="19"/>
  <c r="AW233" i="19"/>
  <c r="AX233" i="19"/>
  <c r="BA240" i="19"/>
  <c r="BB238" i="19"/>
  <c r="AT235" i="19"/>
  <c r="AZ234" i="19"/>
  <c r="BD237" i="19"/>
  <c r="AZ241" i="19"/>
  <c r="AY238" i="19"/>
  <c r="AS231" i="19"/>
  <c r="BB235" i="19"/>
  <c r="BA238" i="19"/>
  <c r="BA235" i="19"/>
  <c r="AR231" i="19"/>
  <c r="BC239" i="19"/>
  <c r="AO232" i="19"/>
  <c r="AX232" i="19"/>
  <c r="AY240" i="19"/>
  <c r="AY232" i="19"/>
  <c r="AZ237" i="19"/>
  <c r="AW234" i="19"/>
  <c r="AT234" i="19"/>
  <c r="AX238" i="19"/>
  <c r="AX241" i="19"/>
  <c r="BF241" i="19"/>
  <c r="AZ235" i="19"/>
  <c r="AM231" i="19"/>
  <c r="AM243" i="19" s="1"/>
  <c r="AP234" i="19"/>
  <c r="AS235" i="19"/>
  <c r="AY234" i="19"/>
  <c r="BC241" i="19"/>
  <c r="BD238" i="19"/>
  <c r="AR236" i="19"/>
  <c r="AU235" i="19"/>
  <c r="BC238" i="19"/>
  <c r="AY235" i="19"/>
  <c r="BE239" i="19"/>
  <c r="BA239" i="19"/>
  <c r="AV240" i="19"/>
  <c r="AW236" i="19"/>
  <c r="AZ233" i="19"/>
  <c r="BD240" i="19"/>
  <c r="AW231" i="19"/>
  <c r="AT231" i="19"/>
  <c r="BA237" i="19"/>
  <c r="BE238" i="19"/>
  <c r="AW239" i="19"/>
  <c r="AV237" i="19"/>
  <c r="AW235" i="19"/>
  <c r="BC236" i="19"/>
  <c r="AX235" i="19"/>
  <c r="BH241" i="19"/>
  <c r="BA176" i="15"/>
  <c r="BB176" i="15"/>
  <c r="BC176" i="15"/>
  <c r="BD176" i="15"/>
  <c r="BE176" i="15"/>
  <c r="BF176" i="15"/>
  <c r="BG176" i="15"/>
  <c r="BH176" i="15"/>
  <c r="BI176" i="15"/>
  <c r="O22" i="21"/>
  <c r="P18" i="21" s="1"/>
  <c r="P22" i="21" s="1"/>
  <c r="Q18" i="21" s="1"/>
  <c r="Q22" i="21" s="1"/>
  <c r="R18" i="21" s="1"/>
  <c r="R22" i="21" s="1"/>
  <c r="S18" i="21" s="1"/>
  <c r="S22" i="21" s="1"/>
  <c r="T18" i="21" s="1"/>
  <c r="T22" i="21" s="1"/>
  <c r="U18" i="21" s="1"/>
  <c r="U22" i="21" s="1"/>
  <c r="V18" i="21" s="1"/>
  <c r="V22" i="21" s="1"/>
  <c r="W18" i="21" s="1"/>
  <c r="W22" i="21" s="1"/>
  <c r="X18" i="21" s="1"/>
  <c r="X22" i="21" s="1"/>
  <c r="Y18" i="21" s="1"/>
  <c r="Y22" i="21" s="1"/>
  <c r="Z18" i="21" s="1"/>
  <c r="Z22" i="21" s="1"/>
  <c r="AA18" i="21" s="1"/>
  <c r="AA22" i="21" s="1"/>
  <c r="AB18" i="21" s="1"/>
  <c r="AB22" i="21" s="1"/>
  <c r="AC18" i="21" s="1"/>
  <c r="AC22" i="21" s="1"/>
  <c r="AD18" i="21" s="1"/>
  <c r="AD22" i="21" s="1"/>
  <c r="AE18" i="21" s="1"/>
  <c r="AE22" i="21" s="1"/>
  <c r="AF18" i="21" s="1"/>
  <c r="AF22" i="21" s="1"/>
  <c r="AG18" i="21" s="1"/>
  <c r="AG22" i="21" s="1"/>
  <c r="AH18" i="21" s="1"/>
  <c r="AH22" i="21" s="1"/>
  <c r="AI18" i="21" s="1"/>
  <c r="AI22" i="21" s="1"/>
  <c r="AJ18" i="21" s="1"/>
  <c r="AJ22" i="21" s="1"/>
  <c r="AK18" i="21" s="1"/>
  <c r="AK22" i="21" s="1"/>
  <c r="AL18" i="21" s="1"/>
  <c r="AT275" i="19"/>
  <c r="AY56" i="14"/>
  <c r="AY59" i="14" s="1"/>
  <c r="AY65" i="14" s="1"/>
  <c r="AY67" i="14" s="1"/>
  <c r="AY155" i="15" s="1"/>
  <c r="AY34" i="14"/>
  <c r="AY36" i="14" s="1"/>
  <c r="AQ159" i="19"/>
  <c r="AQ317" i="19" s="1"/>
  <c r="AQ324" i="19" s="1"/>
  <c r="AV236" i="19"/>
  <c r="BD241" i="19"/>
  <c r="AW241" i="19"/>
  <c r="AV233" i="19"/>
  <c r="AW240" i="19"/>
  <c r="BG240" i="19"/>
  <c r="AU237" i="19"/>
  <c r="AU238" i="19"/>
  <c r="AW159" i="19"/>
  <c r="AW317" i="19" s="1"/>
  <c r="AW324" i="19" s="1"/>
  <c r="AL159" i="19"/>
  <c r="AL317" i="19" s="1"/>
  <c r="AL324" i="19" s="1"/>
  <c r="AY233" i="19"/>
  <c r="AR235" i="19"/>
  <c r="AQ231" i="19"/>
  <c r="AN159" i="19"/>
  <c r="AN317" i="19" s="1"/>
  <c r="AN324" i="19" s="1"/>
  <c r="AW275" i="19"/>
  <c r="AU275" i="19"/>
  <c r="AW237" i="19"/>
  <c r="AZ238" i="19"/>
  <c r="AO233" i="19"/>
  <c r="AX13" i="14"/>
  <c r="AX15" i="14" s="1"/>
  <c r="AX26" i="14" s="1"/>
  <c r="AX28" i="14" s="1"/>
  <c r="AX43" i="14"/>
  <c r="AX45" i="14" s="1"/>
  <c r="AX50" i="14" s="1"/>
  <c r="AX52" i="14" s="1"/>
  <c r="AX57" i="14" s="1"/>
  <c r="Z15" i="25"/>
  <c r="Z22" i="25" s="1"/>
  <c r="H14" i="27"/>
  <c r="AQ235" i="19"/>
  <c r="AT238" i="19"/>
  <c r="AY241" i="19"/>
  <c r="AT232" i="19"/>
  <c r="N15" i="25"/>
  <c r="N22" i="25" s="1"/>
  <c r="G14" i="27"/>
  <c r="BB241" i="19"/>
  <c r="AP232" i="19"/>
  <c r="AU233" i="19"/>
  <c r="AV235" i="19"/>
  <c r="AV231" i="19"/>
  <c r="AS234" i="19"/>
  <c r="AZ11" i="21"/>
  <c r="AZ8" i="23"/>
  <c r="AZ12" i="25" s="1"/>
  <c r="AZ25" i="25" s="1"/>
  <c r="AZ99" i="15"/>
  <c r="AZ154" i="15"/>
  <c r="AZ157" i="15" s="1"/>
  <c r="AS233" i="19"/>
  <c r="AN231" i="19"/>
  <c r="AV159" i="19"/>
  <c r="AV317" i="19" s="1"/>
  <c r="AV324" i="19" s="1"/>
  <c r="BF239" i="19"/>
  <c r="AV232" i="19"/>
  <c r="AL275" i="19"/>
  <c r="AL243" i="19"/>
  <c r="AR275" i="19"/>
  <c r="AU239" i="19"/>
  <c r="AN232" i="19"/>
  <c r="AR159" i="19"/>
  <c r="AR317" i="19" s="1"/>
  <c r="AR324" i="19" s="1"/>
  <c r="BA130" i="15"/>
  <c r="BA190" i="15" s="1"/>
  <c r="BB130" i="15"/>
  <c r="BB190" i="15" s="1"/>
  <c r="BC130" i="15"/>
  <c r="BC190" i="15" s="1"/>
  <c r="BD130" i="15"/>
  <c r="BD190" i="15" s="1"/>
  <c r="BE130" i="15"/>
  <c r="BE190" i="15" s="1"/>
  <c r="BF130" i="15"/>
  <c r="BF190" i="15" s="1"/>
  <c r="BG130" i="15"/>
  <c r="BG190" i="15" s="1"/>
  <c r="BH130" i="15"/>
  <c r="BH190" i="15" s="1"/>
  <c r="BI130" i="15"/>
  <c r="BI190" i="15" s="1"/>
  <c r="AM275" i="19"/>
  <c r="AN275" i="19"/>
  <c r="AU159" i="19"/>
  <c r="AU317" i="19" s="1"/>
  <c r="AU324" i="19" s="1"/>
  <c r="AO159" i="19"/>
  <c r="AO317" i="19" s="1"/>
  <c r="AO324" i="19" s="1"/>
  <c r="BA241" i="19"/>
  <c r="AR233" i="19"/>
  <c r="BE241" i="19"/>
  <c r="AX239" i="19"/>
  <c r="BF240" i="19"/>
  <c r="AT237" i="19"/>
  <c r="AX231" i="19"/>
  <c r="AR232" i="19"/>
  <c r="AT159" i="19"/>
  <c r="AT317" i="19" s="1"/>
  <c r="AT324" i="19" s="1"/>
  <c r="AP275" i="19"/>
  <c r="AS275" i="19"/>
  <c r="AX237" i="19"/>
  <c r="AR234" i="19"/>
  <c r="AZ239" i="19"/>
  <c r="AZ236" i="19"/>
  <c r="BD239" i="19"/>
  <c r="AT236" i="19"/>
  <c r="BB240" i="19"/>
  <c r="AV234" i="19"/>
  <c r="BB239" i="19"/>
  <c r="AW232" i="19"/>
  <c r="AM159" i="19"/>
  <c r="AM317" i="19" s="1"/>
  <c r="AM324" i="19" s="1"/>
  <c r="AO275" i="19"/>
  <c r="AZ240" i="19"/>
  <c r="AY237" i="19"/>
  <c r="BA234" i="19"/>
  <c r="AX236" i="19"/>
  <c r="AV239" i="19"/>
  <c r="AU236" i="19"/>
  <c r="AY236" i="19"/>
  <c r="BE240" i="19"/>
  <c r="AS237" i="19"/>
  <c r="AV238" i="19"/>
  <c r="AP159" i="19"/>
  <c r="AP317" i="19" s="1"/>
  <c r="AP324" i="19" s="1"/>
  <c r="AY239" i="19"/>
  <c r="AS232" i="19"/>
  <c r="BB237" i="19"/>
  <c r="AU234" i="19"/>
  <c r="BA236" i="19"/>
  <c r="AP233" i="19"/>
  <c r="AV275" i="19"/>
  <c r="AQ230" i="19"/>
  <c r="AS236" i="19"/>
  <c r="H11" i="27"/>
  <c r="H12" i="27"/>
  <c r="G11" i="27"/>
  <c r="I11" i="27"/>
  <c r="G12" i="27"/>
  <c r="G13" i="27"/>
  <c r="I12" i="27"/>
  <c r="H13" i="27"/>
  <c r="I13" i="27"/>
  <c r="AS159" i="19"/>
  <c r="AS317" i="19" s="1"/>
  <c r="AS324" i="19" s="1"/>
  <c r="AQ275" i="19"/>
  <c r="P100" i="25" l="1"/>
  <c r="P101" i="25"/>
  <c r="R100" i="25"/>
  <c r="R101" i="25"/>
  <c r="S100" i="25"/>
  <c r="S101" i="25"/>
  <c r="T100" i="25"/>
  <c r="T101" i="25"/>
  <c r="AK39" i="25"/>
  <c r="AK43" i="25"/>
  <c r="Q100" i="25"/>
  <c r="Q101" i="25"/>
  <c r="V58" i="25"/>
  <c r="V92" i="25"/>
  <c r="V97" i="25" s="1"/>
  <c r="V101" i="25" s="1"/>
  <c r="U100" i="25"/>
  <c r="U101" i="25"/>
  <c r="AO21" i="21"/>
  <c r="AO18" i="23"/>
  <c r="AU21" i="21"/>
  <c r="AU18" i="23"/>
  <c r="AN21" i="21"/>
  <c r="AN18" i="23"/>
  <c r="AM21" i="21"/>
  <c r="AM18" i="23"/>
  <c r="AS21" i="21"/>
  <c r="AS18" i="23"/>
  <c r="W92" i="25"/>
  <c r="W97" i="25" s="1"/>
  <c r="W101" i="25" s="1"/>
  <c r="Y92" i="25"/>
  <c r="Y97" i="25" s="1"/>
  <c r="Y101" i="25" s="1"/>
  <c r="AR21" i="21"/>
  <c r="AR18" i="23"/>
  <c r="AV21" i="21"/>
  <c r="AV18" i="23"/>
  <c r="AL21" i="21"/>
  <c r="AL18" i="23"/>
  <c r="AP21" i="21"/>
  <c r="AP18" i="23"/>
  <c r="AW21" i="21"/>
  <c r="AW18" i="23"/>
  <c r="X92" i="25"/>
  <c r="X97" i="25" s="1"/>
  <c r="X101" i="25" s="1"/>
  <c r="AT21" i="21"/>
  <c r="AT18" i="23"/>
  <c r="AQ21" i="21"/>
  <c r="AQ18" i="23"/>
  <c r="AV261" i="19"/>
  <c r="AV268" i="19" s="1"/>
  <c r="AU261" i="19"/>
  <c r="AU268" i="19" s="1"/>
  <c r="AT261" i="19"/>
  <c r="AT268" i="19" s="1"/>
  <c r="AS261" i="19"/>
  <c r="AS268" i="19" s="1"/>
  <c r="AR261" i="19"/>
  <c r="AR268" i="19" s="1"/>
  <c r="AO261" i="19"/>
  <c r="AO268" i="19" s="1"/>
  <c r="AW261" i="19"/>
  <c r="AW268" i="19" s="1"/>
  <c r="AN261" i="19"/>
  <c r="AN268" i="19" s="1"/>
  <c r="AP261" i="19"/>
  <c r="AP268" i="19" s="1"/>
  <c r="AQ261" i="19"/>
  <c r="AQ268" i="19" s="1"/>
  <c r="Z34" i="25"/>
  <c r="Z39" i="25" s="1"/>
  <c r="H35" i="27"/>
  <c r="P34" i="25"/>
  <c r="P39" i="25" s="1"/>
  <c r="G35" i="27"/>
  <c r="AQ302" i="19"/>
  <c r="AQ319" i="19" s="1"/>
  <c r="AQ160" i="19"/>
  <c r="AQ315" i="19" s="1"/>
  <c r="AQ322" i="19" s="1"/>
  <c r="AQ20" i="21" s="1"/>
  <c r="AN160" i="19"/>
  <c r="AN315" i="19" s="1"/>
  <c r="AN322" i="19" s="1"/>
  <c r="AN20" i="21" s="1"/>
  <c r="AQ243" i="19"/>
  <c r="AQ316" i="19" s="1"/>
  <c r="AQ323" i="19" s="1"/>
  <c r="AQ22" i="23" s="1"/>
  <c r="AQ24" i="23" s="1"/>
  <c r="AS302" i="19"/>
  <c r="AS319" i="19" s="1"/>
  <c r="AV302" i="19"/>
  <c r="AV319" i="19" s="1"/>
  <c r="AO243" i="19"/>
  <c r="AO316" i="19" s="1"/>
  <c r="AO323" i="19" s="1"/>
  <c r="AO22" i="23" s="1"/>
  <c r="AO24" i="23" s="1"/>
  <c r="AL160" i="19"/>
  <c r="AL315" i="19" s="1"/>
  <c r="AL322" i="19" s="1"/>
  <c r="AL20" i="21" s="1"/>
  <c r="AL22" i="21" s="1"/>
  <c r="AW243" i="19"/>
  <c r="AW316" i="19" s="1"/>
  <c r="AW323" i="19" s="1"/>
  <c r="AW22" i="23" s="1"/>
  <c r="AW24" i="23" s="1"/>
  <c r="AN243" i="19"/>
  <c r="AU243" i="19"/>
  <c r="AU316" i="19" s="1"/>
  <c r="AU323" i="19" s="1"/>
  <c r="AU22" i="23" s="1"/>
  <c r="AU24" i="23" s="1"/>
  <c r="AN302" i="19"/>
  <c r="AN319" i="19" s="1"/>
  <c r="AW302" i="19"/>
  <c r="AW319" i="19" s="1"/>
  <c r="AR243" i="19"/>
  <c r="AO302" i="19"/>
  <c r="AO319" i="19" s="1"/>
  <c r="AU160" i="19"/>
  <c r="AU315" i="19" s="1"/>
  <c r="AU322" i="19" s="1"/>
  <c r="AU19" i="23" s="1"/>
  <c r="AS243" i="19"/>
  <c r="AS316" i="19" s="1"/>
  <c r="AS323" i="19" s="1"/>
  <c r="AS22" i="23" s="1"/>
  <c r="AS24" i="23" s="1"/>
  <c r="AR302" i="19"/>
  <c r="AR319" i="19" s="1"/>
  <c r="AR160" i="19"/>
  <c r="AR315" i="19" s="1"/>
  <c r="AR322" i="19" s="1"/>
  <c r="AR20" i="21" s="1"/>
  <c r="AP243" i="19"/>
  <c r="AP316" i="19" s="1"/>
  <c r="AP323" i="19" s="1"/>
  <c r="AP22" i="23" s="1"/>
  <c r="AP24" i="23" s="1"/>
  <c r="AV243" i="19"/>
  <c r="AV316" i="19" s="1"/>
  <c r="AV323" i="19" s="1"/>
  <c r="AV22" i="23" s="1"/>
  <c r="AV24" i="23" s="1"/>
  <c r="AT243" i="19"/>
  <c r="AT316" i="19" s="1"/>
  <c r="AT323" i="19" s="1"/>
  <c r="AT22" i="23" s="1"/>
  <c r="AT24" i="23" s="1"/>
  <c r="AP160" i="19"/>
  <c r="AP315" i="19" s="1"/>
  <c r="AP322" i="19" s="1"/>
  <c r="AP19" i="23" s="1"/>
  <c r="AS160" i="19"/>
  <c r="AS315" i="19" s="1"/>
  <c r="AS322" i="19" s="1"/>
  <c r="BB129" i="15"/>
  <c r="BB189" i="15" s="1"/>
  <c r="AZ129" i="15"/>
  <c r="AZ189" i="15" s="1"/>
  <c r="BA129" i="15"/>
  <c r="BA189" i="15" s="1"/>
  <c r="BC129" i="15"/>
  <c r="BC189" i="15" s="1"/>
  <c r="BD129" i="15"/>
  <c r="BD189" i="15" s="1"/>
  <c r="BE129" i="15"/>
  <c r="BE189" i="15" s="1"/>
  <c r="BF129" i="15"/>
  <c r="BF189" i="15" s="1"/>
  <c r="BG129" i="15"/>
  <c r="BG189" i="15" s="1"/>
  <c r="BH129" i="15"/>
  <c r="BH189" i="15" s="1"/>
  <c r="BI129" i="15"/>
  <c r="BI189" i="15" s="1"/>
  <c r="AY11" i="21"/>
  <c r="AY8" i="23"/>
  <c r="AY12" i="25" s="1"/>
  <c r="AY25" i="25" s="1"/>
  <c r="AY99" i="15"/>
  <c r="AY154" i="15"/>
  <c r="AY157" i="15" s="1"/>
  <c r="AU302" i="19"/>
  <c r="AU319" i="19" s="1"/>
  <c r="AM270" i="19"/>
  <c r="AM320" i="19" s="1"/>
  <c r="AM316" i="19"/>
  <c r="AM323" i="19" s="1"/>
  <c r="AM22" i="23" s="1"/>
  <c r="AM24" i="23" s="1"/>
  <c r="AT302" i="19"/>
  <c r="AT319" i="19" s="1"/>
  <c r="AM302" i="19"/>
  <c r="AM319" i="19" s="1"/>
  <c r="AX34" i="14"/>
  <c r="AX36" i="14" s="1"/>
  <c r="AX56" i="14"/>
  <c r="AX59" i="14" s="1"/>
  <c r="AX65" i="14" s="1"/>
  <c r="AX67" i="14" s="1"/>
  <c r="AX155" i="15" s="1"/>
  <c r="AV160" i="19"/>
  <c r="AV315" i="19" s="1"/>
  <c r="AV322" i="19" s="1"/>
  <c r="AZ175" i="15"/>
  <c r="BA175" i="15"/>
  <c r="BB175" i="15"/>
  <c r="BC175" i="15"/>
  <c r="BD175" i="15"/>
  <c r="BE175" i="15"/>
  <c r="BF175" i="15"/>
  <c r="BG175" i="15"/>
  <c r="BH175" i="15"/>
  <c r="BI175" i="15"/>
  <c r="AO160" i="19"/>
  <c r="AO315" i="19" s="1"/>
  <c r="AO322" i="19" s="1"/>
  <c r="AP302" i="19"/>
  <c r="AP319" i="19" s="1"/>
  <c r="AL316" i="19"/>
  <c r="AL323" i="19" s="1"/>
  <c r="AL22" i="23" s="1"/>
  <c r="AL24" i="23" s="1"/>
  <c r="AL270" i="19"/>
  <c r="AL320" i="19" s="1"/>
  <c r="AT160" i="19"/>
  <c r="AT315" i="19" s="1"/>
  <c r="AT322" i="19" s="1"/>
  <c r="AW160" i="19"/>
  <c r="AW315" i="19" s="1"/>
  <c r="AW322" i="19" s="1"/>
  <c r="AM160" i="19"/>
  <c r="AM315" i="19" s="1"/>
  <c r="AM322" i="19" s="1"/>
  <c r="AL302" i="19"/>
  <c r="AL319" i="19" s="1"/>
  <c r="V100" i="25" l="1"/>
  <c r="AN270" i="19"/>
  <c r="AN320" i="19" s="1"/>
  <c r="AN327" i="19" s="1"/>
  <c r="AN14" i="23" s="1"/>
  <c r="AR270" i="19"/>
  <c r="AR320" i="19" s="1"/>
  <c r="AR327" i="19" s="1"/>
  <c r="AR14" i="23" s="1"/>
  <c r="Q91" i="25"/>
  <c r="P91" i="25"/>
  <c r="W91" i="25"/>
  <c r="V91" i="25"/>
  <c r="Y91" i="25"/>
  <c r="T91" i="25"/>
  <c r="N91" i="25"/>
  <c r="O91" i="25"/>
  <c r="X91" i="25"/>
  <c r="R91" i="25"/>
  <c r="S91" i="25"/>
  <c r="U91" i="25"/>
  <c r="AN326" i="19"/>
  <c r="AN13" i="23" s="1"/>
  <c r="AM326" i="19"/>
  <c r="AM13" i="23" s="1"/>
  <c r="AP326" i="19"/>
  <c r="AP13" i="23" s="1"/>
  <c r="AT326" i="19"/>
  <c r="AT13" i="23" s="1"/>
  <c r="AR326" i="19"/>
  <c r="AR13" i="23" s="1"/>
  <c r="AQ326" i="19"/>
  <c r="AQ13" i="23" s="1"/>
  <c r="AL326" i="19"/>
  <c r="AL13" i="23" s="1"/>
  <c r="AM327" i="19"/>
  <c r="AM14" i="23" s="1"/>
  <c r="AL327" i="19"/>
  <c r="AL14" i="23" s="1"/>
  <c r="AU326" i="19"/>
  <c r="AU13" i="23" s="1"/>
  <c r="AO326" i="19"/>
  <c r="AO13" i="23" s="1"/>
  <c r="AV326" i="19"/>
  <c r="AV13" i="23" s="1"/>
  <c r="AW326" i="19"/>
  <c r="AW13" i="23" s="1"/>
  <c r="AS326" i="19"/>
  <c r="AS13" i="23" s="1"/>
  <c r="AM18" i="21"/>
  <c r="N85" i="25"/>
  <c r="AQ19" i="23"/>
  <c r="L63" i="27" s="1"/>
  <c r="AN19" i="23"/>
  <c r="AN15" i="25" s="1"/>
  <c r="AL19" i="23"/>
  <c r="AQ270" i="19"/>
  <c r="AQ320" i="19" s="1"/>
  <c r="AU20" i="21"/>
  <c r="AP20" i="21"/>
  <c r="AO270" i="19"/>
  <c r="AO320" i="19" s="1"/>
  <c r="AW270" i="19"/>
  <c r="AW320" i="19" s="1"/>
  <c r="AR316" i="19"/>
  <c r="AR323" i="19" s="1"/>
  <c r="AR22" i="23" s="1"/>
  <c r="AR24" i="23" s="1"/>
  <c r="AR35" i="25" s="1"/>
  <c r="AN316" i="19"/>
  <c r="AN323" i="19" s="1"/>
  <c r="AN22" i="23" s="1"/>
  <c r="AN24" i="23" s="1"/>
  <c r="AN35" i="25" s="1"/>
  <c r="AU270" i="19"/>
  <c r="AU320" i="19" s="1"/>
  <c r="AR19" i="23"/>
  <c r="AR15" i="25" s="1"/>
  <c r="AS270" i="19"/>
  <c r="AS320" i="19" s="1"/>
  <c r="AV270" i="19"/>
  <c r="AV320" i="19" s="1"/>
  <c r="AT270" i="19"/>
  <c r="AT320" i="19" s="1"/>
  <c r="AP270" i="19"/>
  <c r="AP320" i="19" s="1"/>
  <c r="AY174" i="15"/>
  <c r="AZ174" i="15"/>
  <c r="BA174" i="15"/>
  <c r="BB174" i="15"/>
  <c r="BC174" i="15"/>
  <c r="BD174" i="15"/>
  <c r="BE174" i="15"/>
  <c r="BF174" i="15"/>
  <c r="BG174" i="15"/>
  <c r="BH174" i="15"/>
  <c r="BI174" i="15"/>
  <c r="AP15" i="25"/>
  <c r="K63" i="27"/>
  <c r="H68" i="27"/>
  <c r="AM35" i="25"/>
  <c r="AU35" i="25"/>
  <c r="AU44" i="25" s="1"/>
  <c r="P68" i="27"/>
  <c r="AW20" i="21"/>
  <c r="AW19" i="23"/>
  <c r="AO35" i="25"/>
  <c r="J68" i="27"/>
  <c r="AY128" i="15"/>
  <c r="AY188" i="15" s="1"/>
  <c r="AZ128" i="15"/>
  <c r="AZ188" i="15" s="1"/>
  <c r="BA128" i="15"/>
  <c r="BA188" i="15" s="1"/>
  <c r="BB128" i="15"/>
  <c r="BB188" i="15" s="1"/>
  <c r="BC128" i="15"/>
  <c r="BC188" i="15" s="1"/>
  <c r="BD128" i="15"/>
  <c r="BD188" i="15" s="1"/>
  <c r="BE128" i="15"/>
  <c r="BE188" i="15" s="1"/>
  <c r="BF128" i="15"/>
  <c r="BF188" i="15" s="1"/>
  <c r="BG128" i="15"/>
  <c r="BG188" i="15" s="1"/>
  <c r="BH128" i="15"/>
  <c r="BH188" i="15" s="1"/>
  <c r="BI128" i="15"/>
  <c r="BI188" i="15" s="1"/>
  <c r="AT20" i="21"/>
  <c r="AT19" i="23"/>
  <c r="AQ35" i="25"/>
  <c r="L68" i="27"/>
  <c r="AW35" i="25"/>
  <c r="AW44" i="25" s="1"/>
  <c r="R68" i="27"/>
  <c r="AV35" i="25"/>
  <c r="AV44" i="25" s="1"/>
  <c r="Q68" i="27"/>
  <c r="AV19" i="23"/>
  <c r="AV20" i="21"/>
  <c r="AL35" i="25"/>
  <c r="G68" i="27"/>
  <c r="AT35" i="25"/>
  <c r="O68" i="27"/>
  <c r="AX11" i="21"/>
  <c r="AX154" i="15"/>
  <c r="AX157" i="15" s="1"/>
  <c r="AX8" i="23"/>
  <c r="AX99" i="15"/>
  <c r="AM19" i="23"/>
  <c r="AM20" i="21"/>
  <c r="AO20" i="21"/>
  <c r="AO19" i="23"/>
  <c r="P63" i="27"/>
  <c r="AU15" i="25"/>
  <c r="AU28" i="25" s="1"/>
  <c r="AS19" i="23"/>
  <c r="AS20" i="21"/>
  <c r="N68" i="27"/>
  <c r="AS35" i="25"/>
  <c r="AP35" i="25"/>
  <c r="K68" i="27"/>
  <c r="AM40" i="25" l="1"/>
  <c r="AM44" i="25"/>
  <c r="AP40" i="25"/>
  <c r="AP44" i="25"/>
  <c r="AO40" i="25"/>
  <c r="AO44" i="25"/>
  <c r="AP22" i="25"/>
  <c r="AP28" i="25"/>
  <c r="AR22" i="25"/>
  <c r="AR28" i="25"/>
  <c r="AR40" i="25"/>
  <c r="AR44" i="25"/>
  <c r="AL40" i="25"/>
  <c r="AL44" i="25"/>
  <c r="AQ40" i="25"/>
  <c r="AQ44" i="25"/>
  <c r="AN40" i="25"/>
  <c r="AN44" i="25"/>
  <c r="AN22" i="25"/>
  <c r="AN28" i="25"/>
  <c r="AS40" i="25"/>
  <c r="AS44" i="25"/>
  <c r="AM22" i="21"/>
  <c r="AN18" i="21" s="1"/>
  <c r="AN22" i="21" s="1"/>
  <c r="AO18" i="21" s="1"/>
  <c r="AO22" i="21" s="1"/>
  <c r="AP18" i="21" s="1"/>
  <c r="AP22" i="21" s="1"/>
  <c r="AQ18" i="21" s="1"/>
  <c r="AQ22" i="21" s="1"/>
  <c r="AR18" i="21" s="1"/>
  <c r="AR22" i="21" s="1"/>
  <c r="AS18" i="21" s="1"/>
  <c r="AS22" i="21" s="1"/>
  <c r="AT18" i="21" s="1"/>
  <c r="AT22" i="21" s="1"/>
  <c r="AU18" i="21" s="1"/>
  <c r="AU22" i="21" s="1"/>
  <c r="AV18" i="21" s="1"/>
  <c r="AV22" i="21" s="1"/>
  <c r="AW18" i="21" s="1"/>
  <c r="AW22" i="21" s="1"/>
  <c r="O94" i="25"/>
  <c r="N94" i="25"/>
  <c r="P94" i="25"/>
  <c r="AL15" i="23"/>
  <c r="AL34" i="25" s="1"/>
  <c r="R93" i="25"/>
  <c r="T93" i="25"/>
  <c r="P93" i="25"/>
  <c r="V93" i="25"/>
  <c r="X93" i="25"/>
  <c r="S93" i="25"/>
  <c r="N93" i="25"/>
  <c r="O93" i="25"/>
  <c r="U93" i="25"/>
  <c r="W93" i="25"/>
  <c r="Q93" i="25"/>
  <c r="Y93" i="25"/>
  <c r="AQ15" i="25"/>
  <c r="AM15" i="23"/>
  <c r="AM34" i="25" s="1"/>
  <c r="AR15" i="23"/>
  <c r="AR34" i="25" s="1"/>
  <c r="AN15" i="23"/>
  <c r="AN34" i="25" s="1"/>
  <c r="AU327" i="19"/>
  <c r="AU14" i="23" s="1"/>
  <c r="AU15" i="23" s="1"/>
  <c r="AQ327" i="19"/>
  <c r="AQ14" i="23" s="1"/>
  <c r="AQ15" i="23" s="1"/>
  <c r="AP327" i="19"/>
  <c r="AP14" i="23" s="1"/>
  <c r="AP15" i="23" s="1"/>
  <c r="AT327" i="19"/>
  <c r="AT14" i="23" s="1"/>
  <c r="AT15" i="23" s="1"/>
  <c r="AT34" i="25" s="1"/>
  <c r="AW327" i="19"/>
  <c r="AW14" i="23" s="1"/>
  <c r="AW15" i="23" s="1"/>
  <c r="AV327" i="19"/>
  <c r="AV14" i="23" s="1"/>
  <c r="AV15" i="23" s="1"/>
  <c r="AS327" i="19"/>
  <c r="AS14" i="23" s="1"/>
  <c r="AS15" i="23" s="1"/>
  <c r="AO327" i="19"/>
  <c r="AO14" i="23" s="1"/>
  <c r="AO15" i="23" s="1"/>
  <c r="AO34" i="25" s="1"/>
  <c r="AL15" i="25"/>
  <c r="AQ30" i="23"/>
  <c r="AU30" i="23"/>
  <c r="AM30" i="23"/>
  <c r="AT30" i="23"/>
  <c r="AP30" i="23"/>
  <c r="AW30" i="23"/>
  <c r="AO30" i="23"/>
  <c r="AR30" i="23"/>
  <c r="AS30" i="23"/>
  <c r="AN30" i="23"/>
  <c r="AV30" i="23"/>
  <c r="AL30" i="23"/>
  <c r="I36" i="27"/>
  <c r="I63" i="27"/>
  <c r="G63" i="27"/>
  <c r="G75" i="27" s="1"/>
  <c r="N53" i="25" s="1"/>
  <c r="I68" i="27"/>
  <c r="M68" i="27"/>
  <c r="M63" i="27"/>
  <c r="I14" i="27"/>
  <c r="AX173" i="15"/>
  <c r="AY173" i="15"/>
  <c r="AZ173" i="15"/>
  <c r="BA173" i="15"/>
  <c r="BB173" i="15"/>
  <c r="BC173" i="15"/>
  <c r="BD173" i="15"/>
  <c r="BE173" i="15"/>
  <c r="BF173" i="15"/>
  <c r="BG173" i="15"/>
  <c r="BH173" i="15"/>
  <c r="BI173" i="15"/>
  <c r="AT40" i="25"/>
  <c r="AT44" i="25"/>
  <c r="AT15" i="25"/>
  <c r="O63" i="27"/>
  <c r="N63" i="27"/>
  <c r="AS15" i="25"/>
  <c r="AM15" i="25"/>
  <c r="H63" i="27"/>
  <c r="AW15" i="25"/>
  <c r="AW28" i="25" s="1"/>
  <c r="R63" i="27"/>
  <c r="AX12" i="25"/>
  <c r="AX25" i="25" s="1"/>
  <c r="J11" i="27"/>
  <c r="BB127" i="15"/>
  <c r="AX127" i="15"/>
  <c r="AY127" i="15"/>
  <c r="AZ127" i="15"/>
  <c r="BA127" i="15"/>
  <c r="BC127" i="15"/>
  <c r="BD127" i="15"/>
  <c r="BE127" i="15"/>
  <c r="BF127" i="15"/>
  <c r="BG127" i="15"/>
  <c r="BH127" i="15"/>
  <c r="BI127" i="15"/>
  <c r="AO15" i="25"/>
  <c r="J63" i="27"/>
  <c r="H80" i="27"/>
  <c r="O71" i="25" s="1"/>
  <c r="G80" i="27"/>
  <c r="N71" i="25" s="1"/>
  <c r="AV15" i="25"/>
  <c r="AV28" i="25" s="1"/>
  <c r="Q63" i="27"/>
  <c r="AQ22" i="25" l="1"/>
  <c r="AQ28" i="25"/>
  <c r="AO22" i="25"/>
  <c r="AO28" i="25"/>
  <c r="AL22" i="25"/>
  <c r="AL28" i="25"/>
  <c r="O75" i="25"/>
  <c r="O79" i="25"/>
  <c r="N59" i="25"/>
  <c r="N65" i="25"/>
  <c r="AO39" i="25"/>
  <c r="AO43" i="25"/>
  <c r="AN39" i="25"/>
  <c r="AN43" i="25"/>
  <c r="AL39" i="25"/>
  <c r="AL43" i="25"/>
  <c r="N75" i="25"/>
  <c r="N79" i="25"/>
  <c r="AM22" i="25"/>
  <c r="AM28" i="25"/>
  <c r="AR39" i="25"/>
  <c r="AR43" i="25"/>
  <c r="AM39" i="25"/>
  <c r="AM43" i="25"/>
  <c r="H67" i="27"/>
  <c r="I67" i="27"/>
  <c r="AS22" i="25"/>
  <c r="AS28" i="25"/>
  <c r="G67" i="27"/>
  <c r="U94" i="25"/>
  <c r="S94" i="25"/>
  <c r="Y94" i="25"/>
  <c r="Q94" i="25"/>
  <c r="T94" i="25"/>
  <c r="R94" i="25"/>
  <c r="V94" i="25"/>
  <c r="X94" i="25"/>
  <c r="W94" i="25"/>
  <c r="M67" i="27"/>
  <c r="AW34" i="25"/>
  <c r="AW43" i="25" s="1"/>
  <c r="R67" i="27"/>
  <c r="K67" i="27"/>
  <c r="AP34" i="25"/>
  <c r="L67" i="27"/>
  <c r="AQ34" i="25"/>
  <c r="Q67" i="27"/>
  <c r="AV34" i="25"/>
  <c r="AV43" i="25" s="1"/>
  <c r="AU34" i="25"/>
  <c r="AU43" i="25" s="1"/>
  <c r="P67" i="27"/>
  <c r="N67" i="27"/>
  <c r="AS34" i="25"/>
  <c r="O67" i="27"/>
  <c r="I35" i="27"/>
  <c r="J67" i="27"/>
  <c r="AX18" i="21"/>
  <c r="Y85" i="25"/>
  <c r="I75" i="27"/>
  <c r="P53" i="25" s="1"/>
  <c r="R80" i="27"/>
  <c r="Y71" i="25" s="1"/>
  <c r="Y79" i="25" s="1"/>
  <c r="N80" i="27"/>
  <c r="U71" i="25" s="1"/>
  <c r="O80" i="27"/>
  <c r="V71" i="25" s="1"/>
  <c r="V79" i="25" s="1"/>
  <c r="P80" i="27"/>
  <c r="W71" i="25" s="1"/>
  <c r="W79" i="25" s="1"/>
  <c r="M80" i="27"/>
  <c r="T71" i="25" s="1"/>
  <c r="J80" i="27"/>
  <c r="Q71" i="25" s="1"/>
  <c r="Q80" i="27"/>
  <c r="X71" i="25" s="1"/>
  <c r="X79" i="25" s="1"/>
  <c r="K80" i="27"/>
  <c r="R71" i="25" s="1"/>
  <c r="L80" i="27"/>
  <c r="S71" i="25" s="1"/>
  <c r="I80" i="27"/>
  <c r="P71" i="25" s="1"/>
  <c r="N75" i="27"/>
  <c r="U53" i="25" s="1"/>
  <c r="K75" i="27"/>
  <c r="R53" i="25" s="1"/>
  <c r="BI187" i="15"/>
  <c r="BI200" i="15" s="1"/>
  <c r="BI140" i="15"/>
  <c r="BI145" i="15" s="1"/>
  <c r="AZ187" i="15"/>
  <c r="AZ200" i="15" s="1"/>
  <c r="AZ140" i="15"/>
  <c r="AZ145" i="15" s="1"/>
  <c r="L75" i="27"/>
  <c r="S53" i="25" s="1"/>
  <c r="BH187" i="15"/>
  <c r="BH200" i="15" s="1"/>
  <c r="BH140" i="15"/>
  <c r="BH145" i="15" s="1"/>
  <c r="AY187" i="15"/>
  <c r="AY200" i="15" s="1"/>
  <c r="AY140" i="15"/>
  <c r="AY145" i="15" s="1"/>
  <c r="J75" i="27"/>
  <c r="Q53" i="25" s="1"/>
  <c r="BG187" i="15"/>
  <c r="BG200" i="15" s="1"/>
  <c r="BG140" i="15"/>
  <c r="BG145" i="15" s="1"/>
  <c r="AX187" i="15"/>
  <c r="AX200" i="15" s="1"/>
  <c r="AX140" i="15"/>
  <c r="AX145" i="15" s="1"/>
  <c r="BB187" i="15"/>
  <c r="BB200" i="15" s="1"/>
  <c r="BB140" i="15"/>
  <c r="BB145" i="15" s="1"/>
  <c r="R75" i="27"/>
  <c r="Y53" i="25" s="1"/>
  <c r="Y65" i="25" s="1"/>
  <c r="M75" i="27"/>
  <c r="T53" i="25" s="1"/>
  <c r="BF187" i="15"/>
  <c r="BF140" i="15"/>
  <c r="BF145" i="15" s="1"/>
  <c r="BE187" i="15"/>
  <c r="BE200" i="15" s="1"/>
  <c r="BE140" i="15"/>
  <c r="BE145" i="15" s="1"/>
  <c r="Q75" i="27"/>
  <c r="X53" i="25" s="1"/>
  <c r="X65" i="25" s="1"/>
  <c r="H75" i="27"/>
  <c r="O53" i="25" s="1"/>
  <c r="AT28" i="25"/>
  <c r="AT22" i="25"/>
  <c r="BD187" i="15"/>
  <c r="BD200" i="15" s="1"/>
  <c r="BD140" i="15"/>
  <c r="BD145" i="15" s="1"/>
  <c r="O75" i="27"/>
  <c r="P75" i="27"/>
  <c r="W53" i="25" s="1"/>
  <c r="W65" i="25" s="1"/>
  <c r="BC187" i="15"/>
  <c r="BC200" i="15" s="1"/>
  <c r="BC140" i="15"/>
  <c r="BC145" i="15" s="1"/>
  <c r="AT39" i="25"/>
  <c r="AT43" i="25"/>
  <c r="BF200" i="15"/>
  <c r="BA187" i="15"/>
  <c r="BA200" i="15" s="1"/>
  <c r="BA140" i="15"/>
  <c r="BA145" i="15" s="1"/>
  <c r="Q59" i="25" l="1"/>
  <c r="Q65" i="25"/>
  <c r="Q75" i="25"/>
  <c r="Q79" i="25"/>
  <c r="R59" i="25"/>
  <c r="R65" i="25"/>
  <c r="AQ39" i="25"/>
  <c r="AQ43" i="25"/>
  <c r="O59" i="25"/>
  <c r="O65" i="25"/>
  <c r="T75" i="25"/>
  <c r="T79" i="25"/>
  <c r="P75" i="25"/>
  <c r="P79" i="25"/>
  <c r="AP39" i="25"/>
  <c r="AP43" i="25"/>
  <c r="T59" i="25"/>
  <c r="T65" i="25"/>
  <c r="S59" i="25"/>
  <c r="S65" i="25"/>
  <c r="S75" i="25"/>
  <c r="S79" i="25"/>
  <c r="R75" i="25"/>
  <c r="R79" i="25"/>
  <c r="P59" i="25"/>
  <c r="P65" i="25"/>
  <c r="H79" i="27"/>
  <c r="O70" i="25" s="1"/>
  <c r="BG211" i="15"/>
  <c r="BG215" i="15" s="1"/>
  <c r="BG187" i="18" s="1"/>
  <c r="AY211" i="15"/>
  <c r="AY215" i="15" s="1"/>
  <c r="AY12" i="23" s="1"/>
  <c r="AZ211" i="15"/>
  <c r="AZ215" i="15" s="1"/>
  <c r="AZ187" i="18" s="1"/>
  <c r="BC211" i="15"/>
  <c r="BC215" i="15" s="1"/>
  <c r="BC88" i="17" s="1"/>
  <c r="BB211" i="15"/>
  <c r="BB215" i="15" s="1"/>
  <c r="BB187" i="18" s="1"/>
  <c r="BF211" i="15"/>
  <c r="BF215" i="15" s="1"/>
  <c r="BF88" i="17" s="1"/>
  <c r="BI211" i="15"/>
  <c r="BI215" i="15" s="1"/>
  <c r="BI12" i="23" s="1"/>
  <c r="BH211" i="15"/>
  <c r="BH215" i="15" s="1"/>
  <c r="BH187" i="18" s="1"/>
  <c r="BD211" i="15"/>
  <c r="BD215" i="15" s="1"/>
  <c r="BD88" i="17" s="1"/>
  <c r="V53" i="25"/>
  <c r="V59" i="25" s="1"/>
  <c r="BE211" i="15"/>
  <c r="BE215" i="15" s="1"/>
  <c r="BE187" i="18" s="1"/>
  <c r="AX211" i="15"/>
  <c r="AX215" i="15" s="1"/>
  <c r="AX187" i="18" s="1"/>
  <c r="BA211" i="15"/>
  <c r="BA215" i="15" s="1"/>
  <c r="BA12" i="23" s="1"/>
  <c r="J79" i="27"/>
  <c r="Q70" i="25" s="1"/>
  <c r="I79" i="27"/>
  <c r="P70" i="25" s="1"/>
  <c r="G79" i="27"/>
  <c r="N70" i="25" s="1"/>
  <c r="U59" i="25"/>
  <c r="U65" i="25"/>
  <c r="U75" i="25"/>
  <c r="U79" i="25"/>
  <c r="AS39" i="25"/>
  <c r="AS43" i="25"/>
  <c r="R79" i="27"/>
  <c r="Y70" i="25" s="1"/>
  <c r="Y78" i="25" s="1"/>
  <c r="M79" i="27"/>
  <c r="T70" i="25" s="1"/>
  <c r="L79" i="27"/>
  <c r="S70" i="25" s="1"/>
  <c r="O79" i="27"/>
  <c r="V70" i="25" s="1"/>
  <c r="V74" i="25" s="1"/>
  <c r="Q79" i="27"/>
  <c r="X70" i="25" s="1"/>
  <c r="X78" i="25" s="1"/>
  <c r="N79" i="27"/>
  <c r="U70" i="25" s="1"/>
  <c r="K79" i="27"/>
  <c r="R70" i="25" s="1"/>
  <c r="P79" i="27"/>
  <c r="W70" i="25" s="1"/>
  <c r="W78" i="25" s="1"/>
  <c r="V75" i="25"/>
  <c r="BH148" i="15"/>
  <c r="BH210" i="15" s="1"/>
  <c r="BH214" i="15" s="1"/>
  <c r="BH147" i="15"/>
  <c r="BH209" i="15" s="1"/>
  <c r="BH213" i="15" s="1"/>
  <c r="BB147" i="15"/>
  <c r="BB209" i="15" s="1"/>
  <c r="BB213" i="15" s="1"/>
  <c r="BB148" i="15"/>
  <c r="BB210" i="15" s="1"/>
  <c r="BB214" i="15" s="1"/>
  <c r="BG147" i="15"/>
  <c r="BG209" i="15" s="1"/>
  <c r="BG213" i="15" s="1"/>
  <c r="BG148" i="15"/>
  <c r="BG210" i="15" s="1"/>
  <c r="BG214" i="15" s="1"/>
  <c r="BE148" i="15"/>
  <c r="BE210" i="15" s="1"/>
  <c r="BE214" i="15" s="1"/>
  <c r="BE147" i="15"/>
  <c r="BE209" i="15" s="1"/>
  <c r="BE213" i="15" s="1"/>
  <c r="BD147" i="15"/>
  <c r="BD209" i="15" s="1"/>
  <c r="BD213" i="15" s="1"/>
  <c r="BD148" i="15"/>
  <c r="BD210" i="15" s="1"/>
  <c r="BD214" i="15" s="1"/>
  <c r="AX147" i="15"/>
  <c r="AX209" i="15" s="1"/>
  <c r="AX213" i="15" s="1"/>
  <c r="AX148" i="15"/>
  <c r="AX210" i="15" s="1"/>
  <c r="AX214" i="15" s="1"/>
  <c r="AZ147" i="15"/>
  <c r="AZ209" i="15" s="1"/>
  <c r="AZ213" i="15" s="1"/>
  <c r="AZ148" i="15"/>
  <c r="AZ210" i="15" s="1"/>
  <c r="AZ214" i="15" s="1"/>
  <c r="BF148" i="15"/>
  <c r="BF210" i="15" s="1"/>
  <c r="BF214" i="15" s="1"/>
  <c r="BF147" i="15"/>
  <c r="BF209" i="15" s="1"/>
  <c r="BF213" i="15" s="1"/>
  <c r="BC147" i="15"/>
  <c r="BC209" i="15" s="1"/>
  <c r="BC213" i="15" s="1"/>
  <c r="BC148" i="15"/>
  <c r="BC210" i="15" s="1"/>
  <c r="BC214" i="15" s="1"/>
  <c r="AY147" i="15"/>
  <c r="AY209" i="15" s="1"/>
  <c r="AY213" i="15" s="1"/>
  <c r="AY148" i="15"/>
  <c r="AY210" i="15" s="1"/>
  <c r="AY214" i="15" s="1"/>
  <c r="BI147" i="15"/>
  <c r="BI209" i="15" s="1"/>
  <c r="BI213" i="15" s="1"/>
  <c r="BI148" i="15"/>
  <c r="BI210" i="15" s="1"/>
  <c r="BI214" i="15" s="1"/>
  <c r="BA148" i="15"/>
  <c r="BA210" i="15" s="1"/>
  <c r="BA214" i="15" s="1"/>
  <c r="BA147" i="15"/>
  <c r="BA209" i="15" s="1"/>
  <c r="BA213" i="15" s="1"/>
  <c r="AY187" i="18" l="1"/>
  <c r="BG88" i="17"/>
  <c r="BG12" i="23"/>
  <c r="AY88" i="17"/>
  <c r="BD187" i="18"/>
  <c r="BD12" i="23"/>
  <c r="V65" i="25"/>
  <c r="S74" i="25"/>
  <c r="S78" i="25"/>
  <c r="T74" i="25"/>
  <c r="T78" i="25"/>
  <c r="N74" i="25"/>
  <c r="N78" i="25"/>
  <c r="O74" i="25"/>
  <c r="O78" i="25"/>
  <c r="P74" i="25"/>
  <c r="P78" i="25"/>
  <c r="R74" i="25"/>
  <c r="R78" i="25"/>
  <c r="Q74" i="25"/>
  <c r="Q78" i="25"/>
  <c r="AZ88" i="17"/>
  <c r="AZ12" i="23"/>
  <c r="BE12" i="23"/>
  <c r="BB12" i="23"/>
  <c r="AX88" i="17"/>
  <c r="AX12" i="23"/>
  <c r="BC12" i="23"/>
  <c r="BA187" i="18"/>
  <c r="BA88" i="17"/>
  <c r="BB88" i="17"/>
  <c r="BC187" i="18"/>
  <c r="BI187" i="18"/>
  <c r="BI88" i="17"/>
  <c r="BH88" i="17"/>
  <c r="BH12" i="23"/>
  <c r="BE88" i="17"/>
  <c r="BF187" i="18"/>
  <c r="BF12" i="23"/>
  <c r="U74" i="25"/>
  <c r="U78" i="25"/>
  <c r="BA13" i="21"/>
  <c r="BA9" i="23"/>
  <c r="BH13" i="21"/>
  <c r="BH9" i="23"/>
  <c r="AX13" i="21"/>
  <c r="AX9" i="23"/>
  <c r="BE13" i="21"/>
  <c r="BE9" i="23"/>
  <c r="BG13" i="21"/>
  <c r="BG9" i="23"/>
  <c r="BI13" i="21"/>
  <c r="BI9" i="23"/>
  <c r="AY13" i="21"/>
  <c r="AY9" i="23"/>
  <c r="BC13" i="21"/>
  <c r="BC9" i="23"/>
  <c r="BB13" i="21"/>
  <c r="BB9" i="23"/>
  <c r="BF13" i="21"/>
  <c r="BF9" i="23"/>
  <c r="BD13" i="21"/>
  <c r="BD9" i="23"/>
  <c r="AZ13" i="21"/>
  <c r="AZ9" i="23"/>
  <c r="V78" i="25"/>
  <c r="BB12" i="21"/>
  <c r="BB186" i="18"/>
  <c r="BB113" i="18"/>
  <c r="BB10" i="23"/>
  <c r="BB13" i="25" s="1"/>
  <c r="BB26" i="25" s="1"/>
  <c r="BB87" i="17"/>
  <c r="BB91" i="17" s="1"/>
  <c r="BB97" i="17" s="1"/>
  <c r="BB100" i="17" s="1"/>
  <c r="BB103" i="17" s="1"/>
  <c r="BD12" i="21"/>
  <c r="BD87" i="17"/>
  <c r="BD91" i="17" s="1"/>
  <c r="BD97" i="17" s="1"/>
  <c r="BD100" i="17" s="1"/>
  <c r="BD103" i="17" s="1"/>
  <c r="BD186" i="18"/>
  <c r="BD113" i="18"/>
  <c r="BD10" i="23"/>
  <c r="BD13" i="25" s="1"/>
  <c r="BD26" i="25" s="1"/>
  <c r="BH87" i="17"/>
  <c r="BH91" i="17" s="1"/>
  <c r="BH97" i="17" s="1"/>
  <c r="BH100" i="17" s="1"/>
  <c r="BH103" i="17" s="1"/>
  <c r="BH12" i="21"/>
  <c r="BH10" i="23"/>
  <c r="BH13" i="25" s="1"/>
  <c r="BH26" i="25" s="1"/>
  <c r="BH113" i="18"/>
  <c r="BH186" i="18"/>
  <c r="BF10" i="23"/>
  <c r="BF13" i="25" s="1"/>
  <c r="BF26" i="25" s="1"/>
  <c r="BF186" i="18"/>
  <c r="BF12" i="21"/>
  <c r="BF87" i="17"/>
  <c r="BF91" i="17" s="1"/>
  <c r="BF97" i="17" s="1"/>
  <c r="BF100" i="17" s="1"/>
  <c r="BF103" i="17" s="1"/>
  <c r="BF113" i="18"/>
  <c r="BE87" i="17"/>
  <c r="BE91" i="17" s="1"/>
  <c r="BE97" i="17" s="1"/>
  <c r="BE100" i="17" s="1"/>
  <c r="BE103" i="17" s="1"/>
  <c r="BE10" i="23"/>
  <c r="BE13" i="25" s="1"/>
  <c r="BE26" i="25" s="1"/>
  <c r="BE12" i="21"/>
  <c r="BE186" i="18"/>
  <c r="BE113" i="18"/>
  <c r="BA10" i="23"/>
  <c r="BA13" i="25" s="1"/>
  <c r="BA26" i="25" s="1"/>
  <c r="BA12" i="21"/>
  <c r="BA186" i="18"/>
  <c r="BA113" i="18"/>
  <c r="BA87" i="17"/>
  <c r="BA91" i="17" s="1"/>
  <c r="BA97" i="17" s="1"/>
  <c r="BA100" i="17" s="1"/>
  <c r="BA103" i="17" s="1"/>
  <c r="AX10" i="23"/>
  <c r="AX12" i="21"/>
  <c r="AX87" i="17"/>
  <c r="AX91" i="17" s="1"/>
  <c r="AX97" i="17" s="1"/>
  <c r="AX100" i="17" s="1"/>
  <c r="AX103" i="17" s="1"/>
  <c r="AX186" i="18"/>
  <c r="AX113" i="18"/>
  <c r="BI12" i="21"/>
  <c r="BI186" i="18"/>
  <c r="BI10" i="23"/>
  <c r="BI13" i="25" s="1"/>
  <c r="BI26" i="25" s="1"/>
  <c r="BI113" i="18"/>
  <c r="BI152" i="18" s="1"/>
  <c r="BI232" i="18" s="1"/>
  <c r="BI87" i="17"/>
  <c r="BI91" i="17" s="1"/>
  <c r="BI97" i="17" s="1"/>
  <c r="BI100" i="17" s="1"/>
  <c r="BI103" i="17" s="1"/>
  <c r="BG12" i="21"/>
  <c r="BG113" i="18"/>
  <c r="BG87" i="17"/>
  <c r="BG91" i="17" s="1"/>
  <c r="BG97" i="17" s="1"/>
  <c r="BG100" i="17" s="1"/>
  <c r="BG103" i="17" s="1"/>
  <c r="BG186" i="18"/>
  <c r="BG10" i="23"/>
  <c r="BG13" i="25" s="1"/>
  <c r="BG26" i="25" s="1"/>
  <c r="AZ113" i="18"/>
  <c r="AZ87" i="17"/>
  <c r="AZ91" i="17" s="1"/>
  <c r="AZ97" i="17" s="1"/>
  <c r="AZ100" i="17" s="1"/>
  <c r="AZ103" i="17" s="1"/>
  <c r="AZ186" i="18"/>
  <c r="AZ10" i="23"/>
  <c r="AZ13" i="25" s="1"/>
  <c r="AZ26" i="25" s="1"/>
  <c r="AZ12" i="21"/>
  <c r="AY12" i="21"/>
  <c r="AY186" i="18"/>
  <c r="AY87" i="17"/>
  <c r="AY91" i="17" s="1"/>
  <c r="AY97" i="17" s="1"/>
  <c r="AY100" i="17" s="1"/>
  <c r="AY103" i="17" s="1"/>
  <c r="AY113" i="18"/>
  <c r="AY10" i="23"/>
  <c r="AY13" i="25" s="1"/>
  <c r="AY26" i="25" s="1"/>
  <c r="BC12" i="21"/>
  <c r="BC87" i="17"/>
  <c r="BC91" i="17" s="1"/>
  <c r="BC97" i="17" s="1"/>
  <c r="BC100" i="17" s="1"/>
  <c r="BC103" i="17" s="1"/>
  <c r="BC186" i="18"/>
  <c r="BC10" i="23"/>
  <c r="BC13" i="25" s="1"/>
  <c r="BC26" i="25" s="1"/>
  <c r="BC113" i="18"/>
  <c r="AX14" i="21" l="1"/>
  <c r="AY10" i="21" s="1"/>
  <c r="BF28" i="23"/>
  <c r="BH28" i="23"/>
  <c r="BC28" i="23"/>
  <c r="BA28" i="23"/>
  <c r="AY28" i="23"/>
  <c r="BI28" i="23"/>
  <c r="BG28" i="23"/>
  <c r="BB28" i="23"/>
  <c r="BD28" i="23"/>
  <c r="AZ28" i="23"/>
  <c r="AX28" i="23"/>
  <c r="BE28" i="23"/>
  <c r="BB90" i="17"/>
  <c r="BB92" i="17" s="1"/>
  <c r="BB98" i="17" s="1"/>
  <c r="BB101" i="17" s="1"/>
  <c r="BB189" i="18" s="1"/>
  <c r="BH90" i="17"/>
  <c r="BH92" i="17" s="1"/>
  <c r="BH98" i="17" s="1"/>
  <c r="BH101" i="17" s="1"/>
  <c r="BH189" i="18" s="1"/>
  <c r="AZ90" i="17"/>
  <c r="AZ92" i="17" s="1"/>
  <c r="AZ98" i="17" s="1"/>
  <c r="AZ188" i="18" s="1"/>
  <c r="BD90" i="17"/>
  <c r="BD92" i="17" s="1"/>
  <c r="BD98" i="17" s="1"/>
  <c r="BD188" i="18" s="1"/>
  <c r="AX90" i="17"/>
  <c r="AX92" i="17" s="1"/>
  <c r="AX98" i="17" s="1"/>
  <c r="AX188" i="18" s="1"/>
  <c r="BF90" i="17"/>
  <c r="BF92" i="17" s="1"/>
  <c r="BF98" i="17" s="1"/>
  <c r="BF188" i="18" s="1"/>
  <c r="BA90" i="17"/>
  <c r="BA92" i="17" s="1"/>
  <c r="BA98" i="17" s="1"/>
  <c r="BA188" i="18" s="1"/>
  <c r="BF110" i="17"/>
  <c r="BF156" i="17"/>
  <c r="BH110" i="17"/>
  <c r="BH156" i="17"/>
  <c r="BC156" i="17"/>
  <c r="BC110" i="17"/>
  <c r="BG150" i="18"/>
  <c r="BG230" i="18" s="1"/>
  <c r="BH150" i="18"/>
  <c r="BH230" i="18" s="1"/>
  <c r="BI150" i="18"/>
  <c r="BI230" i="18" s="1"/>
  <c r="BE148" i="18"/>
  <c r="BE228" i="18" s="1"/>
  <c r="BF148" i="18"/>
  <c r="BF228" i="18" s="1"/>
  <c r="BG148" i="18"/>
  <c r="BG228" i="18" s="1"/>
  <c r="BH148" i="18"/>
  <c r="BH228" i="18" s="1"/>
  <c r="BI148" i="18"/>
  <c r="BI228" i="18" s="1"/>
  <c r="BD147" i="18"/>
  <c r="BD227" i="18" s="1"/>
  <c r="BE147" i="18"/>
  <c r="BE227" i="18" s="1"/>
  <c r="BF147" i="18"/>
  <c r="BF227" i="18" s="1"/>
  <c r="BG147" i="18"/>
  <c r="BG227" i="18" s="1"/>
  <c r="BH147" i="18"/>
  <c r="BH227" i="18" s="1"/>
  <c r="BI147" i="18"/>
  <c r="BI227" i="18" s="1"/>
  <c r="BB156" i="17"/>
  <c r="BB110" i="17"/>
  <c r="AY142" i="18"/>
  <c r="AY222" i="18" s="1"/>
  <c r="AZ142" i="18"/>
  <c r="AZ222" i="18" s="1"/>
  <c r="BD142" i="18"/>
  <c r="BD222" i="18" s="1"/>
  <c r="BA142" i="18"/>
  <c r="BA222" i="18" s="1"/>
  <c r="BC142" i="18"/>
  <c r="BC222" i="18" s="1"/>
  <c r="BE142" i="18"/>
  <c r="BE222" i="18" s="1"/>
  <c r="BB142" i="18"/>
  <c r="BB222" i="18" s="1"/>
  <c r="BF142" i="18"/>
  <c r="BF222" i="18" s="1"/>
  <c r="BG142" i="18"/>
  <c r="BG222" i="18" s="1"/>
  <c r="BH142" i="18"/>
  <c r="BH222" i="18" s="1"/>
  <c r="BI142" i="18"/>
  <c r="BI222" i="18" s="1"/>
  <c r="BE141" i="18"/>
  <c r="BA141" i="18"/>
  <c r="BF141" i="18"/>
  <c r="BB141" i="18"/>
  <c r="AX141" i="18"/>
  <c r="AX171" i="18" s="1"/>
  <c r="AX101" i="19" s="1"/>
  <c r="BC141" i="18"/>
  <c r="AY141" i="18"/>
  <c r="AZ141" i="18"/>
  <c r="BD141" i="18"/>
  <c r="BG141" i="18"/>
  <c r="BH141" i="18"/>
  <c r="BI141" i="18"/>
  <c r="AY156" i="17"/>
  <c r="AY110" i="17"/>
  <c r="AZ156" i="17"/>
  <c r="AZ110" i="17"/>
  <c r="BI156" i="17"/>
  <c r="BI110" i="17"/>
  <c r="BI149" i="17" s="1"/>
  <c r="BI200" i="17" s="1"/>
  <c r="BA110" i="17"/>
  <c r="BA156" i="17"/>
  <c r="BD156" i="17"/>
  <c r="BD110" i="17"/>
  <c r="BB145" i="18"/>
  <c r="BB225" i="18" s="1"/>
  <c r="BC145" i="18"/>
  <c r="BC225" i="18" s="1"/>
  <c r="BD145" i="18"/>
  <c r="BD225" i="18" s="1"/>
  <c r="BE145" i="18"/>
  <c r="BE225" i="18" s="1"/>
  <c r="BF145" i="18"/>
  <c r="BF225" i="18" s="1"/>
  <c r="BG145" i="18"/>
  <c r="BG225" i="18" s="1"/>
  <c r="BH145" i="18"/>
  <c r="BH225" i="18" s="1"/>
  <c r="BI145" i="18"/>
  <c r="BI225" i="18" s="1"/>
  <c r="AX156" i="17"/>
  <c r="AX110" i="17"/>
  <c r="BA144" i="18"/>
  <c r="BA224" i="18" s="1"/>
  <c r="BC144" i="18"/>
  <c r="BC224" i="18" s="1"/>
  <c r="BD144" i="18"/>
  <c r="BD224" i="18" s="1"/>
  <c r="BB144" i="18"/>
  <c r="BB224" i="18" s="1"/>
  <c r="BE144" i="18"/>
  <c r="BE224" i="18" s="1"/>
  <c r="BF144" i="18"/>
  <c r="BF224" i="18" s="1"/>
  <c r="BG144" i="18"/>
  <c r="BG224" i="18" s="1"/>
  <c r="BH144" i="18"/>
  <c r="BH224" i="18" s="1"/>
  <c r="BI144" i="18"/>
  <c r="BI224" i="18" s="1"/>
  <c r="BH151" i="18"/>
  <c r="BH231" i="18" s="1"/>
  <c r="BI151" i="18"/>
  <c r="BI231" i="18" s="1"/>
  <c r="BG156" i="17"/>
  <c r="BG110" i="17"/>
  <c r="BG90" i="17"/>
  <c r="BG92" i="17" s="1"/>
  <c r="BG98" i="17" s="1"/>
  <c r="BC90" i="17"/>
  <c r="BC92" i="17" s="1"/>
  <c r="BC98" i="17" s="1"/>
  <c r="AY14" i="21"/>
  <c r="AZ10" i="21" s="1"/>
  <c r="AZ14" i="21" s="1"/>
  <c r="BA10" i="21" s="1"/>
  <c r="BA14" i="21" s="1"/>
  <c r="BB10" i="21" s="1"/>
  <c r="BB14" i="21" s="1"/>
  <c r="BC10" i="21" s="1"/>
  <c r="BC14" i="21" s="1"/>
  <c r="BD10" i="21" s="1"/>
  <c r="BD14" i="21" s="1"/>
  <c r="BE10" i="21" s="1"/>
  <c r="BE14" i="21" s="1"/>
  <c r="BF10" i="21" s="1"/>
  <c r="BF14" i="21" s="1"/>
  <c r="BG10" i="21" s="1"/>
  <c r="BG14" i="21" s="1"/>
  <c r="BH10" i="21" s="1"/>
  <c r="BH14" i="21" s="1"/>
  <c r="BI10" i="21" s="1"/>
  <c r="BI14" i="21" s="1"/>
  <c r="BE156" i="17"/>
  <c r="BE110" i="17"/>
  <c r="BE90" i="17"/>
  <c r="BE92" i="17" s="1"/>
  <c r="BE98" i="17" s="1"/>
  <c r="BC146" i="18"/>
  <c r="BC226" i="18" s="1"/>
  <c r="BD146" i="18"/>
  <c r="BD226" i="18" s="1"/>
  <c r="BE146" i="18"/>
  <c r="BE226" i="18" s="1"/>
  <c r="BF146" i="18"/>
  <c r="BF226" i="18" s="1"/>
  <c r="BG146" i="18"/>
  <c r="BG226" i="18" s="1"/>
  <c r="BH146" i="18"/>
  <c r="BH226" i="18" s="1"/>
  <c r="BI146" i="18"/>
  <c r="BI226" i="18" s="1"/>
  <c r="AZ143" i="18"/>
  <c r="AZ223" i="18" s="1"/>
  <c r="BA143" i="18"/>
  <c r="BA223" i="18" s="1"/>
  <c r="BB143" i="18"/>
  <c r="BB223" i="18" s="1"/>
  <c r="BD143" i="18"/>
  <c r="BD223" i="18" s="1"/>
  <c r="BC143" i="18"/>
  <c r="BC223" i="18" s="1"/>
  <c r="BE143" i="18"/>
  <c r="BE223" i="18" s="1"/>
  <c r="BF143" i="18"/>
  <c r="BF223" i="18" s="1"/>
  <c r="BG143" i="18"/>
  <c r="BG223" i="18" s="1"/>
  <c r="BH143" i="18"/>
  <c r="BH223" i="18" s="1"/>
  <c r="BI143" i="18"/>
  <c r="BI223" i="18" s="1"/>
  <c r="BI90" i="17"/>
  <c r="BI92" i="17" s="1"/>
  <c r="BI98" i="17" s="1"/>
  <c r="AX13" i="25"/>
  <c r="AX26" i="25" s="1"/>
  <c r="J12" i="27"/>
  <c r="BF149" i="18"/>
  <c r="BF229" i="18" s="1"/>
  <c r="BG149" i="18"/>
  <c r="BG229" i="18" s="1"/>
  <c r="BH149" i="18"/>
  <c r="BH229" i="18" s="1"/>
  <c r="BI149" i="18"/>
  <c r="BI229" i="18" s="1"/>
  <c r="AY90" i="17"/>
  <c r="AY92" i="17" s="1"/>
  <c r="AY98" i="17" s="1"/>
  <c r="AY171" i="18" l="1"/>
  <c r="AY101" i="19" s="1"/>
  <c r="AY166" i="19" s="1"/>
  <c r="AX165" i="19"/>
  <c r="AY165" i="19"/>
  <c r="AZ165" i="19"/>
  <c r="BA165" i="19"/>
  <c r="BB165" i="19"/>
  <c r="BC165" i="19"/>
  <c r="BD165" i="19"/>
  <c r="BE165" i="19"/>
  <c r="BF165" i="19"/>
  <c r="BG165" i="19"/>
  <c r="BH165" i="19"/>
  <c r="BI165" i="19"/>
  <c r="BI171" i="18"/>
  <c r="BI101" i="19" s="1"/>
  <c r="BI176" i="19" s="1"/>
  <c r="BB171" i="18"/>
  <c r="BB101" i="19" s="1"/>
  <c r="BH171" i="18"/>
  <c r="BH101" i="19" s="1"/>
  <c r="BF171" i="18"/>
  <c r="BF101" i="19" s="1"/>
  <c r="BG171" i="18"/>
  <c r="BG101" i="19" s="1"/>
  <c r="BA171" i="18"/>
  <c r="BD171" i="18"/>
  <c r="BD101" i="19" s="1"/>
  <c r="BE171" i="18"/>
  <c r="BE101" i="19" s="1"/>
  <c r="AZ171" i="18"/>
  <c r="AZ101" i="19" s="1"/>
  <c r="BC171" i="18"/>
  <c r="BC101" i="19" s="1"/>
  <c r="M28" i="23"/>
  <c r="I11" i="28" s="1"/>
  <c r="BB188" i="18"/>
  <c r="BB191" i="18" s="1"/>
  <c r="BG211" i="18" s="1"/>
  <c r="AZ101" i="17"/>
  <c r="AZ189" i="18" s="1"/>
  <c r="AZ191" i="18" s="1"/>
  <c r="BH188" i="18"/>
  <c r="BH191" i="18" s="1"/>
  <c r="BH217" i="18" s="1"/>
  <c r="BF101" i="17"/>
  <c r="BF189" i="18" s="1"/>
  <c r="BF191" i="18" s="1"/>
  <c r="BA101" i="17"/>
  <c r="BA189" i="18" s="1"/>
  <c r="BA191" i="18" s="1"/>
  <c r="AX101" i="17"/>
  <c r="AX104" i="17" s="1"/>
  <c r="AX157" i="17" s="1"/>
  <c r="AX159" i="17" s="1"/>
  <c r="BD101" i="17"/>
  <c r="BB104" i="17"/>
  <c r="BB157" i="17" s="1"/>
  <c r="BB159" i="17" s="1"/>
  <c r="BD179" i="17" s="1"/>
  <c r="BG188" i="18"/>
  <c r="BG101" i="17"/>
  <c r="BD144" i="17"/>
  <c r="BD195" i="17" s="1"/>
  <c r="BE144" i="17"/>
  <c r="BE195" i="17" s="1"/>
  <c r="BF144" i="17"/>
  <c r="BF195" i="17" s="1"/>
  <c r="BG144" i="17"/>
  <c r="BG195" i="17" s="1"/>
  <c r="BH144" i="17"/>
  <c r="BH195" i="17" s="1"/>
  <c r="BI144" i="17"/>
  <c r="BI195" i="17" s="1"/>
  <c r="BB139" i="17"/>
  <c r="BB190" i="17" s="1"/>
  <c r="BC139" i="17"/>
  <c r="BC190" i="17" s="1"/>
  <c r="BA139" i="17"/>
  <c r="BA190" i="17" s="1"/>
  <c r="BD139" i="17"/>
  <c r="BD190" i="17" s="1"/>
  <c r="BE139" i="17"/>
  <c r="BE190" i="17" s="1"/>
  <c r="BF139" i="17"/>
  <c r="BF190" i="17" s="1"/>
  <c r="AY139" i="17"/>
  <c r="AY190" i="17" s="1"/>
  <c r="AZ139" i="17"/>
  <c r="AZ190" i="17" s="1"/>
  <c r="BG139" i="17"/>
  <c r="BG190" i="17" s="1"/>
  <c r="BH139" i="17"/>
  <c r="BH190" i="17" s="1"/>
  <c r="BI139" i="17"/>
  <c r="BI190" i="17" s="1"/>
  <c r="BC221" i="18"/>
  <c r="BC154" i="18"/>
  <c r="BC178" i="18" s="1"/>
  <c r="BC180" i="18" s="1"/>
  <c r="BC242" i="18" s="1"/>
  <c r="BC245" i="18" s="1"/>
  <c r="BH147" i="17"/>
  <c r="BH198" i="17" s="1"/>
  <c r="BG147" i="17"/>
  <c r="BG198" i="17" s="1"/>
  <c r="BI147" i="17"/>
  <c r="BI198" i="17" s="1"/>
  <c r="AX221" i="18"/>
  <c r="AX154" i="18"/>
  <c r="AX178" i="18" s="1"/>
  <c r="AX180" i="18" s="1"/>
  <c r="AX242" i="18" s="1"/>
  <c r="AX245" i="18" s="1"/>
  <c r="BC142" i="17"/>
  <c r="BC193" i="17" s="1"/>
  <c r="BB142" i="17"/>
  <c r="BB193" i="17" s="1"/>
  <c r="BD142" i="17"/>
  <c r="BD193" i="17" s="1"/>
  <c r="BE142" i="17"/>
  <c r="BE193" i="17" s="1"/>
  <c r="BF142" i="17"/>
  <c r="BF193" i="17" s="1"/>
  <c r="BG142" i="17"/>
  <c r="BG193" i="17" s="1"/>
  <c r="BH142" i="17"/>
  <c r="BH193" i="17" s="1"/>
  <c r="BI142" i="17"/>
  <c r="BI193" i="17" s="1"/>
  <c r="BI221" i="18"/>
  <c r="BI154" i="18"/>
  <c r="BI178" i="18" s="1"/>
  <c r="BI180" i="18" s="1"/>
  <c r="BI242" i="18" s="1"/>
  <c r="BI245" i="18" s="1"/>
  <c r="BB221" i="18"/>
  <c r="BB154" i="18"/>
  <c r="BB178" i="18" s="1"/>
  <c r="BB180" i="18" s="1"/>
  <c r="BB242" i="18" s="1"/>
  <c r="BB245" i="18" s="1"/>
  <c r="BH148" i="17"/>
  <c r="BH199" i="17" s="1"/>
  <c r="BI148" i="17"/>
  <c r="BI199" i="17" s="1"/>
  <c r="BE101" i="17"/>
  <c r="BE189" i="18" s="1"/>
  <c r="BE188" i="18"/>
  <c r="BE141" i="17"/>
  <c r="BE192" i="17" s="1"/>
  <c r="BA141" i="17"/>
  <c r="BA192" i="17" s="1"/>
  <c r="BB141" i="17"/>
  <c r="BB192" i="17" s="1"/>
  <c r="BC141" i="17"/>
  <c r="BC192" i="17" s="1"/>
  <c r="BD141" i="17"/>
  <c r="BD192" i="17" s="1"/>
  <c r="BF141" i="17"/>
  <c r="BF192" i="17" s="1"/>
  <c r="BG141" i="17"/>
  <c r="BG192" i="17" s="1"/>
  <c r="BH141" i="17"/>
  <c r="BH192" i="17" s="1"/>
  <c r="BI141" i="17"/>
  <c r="BI192" i="17" s="1"/>
  <c r="BH221" i="18"/>
  <c r="BH154" i="18"/>
  <c r="BH178" i="18" s="1"/>
  <c r="BH180" i="18" s="1"/>
  <c r="BH242" i="18" s="1"/>
  <c r="BH245" i="18" s="1"/>
  <c r="BF221" i="18"/>
  <c r="BF154" i="18"/>
  <c r="BF178" i="18" s="1"/>
  <c r="BF180" i="18" s="1"/>
  <c r="BF242" i="18" s="1"/>
  <c r="BF245" i="18" s="1"/>
  <c r="BE145" i="17"/>
  <c r="BE196" i="17" s="1"/>
  <c r="BF145" i="17"/>
  <c r="BF196" i="17" s="1"/>
  <c r="BG145" i="17"/>
  <c r="BG196" i="17" s="1"/>
  <c r="BH145" i="17"/>
  <c r="BH196" i="17" s="1"/>
  <c r="BI145" i="17"/>
  <c r="BI196" i="17" s="1"/>
  <c r="BG221" i="18"/>
  <c r="BG154" i="18"/>
  <c r="BG178" i="18" s="1"/>
  <c r="BG180" i="18" s="1"/>
  <c r="BG242" i="18" s="1"/>
  <c r="BG245" i="18" s="1"/>
  <c r="BA221" i="18"/>
  <c r="BA154" i="18"/>
  <c r="BA178" i="18" s="1"/>
  <c r="BA180" i="18" s="1"/>
  <c r="BA242" i="18" s="1"/>
  <c r="BA245" i="18" s="1"/>
  <c r="BC143" i="17"/>
  <c r="BC194" i="17" s="1"/>
  <c r="BD143" i="17"/>
  <c r="BD194" i="17" s="1"/>
  <c r="BE143" i="17"/>
  <c r="BE194" i="17" s="1"/>
  <c r="BF143" i="17"/>
  <c r="BF194" i="17" s="1"/>
  <c r="BG143" i="17"/>
  <c r="BG194" i="17" s="1"/>
  <c r="BH143" i="17"/>
  <c r="BH194" i="17" s="1"/>
  <c r="BI143" i="17"/>
  <c r="BI194" i="17" s="1"/>
  <c r="BF146" i="17"/>
  <c r="BF197" i="17" s="1"/>
  <c r="BG146" i="17"/>
  <c r="BG197" i="17" s="1"/>
  <c r="BH146" i="17"/>
  <c r="BH197" i="17" s="1"/>
  <c r="BI146" i="17"/>
  <c r="BI197" i="17" s="1"/>
  <c r="BD221" i="18"/>
  <c r="BD154" i="18"/>
  <c r="BD178" i="18" s="1"/>
  <c r="BD180" i="18" s="1"/>
  <c r="BD242" i="18" s="1"/>
  <c r="BD245" i="18" s="1"/>
  <c r="BE221" i="18"/>
  <c r="BE154" i="18"/>
  <c r="BE178" i="18" s="1"/>
  <c r="BE180" i="18" s="1"/>
  <c r="BE242" i="18" s="1"/>
  <c r="BE245" i="18" s="1"/>
  <c r="AY101" i="17"/>
  <c r="AY189" i="18" s="1"/>
  <c r="AY188" i="18"/>
  <c r="BI101" i="17"/>
  <c r="BI189" i="18" s="1"/>
  <c r="BI188" i="18"/>
  <c r="AZ138" i="17"/>
  <c r="BB138" i="17"/>
  <c r="BF138" i="17"/>
  <c r="BC138" i="17"/>
  <c r="BA138" i="17"/>
  <c r="BD138" i="17"/>
  <c r="BG138" i="17"/>
  <c r="BE138" i="17"/>
  <c r="AX138" i="17"/>
  <c r="AY138" i="17"/>
  <c r="BH138" i="17"/>
  <c r="BI138" i="17"/>
  <c r="BD140" i="17"/>
  <c r="BD191" i="17" s="1"/>
  <c r="BC140" i="17"/>
  <c r="BC191" i="17" s="1"/>
  <c r="AZ140" i="17"/>
  <c r="AZ191" i="17" s="1"/>
  <c r="BE140" i="17"/>
  <c r="BE191" i="17" s="1"/>
  <c r="BA140" i="17"/>
  <c r="BA191" i="17" s="1"/>
  <c r="BB140" i="17"/>
  <c r="BB191" i="17" s="1"/>
  <c r="BF140" i="17"/>
  <c r="BF191" i="17" s="1"/>
  <c r="BG140" i="17"/>
  <c r="BG191" i="17" s="1"/>
  <c r="BH140" i="17"/>
  <c r="BH191" i="17" s="1"/>
  <c r="BI140" i="17"/>
  <c r="BI191" i="17" s="1"/>
  <c r="AZ221" i="18"/>
  <c r="AZ154" i="18"/>
  <c r="AZ178" i="18" s="1"/>
  <c r="AZ180" i="18" s="1"/>
  <c r="AZ242" i="18" s="1"/>
  <c r="AZ245" i="18" s="1"/>
  <c r="BH104" i="17"/>
  <c r="BH157" i="17" s="1"/>
  <c r="BH159" i="17" s="1"/>
  <c r="BC188" i="18"/>
  <c r="BC101" i="17"/>
  <c r="BC189" i="18" s="1"/>
  <c r="AY221" i="18"/>
  <c r="AY154" i="18"/>
  <c r="AY178" i="18" s="1"/>
  <c r="AY180" i="18" s="1"/>
  <c r="AY242" i="18" s="1"/>
  <c r="AY245" i="18" s="1"/>
  <c r="BF166" i="19" l="1"/>
  <c r="BF180" i="19" s="1"/>
  <c r="BF290" i="19" s="1"/>
  <c r="BE166" i="19"/>
  <c r="BE180" i="19" s="1"/>
  <c r="BE290" i="19" s="1"/>
  <c r="BD166" i="19"/>
  <c r="BD180" i="19" s="1"/>
  <c r="BC166" i="19"/>
  <c r="BC180" i="19" s="1"/>
  <c r="BC290" i="19" s="1"/>
  <c r="BB166" i="19"/>
  <c r="BB180" i="19" s="1"/>
  <c r="BB290" i="19" s="1"/>
  <c r="BI166" i="19"/>
  <c r="BI180" i="19" s="1"/>
  <c r="BI290" i="19" s="1"/>
  <c r="BA166" i="19"/>
  <c r="BA180" i="19" s="1"/>
  <c r="BA290" i="19" s="1"/>
  <c r="BH166" i="19"/>
  <c r="BH180" i="19" s="1"/>
  <c r="BH290" i="19" s="1"/>
  <c r="AZ166" i="19"/>
  <c r="AZ180" i="19" s="1"/>
  <c r="AZ290" i="19" s="1"/>
  <c r="BG166" i="19"/>
  <c r="BG180" i="19" s="1"/>
  <c r="BG290" i="19" s="1"/>
  <c r="BI190" i="19"/>
  <c r="BI300" i="19" s="1"/>
  <c r="BB179" i="19"/>
  <c r="BB248" i="19" s="1"/>
  <c r="BI179" i="19"/>
  <c r="BI248" i="19" s="1"/>
  <c r="BA179" i="19"/>
  <c r="BA248" i="19" s="1"/>
  <c r="BH179" i="19"/>
  <c r="BH248" i="19" s="1"/>
  <c r="AZ179" i="19"/>
  <c r="AZ248" i="19" s="1"/>
  <c r="BG179" i="19"/>
  <c r="BG248" i="19" s="1"/>
  <c r="AY179" i="19"/>
  <c r="AY248" i="19" s="1"/>
  <c r="BF179" i="19"/>
  <c r="BF248" i="19" s="1"/>
  <c r="AX179" i="19"/>
  <c r="AX248" i="19" s="1"/>
  <c r="BE179" i="19"/>
  <c r="BE248" i="19" s="1"/>
  <c r="BD179" i="19"/>
  <c r="BD248" i="19" s="1"/>
  <c r="BC179" i="19"/>
  <c r="BC248" i="19" s="1"/>
  <c r="AY180" i="19"/>
  <c r="AY290" i="19" s="1"/>
  <c r="BE172" i="19"/>
  <c r="BF172" i="19"/>
  <c r="BG172" i="19"/>
  <c r="BH172" i="19"/>
  <c r="BI172" i="19"/>
  <c r="BD171" i="19"/>
  <c r="BE171" i="19"/>
  <c r="BF171" i="19"/>
  <c r="BG171" i="19"/>
  <c r="BH171" i="19"/>
  <c r="BI171" i="19"/>
  <c r="BA173" i="18"/>
  <c r="BA101" i="19"/>
  <c r="AZ167" i="19"/>
  <c r="BA167" i="19"/>
  <c r="BB167" i="19"/>
  <c r="BC167" i="19"/>
  <c r="BD167" i="19"/>
  <c r="BE167" i="19"/>
  <c r="BF167" i="19"/>
  <c r="BG167" i="19"/>
  <c r="BH167" i="19"/>
  <c r="BI167" i="19"/>
  <c r="BG174" i="19"/>
  <c r="BH174" i="19"/>
  <c r="BI174" i="19"/>
  <c r="BF173" i="19"/>
  <c r="BG173" i="19"/>
  <c r="BH173" i="19"/>
  <c r="BI173" i="19"/>
  <c r="BH175" i="19"/>
  <c r="BI175" i="19"/>
  <c r="BC170" i="19"/>
  <c r="BD170" i="19"/>
  <c r="BE170" i="19"/>
  <c r="BF170" i="19"/>
  <c r="BG170" i="19"/>
  <c r="BH170" i="19"/>
  <c r="BI170" i="19"/>
  <c r="BB169" i="19"/>
  <c r="BC169" i="19"/>
  <c r="BD169" i="19"/>
  <c r="BE169" i="19"/>
  <c r="BF169" i="19"/>
  <c r="BG169" i="19"/>
  <c r="BH169" i="19"/>
  <c r="BI169" i="19"/>
  <c r="BG173" i="18"/>
  <c r="BF173" i="18"/>
  <c r="BH173" i="18"/>
  <c r="BC173" i="18"/>
  <c r="BB173" i="18"/>
  <c r="AZ173" i="18"/>
  <c r="BI173" i="18"/>
  <c r="BE173" i="18"/>
  <c r="AX173" i="18"/>
  <c r="BD173" i="18"/>
  <c r="AY173" i="18"/>
  <c r="BF104" i="17"/>
  <c r="BF157" i="17" s="1"/>
  <c r="BF159" i="17" s="1"/>
  <c r="BI183" i="17" s="1"/>
  <c r="AZ104" i="17"/>
  <c r="AZ157" i="17" s="1"/>
  <c r="AZ159" i="17" s="1"/>
  <c r="BA177" i="17" s="1"/>
  <c r="AX189" i="18"/>
  <c r="AX191" i="18" s="1"/>
  <c r="BE207" i="18" s="1"/>
  <c r="BF211" i="18"/>
  <c r="BE211" i="18"/>
  <c r="BD211" i="18"/>
  <c r="BI211" i="18"/>
  <c r="BB211" i="18"/>
  <c r="BC211" i="18"/>
  <c r="BA104" i="17"/>
  <c r="BA157" i="17" s="1"/>
  <c r="BA159" i="17" s="1"/>
  <c r="BF178" i="17" s="1"/>
  <c r="BH211" i="18"/>
  <c r="BI217" i="18"/>
  <c r="BB179" i="17"/>
  <c r="AY191" i="18"/>
  <c r="BA208" i="18" s="1"/>
  <c r="BI179" i="17"/>
  <c r="BC104" i="17"/>
  <c r="BC157" i="17" s="1"/>
  <c r="BC159" i="17" s="1"/>
  <c r="BE180" i="17" s="1"/>
  <c r="BF179" i="17"/>
  <c r="BH179" i="17"/>
  <c r="BG179" i="17"/>
  <c r="BC179" i="17"/>
  <c r="BE179" i="17"/>
  <c r="BI104" i="17"/>
  <c r="BI157" i="17" s="1"/>
  <c r="BI159" i="17" s="1"/>
  <c r="BI186" i="17" s="1"/>
  <c r="BD189" i="18"/>
  <c r="BD191" i="18" s="1"/>
  <c r="BD213" i="18" s="1"/>
  <c r="BD104" i="17"/>
  <c r="BD157" i="17" s="1"/>
  <c r="BD159" i="17" s="1"/>
  <c r="BI181" i="17" s="1"/>
  <c r="BH209" i="18"/>
  <c r="BA209" i="18"/>
  <c r="AZ209" i="18"/>
  <c r="BF209" i="18"/>
  <c r="BG209" i="18"/>
  <c r="BD209" i="18"/>
  <c r="BC209" i="18"/>
  <c r="BE209" i="18"/>
  <c r="BB209" i="18"/>
  <c r="BI209" i="18"/>
  <c r="BH189" i="17"/>
  <c r="BH202" i="17" s="1"/>
  <c r="BH211" i="17" s="1"/>
  <c r="BH214" i="17" s="1"/>
  <c r="BH151" i="17"/>
  <c r="BF189" i="17"/>
  <c r="BF202" i="17" s="1"/>
  <c r="BF211" i="17" s="1"/>
  <c r="BF214" i="17" s="1"/>
  <c r="BF151" i="17"/>
  <c r="AY189" i="17"/>
  <c r="AY202" i="17" s="1"/>
  <c r="AY211" i="17" s="1"/>
  <c r="AY214" i="17" s="1"/>
  <c r="AY151" i="17"/>
  <c r="BB189" i="17"/>
  <c r="BB202" i="17" s="1"/>
  <c r="BB211" i="17" s="1"/>
  <c r="BB214" i="17" s="1"/>
  <c r="BB151" i="17"/>
  <c r="BI17" i="23"/>
  <c r="BI14" i="25" s="1"/>
  <c r="BI27" i="25" s="1"/>
  <c r="BI19" i="21"/>
  <c r="BI99" i="19"/>
  <c r="BI141" i="19" s="1"/>
  <c r="BI197" i="19"/>
  <c r="BH185" i="17"/>
  <c r="BI185" i="17"/>
  <c r="AX189" i="17"/>
  <c r="AX202" i="17" s="1"/>
  <c r="AX211" i="17" s="1"/>
  <c r="AX214" i="17" s="1"/>
  <c r="AX151" i="17"/>
  <c r="AZ189" i="17"/>
  <c r="AZ202" i="17" s="1"/>
  <c r="AZ211" i="17" s="1"/>
  <c r="AZ214" i="17" s="1"/>
  <c r="AZ151" i="17"/>
  <c r="BE99" i="19"/>
  <c r="BE197" i="19"/>
  <c r="BE19" i="21"/>
  <c r="BE17" i="23"/>
  <c r="BE14" i="25" s="1"/>
  <c r="BE27" i="25" s="1"/>
  <c r="BG175" i="17"/>
  <c r="BB175" i="17"/>
  <c r="AY175" i="17"/>
  <c r="BA175" i="17"/>
  <c r="BF175" i="17"/>
  <c r="BC175" i="17"/>
  <c r="BH175" i="17"/>
  <c r="BE175" i="17"/>
  <c r="AX175" i="17"/>
  <c r="AZ175" i="17"/>
  <c r="BD175" i="17"/>
  <c r="BI175" i="17"/>
  <c r="BE104" i="17"/>
  <c r="BE157" i="17" s="1"/>
  <c r="BE159" i="17" s="1"/>
  <c r="BG215" i="18"/>
  <c r="BF215" i="18"/>
  <c r="BH215" i="18"/>
  <c r="BI215" i="18"/>
  <c r="BE189" i="17"/>
  <c r="BE202" i="17" s="1"/>
  <c r="BE211" i="17" s="1"/>
  <c r="BE214" i="17" s="1"/>
  <c r="BE151" i="17"/>
  <c r="BA17" i="23"/>
  <c r="BA14" i="25" s="1"/>
  <c r="BA27" i="25" s="1"/>
  <c r="BA99" i="19"/>
  <c r="BA19" i="21"/>
  <c r="BA197" i="19"/>
  <c r="BC197" i="19"/>
  <c r="BC17" i="23"/>
  <c r="BC14" i="25" s="1"/>
  <c r="BC27" i="25" s="1"/>
  <c r="BC99" i="19"/>
  <c r="BC19" i="21"/>
  <c r="BG189" i="17"/>
  <c r="BG202" i="17" s="1"/>
  <c r="BG211" i="17" s="1"/>
  <c r="BG214" i="17" s="1"/>
  <c r="BG151" i="17"/>
  <c r="BI191" i="18"/>
  <c r="BI218" i="18" s="1"/>
  <c r="BD99" i="19"/>
  <c r="BD17" i="23"/>
  <c r="BD14" i="25" s="1"/>
  <c r="BD27" i="25" s="1"/>
  <c r="BD19" i="21"/>
  <c r="BD197" i="19"/>
  <c r="BD210" i="18"/>
  <c r="BG210" i="18"/>
  <c r="BE210" i="18"/>
  <c r="BF210" i="18"/>
  <c r="BB210" i="18"/>
  <c r="BA210" i="18"/>
  <c r="BC210" i="18"/>
  <c r="BH210" i="18"/>
  <c r="BI210" i="18"/>
  <c r="BE191" i="18"/>
  <c r="AX99" i="19"/>
  <c r="AX19" i="21"/>
  <c r="AX197" i="19"/>
  <c r="AX17" i="23"/>
  <c r="AY17" i="23"/>
  <c r="AY14" i="25" s="1"/>
  <c r="AY27" i="25" s="1"/>
  <c r="AY99" i="19"/>
  <c r="AY19" i="21"/>
  <c r="AY197" i="19"/>
  <c r="BD189" i="17"/>
  <c r="BD202" i="17" s="1"/>
  <c r="BD211" i="17" s="1"/>
  <c r="BD214" i="17" s="1"/>
  <c r="BD151" i="17"/>
  <c r="BG197" i="19"/>
  <c r="BG17" i="23"/>
  <c r="BG14" i="25" s="1"/>
  <c r="BG27" i="25" s="1"/>
  <c r="BG19" i="21"/>
  <c r="BG99" i="19"/>
  <c r="BF17" i="23"/>
  <c r="BF14" i="25" s="1"/>
  <c r="BF27" i="25" s="1"/>
  <c r="BF19" i="21"/>
  <c r="BF99" i="19"/>
  <c r="BF197" i="19"/>
  <c r="AZ17" i="23"/>
  <c r="AZ14" i="25" s="1"/>
  <c r="AZ27" i="25" s="1"/>
  <c r="AZ99" i="19"/>
  <c r="AZ19" i="21"/>
  <c r="AZ197" i="19"/>
  <c r="BC191" i="18"/>
  <c r="BA189" i="17"/>
  <c r="BA202" i="17" s="1"/>
  <c r="BA211" i="17" s="1"/>
  <c r="BA214" i="17" s="1"/>
  <c r="BA151" i="17"/>
  <c r="AY104" i="17"/>
  <c r="AY157" i="17" s="1"/>
  <c r="AY159" i="17" s="1"/>
  <c r="BG104" i="17"/>
  <c r="BG157" i="17" s="1"/>
  <c r="BG159" i="17" s="1"/>
  <c r="BG189" i="18"/>
  <c r="BG191" i="18" s="1"/>
  <c r="BI189" i="17"/>
  <c r="BI202" i="17" s="1"/>
  <c r="BI211" i="17" s="1"/>
  <c r="BI214" i="17" s="1"/>
  <c r="BI151" i="17"/>
  <c r="BC189" i="17"/>
  <c r="BC202" i="17" s="1"/>
  <c r="BC211" i="17" s="1"/>
  <c r="BC214" i="17" s="1"/>
  <c r="BC151" i="17"/>
  <c r="BH99" i="19"/>
  <c r="BH17" i="23"/>
  <c r="BH14" i="25" s="1"/>
  <c r="BH27" i="25" s="1"/>
  <c r="BH197" i="19"/>
  <c r="BH19" i="21"/>
  <c r="BB17" i="23"/>
  <c r="BB14" i="25" s="1"/>
  <c r="BB27" i="25" s="1"/>
  <c r="BB197" i="19"/>
  <c r="BB19" i="21"/>
  <c r="BB99" i="19"/>
  <c r="BC289" i="19" l="1"/>
  <c r="BH289" i="19"/>
  <c r="BE289" i="19"/>
  <c r="BG289" i="19"/>
  <c r="BF289" i="19"/>
  <c r="BD289" i="19"/>
  <c r="BF249" i="19"/>
  <c r="AY289" i="19"/>
  <c r="BD290" i="19"/>
  <c r="BD249" i="19"/>
  <c r="BI259" i="19"/>
  <c r="BB289" i="19"/>
  <c r="AY192" i="19"/>
  <c r="AY318" i="19" s="1"/>
  <c r="AY325" i="19" s="1"/>
  <c r="AY20" i="23" s="1"/>
  <c r="BA249" i="19"/>
  <c r="BE249" i="19"/>
  <c r="BI289" i="19"/>
  <c r="AZ249" i="19"/>
  <c r="AX289" i="19"/>
  <c r="AX192" i="19"/>
  <c r="AX318" i="19" s="1"/>
  <c r="AX325" i="19" s="1"/>
  <c r="AX20" i="23" s="1"/>
  <c r="BI249" i="19"/>
  <c r="BB249" i="19"/>
  <c r="AZ289" i="19"/>
  <c r="BA289" i="19"/>
  <c r="BG249" i="19"/>
  <c r="BE183" i="19"/>
  <c r="BE293" i="19" s="1"/>
  <c r="BE184" i="19"/>
  <c r="BE294" i="19" s="1"/>
  <c r="BH187" i="19"/>
  <c r="BH297" i="19" s="1"/>
  <c r="BG188" i="19"/>
  <c r="BG298" i="19" s="1"/>
  <c r="BB181" i="19"/>
  <c r="BB291" i="19" s="1"/>
  <c r="AY249" i="19"/>
  <c r="BH249" i="19"/>
  <c r="BC249" i="19"/>
  <c r="BD183" i="19"/>
  <c r="BD293" i="19" s="1"/>
  <c r="BD184" i="19"/>
  <c r="BD294" i="19" s="1"/>
  <c r="BG187" i="19"/>
  <c r="BG297" i="19" s="1"/>
  <c r="BI181" i="19"/>
  <c r="BI291" i="19" s="1"/>
  <c r="BA181" i="19"/>
  <c r="BA291" i="19" s="1"/>
  <c r="BC183" i="19"/>
  <c r="BC293" i="19" s="1"/>
  <c r="BC184" i="19"/>
  <c r="BC294" i="19" s="1"/>
  <c r="BF187" i="19"/>
  <c r="BF297" i="19" s="1"/>
  <c r="BH181" i="19"/>
  <c r="BH291" i="19" s="1"/>
  <c r="AZ181" i="19"/>
  <c r="AZ291" i="19" s="1"/>
  <c r="BI185" i="19"/>
  <c r="BI295" i="19" s="1"/>
  <c r="BB183" i="19"/>
  <c r="BB293" i="19" s="1"/>
  <c r="BG181" i="19"/>
  <c r="BG291" i="19" s="1"/>
  <c r="BH185" i="19"/>
  <c r="BH295" i="19" s="1"/>
  <c r="BI186" i="19"/>
  <c r="BI296" i="19" s="1"/>
  <c r="BI183" i="19"/>
  <c r="BI293" i="19" s="1"/>
  <c r="BI184" i="19"/>
  <c r="BI294" i="19" s="1"/>
  <c r="BI189" i="19"/>
  <c r="BI299" i="19" s="1"/>
  <c r="BF181" i="19"/>
  <c r="BF291" i="19" s="1"/>
  <c r="BG185" i="19"/>
  <c r="BG295" i="19" s="1"/>
  <c r="BH186" i="19"/>
  <c r="BH296" i="19" s="1"/>
  <c r="BH183" i="19"/>
  <c r="BH293" i="19" s="1"/>
  <c r="BH184" i="19"/>
  <c r="BH294" i="19" s="1"/>
  <c r="BH189" i="19"/>
  <c r="BH299" i="19" s="1"/>
  <c r="BE181" i="19"/>
  <c r="BE291" i="19" s="1"/>
  <c r="BF185" i="19"/>
  <c r="BF295" i="19" s="1"/>
  <c r="BG186" i="19"/>
  <c r="BG296" i="19" s="1"/>
  <c r="BG183" i="19"/>
  <c r="BG293" i="19" s="1"/>
  <c r="BG184" i="19"/>
  <c r="BG294" i="19" s="1"/>
  <c r="BI188" i="19"/>
  <c r="BI298" i="19" s="1"/>
  <c r="BD181" i="19"/>
  <c r="BD291" i="19" s="1"/>
  <c r="BE185" i="19"/>
  <c r="BE295" i="19" s="1"/>
  <c r="BF186" i="19"/>
  <c r="BF296" i="19" s="1"/>
  <c r="BF183" i="19"/>
  <c r="BF293" i="19" s="1"/>
  <c r="BF184" i="19"/>
  <c r="BF294" i="19" s="1"/>
  <c r="BI187" i="19"/>
  <c r="BI297" i="19" s="1"/>
  <c r="BH188" i="19"/>
  <c r="BH298" i="19" s="1"/>
  <c r="BC181" i="19"/>
  <c r="BC291" i="19" s="1"/>
  <c r="BD185" i="19"/>
  <c r="BD295" i="19" s="1"/>
  <c r="BE186" i="19"/>
  <c r="BE296" i="19" s="1"/>
  <c r="BA168" i="19"/>
  <c r="BB168" i="19"/>
  <c r="BC168" i="19"/>
  <c r="BD168" i="19"/>
  <c r="BE168" i="19"/>
  <c r="BF168" i="19"/>
  <c r="BG168" i="19"/>
  <c r="BH168" i="19"/>
  <c r="BI168" i="19"/>
  <c r="BI29" i="23"/>
  <c r="BC29" i="23"/>
  <c r="BE29" i="23"/>
  <c r="AY29" i="23"/>
  <c r="BG29" i="23"/>
  <c r="BA29" i="23"/>
  <c r="BH29" i="23"/>
  <c r="AX29" i="23"/>
  <c r="AZ29" i="23"/>
  <c r="BD29" i="23"/>
  <c r="BF29" i="23"/>
  <c r="BB29" i="23"/>
  <c r="AX203" i="17"/>
  <c r="AX212" i="17" s="1"/>
  <c r="AX215" i="17" s="1"/>
  <c r="AX23" i="23" s="1"/>
  <c r="BF208" i="18"/>
  <c r="BD208" i="18"/>
  <c r="BB208" i="18"/>
  <c r="BH208" i="18"/>
  <c r="BC208" i="18"/>
  <c r="BI208" i="18"/>
  <c r="BE208" i="18"/>
  <c r="BH183" i="17"/>
  <c r="BG183" i="17"/>
  <c r="BF183" i="17"/>
  <c r="BH177" i="17"/>
  <c r="BG208" i="18"/>
  <c r="BD180" i="17"/>
  <c r="BF177" i="17"/>
  <c r="BF180" i="17"/>
  <c r="BB177" i="17"/>
  <c r="BG177" i="17"/>
  <c r="BD177" i="17"/>
  <c r="BC177" i="17"/>
  <c r="AZ177" i="17"/>
  <c r="AZ208" i="18"/>
  <c r="AY208" i="18"/>
  <c r="BE177" i="17"/>
  <c r="BI177" i="17"/>
  <c r="BD207" i="18"/>
  <c r="BH207" i="18"/>
  <c r="AZ207" i="18"/>
  <c r="BA178" i="17"/>
  <c r="BA207" i="18"/>
  <c r="AY207" i="18"/>
  <c r="BF207" i="18"/>
  <c r="AX207" i="18"/>
  <c r="AX234" i="18" s="1"/>
  <c r="AX243" i="18" s="1"/>
  <c r="AX246" i="18" s="1"/>
  <c r="AX198" i="19" s="1"/>
  <c r="AX200" i="19" s="1"/>
  <c r="BI207" i="18"/>
  <c r="BC207" i="18"/>
  <c r="BB207" i="18"/>
  <c r="BB234" i="18" s="1"/>
  <c r="BB243" i="18" s="1"/>
  <c r="BB246" i="18" s="1"/>
  <c r="BB198" i="19" s="1"/>
  <c r="BB200" i="19" s="1"/>
  <c r="BG207" i="18"/>
  <c r="BB178" i="17"/>
  <c r="BE178" i="17"/>
  <c r="BH178" i="17"/>
  <c r="BG178" i="17"/>
  <c r="BD178" i="17"/>
  <c r="BC178" i="17"/>
  <c r="BI178" i="17"/>
  <c r="BH181" i="17"/>
  <c r="BC180" i="17"/>
  <c r="BG181" i="17"/>
  <c r="BF181" i="17"/>
  <c r="BI180" i="17"/>
  <c r="BE181" i="17"/>
  <c r="BH180" i="17"/>
  <c r="BD181" i="17"/>
  <c r="BG180" i="17"/>
  <c r="BF213" i="18"/>
  <c r="BI213" i="18"/>
  <c r="BH213" i="18"/>
  <c r="BG213" i="18"/>
  <c r="BE213" i="18"/>
  <c r="BG139" i="19"/>
  <c r="BH139" i="19"/>
  <c r="BI139" i="19"/>
  <c r="AX14" i="25"/>
  <c r="AX27" i="25" s="1"/>
  <c r="J13" i="27"/>
  <c r="BI157" i="19"/>
  <c r="BH140" i="19"/>
  <c r="BI140" i="19"/>
  <c r="BG216" i="18"/>
  <c r="BH216" i="18"/>
  <c r="BI216" i="18"/>
  <c r="BG132" i="19"/>
  <c r="BE132" i="19"/>
  <c r="BA132" i="19"/>
  <c r="BF132" i="19"/>
  <c r="BH132" i="19"/>
  <c r="AZ132" i="19"/>
  <c r="BI132" i="19"/>
  <c r="BD132" i="19"/>
  <c r="BB132" i="19"/>
  <c r="BC132" i="19"/>
  <c r="BI136" i="19"/>
  <c r="BD136" i="19"/>
  <c r="BE136" i="19"/>
  <c r="BF136" i="19"/>
  <c r="BG136" i="19"/>
  <c r="BH136" i="19"/>
  <c r="BA234" i="18"/>
  <c r="BA243" i="18" s="1"/>
  <c r="BA246" i="18" s="1"/>
  <c r="BA198" i="19" s="1"/>
  <c r="BA200" i="19" s="1"/>
  <c r="BB134" i="19"/>
  <c r="BC134" i="19"/>
  <c r="BD134" i="19"/>
  <c r="BF134" i="19"/>
  <c r="BG134" i="19"/>
  <c r="BH134" i="19"/>
  <c r="BI134" i="19"/>
  <c r="BE134" i="19"/>
  <c r="BG184" i="17"/>
  <c r="BH184" i="17"/>
  <c r="BI184" i="17"/>
  <c r="BC176" i="17"/>
  <c r="AY176" i="17"/>
  <c r="AY203" i="17" s="1"/>
  <c r="AY212" i="17" s="1"/>
  <c r="AY215" i="17" s="1"/>
  <c r="AY23" i="23" s="1"/>
  <c r="AZ176" i="17"/>
  <c r="BG176" i="17"/>
  <c r="BD176" i="17"/>
  <c r="BA176" i="17"/>
  <c r="BB176" i="17"/>
  <c r="BH176" i="17"/>
  <c r="BF176" i="17"/>
  <c r="BE176" i="17"/>
  <c r="BI176" i="17"/>
  <c r="BD130" i="19"/>
  <c r="BI130" i="19"/>
  <c r="BE130" i="19"/>
  <c r="BA130" i="19"/>
  <c r="AX130" i="19"/>
  <c r="BB130" i="19"/>
  <c r="BF130" i="19"/>
  <c r="BC130" i="19"/>
  <c r="AY130" i="19"/>
  <c r="BG130" i="19"/>
  <c r="AZ130" i="19"/>
  <c r="BH130" i="19"/>
  <c r="BH138" i="19"/>
  <c r="BG138" i="19"/>
  <c r="BI138" i="19"/>
  <c r="BF138" i="19"/>
  <c r="BE214" i="18"/>
  <c r="BF214" i="18"/>
  <c r="BG214" i="18"/>
  <c r="BH214" i="18"/>
  <c r="BI214" i="18"/>
  <c r="BB133" i="19"/>
  <c r="BI133" i="19"/>
  <c r="BC133" i="19"/>
  <c r="BD133" i="19"/>
  <c r="BE133" i="19"/>
  <c r="BF133" i="19"/>
  <c r="BG133" i="19"/>
  <c r="BH133" i="19"/>
  <c r="BA133" i="19"/>
  <c r="BE182" i="17"/>
  <c r="BF182" i="17"/>
  <c r="BG182" i="17"/>
  <c r="BH182" i="17"/>
  <c r="BI182" i="17"/>
  <c r="BF137" i="19"/>
  <c r="BE137" i="19"/>
  <c r="BG137" i="19"/>
  <c r="BH137" i="19"/>
  <c r="BI137" i="19"/>
  <c r="BC212" i="18"/>
  <c r="BD212" i="18"/>
  <c r="BE212" i="18"/>
  <c r="BF212" i="18"/>
  <c r="BG212" i="18"/>
  <c r="BH212" i="18"/>
  <c r="BI212" i="18"/>
  <c r="BE131" i="19"/>
  <c r="BF131" i="19"/>
  <c r="AZ131" i="19"/>
  <c r="BG131" i="19"/>
  <c r="BI131" i="19"/>
  <c r="AY131" i="19"/>
  <c r="BB131" i="19"/>
  <c r="BH131" i="19"/>
  <c r="BC131" i="19"/>
  <c r="BA131" i="19"/>
  <c r="BD131" i="19"/>
  <c r="BE135" i="19"/>
  <c r="BF135" i="19"/>
  <c r="BG135" i="19"/>
  <c r="BH135" i="19"/>
  <c r="BI135" i="19"/>
  <c r="BC135" i="19"/>
  <c r="BD135" i="19"/>
  <c r="BF256" i="19" l="1"/>
  <c r="BG252" i="19"/>
  <c r="BI253" i="19"/>
  <c r="BF252" i="19"/>
  <c r="AZ192" i="19"/>
  <c r="AZ318" i="19" s="1"/>
  <c r="AZ325" i="19" s="1"/>
  <c r="AZ20" i="23" s="1"/>
  <c r="BD254" i="19"/>
  <c r="BG257" i="19"/>
  <c r="BH258" i="19"/>
  <c r="BF253" i="19"/>
  <c r="BH253" i="19"/>
  <c r="BA250" i="19"/>
  <c r="BE254" i="19"/>
  <c r="BH254" i="19"/>
  <c r="BB250" i="19"/>
  <c r="BB252" i="19"/>
  <c r="BD252" i="19"/>
  <c r="BC250" i="19"/>
  <c r="BH255" i="19"/>
  <c r="BH250" i="19"/>
  <c r="BI250" i="19"/>
  <c r="BI258" i="19"/>
  <c r="BG250" i="19"/>
  <c r="BG255" i="19"/>
  <c r="BD250" i="19"/>
  <c r="BE252" i="19"/>
  <c r="BF182" i="19"/>
  <c r="BF251" i="19" s="1"/>
  <c r="BE253" i="19"/>
  <c r="BE182" i="19"/>
  <c r="BE292" i="19" s="1"/>
  <c r="BI254" i="19"/>
  <c r="BC253" i="19"/>
  <c r="BG256" i="19"/>
  <c r="BD182" i="19"/>
  <c r="BD292" i="19" s="1"/>
  <c r="BG182" i="19"/>
  <c r="BG251" i="19" s="1"/>
  <c r="BC182" i="19"/>
  <c r="BC251" i="19" s="1"/>
  <c r="AZ250" i="19"/>
  <c r="BC252" i="19"/>
  <c r="BD253" i="19"/>
  <c r="BB182" i="19"/>
  <c r="BB292" i="19" s="1"/>
  <c r="BH257" i="19"/>
  <c r="BI257" i="19"/>
  <c r="BF254" i="19"/>
  <c r="BH252" i="19"/>
  <c r="BG254" i="19"/>
  <c r="BI252" i="19"/>
  <c r="BI182" i="19"/>
  <c r="BI292" i="19" s="1"/>
  <c r="BA182" i="19"/>
  <c r="BA292" i="19" s="1"/>
  <c r="BH182" i="19"/>
  <c r="BH292" i="19" s="1"/>
  <c r="BE255" i="19"/>
  <c r="BI256" i="19"/>
  <c r="BF255" i="19"/>
  <c r="BG253" i="19"/>
  <c r="BE250" i="19"/>
  <c r="BF250" i="19"/>
  <c r="BI255" i="19"/>
  <c r="BH256" i="19"/>
  <c r="M29" i="23"/>
  <c r="I12" i="28" s="1"/>
  <c r="AY234" i="18"/>
  <c r="AY243" i="18" s="1"/>
  <c r="AY246" i="18" s="1"/>
  <c r="AY198" i="19" s="1"/>
  <c r="AY200" i="19" s="1"/>
  <c r="BI217" i="19" s="1"/>
  <c r="BI276" i="19" s="1"/>
  <c r="AZ234" i="18"/>
  <c r="AZ243" i="18" s="1"/>
  <c r="AZ246" i="18" s="1"/>
  <c r="AZ198" i="19" s="1"/>
  <c r="AZ200" i="19" s="1"/>
  <c r="BC218" i="19" s="1"/>
  <c r="BC277" i="19" s="1"/>
  <c r="AZ203" i="17"/>
  <c r="AZ212" i="17" s="1"/>
  <c r="AZ215" i="17" s="1"/>
  <c r="AZ23" i="23" s="1"/>
  <c r="BC234" i="18"/>
  <c r="BC243" i="18" s="1"/>
  <c r="BC246" i="18" s="1"/>
  <c r="BC198" i="19" s="1"/>
  <c r="BC200" i="19" s="1"/>
  <c r="BG221" i="19" s="1"/>
  <c r="BG280" i="19" s="1"/>
  <c r="BD234" i="18"/>
  <c r="BD243" i="18" s="1"/>
  <c r="BD246" i="18" s="1"/>
  <c r="BD198" i="19" s="1"/>
  <c r="BD200" i="19" s="1"/>
  <c r="BH222" i="19" s="1"/>
  <c r="BH281" i="19" s="1"/>
  <c r="BA203" i="17"/>
  <c r="BA212" i="17" s="1"/>
  <c r="BA215" i="17" s="1"/>
  <c r="BA23" i="23" s="1"/>
  <c r="BC203" i="17"/>
  <c r="BC212" i="17" s="1"/>
  <c r="BC215" i="17" s="1"/>
  <c r="BC23" i="23" s="1"/>
  <c r="BB203" i="17"/>
  <c r="BB212" i="17" s="1"/>
  <c r="BB215" i="17" s="1"/>
  <c r="BB23" i="23" s="1"/>
  <c r="BD203" i="17"/>
  <c r="BD212" i="17" s="1"/>
  <c r="BD215" i="17" s="1"/>
  <c r="BD23" i="23" s="1"/>
  <c r="BF234" i="18"/>
  <c r="BF243" i="18" s="1"/>
  <c r="BF246" i="18" s="1"/>
  <c r="BF198" i="19" s="1"/>
  <c r="BF200" i="19" s="1"/>
  <c r="BH224" i="19" s="1"/>
  <c r="BH283" i="19" s="1"/>
  <c r="BG234" i="18"/>
  <c r="BG243" i="18" s="1"/>
  <c r="BG246" i="18" s="1"/>
  <c r="BG198" i="19" s="1"/>
  <c r="BG200" i="19" s="1"/>
  <c r="BG225" i="19" s="1"/>
  <c r="BG284" i="19" s="1"/>
  <c r="BI241" i="19"/>
  <c r="BF203" i="17"/>
  <c r="BF212" i="17" s="1"/>
  <c r="BF215" i="17" s="1"/>
  <c r="BF23" i="23" s="1"/>
  <c r="BH234" i="18"/>
  <c r="BH243" i="18" s="1"/>
  <c r="BH246" i="18" s="1"/>
  <c r="BH198" i="19" s="1"/>
  <c r="BH200" i="19" s="1"/>
  <c r="BH226" i="19" s="1"/>
  <c r="BH285" i="19" s="1"/>
  <c r="BI203" i="17"/>
  <c r="BI212" i="17" s="1"/>
  <c r="BI215" i="17" s="1"/>
  <c r="BI23" i="23" s="1"/>
  <c r="BI234" i="18"/>
  <c r="BI243" i="18" s="1"/>
  <c r="BI246" i="18" s="1"/>
  <c r="BI198" i="19" s="1"/>
  <c r="BI200" i="19" s="1"/>
  <c r="BI227" i="19" s="1"/>
  <c r="BI286" i="19" s="1"/>
  <c r="BE234" i="18"/>
  <c r="BE243" i="18" s="1"/>
  <c r="BE246" i="18" s="1"/>
  <c r="BE198" i="19" s="1"/>
  <c r="BE200" i="19" s="1"/>
  <c r="BI223" i="19" s="1"/>
  <c r="BI282" i="19" s="1"/>
  <c r="BG203" i="17"/>
  <c r="BG212" i="17" s="1"/>
  <c r="BG215" i="17" s="1"/>
  <c r="BG23" i="23" s="1"/>
  <c r="BE203" i="17"/>
  <c r="BE212" i="17" s="1"/>
  <c r="BE215" i="17" s="1"/>
  <c r="BE23" i="23" s="1"/>
  <c r="BH203" i="17"/>
  <c r="BH212" i="17" s="1"/>
  <c r="BH215" i="17" s="1"/>
  <c r="BH23" i="23" s="1"/>
  <c r="AZ147" i="19"/>
  <c r="BI153" i="19"/>
  <c r="BD149" i="19"/>
  <c r="BH146" i="19"/>
  <c r="BH143" i="19"/>
  <c r="BA146" i="19"/>
  <c r="BA230" i="19" s="1"/>
  <c r="BA143" i="19"/>
  <c r="BG150" i="19"/>
  <c r="BG152" i="19"/>
  <c r="BI148" i="19"/>
  <c r="BD147" i="19"/>
  <c r="BD151" i="19"/>
  <c r="BA147" i="19"/>
  <c r="BF147" i="19"/>
  <c r="BH153" i="19"/>
  <c r="BC149" i="19"/>
  <c r="BF154" i="19"/>
  <c r="AZ146" i="19"/>
  <c r="AZ230" i="19" s="1"/>
  <c r="AZ143" i="19"/>
  <c r="BE146" i="19"/>
  <c r="BE230" i="19" s="1"/>
  <c r="BE143" i="19"/>
  <c r="BF150" i="19"/>
  <c r="BF152" i="19"/>
  <c r="AZ148" i="19"/>
  <c r="BC151" i="19"/>
  <c r="BC147" i="19"/>
  <c r="BE147" i="19"/>
  <c r="BG153" i="19"/>
  <c r="BI149" i="19"/>
  <c r="BI154" i="19"/>
  <c r="BG146" i="19"/>
  <c r="BG230" i="19" s="1"/>
  <c r="BG143" i="19"/>
  <c r="BI146" i="19"/>
  <c r="BI230" i="19" s="1"/>
  <c r="BI143" i="19"/>
  <c r="BD150" i="19"/>
  <c r="BE152" i="19"/>
  <c r="BH148" i="19"/>
  <c r="BI156" i="19"/>
  <c r="BI151" i="19"/>
  <c r="BH147" i="19"/>
  <c r="BE153" i="19"/>
  <c r="BA149" i="19"/>
  <c r="BB149" i="19"/>
  <c r="BG154" i="19"/>
  <c r="AY146" i="19"/>
  <c r="AY230" i="19" s="1"/>
  <c r="AY143" i="19"/>
  <c r="BD146" i="19"/>
  <c r="BD230" i="19" s="1"/>
  <c r="BD143" i="19"/>
  <c r="BC150" i="19"/>
  <c r="BD152" i="19"/>
  <c r="BF148" i="19"/>
  <c r="BH156" i="19"/>
  <c r="BH151" i="19"/>
  <c r="BB147" i="19"/>
  <c r="BF153" i="19"/>
  <c r="BH149" i="19"/>
  <c r="BH154" i="19"/>
  <c r="BC146" i="19"/>
  <c r="BC230" i="19" s="1"/>
  <c r="BC143" i="19"/>
  <c r="BB150" i="19"/>
  <c r="BI152" i="19"/>
  <c r="BA148" i="19"/>
  <c r="BG151" i="19"/>
  <c r="AY147" i="19"/>
  <c r="BG149" i="19"/>
  <c r="BD216" i="19"/>
  <c r="BA216" i="19"/>
  <c r="BE216" i="19"/>
  <c r="BI216" i="19"/>
  <c r="AX216" i="19"/>
  <c r="AX261" i="19" s="1"/>
  <c r="AX268" i="19" s="1"/>
  <c r="BB216" i="19"/>
  <c r="BF216" i="19"/>
  <c r="AY216" i="19"/>
  <c r="BG216" i="19"/>
  <c r="AZ216" i="19"/>
  <c r="BH216" i="19"/>
  <c r="BC216" i="19"/>
  <c r="BF146" i="19"/>
  <c r="BF230" i="19" s="1"/>
  <c r="BF143" i="19"/>
  <c r="BE150" i="19"/>
  <c r="BA219" i="19"/>
  <c r="BA278" i="19" s="1"/>
  <c r="BB219" i="19"/>
  <c r="BB278" i="19" s="1"/>
  <c r="BC219" i="19"/>
  <c r="BC278" i="19" s="1"/>
  <c r="BD219" i="19"/>
  <c r="BD278" i="19" s="1"/>
  <c r="BF219" i="19"/>
  <c r="BF278" i="19" s="1"/>
  <c r="BE219" i="19"/>
  <c r="BE278" i="19" s="1"/>
  <c r="BG219" i="19"/>
  <c r="BG278" i="19" s="1"/>
  <c r="BH219" i="19"/>
  <c r="BH278" i="19" s="1"/>
  <c r="BI219" i="19"/>
  <c r="BI278" i="19" s="1"/>
  <c r="BC148" i="19"/>
  <c r="BE148" i="19"/>
  <c r="BI155" i="19"/>
  <c r="BG220" i="19"/>
  <c r="BG279" i="19" s="1"/>
  <c r="BH220" i="19"/>
  <c r="BH279" i="19" s="1"/>
  <c r="BI220" i="19"/>
  <c r="BI279" i="19" s="1"/>
  <c r="BC220" i="19"/>
  <c r="BC279" i="19" s="1"/>
  <c r="BB220" i="19"/>
  <c r="BB279" i="19" s="1"/>
  <c r="BE220" i="19"/>
  <c r="BE279" i="19" s="1"/>
  <c r="BD220" i="19"/>
  <c r="BD279" i="19" s="1"/>
  <c r="BF220" i="19"/>
  <c r="BF279" i="19" s="1"/>
  <c r="BF151" i="19"/>
  <c r="BI147" i="19"/>
  <c r="BF149" i="19"/>
  <c r="BB146" i="19"/>
  <c r="BB230" i="19" s="1"/>
  <c r="BB143" i="19"/>
  <c r="BI150" i="19"/>
  <c r="BB148" i="19"/>
  <c r="BG148" i="19"/>
  <c r="BH155" i="19"/>
  <c r="BE151" i="19"/>
  <c r="BG147" i="19"/>
  <c r="BE149" i="19"/>
  <c r="AX146" i="19"/>
  <c r="AX230" i="19" s="1"/>
  <c r="AX143" i="19"/>
  <c r="BH150" i="19"/>
  <c r="BH152" i="19"/>
  <c r="BD148" i="19"/>
  <c r="BG155" i="19"/>
  <c r="BE192" i="19" l="1"/>
  <c r="BE318" i="19" s="1"/>
  <c r="BE325" i="19" s="1"/>
  <c r="BE20" i="23" s="1"/>
  <c r="BC192" i="19"/>
  <c r="BC318" i="19" s="1"/>
  <c r="BC325" i="19" s="1"/>
  <c r="BC20" i="23" s="1"/>
  <c r="BD192" i="19"/>
  <c r="BD318" i="19" s="1"/>
  <c r="BD325" i="19" s="1"/>
  <c r="BD20" i="23" s="1"/>
  <c r="BA251" i="19"/>
  <c r="BE251" i="19"/>
  <c r="BI251" i="19"/>
  <c r="BB251" i="19"/>
  <c r="BH192" i="19"/>
  <c r="BH318" i="19" s="1"/>
  <c r="BH325" i="19" s="1"/>
  <c r="BH20" i="23" s="1"/>
  <c r="BF192" i="19"/>
  <c r="BF318" i="19" s="1"/>
  <c r="BF325" i="19" s="1"/>
  <c r="BF20" i="23" s="1"/>
  <c r="BF292" i="19"/>
  <c r="BH251" i="19"/>
  <c r="BD251" i="19"/>
  <c r="BG292" i="19"/>
  <c r="BI192" i="19"/>
  <c r="BI318" i="19" s="1"/>
  <c r="BI325" i="19" s="1"/>
  <c r="BI20" i="23" s="1"/>
  <c r="BA192" i="19"/>
  <c r="BA318" i="19" s="1"/>
  <c r="BA325" i="19" s="1"/>
  <c r="BA20" i="23" s="1"/>
  <c r="BG192" i="19"/>
  <c r="BG318" i="19" s="1"/>
  <c r="BG325" i="19" s="1"/>
  <c r="BG20" i="23" s="1"/>
  <c r="BC292" i="19"/>
  <c r="BB192" i="19"/>
  <c r="BB318" i="19" s="1"/>
  <c r="BB325" i="19" s="1"/>
  <c r="BB20" i="23" s="1"/>
  <c r="BG222" i="19"/>
  <c r="BG281" i="19" s="1"/>
  <c r="BD217" i="19"/>
  <c r="BD276" i="19" s="1"/>
  <c r="AY217" i="19"/>
  <c r="AY276" i="19" s="1"/>
  <c r="BF217" i="19"/>
  <c r="BF276" i="19" s="1"/>
  <c r="BI218" i="19"/>
  <c r="BI277" i="19" s="1"/>
  <c r="BG217" i="19"/>
  <c r="BG276" i="19" s="1"/>
  <c r="AZ217" i="19"/>
  <c r="AZ276" i="19" s="1"/>
  <c r="BH217" i="19"/>
  <c r="BH276" i="19" s="1"/>
  <c r="BA217" i="19"/>
  <c r="BA276" i="19" s="1"/>
  <c r="BB217" i="19"/>
  <c r="BB276" i="19" s="1"/>
  <c r="BC217" i="19"/>
  <c r="BC276" i="19" s="1"/>
  <c r="BE217" i="19"/>
  <c r="BE276" i="19" s="1"/>
  <c r="BE218" i="19"/>
  <c r="BE277" i="19" s="1"/>
  <c r="BA218" i="19"/>
  <c r="BA277" i="19" s="1"/>
  <c r="BG218" i="19"/>
  <c r="BG277" i="19" s="1"/>
  <c r="BF218" i="19"/>
  <c r="BF277" i="19" s="1"/>
  <c r="BD218" i="19"/>
  <c r="BD277" i="19" s="1"/>
  <c r="AZ218" i="19"/>
  <c r="AZ277" i="19" s="1"/>
  <c r="BB218" i="19"/>
  <c r="BB277" i="19" s="1"/>
  <c r="BH218" i="19"/>
  <c r="BH277" i="19" s="1"/>
  <c r="BD221" i="19"/>
  <c r="BD280" i="19" s="1"/>
  <c r="BC221" i="19"/>
  <c r="BC280" i="19" s="1"/>
  <c r="BI222" i="19"/>
  <c r="BI281" i="19" s="1"/>
  <c r="BF221" i="19"/>
  <c r="BF280" i="19" s="1"/>
  <c r="BI221" i="19"/>
  <c r="BI280" i="19" s="1"/>
  <c r="BE221" i="19"/>
  <c r="BE280" i="19" s="1"/>
  <c r="BH221" i="19"/>
  <c r="BH280" i="19" s="1"/>
  <c r="BF222" i="19"/>
  <c r="BF281" i="19" s="1"/>
  <c r="BE222" i="19"/>
  <c r="BE281" i="19" s="1"/>
  <c r="BD222" i="19"/>
  <c r="BD281" i="19" s="1"/>
  <c r="BI226" i="19"/>
  <c r="BI285" i="19" s="1"/>
  <c r="BH225" i="19"/>
  <c r="BH284" i="19" s="1"/>
  <c r="BH223" i="19"/>
  <c r="BH282" i="19" s="1"/>
  <c r="BI225" i="19"/>
  <c r="BI284" i="19" s="1"/>
  <c r="BI224" i="19"/>
  <c r="BI283" i="19" s="1"/>
  <c r="BF224" i="19"/>
  <c r="BF283" i="19" s="1"/>
  <c r="BG224" i="19"/>
  <c r="BG283" i="19" s="1"/>
  <c r="BG223" i="19"/>
  <c r="BG282" i="19" s="1"/>
  <c r="BE231" i="19"/>
  <c r="BF231" i="19"/>
  <c r="BA233" i="19"/>
  <c r="BF232" i="19"/>
  <c r="BI240" i="19"/>
  <c r="BI232" i="19"/>
  <c r="BD233" i="19"/>
  <c r="BA232" i="19"/>
  <c r="BI237" i="19"/>
  <c r="BD234" i="19"/>
  <c r="BI233" i="19"/>
  <c r="BF236" i="19"/>
  <c r="BD235" i="19"/>
  <c r="BG233" i="19"/>
  <c r="BF237" i="19"/>
  <c r="BD236" i="19"/>
  <c r="BI235" i="19"/>
  <c r="AZ231" i="19"/>
  <c r="BF235" i="19"/>
  <c r="BB233" i="19"/>
  <c r="BG237" i="19"/>
  <c r="BC233" i="19"/>
  <c r="BB231" i="19"/>
  <c r="BH234" i="19"/>
  <c r="BI239" i="19"/>
  <c r="BF223" i="19"/>
  <c r="BF282" i="19" s="1"/>
  <c r="BF233" i="19"/>
  <c r="BH232" i="19"/>
  <c r="BE223" i="19"/>
  <c r="BE282" i="19" s="1"/>
  <c r="BE237" i="19"/>
  <c r="BI238" i="19"/>
  <c r="BG234" i="19"/>
  <c r="BI231" i="19"/>
  <c r="BC232" i="19"/>
  <c r="BC275" i="19"/>
  <c r="BI275" i="19"/>
  <c r="BG235" i="19"/>
  <c r="BH233" i="19"/>
  <c r="BH240" i="19"/>
  <c r="BH159" i="19"/>
  <c r="BH317" i="19" s="1"/>
  <c r="BH324" i="19" s="1"/>
  <c r="BH236" i="19"/>
  <c r="BH239" i="19"/>
  <c r="BH275" i="19"/>
  <c r="BE275" i="19"/>
  <c r="BB234" i="19"/>
  <c r="BC235" i="19"/>
  <c r="AZ275" i="19"/>
  <c r="BA275" i="19"/>
  <c r="BD159" i="19"/>
  <c r="BD317" i="19" s="1"/>
  <c r="BD324" i="19" s="1"/>
  <c r="BE233" i="19"/>
  <c r="BG232" i="19"/>
  <c r="BB159" i="19"/>
  <c r="BB317" i="19" s="1"/>
  <c r="BB324" i="19" s="1"/>
  <c r="BE234" i="19"/>
  <c r="BG275" i="19"/>
  <c r="BD275" i="19"/>
  <c r="AZ232" i="19"/>
  <c r="BE159" i="19"/>
  <c r="BE317" i="19" s="1"/>
  <c r="BE324" i="19" s="1"/>
  <c r="BH237" i="19"/>
  <c r="BD231" i="19"/>
  <c r="AY275" i="19"/>
  <c r="BI159" i="19"/>
  <c r="BI317" i="19" s="1"/>
  <c r="BI324" i="19" s="1"/>
  <c r="BG239" i="19"/>
  <c r="BG231" i="19"/>
  <c r="BB232" i="19"/>
  <c r="BF275" i="19"/>
  <c r="BC159" i="19"/>
  <c r="BC317" i="19" s="1"/>
  <c r="BC324" i="19" s="1"/>
  <c r="AY159" i="19"/>
  <c r="AY317" i="19" s="1"/>
  <c r="AY324" i="19" s="1"/>
  <c r="BA159" i="19"/>
  <c r="BA317" i="19" s="1"/>
  <c r="BA324" i="19" s="1"/>
  <c r="BE232" i="19"/>
  <c r="BB275" i="19"/>
  <c r="AY231" i="19"/>
  <c r="BH238" i="19"/>
  <c r="BH235" i="19"/>
  <c r="BC234" i="19"/>
  <c r="BG238" i="19"/>
  <c r="BH231" i="19"/>
  <c r="BE236" i="19"/>
  <c r="AZ159" i="19"/>
  <c r="AZ317" i="19" s="1"/>
  <c r="AZ324" i="19" s="1"/>
  <c r="BH230" i="19"/>
  <c r="AX159" i="19"/>
  <c r="AX317" i="19" s="1"/>
  <c r="AX324" i="19" s="1"/>
  <c r="BD232" i="19"/>
  <c r="BE235" i="19"/>
  <c r="BI234" i="19"/>
  <c r="BF159" i="19"/>
  <c r="BF317" i="19" s="1"/>
  <c r="BF324" i="19" s="1"/>
  <c r="AX275" i="19"/>
  <c r="AX243" i="19"/>
  <c r="BI236" i="19"/>
  <c r="BG159" i="19"/>
  <c r="BG317" i="19" s="1"/>
  <c r="BG324" i="19" s="1"/>
  <c r="BC231" i="19"/>
  <c r="BF234" i="19"/>
  <c r="BF238" i="19"/>
  <c r="BA231" i="19"/>
  <c r="BG236" i="19"/>
  <c r="BA21" i="21" l="1"/>
  <c r="BA18" i="23"/>
  <c r="BB21" i="21"/>
  <c r="BB18" i="23"/>
  <c r="BF21" i="21"/>
  <c r="BF18" i="23"/>
  <c r="AY21" i="21"/>
  <c r="AY18" i="23"/>
  <c r="BC21" i="21"/>
  <c r="BC18" i="23"/>
  <c r="BE21" i="21"/>
  <c r="BE18" i="23"/>
  <c r="BD21" i="21"/>
  <c r="BD18" i="23"/>
  <c r="BG21" i="21"/>
  <c r="BG18" i="23"/>
  <c r="BH21" i="21"/>
  <c r="BH18" i="23"/>
  <c r="AX21" i="21"/>
  <c r="AX18" i="23"/>
  <c r="AZ21" i="21"/>
  <c r="AZ18" i="23"/>
  <c r="BI21" i="21"/>
  <c r="BI18" i="23"/>
  <c r="BA261" i="19"/>
  <c r="BA268" i="19" s="1"/>
  <c r="BE261" i="19"/>
  <c r="BE268" i="19" s="1"/>
  <c r="AZ261" i="19"/>
  <c r="AZ268" i="19" s="1"/>
  <c r="BF261" i="19"/>
  <c r="BF268" i="19" s="1"/>
  <c r="BD261" i="19"/>
  <c r="BD268" i="19" s="1"/>
  <c r="BI261" i="19"/>
  <c r="BI268" i="19" s="1"/>
  <c r="BB261" i="19"/>
  <c r="BB268" i="19" s="1"/>
  <c r="BH261" i="19"/>
  <c r="BH268" i="19" s="1"/>
  <c r="BG261" i="19"/>
  <c r="BG268" i="19" s="1"/>
  <c r="AY261" i="19"/>
  <c r="AY268" i="19" s="1"/>
  <c r="BC261" i="19"/>
  <c r="BC268" i="19" s="1"/>
  <c r="AY243" i="19"/>
  <c r="AY316" i="19" s="1"/>
  <c r="AY323" i="19" s="1"/>
  <c r="AY22" i="23" s="1"/>
  <c r="AY24" i="23" s="1"/>
  <c r="AY35" i="25" s="1"/>
  <c r="AY44" i="25" s="1"/>
  <c r="BB302" i="19"/>
  <c r="BB319" i="19" s="1"/>
  <c r="BD302" i="19"/>
  <c r="BD319" i="19" s="1"/>
  <c r="BI302" i="19"/>
  <c r="BI319" i="19" s="1"/>
  <c r="AZ243" i="19"/>
  <c r="AZ316" i="19" s="1"/>
  <c r="AZ323" i="19" s="1"/>
  <c r="AZ22" i="23" s="1"/>
  <c r="AZ24" i="23" s="1"/>
  <c r="AZ35" i="25" s="1"/>
  <c r="AZ44" i="25" s="1"/>
  <c r="BB243" i="19"/>
  <c r="BA243" i="19"/>
  <c r="BA316" i="19" s="1"/>
  <c r="BA323" i="19" s="1"/>
  <c r="BA22" i="23" s="1"/>
  <c r="BA24" i="23" s="1"/>
  <c r="BA35" i="25" s="1"/>
  <c r="BA44" i="25" s="1"/>
  <c r="AX302" i="19"/>
  <c r="AX319" i="19" s="1"/>
  <c r="BH160" i="19"/>
  <c r="BH315" i="19" s="1"/>
  <c r="BH322" i="19" s="1"/>
  <c r="BH20" i="21" s="1"/>
  <c r="AY302" i="19"/>
  <c r="AY319" i="19" s="1"/>
  <c r="BF243" i="19"/>
  <c r="BF316" i="19" s="1"/>
  <c r="BF323" i="19" s="1"/>
  <c r="BF22" i="23" s="1"/>
  <c r="BF24" i="23" s="1"/>
  <c r="BF35" i="25" s="1"/>
  <c r="BF44" i="25" s="1"/>
  <c r="BE243" i="19"/>
  <c r="BE316" i="19" s="1"/>
  <c r="BE323" i="19" s="1"/>
  <c r="BE22" i="23" s="1"/>
  <c r="BE24" i="23" s="1"/>
  <c r="BE35" i="25" s="1"/>
  <c r="BE44" i="25" s="1"/>
  <c r="BC243" i="19"/>
  <c r="BC316" i="19" s="1"/>
  <c r="BC323" i="19" s="1"/>
  <c r="BC22" i="23" s="1"/>
  <c r="BC24" i="23" s="1"/>
  <c r="BC35" i="25" s="1"/>
  <c r="BC44" i="25" s="1"/>
  <c r="BD243" i="19"/>
  <c r="BD316" i="19" s="1"/>
  <c r="BD323" i="19" s="1"/>
  <c r="BD22" i="23" s="1"/>
  <c r="BD24" i="23" s="1"/>
  <c r="BD35" i="25" s="1"/>
  <c r="BD44" i="25" s="1"/>
  <c r="BH302" i="19"/>
  <c r="BH319" i="19" s="1"/>
  <c r="BG243" i="19"/>
  <c r="BG316" i="19" s="1"/>
  <c r="BG323" i="19" s="1"/>
  <c r="BG22" i="23" s="1"/>
  <c r="BG24" i="23" s="1"/>
  <c r="BG35" i="25" s="1"/>
  <c r="BG44" i="25" s="1"/>
  <c r="BG160" i="19"/>
  <c r="BG315" i="19" s="1"/>
  <c r="BG322" i="19" s="1"/>
  <c r="BG19" i="23" s="1"/>
  <c r="BG15" i="25" s="1"/>
  <c r="BG28" i="25" s="1"/>
  <c r="BH243" i="19"/>
  <c r="BH316" i="19" s="1"/>
  <c r="BH323" i="19" s="1"/>
  <c r="BH22" i="23" s="1"/>
  <c r="BH24" i="23" s="1"/>
  <c r="BH35" i="25" s="1"/>
  <c r="BH44" i="25" s="1"/>
  <c r="AY160" i="19"/>
  <c r="AY315" i="19" s="1"/>
  <c r="AY322" i="19" s="1"/>
  <c r="AY20" i="21" s="1"/>
  <c r="BC160" i="19"/>
  <c r="BC315" i="19" s="1"/>
  <c r="BC322" i="19" s="1"/>
  <c r="BC20" i="21" s="1"/>
  <c r="BI243" i="19"/>
  <c r="BI316" i="19" s="1"/>
  <c r="BI323" i="19" s="1"/>
  <c r="BI22" i="23" s="1"/>
  <c r="BI24" i="23" s="1"/>
  <c r="BI35" i="25" s="1"/>
  <c r="BI44" i="25" s="1"/>
  <c r="BB160" i="19"/>
  <c r="BB315" i="19" s="1"/>
  <c r="BB322" i="19" s="1"/>
  <c r="BB19" i="23" s="1"/>
  <c r="BB15" i="25" s="1"/>
  <c r="BB28" i="25" s="1"/>
  <c r="BF302" i="19"/>
  <c r="BF319" i="19" s="1"/>
  <c r="AZ302" i="19"/>
  <c r="AZ319" i="19" s="1"/>
  <c r="BE160" i="19"/>
  <c r="BE315" i="19" s="1"/>
  <c r="BE322" i="19" s="1"/>
  <c r="AX316" i="19"/>
  <c r="AX323" i="19" s="1"/>
  <c r="AX22" i="23" s="1"/>
  <c r="AX24" i="23" s="1"/>
  <c r="AX270" i="19"/>
  <c r="AX320" i="19" s="1"/>
  <c r="BI160" i="19"/>
  <c r="BI315" i="19" s="1"/>
  <c r="BI322" i="19" s="1"/>
  <c r="BD160" i="19"/>
  <c r="BD315" i="19" s="1"/>
  <c r="BD322" i="19" s="1"/>
  <c r="BG302" i="19"/>
  <c r="BG319" i="19" s="1"/>
  <c r="BC302" i="19"/>
  <c r="BC319" i="19" s="1"/>
  <c r="BF160" i="19"/>
  <c r="BF315" i="19" s="1"/>
  <c r="BF322" i="19" s="1"/>
  <c r="AZ160" i="19"/>
  <c r="AZ315" i="19" s="1"/>
  <c r="AZ322" i="19" s="1"/>
  <c r="BA160" i="19"/>
  <c r="BA315" i="19" s="1"/>
  <c r="BA322" i="19" s="1"/>
  <c r="BE302" i="19"/>
  <c r="BE319" i="19" s="1"/>
  <c r="BA302" i="19"/>
  <c r="BA319" i="19" s="1"/>
  <c r="AX160" i="19"/>
  <c r="AX315" i="19" s="1"/>
  <c r="AX322" i="19" s="1"/>
  <c r="BB270" i="19" l="1"/>
  <c r="BB320" i="19" s="1"/>
  <c r="BB327" i="19" s="1"/>
  <c r="BB14" i="23" s="1"/>
  <c r="BF326" i="19"/>
  <c r="BF13" i="23" s="1"/>
  <c r="BH326" i="19"/>
  <c r="BH13" i="23" s="1"/>
  <c r="AZ326" i="19"/>
  <c r="AZ13" i="23" s="1"/>
  <c r="AX326" i="19"/>
  <c r="AX13" i="23" s="1"/>
  <c r="BA326" i="19"/>
  <c r="BA13" i="23" s="1"/>
  <c r="BI326" i="19"/>
  <c r="BI13" i="23" s="1"/>
  <c r="BC326" i="19"/>
  <c r="BC13" i="23" s="1"/>
  <c r="BE326" i="19"/>
  <c r="BE13" i="23" s="1"/>
  <c r="AX327" i="19"/>
  <c r="AX14" i="23" s="1"/>
  <c r="BD326" i="19"/>
  <c r="BD13" i="23" s="1"/>
  <c r="AY326" i="19"/>
  <c r="AY13" i="23" s="1"/>
  <c r="BB326" i="19"/>
  <c r="BB13" i="23" s="1"/>
  <c r="BG326" i="19"/>
  <c r="BG13" i="23" s="1"/>
  <c r="AX35" i="25"/>
  <c r="AX44" i="25" s="1"/>
  <c r="AY270" i="19"/>
  <c r="AY320" i="19" s="1"/>
  <c r="BH19" i="23"/>
  <c r="BH15" i="25" s="1"/>
  <c r="BH28" i="25" s="1"/>
  <c r="BC270" i="19"/>
  <c r="BC320" i="19" s="1"/>
  <c r="AZ270" i="19"/>
  <c r="AZ320" i="19" s="1"/>
  <c r="BB316" i="19"/>
  <c r="BB323" i="19" s="1"/>
  <c r="BB22" i="23" s="1"/>
  <c r="BB24" i="23" s="1"/>
  <c r="BB35" i="25" s="1"/>
  <c r="BB44" i="25" s="1"/>
  <c r="BI270" i="19"/>
  <c r="BI320" i="19" s="1"/>
  <c r="BF270" i="19"/>
  <c r="BF320" i="19" s="1"/>
  <c r="BE270" i="19"/>
  <c r="BE320" i="19" s="1"/>
  <c r="BC19" i="23"/>
  <c r="BC15" i="25" s="1"/>
  <c r="BC28" i="25" s="1"/>
  <c r="AY19" i="23"/>
  <c r="AY15" i="25" s="1"/>
  <c r="AY28" i="25" s="1"/>
  <c r="BA270" i="19"/>
  <c r="BA320" i="19" s="1"/>
  <c r="BB20" i="21"/>
  <c r="BD270" i="19"/>
  <c r="BD320" i="19" s="1"/>
  <c r="BH270" i="19"/>
  <c r="BH320" i="19" s="1"/>
  <c r="BG270" i="19"/>
  <c r="BG320" i="19" s="1"/>
  <c r="BG20" i="21"/>
  <c r="BF19" i="23"/>
  <c r="BF15" i="25" s="1"/>
  <c r="BF28" i="25" s="1"/>
  <c r="BF20" i="21"/>
  <c r="AZ19" i="23"/>
  <c r="AZ15" i="25" s="1"/>
  <c r="AZ28" i="25" s="1"/>
  <c r="AZ20" i="21"/>
  <c r="BE20" i="21"/>
  <c r="BE19" i="23"/>
  <c r="BE15" i="25" s="1"/>
  <c r="BE28" i="25" s="1"/>
  <c r="AX20" i="21"/>
  <c r="AX22" i="21" s="1"/>
  <c r="AY18" i="21" s="1"/>
  <c r="AY22" i="21" s="1"/>
  <c r="AZ18" i="21" s="1"/>
  <c r="AX19" i="23"/>
  <c r="BD20" i="21"/>
  <c r="BD19" i="23"/>
  <c r="BD15" i="25" s="1"/>
  <c r="BD28" i="25" s="1"/>
  <c r="BI20" i="21"/>
  <c r="BI19" i="23"/>
  <c r="BI15" i="25" s="1"/>
  <c r="BI28" i="25" s="1"/>
  <c r="BA19" i="23"/>
  <c r="BA15" i="25" s="1"/>
  <c r="BA28" i="25" s="1"/>
  <c r="BA20" i="21"/>
  <c r="AX15" i="23" l="1"/>
  <c r="AX34" i="25" s="1"/>
  <c r="AX43" i="25" s="1"/>
  <c r="BB15" i="23"/>
  <c r="BB34" i="25" s="1"/>
  <c r="BB43" i="25" s="1"/>
  <c r="BE327" i="19"/>
  <c r="BE14" i="23" s="1"/>
  <c r="BE15" i="23" s="1"/>
  <c r="BE34" i="25" s="1"/>
  <c r="BE43" i="25" s="1"/>
  <c r="BG327" i="19"/>
  <c r="BG14" i="23" s="1"/>
  <c r="BG15" i="23" s="1"/>
  <c r="BG34" i="25" s="1"/>
  <c r="BG43" i="25" s="1"/>
  <c r="BF327" i="19"/>
  <c r="BF14" i="23" s="1"/>
  <c r="BF15" i="23" s="1"/>
  <c r="BF34" i="25" s="1"/>
  <c r="BF43" i="25" s="1"/>
  <c r="AY327" i="19"/>
  <c r="AY14" i="23" s="1"/>
  <c r="AY15" i="23" s="1"/>
  <c r="BD327" i="19"/>
  <c r="BD14" i="23" s="1"/>
  <c r="BD15" i="23" s="1"/>
  <c r="BD34" i="25" s="1"/>
  <c r="BD43" i="25" s="1"/>
  <c r="BI327" i="19"/>
  <c r="BI14" i="23" s="1"/>
  <c r="BI15" i="23" s="1"/>
  <c r="BI34" i="25" s="1"/>
  <c r="BI43" i="25" s="1"/>
  <c r="BA327" i="19"/>
  <c r="BA14" i="23" s="1"/>
  <c r="BA15" i="23" s="1"/>
  <c r="BA34" i="25" s="1"/>
  <c r="BA43" i="25" s="1"/>
  <c r="AZ327" i="19"/>
  <c r="AZ14" i="23" s="1"/>
  <c r="AZ15" i="23" s="1"/>
  <c r="AZ34" i="25" s="1"/>
  <c r="AZ43" i="25" s="1"/>
  <c r="BH327" i="19"/>
  <c r="BH14" i="23" s="1"/>
  <c r="BH15" i="23" s="1"/>
  <c r="BH34" i="25" s="1"/>
  <c r="BH43" i="25" s="1"/>
  <c r="BC327" i="19"/>
  <c r="BC14" i="23" s="1"/>
  <c r="BC15" i="23" s="1"/>
  <c r="BC34" i="25" s="1"/>
  <c r="BC43" i="25" s="1"/>
  <c r="BB30" i="23"/>
  <c r="BF30" i="23"/>
  <c r="BD30" i="23"/>
  <c r="AX30" i="23"/>
  <c r="BA30" i="23"/>
  <c r="BE30" i="23"/>
  <c r="BC30" i="23"/>
  <c r="AZ30" i="23"/>
  <c r="BH30" i="23"/>
  <c r="BI30" i="23"/>
  <c r="AY30" i="23"/>
  <c r="BG30" i="23"/>
  <c r="J36" i="27"/>
  <c r="AZ22" i="21"/>
  <c r="BA18" i="21" s="1"/>
  <c r="BA22" i="21" s="1"/>
  <c r="BB18" i="21" s="1"/>
  <c r="BB22" i="21" s="1"/>
  <c r="BC18" i="21" s="1"/>
  <c r="BC22" i="21" s="1"/>
  <c r="BD18" i="21" s="1"/>
  <c r="BD22" i="21" s="1"/>
  <c r="BE18" i="21" s="1"/>
  <c r="BE22" i="21" s="1"/>
  <c r="BF18" i="21" s="1"/>
  <c r="BF22" i="21" s="1"/>
  <c r="BG18" i="21" s="1"/>
  <c r="BG22" i="21" s="1"/>
  <c r="BH18" i="21" s="1"/>
  <c r="BH22" i="21" s="1"/>
  <c r="BI18" i="21" s="1"/>
  <c r="BI22" i="21" s="1"/>
  <c r="AX15" i="25"/>
  <c r="AX28" i="25" s="1"/>
  <c r="J14" i="27"/>
  <c r="AY34" i="25" l="1"/>
  <c r="AY43" i="25" s="1"/>
  <c r="J35" i="27"/>
  <c r="M30" i="23"/>
  <c r="I13" i="28" s="1"/>
  <c r="G1" i="28" s="1"/>
  <c r="G1" i="21" l="1"/>
  <c r="G1" i="25"/>
  <c r="G1" i="13"/>
  <c r="G1" i="17"/>
  <c r="G1" i="10"/>
  <c r="G1" i="23"/>
  <c r="G1" i="18"/>
  <c r="G1" i="15"/>
  <c r="G1" i="12"/>
  <c r="G1" i="19"/>
  <c r="G1" i="14"/>
  <c r="G1" i="27"/>
</calcChain>
</file>

<file path=xl/sharedStrings.xml><?xml version="1.0" encoding="utf-8"?>
<sst xmlns="http://schemas.openxmlformats.org/spreadsheetml/2006/main" count="975" uniqueCount="258">
  <si>
    <t>Constante</t>
  </si>
  <si>
    <t>Unit</t>
  </si>
  <si>
    <t>Source</t>
  </si>
  <si>
    <t>Total</t>
  </si>
  <si>
    <t>Paramètres généraux du modèle</t>
  </si>
  <si>
    <t>Date de début du programme</t>
  </si>
  <si>
    <t>date</t>
  </si>
  <si>
    <t>Date de début de projection</t>
  </si>
  <si>
    <t>Paramètre non modifiables</t>
  </si>
  <si>
    <t>Mois dans une année</t>
  </si>
  <si>
    <t>Nb de mois</t>
  </si>
  <si>
    <t>Phases du modèle</t>
  </si>
  <si>
    <t>Exécution</t>
  </si>
  <si>
    <t>Trajectoire</t>
  </si>
  <si>
    <t>Dépôt</t>
  </si>
  <si>
    <t>Engagement</t>
  </si>
  <si>
    <t>Rejet de l'engagement</t>
  </si>
  <si>
    <t>Demande de solde</t>
  </si>
  <si>
    <t>Paiement du solde</t>
  </si>
  <si>
    <t>Retrait total</t>
  </si>
  <si>
    <t>Retrait partiel</t>
  </si>
  <si>
    <t>Phases de gestion des demandes de subvention</t>
  </si>
  <si>
    <t>Type de consommation budgétaire</t>
  </si>
  <si>
    <t>AE</t>
  </si>
  <si>
    <t>CP</t>
  </si>
  <si>
    <t>Fin de la feuille de calcul</t>
  </si>
  <si>
    <t>Frise chronologique principale</t>
  </si>
  <si>
    <t>Compteurs</t>
  </si>
  <si>
    <t>Compteur de colonnes</t>
  </si>
  <si>
    <t>compteur</t>
  </si>
  <si>
    <t>Première colonne</t>
  </si>
  <si>
    <t>booléen</t>
  </si>
  <si>
    <t>Frise mensuelle-début de période</t>
  </si>
  <si>
    <t>Frise mensuelle-fin de période</t>
  </si>
  <si>
    <t>Frise chronologique secondaire</t>
  </si>
  <si>
    <t>Frise annuelle-début de période</t>
  </si>
  <si>
    <t>Frise annuelle-fin de période</t>
  </si>
  <si>
    <t>Projeté vs Exécuté</t>
  </si>
  <si>
    <t>Bool-Projeté</t>
  </si>
  <si>
    <t>Bool-Exécuté</t>
  </si>
  <si>
    <t>Libellés</t>
  </si>
  <si>
    <t>texte</t>
  </si>
  <si>
    <t>Libellés année</t>
  </si>
  <si>
    <t>Libellé année</t>
  </si>
  <si>
    <t>année</t>
  </si>
  <si>
    <t>Demande d'avance</t>
  </si>
  <si>
    <t>Rejet de l'avance</t>
  </si>
  <si>
    <t>Paiement de l'avance</t>
  </si>
  <si>
    <t>Données d'exécution - Volumes</t>
  </si>
  <si>
    <t>Données d'exécution - Montants</t>
  </si>
  <si>
    <t>Volume</t>
  </si>
  <si>
    <t>EUR</t>
  </si>
  <si>
    <t>Relation Frise primaire et secondaire</t>
  </si>
  <si>
    <t>Relation M/A</t>
  </si>
  <si>
    <t>Fin d'année</t>
  </si>
  <si>
    <t>Mois de fin d'année</t>
  </si>
  <si>
    <t>N° mois</t>
  </si>
  <si>
    <t>Hypothèses de dépôt</t>
  </si>
  <si>
    <t>CUBE - Infocentre</t>
  </si>
  <si>
    <t>Croissance des dépôts</t>
  </si>
  <si>
    <t>Croissance du coût moyen</t>
  </si>
  <si>
    <t>% p.a</t>
  </si>
  <si>
    <t>Croissance du volume des dépôts</t>
  </si>
  <si>
    <t>Ecart à la date de référence</t>
  </si>
  <si>
    <t>jours calendaires</t>
  </si>
  <si>
    <t>Croissance des volumes au dépôt</t>
  </si>
  <si>
    <t>%</t>
  </si>
  <si>
    <t>Jours dans une année</t>
  </si>
  <si>
    <t>Trajectoire - Volumes déposés</t>
  </si>
  <si>
    <t>facteur</t>
  </si>
  <si>
    <t>Projection dépôts</t>
  </si>
  <si>
    <t>Croissance du montant des dépôts</t>
  </si>
  <si>
    <t>Croissance du coût moyen au dépôt</t>
  </si>
  <si>
    <t>Coûts moyen au dépôt</t>
  </si>
  <si>
    <t>Montant déposé - Trajectoire</t>
  </si>
  <si>
    <t>N° de mois</t>
  </si>
  <si>
    <t>Mois</t>
  </si>
  <si>
    <t>Facteur saison</t>
  </si>
  <si>
    <t>Hypothèses engagement</t>
  </si>
  <si>
    <t>Délais d'engagement</t>
  </si>
  <si>
    <t>% des dépôts</t>
  </si>
  <si>
    <t>Dates de référence - délais</t>
  </si>
  <si>
    <t>Traitement des dépôts</t>
  </si>
  <si>
    <t>Volumes d'actes de gestion</t>
  </si>
  <si>
    <t>Volume actes de gestion</t>
  </si>
  <si>
    <t>Volume actes de gestion cumul</t>
  </si>
  <si>
    <t>N° mois de dépôt</t>
  </si>
  <si>
    <t>% p.m</t>
  </si>
  <si>
    <t>Engagements</t>
  </si>
  <si>
    <t>Volumes d'engagement</t>
  </si>
  <si>
    <t>Montant applicable</t>
  </si>
  <si>
    <t>Coût moyen au dépôt</t>
  </si>
  <si>
    <t>Coût moyen applicable</t>
  </si>
  <si>
    <t>Projection des engagements</t>
  </si>
  <si>
    <t>Montant engagé - Trajectoire</t>
  </si>
  <si>
    <t>Hypothèses avances</t>
  </si>
  <si>
    <t>Engagement donnant lieu à une demande d'avance</t>
  </si>
  <si>
    <t>% des engagements</t>
  </si>
  <si>
    <t>Taux de chute des demandes d'avance</t>
  </si>
  <si>
    <t>% des demandes d'avance</t>
  </si>
  <si>
    <t>Montant de l'engagement sujet à l'avance</t>
  </si>
  <si>
    <t>% du montant de l'engagement</t>
  </si>
  <si>
    <t>Délai engagement-Paiement de l'avance</t>
  </si>
  <si>
    <t>Hypothèses Demande de solde</t>
  </si>
  <si>
    <t>N° mois d'engagement</t>
  </si>
  <si>
    <t>Délais Engagement-Demande de solde</t>
  </si>
  <si>
    <t>Taux de forclusion</t>
  </si>
  <si>
    <t>% des dossiers engagés</t>
  </si>
  <si>
    <t>Etalements autour de la moyenne</t>
  </si>
  <si>
    <t>Volumes de demandes de solde</t>
  </si>
  <si>
    <t>Volume de demande de solde</t>
  </si>
  <si>
    <t>Montant demande de solde - Trajectoire</t>
  </si>
  <si>
    <t>Coût moyen avances</t>
  </si>
  <si>
    <t>Volumes d'avances et montant</t>
  </si>
  <si>
    <t>Rejet d'avances</t>
  </si>
  <si>
    <t>Volumes traités</t>
  </si>
  <si>
    <t>Paiement d'avance</t>
  </si>
  <si>
    <t>Montant avance payée - Trajectoire</t>
  </si>
  <si>
    <t>Hypothèses Paiement</t>
  </si>
  <si>
    <t>N° mois de Demande de solde</t>
  </si>
  <si>
    <t>Délais Demande de solde-Paiement</t>
  </si>
  <si>
    <t>Taux de rejet au paiement</t>
  </si>
  <si>
    <t>Taux de rejet à l'engagement</t>
  </si>
  <si>
    <t>Décote lié au retrait partiel</t>
  </si>
  <si>
    <t>% montant du solde</t>
  </si>
  <si>
    <t>Paiements</t>
  </si>
  <si>
    <t>Montant payé - Trajectoire</t>
  </si>
  <si>
    <t>Retraits partiel</t>
  </si>
  <si>
    <t>Retraits totaux</t>
  </si>
  <si>
    <t>Rejets à l'octroi du solde</t>
  </si>
  <si>
    <t>Stock début de période</t>
  </si>
  <si>
    <t>Stock fin de période</t>
  </si>
  <si>
    <t>Stocks à l'engagement</t>
  </si>
  <si>
    <t>Stocks au paiement</t>
  </si>
  <si>
    <t>Tendances globales - Volumes</t>
  </si>
  <si>
    <t>Dépôts</t>
  </si>
  <si>
    <t>Aperçu global</t>
  </si>
  <si>
    <t>Demandes de solde</t>
  </si>
  <si>
    <t>Année en cours:</t>
  </si>
  <si>
    <t>Condition</t>
  </si>
  <si>
    <t>Volumes</t>
  </si>
  <si>
    <t>DB contrôle - croissance dépôts</t>
  </si>
  <si>
    <t>DB contrôle - croissance coût moyen</t>
  </si>
  <si>
    <t>Contrôle DB-croissance dépôt</t>
  </si>
  <si>
    <t>Tendances globales - Montants</t>
  </si>
  <si>
    <t>Contrôle DB-croissance CM</t>
  </si>
  <si>
    <t>Fin période</t>
  </si>
  <si>
    <t>Volumes cumulés</t>
  </si>
  <si>
    <t>Montants</t>
  </si>
  <si>
    <t>Montants cumulés</t>
  </si>
  <si>
    <t>Tendances année en cours - Volumes</t>
  </si>
  <si>
    <t>Frise année en cours</t>
  </si>
  <si>
    <t>Année en cours-début de période</t>
  </si>
  <si>
    <t>Année en cours-fin de période</t>
  </si>
  <si>
    <t>Année</t>
  </si>
  <si>
    <t>Tendances année en cours - Montants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</si>
  <si>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</si>
  <si>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</si>
  <si>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</si>
  <si>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</si>
  <si>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</si>
  <si>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</si>
  <si>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</si>
  <si>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</si>
  <si>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</si>
  <si>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</si>
  <si>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</si>
  <si>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</si>
  <si>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Délais Engagement</t>
  </si>
  <si>
    <t>Délai Dem.Solde</t>
  </si>
  <si>
    <t>Délai Paiement solde</t>
  </si>
  <si>
    <t>DB-contrôle délais</t>
  </si>
  <si>
    <t>Stocks année en cours</t>
  </si>
  <si>
    <t>Stock - Engagement</t>
  </si>
  <si>
    <t>Stock - Paiement</t>
  </si>
  <si>
    <t>Alertes</t>
  </si>
  <si>
    <t>Sensi1</t>
  </si>
  <si>
    <t>Sensi2</t>
  </si>
  <si>
    <t>Sensi3</t>
  </si>
  <si>
    <t>Sensi4</t>
  </si>
  <si>
    <t>Sensi5</t>
  </si>
  <si>
    <t>Erreurs</t>
  </si>
  <si>
    <t>Alertes Sensi</t>
  </si>
  <si>
    <t>Nb d'alertes</t>
  </si>
  <si>
    <t>Cohérence engagement</t>
  </si>
  <si>
    <t>Cohérence demandes de solde</t>
  </si>
  <si>
    <t>Cohérence paiements</t>
  </si>
  <si>
    <t>flag</t>
  </si>
  <si>
    <t>Nb d'erreurs</t>
  </si>
  <si>
    <t>Rejet paiement</t>
  </si>
  <si>
    <t>Volume de demande de solde sur engagement de l'année en cours</t>
  </si>
  <si>
    <t>Mois de dépôt engagement</t>
  </si>
  <si>
    <t>% DS engagé pendant l'année en cours</t>
  </si>
  <si>
    <t>Actes de gestion sur engagements de l'année en cours</t>
  </si>
  <si>
    <t>Rejets à l'octroi du solde-Retrait total</t>
  </si>
  <si>
    <t>Calcul des CP</t>
  </si>
  <si>
    <t>Volumes d'actes de gestion, rejets et paiements</t>
  </si>
  <si>
    <t>Volumétrie des retraits totaux</t>
  </si>
  <si>
    <t>Payé engagé sur l'année en cours</t>
  </si>
  <si>
    <t>Montant payé engagé sur année en cours - Trajectoire</t>
  </si>
  <si>
    <t>Evolution des rejets à l'engagement-Volume</t>
  </si>
  <si>
    <t>Evolution des rejets au paiement-Volume</t>
  </si>
  <si>
    <t>Evolution des retraits totaux-Volume</t>
  </si>
  <si>
    <t>Evolution des retraits totaux-EUR</t>
  </si>
  <si>
    <t>Evolution des retraits partiels-EUR</t>
  </si>
  <si>
    <t>Rapport</t>
  </si>
  <si>
    <t>Autres rapport-année en cours</t>
  </si>
  <si>
    <t>Projection</t>
  </si>
  <si>
    <t>Autres rapports sur l'année en cours</t>
  </si>
  <si>
    <t>95% des dossiers sont engagées à horizon 1 an</t>
  </si>
  <si>
    <t>Présentation</t>
  </si>
  <si>
    <t>Cartographie du modèle</t>
  </si>
  <si>
    <t>Onglet:</t>
  </si>
  <si>
    <t>Calculs intermédaires:</t>
  </si>
  <si>
    <t>Calcul de la projection:</t>
  </si>
  <si>
    <t>Le diagramme ci-dessus retrace le flux d'information parcourant le modèle, des onglets d'entrées aux onglets de restitution en passant par les calculs.</t>
  </si>
  <si>
    <t>La lecture du diagramme se fait de haut en bas sauf dans les cas indiqués par des flèches rouges.</t>
  </si>
  <si>
    <t>Type de modèle:</t>
  </si>
  <si>
    <t>Objectif du modèle:</t>
  </si>
  <si>
    <t>La projection sera utilisée comme support de discussion avec les tutelles</t>
  </si>
  <si>
    <t>Formats</t>
  </si>
  <si>
    <t>Couleur des onglets</t>
  </si>
  <si>
    <t>(0;32;96)</t>
  </si>
  <si>
    <t>Onglet de documentation</t>
  </si>
  <si>
    <t>(155;194;230)</t>
  </si>
  <si>
    <t>Onglet de données d'entrée</t>
  </si>
  <si>
    <t>(191;191;191)</t>
  </si>
  <si>
    <t>Onglet de calcul</t>
  </si>
  <si>
    <t>(203;169;229)</t>
  </si>
  <si>
    <t>Onglets de restitution</t>
  </si>
  <si>
    <t>(198;224;180)</t>
  </si>
  <si>
    <t>Onglet de contrôle</t>
  </si>
  <si>
    <t>Couleurs de police</t>
  </si>
  <si>
    <t>Police bleue</t>
  </si>
  <si>
    <t>Données importées d'un autre onglet</t>
  </si>
  <si>
    <t>Police rouge</t>
  </si>
  <si>
    <t>Données exportées vers un autre onglet</t>
  </si>
  <si>
    <t>Couleurs de cellules et bordures</t>
  </si>
  <si>
    <t>(255;242;204)</t>
  </si>
  <si>
    <t>Données d'entrée</t>
  </si>
  <si>
    <t>(255;255;255)</t>
  </si>
  <si>
    <t>Données protégées</t>
  </si>
  <si>
    <t>(217;217;217)</t>
  </si>
  <si>
    <t>Cellules contrôlées par le tableau de bord</t>
  </si>
  <si>
    <t>Cellules laissées vides délibérément</t>
  </si>
  <si>
    <t>Formats de données</t>
  </si>
  <si>
    <t>Volumes et monnaie</t>
  </si>
  <si>
    <t>Dates</t>
  </si>
  <si>
    <t>Pourcentages</t>
  </si>
  <si>
    <t>Texte</t>
  </si>
  <si>
    <t>Fin de la feuille</t>
  </si>
  <si>
    <t>Avances</t>
  </si>
  <si>
    <t>Dem. Solde</t>
  </si>
  <si>
    <t>Pai. Solde &amp; Rt.</t>
  </si>
  <si>
    <t>Le modèle a pour but de réaliser une projection des consommations budgétaires issues des demandes de</t>
  </si>
  <si>
    <t xml:space="preserve"> subvention.</t>
  </si>
  <si>
    <t>La modélisation prend pour base l'exécuté depuis 2020. En l'état actuel, les projections se font jusque 2023</t>
  </si>
  <si>
    <t>booléens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</si>
</sst>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Blue]0.00%;[Red]\(0.00%\);\-"/>
    <numFmt numFmtId="165" formatCode="0.0%"/>
    <numFmt numFmtId="169" formatCode="0;0;\-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sz val="11"/>
      <color theme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BA9E5"/>
        <bgColor indexed="64"/>
      </patternFill>
    </fill>
    <fill>
      <patternFill patternType="solid">
        <fgColor rgb="FFEFE5F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darkUp">
        <bgColor theme="0" tint="-0.14993743705557422"/>
      </patternFill>
    </fill>
    <fill>
      <patternFill patternType="solid">
        <fgColor rgb="FFD9D9D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CBA9E5"/>
      </left>
      <right style="thin">
        <color rgb="FFCBA9E5"/>
      </right>
      <top style="thin">
        <color rgb="FFCBA9E5"/>
      </top>
      <bottom style="thin">
        <color rgb="FFCBA9E5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2" fillId="0" borderId="0" xfId="0" applyFont="1"/>
    <xf numFmtId="0" fontId="2" fillId="0" borderId="2" xfId="0" applyFont="1" applyBorder="1"/>
    <xf numFmtId="14" fontId="0" fillId="0" borderId="0" xfId="0" applyNumberFormat="1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4" fillId="0" borderId="0" xfId="0" applyNumberFormat="1" applyFont="1"/>
    <xf numFmtId="0" fontId="1" fillId="0" borderId="0" xfId="0" applyFont="1"/>
    <xf numFmtId="0" fontId="5" fillId="0" borderId="0" xfId="0" applyFont="1"/>
    <xf numFmtId="14" fontId="1" fillId="0" borderId="0" xfId="0" applyNumberFormat="1" applyFont="1"/>
    <xf numFmtId="0" fontId="0" fillId="0" borderId="0" xfId="0" applyNumberFormat="1"/>
    <xf numFmtId="0" fontId="6" fillId="0" borderId="0" xfId="0" applyFont="1"/>
    <xf numFmtId="10" fontId="0" fillId="0" borderId="0" xfId="0" applyNumberFormat="1"/>
    <xf numFmtId="10" fontId="3" fillId="0" borderId="0" xfId="0" applyNumberFormat="1" applyFont="1"/>
    <xf numFmtId="4" fontId="3" fillId="0" borderId="0" xfId="0" applyNumberFormat="1" applyFont="1"/>
    <xf numFmtId="4" fontId="0" fillId="0" borderId="0" xfId="0" applyNumberFormat="1"/>
    <xf numFmtId="4" fontId="4" fillId="0" borderId="0" xfId="0" applyNumberFormat="1" applyFont="1"/>
    <xf numFmtId="0" fontId="1" fillId="0" borderId="1" xfId="0" applyFont="1" applyBorder="1"/>
    <xf numFmtId="0" fontId="1" fillId="0" borderId="2" xfId="0" applyFont="1" applyBorder="1"/>
    <xf numFmtId="10" fontId="0" fillId="0" borderId="0" xfId="0" applyNumberFormat="1" applyFill="1" applyBorder="1"/>
    <xf numFmtId="0" fontId="1" fillId="0" borderId="0" xfId="0" applyNumberFormat="1" applyFont="1"/>
    <xf numFmtId="10" fontId="3" fillId="0" borderId="0" xfId="0" applyNumberFormat="1" applyFont="1" applyFill="1" applyBorder="1"/>
    <xf numFmtId="10" fontId="4" fillId="0" borderId="0" xfId="0" applyNumberFormat="1" applyFont="1"/>
    <xf numFmtId="4" fontId="0" fillId="0" borderId="4" xfId="0" applyNumberFormat="1" applyFill="1" applyBorder="1"/>
    <xf numFmtId="0" fontId="0" fillId="0" borderId="0" xfId="0" applyFill="1" applyBorder="1"/>
    <xf numFmtId="0" fontId="4" fillId="0" borderId="0" xfId="0" applyFont="1" applyBorder="1"/>
    <xf numFmtId="0" fontId="1" fillId="0" borderId="0" xfId="0" applyFont="1" applyBorder="1"/>
    <xf numFmtId="0" fontId="1" fillId="0" borderId="5" xfId="0" applyFont="1" applyBorder="1"/>
    <xf numFmtId="0" fontId="3" fillId="0" borderId="0" xfId="0" applyNumberFormat="1" applyFont="1"/>
    <xf numFmtId="4" fontId="0" fillId="0" borderId="0" xfId="0" applyNumberFormat="1" applyFill="1" applyBorder="1"/>
    <xf numFmtId="0" fontId="0" fillId="0" borderId="0" xfId="0" applyFont="1"/>
    <xf numFmtId="0" fontId="3" fillId="0" borderId="6" xfId="0" applyFont="1" applyBorder="1"/>
    <xf numFmtId="0" fontId="0" fillId="0" borderId="6" xfId="0" applyBorder="1"/>
    <xf numFmtId="0" fontId="0" fillId="0" borderId="1" xfId="0" applyBorder="1"/>
    <xf numFmtId="0" fontId="1" fillId="0" borderId="1" xfId="0" applyFont="1" applyFill="1" applyBorder="1"/>
    <xf numFmtId="0" fontId="0" fillId="0" borderId="0" xfId="0" applyBorder="1"/>
    <xf numFmtId="4" fontId="0" fillId="0" borderId="0" xfId="0" applyNumberFormat="1" applyBorder="1"/>
    <xf numFmtId="0" fontId="2" fillId="0" borderId="0" xfId="0" applyFont="1" applyBorder="1"/>
    <xf numFmtId="0" fontId="0" fillId="0" borderId="0" xfId="0" applyFont="1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 applyBorder="1"/>
    <xf numFmtId="0" fontId="6" fillId="0" borderId="0" xfId="0" applyFon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Fill="1"/>
    <xf numFmtId="0" fontId="2" fillId="0" borderId="7" xfId="0" applyFont="1" applyBorder="1"/>
    <xf numFmtId="0" fontId="0" fillId="0" borderId="7" xfId="0" applyBorder="1"/>
    <xf numFmtId="0" fontId="0" fillId="0" borderId="7" xfId="0" applyNumberFormat="1" applyBorder="1"/>
    <xf numFmtId="164" fontId="0" fillId="0" borderId="0" xfId="0" applyNumberFormat="1"/>
    <xf numFmtId="3" fontId="0" fillId="0" borderId="0" xfId="0" applyNumberFormat="1" applyBorder="1"/>
    <xf numFmtId="0" fontId="11" fillId="0" borderId="0" xfId="0" applyFont="1"/>
    <xf numFmtId="0" fontId="12" fillId="0" borderId="0" xfId="0" applyFont="1"/>
    <xf numFmtId="9" fontId="1" fillId="0" borderId="0" xfId="0" applyNumberFormat="1" applyFont="1" applyBorder="1"/>
    <xf numFmtId="9" fontId="0" fillId="0" borderId="0" xfId="0" applyNumberFormat="1"/>
    <xf numFmtId="0" fontId="15" fillId="0" borderId="0" xfId="0" applyFont="1"/>
    <xf numFmtId="0" fontId="14" fillId="4" borderId="0" xfId="0" applyFont="1" applyFill="1"/>
    <xf numFmtId="0" fontId="13" fillId="4" borderId="0" xfId="0" applyFont="1" applyFill="1"/>
    <xf numFmtId="0" fontId="16" fillId="0" borderId="0" xfId="0" applyFont="1"/>
    <xf numFmtId="0" fontId="17" fillId="0" borderId="7" xfId="0" applyFont="1" applyBorder="1"/>
    <xf numFmtId="0" fontId="0" fillId="5" borderId="8" xfId="0" applyFill="1" applyBorder="1"/>
    <xf numFmtId="0" fontId="0" fillId="6" borderId="9" xfId="0" applyFill="1" applyBorder="1"/>
    <xf numFmtId="0" fontId="0" fillId="3" borderId="8" xfId="0" applyFill="1" applyBorder="1"/>
    <xf numFmtId="0" fontId="0" fillId="7" borderId="8" xfId="0" applyFill="1" applyBorder="1"/>
    <xf numFmtId="0" fontId="0" fillId="8" borderId="8" xfId="0" applyFill="1" applyBorder="1"/>
    <xf numFmtId="0" fontId="18" fillId="9" borderId="10" xfId="0" applyFont="1" applyFill="1" applyBorder="1"/>
    <xf numFmtId="0" fontId="14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19" fillId="0" borderId="0" xfId="0" applyFont="1"/>
    <xf numFmtId="0" fontId="0" fillId="0" borderId="8" xfId="0" applyBorder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/>
    <xf numFmtId="169" fontId="4" fillId="0" borderId="0" xfId="0" applyNumberFormat="1" applyFont="1"/>
    <xf numFmtId="0" fontId="18" fillId="0" borderId="0" xfId="0" applyFont="1" applyFill="1" applyBorder="1"/>
    <xf numFmtId="0" fontId="0" fillId="2" borderId="3" xfId="0" applyFill="1" applyBorder="1" applyAlignment="1">
      <alignment horizontal="center"/>
    </xf>
    <xf numFmtId="169" fontId="1" fillId="0" borderId="0" xfId="0" applyNumberFormat="1" applyFont="1"/>
    <xf numFmtId="169" fontId="3" fillId="0" borderId="0" xfId="0" applyNumberFormat="1" applyFont="1"/>
    <xf numFmtId="3" fontId="0" fillId="0" borderId="0" xfId="0" applyNumberFormat="1" applyFill="1" applyBorder="1"/>
    <xf numFmtId="3" fontId="3" fillId="0" borderId="0" xfId="0" applyNumberFormat="1" applyFont="1"/>
    <xf numFmtId="3" fontId="1" fillId="0" borderId="2" xfId="0" applyNumberFormat="1" applyFont="1" applyBorder="1"/>
    <xf numFmtId="3" fontId="4" fillId="0" borderId="0" xfId="0" applyNumberFormat="1" applyFont="1"/>
    <xf numFmtId="3" fontId="1" fillId="0" borderId="5" xfId="0" applyNumberFormat="1" applyFont="1" applyBorder="1"/>
    <xf numFmtId="3" fontId="1" fillId="0" borderId="0" xfId="0" applyNumberFormat="1" applyFont="1" applyBorder="1"/>
    <xf numFmtId="3" fontId="1" fillId="0" borderId="1" xfId="0" applyNumberFormat="1" applyFont="1" applyBorder="1"/>
    <xf numFmtId="3" fontId="4" fillId="0" borderId="0" xfId="0" applyNumberFormat="1" applyFont="1" applyBorder="1"/>
    <xf numFmtId="3" fontId="0" fillId="12" borderId="0" xfId="0" applyNumberFormat="1" applyFill="1"/>
    <xf numFmtId="3" fontId="1" fillId="0" borderId="0" xfId="0" applyNumberFormat="1" applyFont="1"/>
    <xf numFmtId="3" fontId="0" fillId="0" borderId="0" xfId="0" applyNumberFormat="1" applyFont="1"/>
    <xf numFmtId="3" fontId="3" fillId="0" borderId="6" xfId="0" applyNumberFormat="1" applyFont="1" applyBorder="1"/>
    <xf numFmtId="3" fontId="0" fillId="0" borderId="6" xfId="0" applyNumberFormat="1" applyBorder="1"/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2" fillId="0" borderId="2" xfId="0" applyFont="1" applyBorder="1" applyProtection="1">
      <protection locked="0"/>
    </xf>
    <xf numFmtId="14" fontId="0" fillId="2" borderId="3" xfId="0" applyNumberFormat="1" applyFill="1" applyBorder="1" applyProtection="1">
      <protection locked="0"/>
    </xf>
    <xf numFmtId="4" fontId="0" fillId="0" borderId="8" xfId="0" applyNumberFormat="1" applyBorder="1" applyProtection="1">
      <protection locked="0"/>
    </xf>
    <xf numFmtId="14" fontId="0" fillId="2" borderId="3" xfId="0" applyNumberFormat="1" applyFill="1" applyBorder="1" applyProtection="1"/>
    <xf numFmtId="0" fontId="0" fillId="2" borderId="3" xfId="0" applyFill="1" applyBorder="1" applyProtection="1"/>
    <xf numFmtId="0" fontId="2" fillId="0" borderId="0" xfId="0" applyFont="1" applyProtection="1"/>
    <xf numFmtId="0" fontId="0" fillId="0" borderId="0" xfId="0" applyProtection="1"/>
    <xf numFmtId="0" fontId="11" fillId="0" borderId="0" xfId="0" applyFont="1" applyProtection="1"/>
    <xf numFmtId="0" fontId="0" fillId="0" borderId="0" xfId="0" applyNumberFormat="1" applyProtection="1"/>
    <xf numFmtId="0" fontId="12" fillId="0" borderId="0" xfId="0" applyFont="1" applyProtection="1"/>
    <xf numFmtId="14" fontId="0" fillId="0" borderId="0" xfId="0" applyNumberFormat="1" applyProtection="1"/>
    <xf numFmtId="0" fontId="2" fillId="0" borderId="2" xfId="0" applyFont="1" applyBorder="1" applyProtection="1"/>
    <xf numFmtId="4" fontId="2" fillId="0" borderId="2" xfId="0" applyNumberFormat="1" applyFont="1" applyBorder="1" applyProtection="1"/>
    <xf numFmtId="0" fontId="2" fillId="0" borderId="2" xfId="0" applyNumberFormat="1" applyFont="1" applyBorder="1" applyProtection="1"/>
    <xf numFmtId="4" fontId="2" fillId="0" borderId="0" xfId="0" applyNumberFormat="1" applyFont="1" applyProtection="1"/>
    <xf numFmtId="4" fontId="0" fillId="0" borderId="0" xfId="0" applyNumberFormat="1" applyProtection="1"/>
    <xf numFmtId="9" fontId="2" fillId="0" borderId="0" xfId="0" applyNumberFormat="1" applyFont="1" applyProtection="1"/>
    <xf numFmtId="0" fontId="2" fillId="0" borderId="0" xfId="0" applyNumberFormat="1" applyFont="1" applyProtection="1"/>
    <xf numFmtId="9" fontId="0" fillId="0" borderId="0" xfId="0" applyNumberFormat="1" applyProtection="1"/>
    <xf numFmtId="0" fontId="6" fillId="0" borderId="0" xfId="0" applyFont="1" applyProtection="1"/>
    <xf numFmtId="165" fontId="0" fillId="0" borderId="0" xfId="0" applyNumberFormat="1" applyProtection="1"/>
    <xf numFmtId="3" fontId="0" fillId="2" borderId="3" xfId="0" applyNumberFormat="1" applyFill="1" applyBorder="1" applyProtection="1">
      <protection locked="0"/>
    </xf>
    <xf numFmtId="4" fontId="0" fillId="2" borderId="3" xfId="0" applyNumberFormat="1" applyFill="1" applyBorder="1" applyProtection="1">
      <protection locked="0"/>
    </xf>
    <xf numFmtId="10" fontId="0" fillId="2" borderId="3" xfId="0" applyNumberFormat="1" applyFill="1" applyBorder="1" applyProtection="1">
      <protection locked="0"/>
    </xf>
    <xf numFmtId="0" fontId="0" fillId="13" borderId="0" xfId="0" applyFill="1" applyProtection="1">
      <protection locked="0"/>
    </xf>
  </cellXfs>
  <cellStyles count="1">
    <cellStyle name="Normal" xfId="0" builtinId="0"/>
  </cellStyles>
  <dxfs count="74"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  <border>
        <left style="dotted">
          <color theme="9" tint="-0.24994659260841701"/>
        </left>
        <right style="dotted">
          <color theme="9" tint="-0.24994659260841701"/>
        </right>
        <top style="dotted">
          <color theme="9" tint="-0.24994659260841701"/>
        </top>
        <bottom style="dotted">
          <color theme="9" tint="-0.24994659260841701"/>
        </bottom>
        <vertical/>
        <horizontal/>
      </border>
    </dxf>
    <dxf>
      <font>
        <color theme="5" tint="-0.24994659260841701"/>
      </font>
      <fill>
        <patternFill>
          <bgColor theme="5" tint="0.59996337778862885"/>
        </patternFill>
      </fill>
      <border>
        <left style="dotted">
          <color theme="5" tint="-0.24994659260841701"/>
        </left>
        <right style="dotted">
          <color theme="5" tint="-0.24994659260841701"/>
        </right>
        <top style="dotted">
          <color theme="5" tint="-0.24994659260841701"/>
        </top>
        <bottom style="dotted">
          <color theme="5" tint="-0.24994659260841701"/>
        </bottom>
        <vertical/>
        <horizontal/>
      </border>
    </dxf>
    <dxf>
      <font>
        <color theme="9" tint="-0.24994659260841701"/>
      </font>
      <fill>
        <patternFill>
          <bgColor theme="9" tint="0.59996337778862885"/>
        </patternFill>
      </fill>
      <border>
        <left style="dotted">
          <color theme="9" tint="-0.24994659260841701"/>
        </left>
        <right style="dotted">
          <color theme="9" tint="-0.24994659260841701"/>
        </right>
        <top style="dotted">
          <color theme="9" tint="-0.24994659260841701"/>
        </top>
        <bottom style="dotted">
          <color theme="9" tint="-0.24994659260841701"/>
        </bottom>
        <vertical/>
        <horizontal/>
      </border>
    </dxf>
    <dxf>
      <font>
        <color theme="5" tint="-0.24994659260841701"/>
      </font>
      <fill>
        <patternFill>
          <bgColor theme="5" tint="0.59996337778862885"/>
        </patternFill>
      </fill>
      <border>
        <left style="dotted">
          <color theme="5" tint="-0.24994659260841701"/>
        </left>
        <right style="dotted">
          <color theme="5" tint="-0.24994659260841701"/>
        </right>
        <top style="dotted">
          <color theme="5" tint="-0.24994659260841701"/>
        </top>
        <bottom style="dotted">
          <color theme="5" tint="-0.24994659260841701"/>
        </bottom>
        <vertical/>
        <horizontal/>
      </border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D9D9D9"/>
      <color rgb="FFBFBFBF"/>
      <color rgb="FFCBA9E5"/>
      <color rgb="FFC6E0B4"/>
      <color rgb="FF9BC2E6"/>
      <color rgb="FF9B9BD5"/>
      <color rgb="FF5E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Graphiques!$E$19</c:f>
              <c:strCache>
                <c:ptCount val="1"/>
                <c:pt idx="0">
                  <c:v>Dépôt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Graphiques!$N$3:$BI$3</c:f>
              <c:numCache>
                <c:formatCode>m/d/yyyy</c:formatCode>
                <c:ptCount val="48"/>
                <c:pt idx="0">
                  <c:v>43861</c:v>
                </c:pt>
                <c:pt idx="1">
                  <c:v>43890</c:v>
                </c:pt>
                <c:pt idx="2">
                  <c:v>43921</c:v>
                </c:pt>
                <c:pt idx="3">
                  <c:v>43951</c:v>
                </c:pt>
                <c:pt idx="4">
                  <c:v>43982</c:v>
                </c:pt>
                <c:pt idx="5">
                  <c:v>44012</c:v>
                </c:pt>
                <c:pt idx="6">
                  <c:v>44043</c:v>
                </c:pt>
                <c:pt idx="7">
                  <c:v>44074</c:v>
                </c:pt>
                <c:pt idx="8">
                  <c:v>44104</c:v>
                </c:pt>
                <c:pt idx="9">
                  <c:v>44135</c:v>
                </c:pt>
                <c:pt idx="10">
                  <c:v>44165</c:v>
                </c:pt>
                <c:pt idx="11">
                  <c:v>44196</c:v>
                </c:pt>
                <c:pt idx="12">
                  <c:v>44227</c:v>
                </c:pt>
                <c:pt idx="13">
                  <c:v>44255</c:v>
                </c:pt>
                <c:pt idx="14">
                  <c:v>44286</c:v>
                </c:pt>
                <c:pt idx="15">
                  <c:v>44316</c:v>
                </c:pt>
                <c:pt idx="16">
                  <c:v>44347</c:v>
                </c:pt>
                <c:pt idx="17">
                  <c:v>44377</c:v>
                </c:pt>
                <c:pt idx="18">
                  <c:v>44408</c:v>
                </c:pt>
                <c:pt idx="19">
                  <c:v>44439</c:v>
                </c:pt>
                <c:pt idx="20">
                  <c:v>44469</c:v>
                </c:pt>
                <c:pt idx="21">
                  <c:v>44500</c:v>
                </c:pt>
                <c:pt idx="22">
                  <c:v>44530</c:v>
                </c:pt>
                <c:pt idx="23">
                  <c:v>44561</c:v>
                </c:pt>
                <c:pt idx="24">
                  <c:v>44592</c:v>
                </c:pt>
                <c:pt idx="25">
                  <c:v>44620</c:v>
                </c:pt>
                <c:pt idx="26">
                  <c:v>44651</c:v>
                </c:pt>
                <c:pt idx="27">
                  <c:v>44681</c:v>
                </c:pt>
                <c:pt idx="28">
                  <c:v>44712</c:v>
                </c:pt>
                <c:pt idx="29">
                  <c:v>44742</c:v>
                </c:pt>
                <c:pt idx="30">
                  <c:v>44773</c:v>
                </c:pt>
                <c:pt idx="31">
                  <c:v>44804</c:v>
                </c:pt>
                <c:pt idx="32">
                  <c:v>44834</c:v>
                </c:pt>
                <c:pt idx="33">
                  <c:v>44865</c:v>
                </c:pt>
                <c:pt idx="34">
                  <c:v>44895</c:v>
                </c:pt>
                <c:pt idx="35">
                  <c:v>44926</c:v>
                </c:pt>
                <c:pt idx="36">
                  <c:v>44957</c:v>
                </c:pt>
                <c:pt idx="37">
                  <c:v>44985</c:v>
                </c:pt>
                <c:pt idx="38">
                  <c:v>45016</c:v>
                </c:pt>
                <c:pt idx="39">
                  <c:v>45046</c:v>
                </c:pt>
                <c:pt idx="40">
                  <c:v>45077</c:v>
                </c:pt>
                <c:pt idx="41">
                  <c:v>45107</c:v>
                </c:pt>
                <c:pt idx="42">
                  <c:v>45138</c:v>
                </c:pt>
                <c:pt idx="43">
                  <c:v>45169</c:v>
                </c:pt>
                <c:pt idx="44">
                  <c:v>45199</c:v>
                </c:pt>
                <c:pt idx="45">
                  <c:v>45230</c:v>
                </c:pt>
                <c:pt idx="46">
                  <c:v>45260</c:v>
                </c:pt>
                <c:pt idx="47">
                  <c:v>45291</c:v>
                </c:pt>
              </c:numCache>
            </c:numRef>
          </c:cat>
          <c:val>
            <c:numRef>
              <c:f>Graphiques!$N$19:$BI$19</c:f>
              <c:numCache>
                <c:formatCode>#,##0</c:formatCode>
                <c:ptCount val="48"/>
                <c:pt idx="0">
                  <c:v>6320</c:v>
                </c:pt>
                <c:pt idx="1">
                  <c:v>11443</c:v>
                </c:pt>
                <c:pt idx="2">
                  <c:v>9961</c:v>
                </c:pt>
                <c:pt idx="3">
                  <c:v>5157</c:v>
                </c:pt>
                <c:pt idx="4">
                  <c:v>7758</c:v>
                </c:pt>
                <c:pt idx="5">
                  <c:v>19366</c:v>
                </c:pt>
                <c:pt idx="6">
                  <c:v>17473</c:v>
                </c:pt>
                <c:pt idx="7">
                  <c:v>10690</c:v>
                </c:pt>
                <c:pt idx="8">
                  <c:v>19315</c:v>
                </c:pt>
                <c:pt idx="9">
                  <c:v>28065</c:v>
                </c:pt>
                <c:pt idx="10">
                  <c:v>30651</c:v>
                </c:pt>
                <c:pt idx="11">
                  <c:v>27939</c:v>
                </c:pt>
                <c:pt idx="12">
                  <c:v>52269</c:v>
                </c:pt>
                <c:pt idx="13">
                  <c:v>57486</c:v>
                </c:pt>
                <c:pt idx="14">
                  <c:v>67267</c:v>
                </c:pt>
                <c:pt idx="15">
                  <c:v>68625</c:v>
                </c:pt>
                <c:pt idx="16">
                  <c:v>60334</c:v>
                </c:pt>
                <c:pt idx="17">
                  <c:v>70423</c:v>
                </c:pt>
                <c:pt idx="18">
                  <c:v>55455</c:v>
                </c:pt>
                <c:pt idx="19">
                  <c:v>40687</c:v>
                </c:pt>
                <c:pt idx="20">
                  <c:v>62423</c:v>
                </c:pt>
                <c:pt idx="21">
                  <c:v>77015</c:v>
                </c:pt>
                <c:pt idx="22">
                  <c:v>68409</c:v>
                </c:pt>
                <c:pt idx="23">
                  <c:v>80621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4-4083-824B-36C7147ED59D}"/>
            </c:ext>
          </c:extLst>
        </c:ser>
        <c:ser>
          <c:idx val="1"/>
          <c:order val="1"/>
          <c:tx>
            <c:strRef>
              <c:f>Graphiques!$E$20</c:f>
              <c:strCache>
                <c:ptCount val="1"/>
                <c:pt idx="0">
                  <c:v>Engagement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Graphiques!$N$3:$BI$3</c:f>
              <c:numCache>
                <c:formatCode>m/d/yyyy</c:formatCode>
                <c:ptCount val="48"/>
                <c:pt idx="0">
                  <c:v>43861</c:v>
                </c:pt>
                <c:pt idx="1">
                  <c:v>43890</c:v>
                </c:pt>
                <c:pt idx="2">
                  <c:v>43921</c:v>
                </c:pt>
                <c:pt idx="3">
                  <c:v>43951</c:v>
                </c:pt>
                <c:pt idx="4">
                  <c:v>43982</c:v>
                </c:pt>
                <c:pt idx="5">
                  <c:v>44012</c:v>
                </c:pt>
                <c:pt idx="6">
                  <c:v>44043</c:v>
                </c:pt>
                <c:pt idx="7">
                  <c:v>44074</c:v>
                </c:pt>
                <c:pt idx="8">
                  <c:v>44104</c:v>
                </c:pt>
                <c:pt idx="9">
                  <c:v>44135</c:v>
                </c:pt>
                <c:pt idx="10">
                  <c:v>44165</c:v>
                </c:pt>
                <c:pt idx="11">
                  <c:v>44196</c:v>
                </c:pt>
                <c:pt idx="12">
                  <c:v>44227</c:v>
                </c:pt>
                <c:pt idx="13">
                  <c:v>44255</c:v>
                </c:pt>
                <c:pt idx="14">
                  <c:v>44286</c:v>
                </c:pt>
                <c:pt idx="15">
                  <c:v>44316</c:v>
                </c:pt>
                <c:pt idx="16">
                  <c:v>44347</c:v>
                </c:pt>
                <c:pt idx="17">
                  <c:v>44377</c:v>
                </c:pt>
                <c:pt idx="18">
                  <c:v>44408</c:v>
                </c:pt>
                <c:pt idx="19">
                  <c:v>44439</c:v>
                </c:pt>
                <c:pt idx="20">
                  <c:v>44469</c:v>
                </c:pt>
                <c:pt idx="21">
                  <c:v>44500</c:v>
                </c:pt>
                <c:pt idx="22">
                  <c:v>44530</c:v>
                </c:pt>
                <c:pt idx="23">
                  <c:v>44561</c:v>
                </c:pt>
                <c:pt idx="24">
                  <c:v>44592</c:v>
                </c:pt>
                <c:pt idx="25">
                  <c:v>44620</c:v>
                </c:pt>
                <c:pt idx="26">
                  <c:v>44651</c:v>
                </c:pt>
                <c:pt idx="27">
                  <c:v>44681</c:v>
                </c:pt>
                <c:pt idx="28">
                  <c:v>44712</c:v>
                </c:pt>
                <c:pt idx="29">
                  <c:v>44742</c:v>
                </c:pt>
                <c:pt idx="30">
                  <c:v>44773</c:v>
                </c:pt>
                <c:pt idx="31">
                  <c:v>44804</c:v>
                </c:pt>
                <c:pt idx="32">
                  <c:v>44834</c:v>
                </c:pt>
                <c:pt idx="33">
                  <c:v>44865</c:v>
                </c:pt>
                <c:pt idx="34">
                  <c:v>44895</c:v>
                </c:pt>
                <c:pt idx="35">
                  <c:v>44926</c:v>
                </c:pt>
                <c:pt idx="36">
                  <c:v>44957</c:v>
                </c:pt>
                <c:pt idx="37">
                  <c:v>44985</c:v>
                </c:pt>
                <c:pt idx="38">
                  <c:v>45016</c:v>
                </c:pt>
                <c:pt idx="39">
                  <c:v>45046</c:v>
                </c:pt>
                <c:pt idx="40">
                  <c:v>45077</c:v>
                </c:pt>
                <c:pt idx="41">
                  <c:v>45107</c:v>
                </c:pt>
                <c:pt idx="42">
                  <c:v>45138</c:v>
                </c:pt>
                <c:pt idx="43">
                  <c:v>45169</c:v>
                </c:pt>
                <c:pt idx="44">
                  <c:v>45199</c:v>
                </c:pt>
                <c:pt idx="45">
                  <c:v>45230</c:v>
                </c:pt>
                <c:pt idx="46">
                  <c:v>45260</c:v>
                </c:pt>
                <c:pt idx="47">
                  <c:v>45291</c:v>
                </c:pt>
              </c:numCache>
            </c:numRef>
          </c:cat>
          <c:val>
            <c:numRef>
              <c:f>Graphiques!$N$20:$BI$20</c:f>
              <c:numCache>
                <c:formatCode>#,##0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726</c:v>
                </c:pt>
                <c:pt idx="4">
                  <c:v>4807</c:v>
                </c:pt>
                <c:pt idx="5">
                  <c:v>7112</c:v>
                </c:pt>
                <c:pt idx="6">
                  <c:v>17956</c:v>
                </c:pt>
                <c:pt idx="7">
                  <c:v>27791</c:v>
                </c:pt>
                <c:pt idx="8">
                  <c:v>13787</c:v>
                </c:pt>
                <c:pt idx="9">
                  <c:v>14792</c:v>
                </c:pt>
                <c:pt idx="10">
                  <c:v>20452</c:v>
                </c:pt>
                <c:pt idx="11">
                  <c:v>31303</c:v>
                </c:pt>
                <c:pt idx="12">
                  <c:v>33518</c:v>
                </c:pt>
                <c:pt idx="13">
                  <c:v>39754</c:v>
                </c:pt>
                <c:pt idx="14">
                  <c:v>45141</c:v>
                </c:pt>
                <c:pt idx="15">
                  <c:v>57254</c:v>
                </c:pt>
                <c:pt idx="16">
                  <c:v>55077</c:v>
                </c:pt>
                <c:pt idx="17">
                  <c:v>71050</c:v>
                </c:pt>
                <c:pt idx="18">
                  <c:v>60529</c:v>
                </c:pt>
                <c:pt idx="19">
                  <c:v>51721</c:v>
                </c:pt>
                <c:pt idx="20">
                  <c:v>51153</c:v>
                </c:pt>
                <c:pt idx="21">
                  <c:v>63159</c:v>
                </c:pt>
                <c:pt idx="22">
                  <c:v>62431</c:v>
                </c:pt>
                <c:pt idx="23">
                  <c:v>70804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D4-4083-824B-36C7147ED59D}"/>
            </c:ext>
          </c:extLst>
        </c:ser>
        <c:ser>
          <c:idx val="2"/>
          <c:order val="2"/>
          <c:tx>
            <c:strRef>
              <c:f>Graphiques!$E$21</c:f>
              <c:strCache>
                <c:ptCount val="1"/>
                <c:pt idx="0">
                  <c:v>Demande de solde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Graphiques!$N$3:$BI$3</c:f>
              <c:numCache>
                <c:formatCode>m/d/yyyy</c:formatCode>
                <c:ptCount val="48"/>
                <c:pt idx="0">
                  <c:v>43861</c:v>
                </c:pt>
                <c:pt idx="1">
                  <c:v>43890</c:v>
                </c:pt>
                <c:pt idx="2">
                  <c:v>43921</c:v>
                </c:pt>
                <c:pt idx="3">
                  <c:v>43951</c:v>
                </c:pt>
                <c:pt idx="4">
                  <c:v>43982</c:v>
                </c:pt>
                <c:pt idx="5">
                  <c:v>44012</c:v>
                </c:pt>
                <c:pt idx="6">
                  <c:v>44043</c:v>
                </c:pt>
                <c:pt idx="7">
                  <c:v>44074</c:v>
                </c:pt>
                <c:pt idx="8">
                  <c:v>44104</c:v>
                </c:pt>
                <c:pt idx="9">
                  <c:v>44135</c:v>
                </c:pt>
                <c:pt idx="10">
                  <c:v>44165</c:v>
                </c:pt>
                <c:pt idx="11">
                  <c:v>44196</c:v>
                </c:pt>
                <c:pt idx="12">
                  <c:v>44227</c:v>
                </c:pt>
                <c:pt idx="13">
                  <c:v>44255</c:v>
                </c:pt>
                <c:pt idx="14">
                  <c:v>44286</c:v>
                </c:pt>
                <c:pt idx="15">
                  <c:v>44316</c:v>
                </c:pt>
                <c:pt idx="16">
                  <c:v>44347</c:v>
                </c:pt>
                <c:pt idx="17">
                  <c:v>44377</c:v>
                </c:pt>
                <c:pt idx="18">
                  <c:v>44408</c:v>
                </c:pt>
                <c:pt idx="19">
                  <c:v>44439</c:v>
                </c:pt>
                <c:pt idx="20">
                  <c:v>44469</c:v>
                </c:pt>
                <c:pt idx="21">
                  <c:v>44500</c:v>
                </c:pt>
                <c:pt idx="22">
                  <c:v>44530</c:v>
                </c:pt>
                <c:pt idx="23">
                  <c:v>44561</c:v>
                </c:pt>
                <c:pt idx="24">
                  <c:v>44592</c:v>
                </c:pt>
                <c:pt idx="25">
                  <c:v>44620</c:v>
                </c:pt>
                <c:pt idx="26">
                  <c:v>44651</c:v>
                </c:pt>
                <c:pt idx="27">
                  <c:v>44681</c:v>
                </c:pt>
                <c:pt idx="28">
                  <c:v>44712</c:v>
                </c:pt>
                <c:pt idx="29">
                  <c:v>44742</c:v>
                </c:pt>
                <c:pt idx="30">
                  <c:v>44773</c:v>
                </c:pt>
                <c:pt idx="31">
                  <c:v>44804</c:v>
                </c:pt>
                <c:pt idx="32">
                  <c:v>44834</c:v>
                </c:pt>
                <c:pt idx="33">
                  <c:v>44865</c:v>
                </c:pt>
                <c:pt idx="34">
                  <c:v>44895</c:v>
                </c:pt>
                <c:pt idx="35">
                  <c:v>44926</c:v>
                </c:pt>
                <c:pt idx="36">
                  <c:v>44957</c:v>
                </c:pt>
                <c:pt idx="37">
                  <c:v>44985</c:v>
                </c:pt>
                <c:pt idx="38">
                  <c:v>45016</c:v>
                </c:pt>
                <c:pt idx="39">
                  <c:v>45046</c:v>
                </c:pt>
                <c:pt idx="40">
                  <c:v>45077</c:v>
                </c:pt>
                <c:pt idx="41">
                  <c:v>45107</c:v>
                </c:pt>
                <c:pt idx="42">
                  <c:v>45138</c:v>
                </c:pt>
                <c:pt idx="43">
                  <c:v>45169</c:v>
                </c:pt>
                <c:pt idx="44">
                  <c:v>45199</c:v>
                </c:pt>
                <c:pt idx="45">
                  <c:v>45230</c:v>
                </c:pt>
                <c:pt idx="46">
                  <c:v>45260</c:v>
                </c:pt>
                <c:pt idx="47">
                  <c:v>45291</c:v>
                </c:pt>
              </c:numCache>
            </c:numRef>
          </c:cat>
          <c:val>
            <c:numRef>
              <c:f>Graphiques!$N$21:$BI$21</c:f>
              <c:numCache>
                <c:formatCode>#,##0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87</c:v>
                </c:pt>
                <c:pt idx="4">
                  <c:v>636</c:v>
                </c:pt>
                <c:pt idx="5">
                  <c:v>2269</c:v>
                </c:pt>
                <c:pt idx="6">
                  <c:v>4269</c:v>
                </c:pt>
                <c:pt idx="7">
                  <c:v>6469</c:v>
                </c:pt>
                <c:pt idx="8">
                  <c:v>10749</c:v>
                </c:pt>
                <c:pt idx="9">
                  <c:v>14183</c:v>
                </c:pt>
                <c:pt idx="10">
                  <c:v>16574</c:v>
                </c:pt>
                <c:pt idx="11">
                  <c:v>19960</c:v>
                </c:pt>
                <c:pt idx="12">
                  <c:v>21697</c:v>
                </c:pt>
                <c:pt idx="13">
                  <c:v>27179</c:v>
                </c:pt>
                <c:pt idx="14">
                  <c:v>32553</c:v>
                </c:pt>
                <c:pt idx="15">
                  <c:v>34544</c:v>
                </c:pt>
                <c:pt idx="16">
                  <c:v>32781</c:v>
                </c:pt>
                <c:pt idx="17">
                  <c:v>38664</c:v>
                </c:pt>
                <c:pt idx="18">
                  <c:v>40773</c:v>
                </c:pt>
                <c:pt idx="19">
                  <c:v>27624</c:v>
                </c:pt>
                <c:pt idx="20">
                  <c:v>44997</c:v>
                </c:pt>
                <c:pt idx="21">
                  <c:v>51424</c:v>
                </c:pt>
                <c:pt idx="22">
                  <c:v>53131</c:v>
                </c:pt>
                <c:pt idx="23">
                  <c:v>56324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D4-4083-824B-36C7147ED59D}"/>
            </c:ext>
          </c:extLst>
        </c:ser>
        <c:ser>
          <c:idx val="3"/>
          <c:order val="3"/>
          <c:tx>
            <c:strRef>
              <c:f>Graphiques!$E$22</c:f>
              <c:strCache>
                <c:ptCount val="1"/>
                <c:pt idx="0">
                  <c:v>Paiement du solde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Graphiques!$N$3:$BI$3</c:f>
              <c:numCache>
                <c:formatCode>m/d/yyyy</c:formatCode>
                <c:ptCount val="48"/>
                <c:pt idx="0">
                  <c:v>43861</c:v>
                </c:pt>
                <c:pt idx="1">
                  <c:v>43890</c:v>
                </c:pt>
                <c:pt idx="2">
                  <c:v>43921</c:v>
                </c:pt>
                <c:pt idx="3">
                  <c:v>43951</c:v>
                </c:pt>
                <c:pt idx="4">
                  <c:v>43982</c:v>
                </c:pt>
                <c:pt idx="5">
                  <c:v>44012</c:v>
                </c:pt>
                <c:pt idx="6">
                  <c:v>44043</c:v>
                </c:pt>
                <c:pt idx="7">
                  <c:v>44074</c:v>
                </c:pt>
                <c:pt idx="8">
                  <c:v>44104</c:v>
                </c:pt>
                <c:pt idx="9">
                  <c:v>44135</c:v>
                </c:pt>
                <c:pt idx="10">
                  <c:v>44165</c:v>
                </c:pt>
                <c:pt idx="11">
                  <c:v>44196</c:v>
                </c:pt>
                <c:pt idx="12">
                  <c:v>44227</c:v>
                </c:pt>
                <c:pt idx="13">
                  <c:v>44255</c:v>
                </c:pt>
                <c:pt idx="14">
                  <c:v>44286</c:v>
                </c:pt>
                <c:pt idx="15">
                  <c:v>44316</c:v>
                </c:pt>
                <c:pt idx="16">
                  <c:v>44347</c:v>
                </c:pt>
                <c:pt idx="17">
                  <c:v>44377</c:v>
                </c:pt>
                <c:pt idx="18">
                  <c:v>44408</c:v>
                </c:pt>
                <c:pt idx="19">
                  <c:v>44439</c:v>
                </c:pt>
                <c:pt idx="20">
                  <c:v>44469</c:v>
                </c:pt>
                <c:pt idx="21">
                  <c:v>44500</c:v>
                </c:pt>
                <c:pt idx="22">
                  <c:v>44530</c:v>
                </c:pt>
                <c:pt idx="23">
                  <c:v>44561</c:v>
                </c:pt>
                <c:pt idx="24">
                  <c:v>44592</c:v>
                </c:pt>
                <c:pt idx="25">
                  <c:v>44620</c:v>
                </c:pt>
                <c:pt idx="26">
                  <c:v>44651</c:v>
                </c:pt>
                <c:pt idx="27">
                  <c:v>44681</c:v>
                </c:pt>
                <c:pt idx="28">
                  <c:v>44712</c:v>
                </c:pt>
                <c:pt idx="29">
                  <c:v>44742</c:v>
                </c:pt>
                <c:pt idx="30">
                  <c:v>44773</c:v>
                </c:pt>
                <c:pt idx="31">
                  <c:v>44804</c:v>
                </c:pt>
                <c:pt idx="32">
                  <c:v>44834</c:v>
                </c:pt>
                <c:pt idx="33">
                  <c:v>44865</c:v>
                </c:pt>
                <c:pt idx="34">
                  <c:v>44895</c:v>
                </c:pt>
                <c:pt idx="35">
                  <c:v>44926</c:v>
                </c:pt>
                <c:pt idx="36">
                  <c:v>44957</c:v>
                </c:pt>
                <c:pt idx="37">
                  <c:v>44985</c:v>
                </c:pt>
                <c:pt idx="38">
                  <c:v>45016</c:v>
                </c:pt>
                <c:pt idx="39">
                  <c:v>45046</c:v>
                </c:pt>
                <c:pt idx="40">
                  <c:v>45077</c:v>
                </c:pt>
                <c:pt idx="41">
                  <c:v>45107</c:v>
                </c:pt>
                <c:pt idx="42">
                  <c:v>45138</c:v>
                </c:pt>
                <c:pt idx="43">
                  <c:v>45169</c:v>
                </c:pt>
                <c:pt idx="44">
                  <c:v>45199</c:v>
                </c:pt>
                <c:pt idx="45">
                  <c:v>45230</c:v>
                </c:pt>
                <c:pt idx="46">
                  <c:v>45260</c:v>
                </c:pt>
                <c:pt idx="47">
                  <c:v>45291</c:v>
                </c:pt>
              </c:numCache>
            </c:numRef>
          </c:cat>
          <c:val>
            <c:numRef>
              <c:f>Graphiques!$N$22:$BI$22</c:f>
              <c:numCache>
                <c:formatCode>#,##0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</c:v>
                </c:pt>
                <c:pt idx="5">
                  <c:v>486</c:v>
                </c:pt>
                <c:pt idx="6">
                  <c:v>1328</c:v>
                </c:pt>
                <c:pt idx="7">
                  <c:v>1620</c:v>
                </c:pt>
                <c:pt idx="8">
                  <c:v>2404</c:v>
                </c:pt>
                <c:pt idx="9">
                  <c:v>3558</c:v>
                </c:pt>
                <c:pt idx="10">
                  <c:v>18930</c:v>
                </c:pt>
                <c:pt idx="11">
                  <c:v>24201</c:v>
                </c:pt>
                <c:pt idx="12">
                  <c:v>11896</c:v>
                </c:pt>
                <c:pt idx="13">
                  <c:v>18436</c:v>
                </c:pt>
                <c:pt idx="14">
                  <c:v>26308</c:v>
                </c:pt>
                <c:pt idx="15">
                  <c:v>25819</c:v>
                </c:pt>
                <c:pt idx="16">
                  <c:v>25351</c:v>
                </c:pt>
                <c:pt idx="17">
                  <c:v>32358</c:v>
                </c:pt>
                <c:pt idx="18">
                  <c:v>36220</c:v>
                </c:pt>
                <c:pt idx="19">
                  <c:v>37185</c:v>
                </c:pt>
                <c:pt idx="20">
                  <c:v>39041</c:v>
                </c:pt>
                <c:pt idx="21">
                  <c:v>36356</c:v>
                </c:pt>
                <c:pt idx="22">
                  <c:v>33503</c:v>
                </c:pt>
                <c:pt idx="23">
                  <c:v>41862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D4-4083-824B-36C7147ED59D}"/>
            </c:ext>
          </c:extLst>
        </c:ser>
        <c:ser>
          <c:idx val="4"/>
          <c:order val="4"/>
          <c:tx>
            <c:strRef>
              <c:f>Graphiques!$E$25</c:f>
              <c:strCache>
                <c:ptCount val="1"/>
                <c:pt idx="0">
                  <c:v>Dépôt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Graphiques!$N$3:$BI$3</c:f>
              <c:numCache>
                <c:formatCode>m/d/yyyy</c:formatCode>
                <c:ptCount val="48"/>
                <c:pt idx="0">
                  <c:v>43861</c:v>
                </c:pt>
                <c:pt idx="1">
                  <c:v>43890</c:v>
                </c:pt>
                <c:pt idx="2">
                  <c:v>43921</c:v>
                </c:pt>
                <c:pt idx="3">
                  <c:v>43951</c:v>
                </c:pt>
                <c:pt idx="4">
                  <c:v>43982</c:v>
                </c:pt>
                <c:pt idx="5">
                  <c:v>44012</c:v>
                </c:pt>
                <c:pt idx="6">
                  <c:v>44043</c:v>
                </c:pt>
                <c:pt idx="7">
                  <c:v>44074</c:v>
                </c:pt>
                <c:pt idx="8">
                  <c:v>44104</c:v>
                </c:pt>
                <c:pt idx="9">
                  <c:v>44135</c:v>
                </c:pt>
                <c:pt idx="10">
                  <c:v>44165</c:v>
                </c:pt>
                <c:pt idx="11">
                  <c:v>44196</c:v>
                </c:pt>
                <c:pt idx="12">
                  <c:v>44227</c:v>
                </c:pt>
                <c:pt idx="13">
                  <c:v>44255</c:v>
                </c:pt>
                <c:pt idx="14">
                  <c:v>44286</c:v>
                </c:pt>
                <c:pt idx="15">
                  <c:v>44316</c:v>
                </c:pt>
                <c:pt idx="16">
                  <c:v>44347</c:v>
                </c:pt>
                <c:pt idx="17">
                  <c:v>44377</c:v>
                </c:pt>
                <c:pt idx="18">
                  <c:v>44408</c:v>
                </c:pt>
                <c:pt idx="19">
                  <c:v>44439</c:v>
                </c:pt>
                <c:pt idx="20">
                  <c:v>44469</c:v>
                </c:pt>
                <c:pt idx="21">
                  <c:v>44500</c:v>
                </c:pt>
                <c:pt idx="22">
                  <c:v>44530</c:v>
                </c:pt>
                <c:pt idx="23">
                  <c:v>44561</c:v>
                </c:pt>
                <c:pt idx="24">
                  <c:v>44592</c:v>
                </c:pt>
                <c:pt idx="25">
                  <c:v>44620</c:v>
                </c:pt>
                <c:pt idx="26">
                  <c:v>44651</c:v>
                </c:pt>
                <c:pt idx="27">
                  <c:v>44681</c:v>
                </c:pt>
                <c:pt idx="28">
                  <c:v>44712</c:v>
                </c:pt>
                <c:pt idx="29">
                  <c:v>44742</c:v>
                </c:pt>
                <c:pt idx="30">
                  <c:v>44773</c:v>
                </c:pt>
                <c:pt idx="31">
                  <c:v>44804</c:v>
                </c:pt>
                <c:pt idx="32">
                  <c:v>44834</c:v>
                </c:pt>
                <c:pt idx="33">
                  <c:v>44865</c:v>
                </c:pt>
                <c:pt idx="34">
                  <c:v>44895</c:v>
                </c:pt>
                <c:pt idx="35">
                  <c:v>44926</c:v>
                </c:pt>
                <c:pt idx="36">
                  <c:v>44957</c:v>
                </c:pt>
                <c:pt idx="37">
                  <c:v>44985</c:v>
                </c:pt>
                <c:pt idx="38">
                  <c:v>45016</c:v>
                </c:pt>
                <c:pt idx="39">
                  <c:v>45046</c:v>
                </c:pt>
                <c:pt idx="40">
                  <c:v>45077</c:v>
                </c:pt>
                <c:pt idx="41">
                  <c:v>45107</c:v>
                </c:pt>
                <c:pt idx="42">
                  <c:v>45138</c:v>
                </c:pt>
                <c:pt idx="43">
                  <c:v>45169</c:v>
                </c:pt>
                <c:pt idx="44">
                  <c:v>45199</c:v>
                </c:pt>
                <c:pt idx="45">
                  <c:v>45230</c:v>
                </c:pt>
                <c:pt idx="46">
                  <c:v>45260</c:v>
                </c:pt>
                <c:pt idx="47">
                  <c:v>45291</c:v>
                </c:pt>
              </c:numCache>
            </c:numRef>
          </c:cat>
          <c:val>
            <c:numRef>
              <c:f>Graphiques!$N$25:$BI$25</c:f>
              <c:numCache>
                <c:formatCode>#,##0</c:formatCode>
                <c:ptCount val="4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80621</c:v>
                </c:pt>
                <c:pt idx="24">
                  <c:v>69086.403111506734</c:v>
                </c:pt>
                <c:pt idx="25">
                  <c:v>77214.215242272243</c:v>
                </c:pt>
                <c:pt idx="26">
                  <c:v>81278.12130765499</c:v>
                </c:pt>
                <c:pt idx="27">
                  <c:v>81278.12130765499</c:v>
                </c:pt>
                <c:pt idx="28">
                  <c:v>81278.12130765499</c:v>
                </c:pt>
                <c:pt idx="29">
                  <c:v>77214.215242272243</c:v>
                </c:pt>
                <c:pt idx="30">
                  <c:v>65022.497046123994</c:v>
                </c:pt>
                <c:pt idx="31">
                  <c:v>48766.87278459299</c:v>
                </c:pt>
                <c:pt idx="32">
                  <c:v>73150.309176889496</c:v>
                </c:pt>
                <c:pt idx="33">
                  <c:v>81278.12130765499</c:v>
                </c:pt>
                <c:pt idx="34">
                  <c:v>81278.12130765499</c:v>
                </c:pt>
                <c:pt idx="35">
                  <c:v>89405.933438420499</c:v>
                </c:pt>
                <c:pt idx="36">
                  <c:v>75995.043422657429</c:v>
                </c:pt>
                <c:pt idx="37">
                  <c:v>84935.636766499476</c:v>
                </c:pt>
                <c:pt idx="38">
                  <c:v>89405.933438420499</c:v>
                </c:pt>
                <c:pt idx="39">
                  <c:v>89405.933438420499</c:v>
                </c:pt>
                <c:pt idx="40">
                  <c:v>89405.933438420499</c:v>
                </c:pt>
                <c:pt idx="41">
                  <c:v>84935.636766499476</c:v>
                </c:pt>
                <c:pt idx="42">
                  <c:v>71524.746750736405</c:v>
                </c:pt>
                <c:pt idx="43">
                  <c:v>53643.560063052297</c:v>
                </c:pt>
                <c:pt idx="44">
                  <c:v>80465.340094578452</c:v>
                </c:pt>
                <c:pt idx="45">
                  <c:v>89405.933438420499</c:v>
                </c:pt>
                <c:pt idx="46">
                  <c:v>89405.933438420499</c:v>
                </c:pt>
                <c:pt idx="47">
                  <c:v>98346.526782262561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BD4-4083-824B-36C7147ED59D}"/>
            </c:ext>
          </c:extLst>
        </c:ser>
        <c:ser>
          <c:idx val="5"/>
          <c:order val="5"/>
          <c:tx>
            <c:strRef>
              <c:f>Graphiques!$E$26</c:f>
              <c:strCache>
                <c:ptCount val="1"/>
                <c:pt idx="0">
                  <c:v>Engagement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Graphiques!$N$3:$BI$3</c:f>
              <c:numCache>
                <c:formatCode>m/d/yyyy</c:formatCode>
                <c:ptCount val="48"/>
                <c:pt idx="0">
                  <c:v>43861</c:v>
                </c:pt>
                <c:pt idx="1">
                  <c:v>43890</c:v>
                </c:pt>
                <c:pt idx="2">
                  <c:v>43921</c:v>
                </c:pt>
                <c:pt idx="3">
                  <c:v>43951</c:v>
                </c:pt>
                <c:pt idx="4">
                  <c:v>43982</c:v>
                </c:pt>
                <c:pt idx="5">
                  <c:v>44012</c:v>
                </c:pt>
                <c:pt idx="6">
                  <c:v>44043</c:v>
                </c:pt>
                <c:pt idx="7">
                  <c:v>44074</c:v>
                </c:pt>
                <c:pt idx="8">
                  <c:v>44104</c:v>
                </c:pt>
                <c:pt idx="9">
                  <c:v>44135</c:v>
                </c:pt>
                <c:pt idx="10">
                  <c:v>44165</c:v>
                </c:pt>
                <c:pt idx="11">
                  <c:v>44196</c:v>
                </c:pt>
                <c:pt idx="12">
                  <c:v>44227</c:v>
                </c:pt>
                <c:pt idx="13">
                  <c:v>44255</c:v>
                </c:pt>
                <c:pt idx="14">
                  <c:v>44286</c:v>
                </c:pt>
                <c:pt idx="15">
                  <c:v>44316</c:v>
                </c:pt>
                <c:pt idx="16">
                  <c:v>44347</c:v>
                </c:pt>
                <c:pt idx="17">
                  <c:v>44377</c:v>
                </c:pt>
                <c:pt idx="18">
                  <c:v>44408</c:v>
                </c:pt>
                <c:pt idx="19">
                  <c:v>44439</c:v>
                </c:pt>
                <c:pt idx="20">
                  <c:v>44469</c:v>
                </c:pt>
                <c:pt idx="21">
                  <c:v>44500</c:v>
                </c:pt>
                <c:pt idx="22">
                  <c:v>44530</c:v>
                </c:pt>
                <c:pt idx="23">
                  <c:v>44561</c:v>
                </c:pt>
                <c:pt idx="24">
                  <c:v>44592</c:v>
                </c:pt>
                <c:pt idx="25">
                  <c:v>44620</c:v>
                </c:pt>
                <c:pt idx="26">
                  <c:v>44651</c:v>
                </c:pt>
                <c:pt idx="27">
                  <c:v>44681</c:v>
                </c:pt>
                <c:pt idx="28">
                  <c:v>44712</c:v>
                </c:pt>
                <c:pt idx="29">
                  <c:v>44742</c:v>
                </c:pt>
                <c:pt idx="30">
                  <c:v>44773</c:v>
                </c:pt>
                <c:pt idx="31">
                  <c:v>44804</c:v>
                </c:pt>
                <c:pt idx="32">
                  <c:v>44834</c:v>
                </c:pt>
                <c:pt idx="33">
                  <c:v>44865</c:v>
                </c:pt>
                <c:pt idx="34">
                  <c:v>44895</c:v>
                </c:pt>
                <c:pt idx="35">
                  <c:v>44926</c:v>
                </c:pt>
                <c:pt idx="36">
                  <c:v>44957</c:v>
                </c:pt>
                <c:pt idx="37">
                  <c:v>44985</c:v>
                </c:pt>
                <c:pt idx="38">
                  <c:v>45016</c:v>
                </c:pt>
                <c:pt idx="39">
                  <c:v>45046</c:v>
                </c:pt>
                <c:pt idx="40">
                  <c:v>45077</c:v>
                </c:pt>
                <c:pt idx="41">
                  <c:v>45107</c:v>
                </c:pt>
                <c:pt idx="42">
                  <c:v>45138</c:v>
                </c:pt>
                <c:pt idx="43">
                  <c:v>45169</c:v>
                </c:pt>
                <c:pt idx="44">
                  <c:v>45199</c:v>
                </c:pt>
                <c:pt idx="45">
                  <c:v>45230</c:v>
                </c:pt>
                <c:pt idx="46">
                  <c:v>45260</c:v>
                </c:pt>
                <c:pt idx="47">
                  <c:v>45291</c:v>
                </c:pt>
              </c:numCache>
            </c:numRef>
          </c:cat>
          <c:val>
            <c:numRef>
              <c:f>Graphiques!$N$26:$BI$26</c:f>
              <c:numCache>
                <c:formatCode>#,##0</c:formatCode>
                <c:ptCount val="4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70804</c:v>
                </c:pt>
                <c:pt idx="24">
                  <c:v>65371.735654758428</c:v>
                </c:pt>
                <c:pt idx="25">
                  <c:v>63873.376658526257</c:v>
                </c:pt>
                <c:pt idx="26">
                  <c:v>73873.274065592719</c:v>
                </c:pt>
                <c:pt idx="27">
                  <c:v>72547.17482812464</c:v>
                </c:pt>
                <c:pt idx="28">
                  <c:v>74207.759944055273</c:v>
                </c:pt>
                <c:pt idx="29">
                  <c:v>69877.316848867995</c:v>
                </c:pt>
                <c:pt idx="30">
                  <c:v>63676.963121060908</c:v>
                </c:pt>
                <c:pt idx="31">
                  <c:v>50386.06586527796</c:v>
                </c:pt>
                <c:pt idx="32">
                  <c:v>58224.509954096939</c:v>
                </c:pt>
                <c:pt idx="33">
                  <c:v>69604.36557467503</c:v>
                </c:pt>
                <c:pt idx="34">
                  <c:v>71378.934592984268</c:v>
                </c:pt>
                <c:pt idx="35">
                  <c:v>78753.149697082248</c:v>
                </c:pt>
                <c:pt idx="36">
                  <c:v>72486.86571658848</c:v>
                </c:pt>
                <c:pt idx="37">
                  <c:v>70348.127966319968</c:v>
                </c:pt>
                <c:pt idx="38">
                  <c:v>81269.01370344765</c:v>
                </c:pt>
                <c:pt idx="39">
                  <c:v>79802.169587532859</c:v>
                </c:pt>
                <c:pt idx="40">
                  <c:v>81628.540237268462</c:v>
                </c:pt>
                <c:pt idx="41">
                  <c:v>76865.048555801855</c:v>
                </c:pt>
                <c:pt idx="42">
                  <c:v>70044.659433217879</c:v>
                </c:pt>
                <c:pt idx="43">
                  <c:v>55424.672451805804</c:v>
                </c:pt>
                <c:pt idx="44">
                  <c:v>64046.96094950664</c:v>
                </c:pt>
                <c:pt idx="45">
                  <c:v>76564.802132142533</c:v>
                </c:pt>
                <c:pt idx="46">
                  <c:v>78516.828052282712</c:v>
                </c:pt>
                <c:pt idx="47">
                  <c:v>86628.464666790489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BD4-4083-824B-36C7147ED59D}"/>
            </c:ext>
          </c:extLst>
        </c:ser>
        <c:ser>
          <c:idx val="6"/>
          <c:order val="6"/>
          <c:tx>
            <c:strRef>
              <c:f>Graphiques!$E$27</c:f>
              <c:strCache>
                <c:ptCount val="1"/>
                <c:pt idx="0">
                  <c:v>Demande de solde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Graphiques!$N$3:$BI$3</c:f>
              <c:numCache>
                <c:formatCode>m/d/yyyy</c:formatCode>
                <c:ptCount val="48"/>
                <c:pt idx="0">
                  <c:v>43861</c:v>
                </c:pt>
                <c:pt idx="1">
                  <c:v>43890</c:v>
                </c:pt>
                <c:pt idx="2">
                  <c:v>43921</c:v>
                </c:pt>
                <c:pt idx="3">
                  <c:v>43951</c:v>
                </c:pt>
                <c:pt idx="4">
                  <c:v>43982</c:v>
                </c:pt>
                <c:pt idx="5">
                  <c:v>44012</c:v>
                </c:pt>
                <c:pt idx="6">
                  <c:v>44043</c:v>
                </c:pt>
                <c:pt idx="7">
                  <c:v>44074</c:v>
                </c:pt>
                <c:pt idx="8">
                  <c:v>44104</c:v>
                </c:pt>
                <c:pt idx="9">
                  <c:v>44135</c:v>
                </c:pt>
                <c:pt idx="10">
                  <c:v>44165</c:v>
                </c:pt>
                <c:pt idx="11">
                  <c:v>44196</c:v>
                </c:pt>
                <c:pt idx="12">
                  <c:v>44227</c:v>
                </c:pt>
                <c:pt idx="13">
                  <c:v>44255</c:v>
                </c:pt>
                <c:pt idx="14">
                  <c:v>44286</c:v>
                </c:pt>
                <c:pt idx="15">
                  <c:v>44316</c:v>
                </c:pt>
                <c:pt idx="16">
                  <c:v>44347</c:v>
                </c:pt>
                <c:pt idx="17">
                  <c:v>44377</c:v>
                </c:pt>
                <c:pt idx="18">
                  <c:v>44408</c:v>
                </c:pt>
                <c:pt idx="19">
                  <c:v>44439</c:v>
                </c:pt>
                <c:pt idx="20">
                  <c:v>44469</c:v>
                </c:pt>
                <c:pt idx="21">
                  <c:v>44500</c:v>
                </c:pt>
                <c:pt idx="22">
                  <c:v>44530</c:v>
                </c:pt>
                <c:pt idx="23">
                  <c:v>44561</c:v>
                </c:pt>
                <c:pt idx="24">
                  <c:v>44592</c:v>
                </c:pt>
                <c:pt idx="25">
                  <c:v>44620</c:v>
                </c:pt>
                <c:pt idx="26">
                  <c:v>44651</c:v>
                </c:pt>
                <c:pt idx="27">
                  <c:v>44681</c:v>
                </c:pt>
                <c:pt idx="28">
                  <c:v>44712</c:v>
                </c:pt>
                <c:pt idx="29">
                  <c:v>44742</c:v>
                </c:pt>
                <c:pt idx="30">
                  <c:v>44773</c:v>
                </c:pt>
                <c:pt idx="31">
                  <c:v>44804</c:v>
                </c:pt>
                <c:pt idx="32">
                  <c:v>44834</c:v>
                </c:pt>
                <c:pt idx="33">
                  <c:v>44865</c:v>
                </c:pt>
                <c:pt idx="34">
                  <c:v>44895</c:v>
                </c:pt>
                <c:pt idx="35">
                  <c:v>44926</c:v>
                </c:pt>
                <c:pt idx="36">
                  <c:v>44957</c:v>
                </c:pt>
                <c:pt idx="37">
                  <c:v>44985</c:v>
                </c:pt>
                <c:pt idx="38">
                  <c:v>45016</c:v>
                </c:pt>
                <c:pt idx="39">
                  <c:v>45046</c:v>
                </c:pt>
                <c:pt idx="40">
                  <c:v>45077</c:v>
                </c:pt>
                <c:pt idx="41">
                  <c:v>45107</c:v>
                </c:pt>
                <c:pt idx="42">
                  <c:v>45138</c:v>
                </c:pt>
                <c:pt idx="43">
                  <c:v>45169</c:v>
                </c:pt>
                <c:pt idx="44">
                  <c:v>45199</c:v>
                </c:pt>
                <c:pt idx="45">
                  <c:v>45230</c:v>
                </c:pt>
                <c:pt idx="46">
                  <c:v>45260</c:v>
                </c:pt>
                <c:pt idx="47">
                  <c:v>45291</c:v>
                </c:pt>
              </c:numCache>
            </c:numRef>
          </c:cat>
          <c:val>
            <c:numRef>
              <c:f>Graphiques!$N$27:$BI$27</c:f>
              <c:numCache>
                <c:formatCode>#,##0</c:formatCode>
                <c:ptCount val="4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56324</c:v>
                </c:pt>
                <c:pt idx="24">
                  <c:v>55779.354484422802</c:v>
                </c:pt>
                <c:pt idx="25">
                  <c:v>52425.82824647989</c:v>
                </c:pt>
                <c:pt idx="26">
                  <c:v>60235.743482396771</c:v>
                </c:pt>
                <c:pt idx="27">
                  <c:v>59531.72975090504</c:v>
                </c:pt>
                <c:pt idx="28">
                  <c:v>62473.721581154561</c:v>
                </c:pt>
                <c:pt idx="29">
                  <c:v>60509.608006077935</c:v>
                </c:pt>
                <c:pt idx="30">
                  <c:v>60763.115116330067</c:v>
                </c:pt>
                <c:pt idx="31">
                  <c:v>56949.508506996957</c:v>
                </c:pt>
                <c:pt idx="32">
                  <c:v>57053.136182929935</c:v>
                </c:pt>
                <c:pt idx="33">
                  <c:v>61251.178951307833</c:v>
                </c:pt>
                <c:pt idx="34">
                  <c:v>60402.402042979265</c:v>
                </c:pt>
                <c:pt idx="35">
                  <c:v>64175.252174882356</c:v>
                </c:pt>
                <c:pt idx="36">
                  <c:v>63005.515505017313</c:v>
                </c:pt>
                <c:pt idx="37">
                  <c:v>58444.060974671265</c:v>
                </c:pt>
                <c:pt idx="38">
                  <c:v>66515.865208060728</c:v>
                </c:pt>
                <c:pt idx="39">
                  <c:v>65544.945076049407</c:v>
                </c:pt>
                <c:pt idx="40">
                  <c:v>68579.424332022172</c:v>
                </c:pt>
                <c:pt idx="41">
                  <c:v>66630.538624534631</c:v>
                </c:pt>
                <c:pt idx="42">
                  <c:v>66973.324207001657</c:v>
                </c:pt>
                <c:pt idx="43">
                  <c:v>62873.030008606853</c:v>
                </c:pt>
                <c:pt idx="44">
                  <c:v>62902.09938989528</c:v>
                </c:pt>
                <c:pt idx="45">
                  <c:v>67489.377899406871</c:v>
                </c:pt>
                <c:pt idx="46">
                  <c:v>66481.718475194008</c:v>
                </c:pt>
                <c:pt idx="47">
                  <c:v>70608.725113188964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BD4-4083-824B-36C7147ED59D}"/>
            </c:ext>
          </c:extLst>
        </c:ser>
        <c:ser>
          <c:idx val="7"/>
          <c:order val="7"/>
          <c:tx>
            <c:strRef>
              <c:f>Graphiques!$E$28</c:f>
              <c:strCache>
                <c:ptCount val="1"/>
                <c:pt idx="0">
                  <c:v>Paiement du solde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Graphiques!$N$3:$BI$3</c:f>
              <c:numCache>
                <c:formatCode>m/d/yyyy</c:formatCode>
                <c:ptCount val="48"/>
                <c:pt idx="0">
                  <c:v>43861</c:v>
                </c:pt>
                <c:pt idx="1">
                  <c:v>43890</c:v>
                </c:pt>
                <c:pt idx="2">
                  <c:v>43921</c:v>
                </c:pt>
                <c:pt idx="3">
                  <c:v>43951</c:v>
                </c:pt>
                <c:pt idx="4">
                  <c:v>43982</c:v>
                </c:pt>
                <c:pt idx="5">
                  <c:v>44012</c:v>
                </c:pt>
                <c:pt idx="6">
                  <c:v>44043</c:v>
                </c:pt>
                <c:pt idx="7">
                  <c:v>44074</c:v>
                </c:pt>
                <c:pt idx="8">
                  <c:v>44104</c:v>
                </c:pt>
                <c:pt idx="9">
                  <c:v>44135</c:v>
                </c:pt>
                <c:pt idx="10">
                  <c:v>44165</c:v>
                </c:pt>
                <c:pt idx="11">
                  <c:v>44196</c:v>
                </c:pt>
                <c:pt idx="12">
                  <c:v>44227</c:v>
                </c:pt>
                <c:pt idx="13">
                  <c:v>44255</c:v>
                </c:pt>
                <c:pt idx="14">
                  <c:v>44286</c:v>
                </c:pt>
                <c:pt idx="15">
                  <c:v>44316</c:v>
                </c:pt>
                <c:pt idx="16">
                  <c:v>44347</c:v>
                </c:pt>
                <c:pt idx="17">
                  <c:v>44377</c:v>
                </c:pt>
                <c:pt idx="18">
                  <c:v>44408</c:v>
                </c:pt>
                <c:pt idx="19">
                  <c:v>44439</c:v>
                </c:pt>
                <c:pt idx="20">
                  <c:v>44469</c:v>
                </c:pt>
                <c:pt idx="21">
                  <c:v>44500</c:v>
                </c:pt>
                <c:pt idx="22">
                  <c:v>44530</c:v>
                </c:pt>
                <c:pt idx="23">
                  <c:v>44561</c:v>
                </c:pt>
                <c:pt idx="24">
                  <c:v>44592</c:v>
                </c:pt>
                <c:pt idx="25">
                  <c:v>44620</c:v>
                </c:pt>
                <c:pt idx="26">
                  <c:v>44651</c:v>
                </c:pt>
                <c:pt idx="27">
                  <c:v>44681</c:v>
                </c:pt>
                <c:pt idx="28">
                  <c:v>44712</c:v>
                </c:pt>
                <c:pt idx="29">
                  <c:v>44742</c:v>
                </c:pt>
                <c:pt idx="30">
                  <c:v>44773</c:v>
                </c:pt>
                <c:pt idx="31">
                  <c:v>44804</c:v>
                </c:pt>
                <c:pt idx="32">
                  <c:v>44834</c:v>
                </c:pt>
                <c:pt idx="33">
                  <c:v>44865</c:v>
                </c:pt>
                <c:pt idx="34">
                  <c:v>44895</c:v>
                </c:pt>
                <c:pt idx="35">
                  <c:v>44926</c:v>
                </c:pt>
                <c:pt idx="36">
                  <c:v>44957</c:v>
                </c:pt>
                <c:pt idx="37">
                  <c:v>44985</c:v>
                </c:pt>
                <c:pt idx="38">
                  <c:v>45016</c:v>
                </c:pt>
                <c:pt idx="39">
                  <c:v>45046</c:v>
                </c:pt>
                <c:pt idx="40">
                  <c:v>45077</c:v>
                </c:pt>
                <c:pt idx="41">
                  <c:v>45107</c:v>
                </c:pt>
                <c:pt idx="42">
                  <c:v>45138</c:v>
                </c:pt>
                <c:pt idx="43">
                  <c:v>45169</c:v>
                </c:pt>
                <c:pt idx="44">
                  <c:v>45199</c:v>
                </c:pt>
                <c:pt idx="45">
                  <c:v>45230</c:v>
                </c:pt>
                <c:pt idx="46">
                  <c:v>45260</c:v>
                </c:pt>
                <c:pt idx="47">
                  <c:v>45291</c:v>
                </c:pt>
              </c:numCache>
            </c:numRef>
          </c:cat>
          <c:val>
            <c:numRef>
              <c:f>Graphiques!$N$28:$BI$28</c:f>
              <c:numCache>
                <c:formatCode>#,##0</c:formatCode>
                <c:ptCount val="4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41862</c:v>
                </c:pt>
                <c:pt idx="24">
                  <c:v>50874.42615728989</c:v>
                </c:pt>
                <c:pt idx="25">
                  <c:v>47377.758857928959</c:v>
                </c:pt>
                <c:pt idx="26">
                  <c:v>54689.238130470832</c:v>
                </c:pt>
                <c:pt idx="27">
                  <c:v>54295.857322266689</c:v>
                </c:pt>
                <c:pt idx="28">
                  <c:v>57633.841561419991</c:v>
                </c:pt>
                <c:pt idx="29">
                  <c:v>56459.636421889329</c:v>
                </c:pt>
                <c:pt idx="30">
                  <c:v>58397.320414119422</c:v>
                </c:pt>
                <c:pt idx="31">
                  <c:v>56989.854372342103</c:v>
                </c:pt>
                <c:pt idx="32">
                  <c:v>54784.336297226713</c:v>
                </c:pt>
                <c:pt idx="33">
                  <c:v>57112.51821665145</c:v>
                </c:pt>
                <c:pt idx="34">
                  <c:v>55715.033402139583</c:v>
                </c:pt>
                <c:pt idx="35">
                  <c:v>58934.122309449682</c:v>
                </c:pt>
                <c:pt idx="36">
                  <c:v>59389.521387664136</c:v>
                </c:pt>
                <c:pt idx="37">
                  <c:v>54021.9893760821</c:v>
                </c:pt>
                <c:pt idx="38">
                  <c:v>61420.658646385957</c:v>
                </c:pt>
                <c:pt idx="39">
                  <c:v>60426.58148098534</c:v>
                </c:pt>
                <c:pt idx="40">
                  <c:v>63729.706306969987</c:v>
                </c:pt>
                <c:pt idx="41">
                  <c:v>62279.362678848709</c:v>
                </c:pt>
                <c:pt idx="42">
                  <c:v>64347.866488255546</c:v>
                </c:pt>
                <c:pt idx="43">
                  <c:v>62816.545191370358</c:v>
                </c:pt>
                <c:pt idx="44">
                  <c:v>60385.014715243255</c:v>
                </c:pt>
                <c:pt idx="45">
                  <c:v>62951.181924503922</c:v>
                </c:pt>
                <c:pt idx="46">
                  <c:v>61383.322299185478</c:v>
                </c:pt>
                <c:pt idx="47">
                  <c:v>64898.597396549259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BD4-4083-824B-36C7147ED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2218016"/>
        <c:axId val="1872222176"/>
      </c:lineChart>
      <c:dateAx>
        <c:axId val="187221801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2222176"/>
        <c:crosses val="autoZero"/>
        <c:auto val="1"/>
        <c:lblOffset val="100"/>
        <c:baseTimeUnit val="months"/>
        <c:majorUnit val="6"/>
        <c:majorTimeUnit val="months"/>
      </c:dateAx>
      <c:valAx>
        <c:axId val="187222217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2218016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Graphiques!$E$39</c:f>
              <c:strCache>
                <c:ptCount val="1"/>
                <c:pt idx="0">
                  <c:v>AE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Graphiques!$N$3:$BI$3</c:f>
              <c:numCache>
                <c:formatCode>m/d/yyyy</c:formatCode>
                <c:ptCount val="48"/>
                <c:pt idx="0">
                  <c:v>43861</c:v>
                </c:pt>
                <c:pt idx="1">
                  <c:v>43890</c:v>
                </c:pt>
                <c:pt idx="2">
                  <c:v>43921</c:v>
                </c:pt>
                <c:pt idx="3">
                  <c:v>43951</c:v>
                </c:pt>
                <c:pt idx="4">
                  <c:v>43982</c:v>
                </c:pt>
                <c:pt idx="5">
                  <c:v>44012</c:v>
                </c:pt>
                <c:pt idx="6">
                  <c:v>44043</c:v>
                </c:pt>
                <c:pt idx="7">
                  <c:v>44074</c:v>
                </c:pt>
                <c:pt idx="8">
                  <c:v>44104</c:v>
                </c:pt>
                <c:pt idx="9">
                  <c:v>44135</c:v>
                </c:pt>
                <c:pt idx="10">
                  <c:v>44165</c:v>
                </c:pt>
                <c:pt idx="11">
                  <c:v>44196</c:v>
                </c:pt>
                <c:pt idx="12">
                  <c:v>44227</c:v>
                </c:pt>
                <c:pt idx="13">
                  <c:v>44255</c:v>
                </c:pt>
                <c:pt idx="14">
                  <c:v>44286</c:v>
                </c:pt>
                <c:pt idx="15">
                  <c:v>44316</c:v>
                </c:pt>
                <c:pt idx="16">
                  <c:v>44347</c:v>
                </c:pt>
                <c:pt idx="17">
                  <c:v>44377</c:v>
                </c:pt>
                <c:pt idx="18">
                  <c:v>44408</c:v>
                </c:pt>
                <c:pt idx="19">
                  <c:v>44439</c:v>
                </c:pt>
                <c:pt idx="20">
                  <c:v>44469</c:v>
                </c:pt>
                <c:pt idx="21">
                  <c:v>44500</c:v>
                </c:pt>
                <c:pt idx="22">
                  <c:v>44530</c:v>
                </c:pt>
                <c:pt idx="23">
                  <c:v>44561</c:v>
                </c:pt>
                <c:pt idx="24">
                  <c:v>44592</c:v>
                </c:pt>
                <c:pt idx="25">
                  <c:v>44620</c:v>
                </c:pt>
                <c:pt idx="26">
                  <c:v>44651</c:v>
                </c:pt>
                <c:pt idx="27">
                  <c:v>44681</c:v>
                </c:pt>
                <c:pt idx="28">
                  <c:v>44712</c:v>
                </c:pt>
                <c:pt idx="29">
                  <c:v>44742</c:v>
                </c:pt>
                <c:pt idx="30">
                  <c:v>44773</c:v>
                </c:pt>
                <c:pt idx="31">
                  <c:v>44804</c:v>
                </c:pt>
                <c:pt idx="32">
                  <c:v>44834</c:v>
                </c:pt>
                <c:pt idx="33">
                  <c:v>44865</c:v>
                </c:pt>
                <c:pt idx="34">
                  <c:v>44895</c:v>
                </c:pt>
                <c:pt idx="35">
                  <c:v>44926</c:v>
                </c:pt>
                <c:pt idx="36">
                  <c:v>44957</c:v>
                </c:pt>
                <c:pt idx="37">
                  <c:v>44985</c:v>
                </c:pt>
                <c:pt idx="38">
                  <c:v>45016</c:v>
                </c:pt>
                <c:pt idx="39">
                  <c:v>45046</c:v>
                </c:pt>
                <c:pt idx="40">
                  <c:v>45077</c:v>
                </c:pt>
                <c:pt idx="41">
                  <c:v>45107</c:v>
                </c:pt>
                <c:pt idx="42">
                  <c:v>45138</c:v>
                </c:pt>
                <c:pt idx="43">
                  <c:v>45169</c:v>
                </c:pt>
                <c:pt idx="44">
                  <c:v>45199</c:v>
                </c:pt>
                <c:pt idx="45">
                  <c:v>45230</c:v>
                </c:pt>
                <c:pt idx="46">
                  <c:v>45260</c:v>
                </c:pt>
                <c:pt idx="47">
                  <c:v>45291</c:v>
                </c:pt>
              </c:numCache>
            </c:numRef>
          </c:cat>
          <c:val>
            <c:numRef>
              <c:f>Graphiques!$N$39:$BI$39</c:f>
              <c:numCache>
                <c:formatCode>#,##0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1695772.18</c:v>
                </c:pt>
                <c:pt idx="4">
                  <c:v>10857056.4</c:v>
                </c:pt>
                <c:pt idx="5">
                  <c:v>20903722.16</c:v>
                </c:pt>
                <c:pt idx="6">
                  <c:v>86860879.709999993</c:v>
                </c:pt>
                <c:pt idx="7">
                  <c:v>172650165.98999998</c:v>
                </c:pt>
                <c:pt idx="8">
                  <c:v>56744656.729999997</c:v>
                </c:pt>
                <c:pt idx="9">
                  <c:v>49191457.199999996</c:v>
                </c:pt>
                <c:pt idx="10">
                  <c:v>62737630.460000001</c:v>
                </c:pt>
                <c:pt idx="11">
                  <c:v>96259370.75</c:v>
                </c:pt>
                <c:pt idx="12">
                  <c:v>98841653.359999999</c:v>
                </c:pt>
                <c:pt idx="13">
                  <c:v>90416529.280000001</c:v>
                </c:pt>
                <c:pt idx="14">
                  <c:v>125096934.06</c:v>
                </c:pt>
                <c:pt idx="15">
                  <c:v>146747065.94</c:v>
                </c:pt>
                <c:pt idx="16">
                  <c:v>162667278.99000001</c:v>
                </c:pt>
                <c:pt idx="17">
                  <c:v>217879019.91</c:v>
                </c:pt>
                <c:pt idx="18">
                  <c:v>214072464.44</c:v>
                </c:pt>
                <c:pt idx="19">
                  <c:v>179819241.91</c:v>
                </c:pt>
                <c:pt idx="20">
                  <c:v>166012837.03999999</c:v>
                </c:pt>
                <c:pt idx="21">
                  <c:v>190877152.22</c:v>
                </c:pt>
                <c:pt idx="22">
                  <c:v>208115596.47999999</c:v>
                </c:pt>
                <c:pt idx="23">
                  <c:v>252048165.98999998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1-4BD7-9D85-56C20C00CC61}"/>
            </c:ext>
          </c:extLst>
        </c:ser>
        <c:ser>
          <c:idx val="1"/>
          <c:order val="1"/>
          <c:tx>
            <c:strRef>
              <c:f>Graphiques!$E$40</c:f>
              <c:strCache>
                <c:ptCount val="1"/>
                <c:pt idx="0">
                  <c:v>CP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Graphiques!$N$3:$BI$3</c:f>
              <c:numCache>
                <c:formatCode>m/d/yyyy</c:formatCode>
                <c:ptCount val="48"/>
                <c:pt idx="0">
                  <c:v>43861</c:v>
                </c:pt>
                <c:pt idx="1">
                  <c:v>43890</c:v>
                </c:pt>
                <c:pt idx="2">
                  <c:v>43921</c:v>
                </c:pt>
                <c:pt idx="3">
                  <c:v>43951</c:v>
                </c:pt>
                <c:pt idx="4">
                  <c:v>43982</c:v>
                </c:pt>
                <c:pt idx="5">
                  <c:v>44012</c:v>
                </c:pt>
                <c:pt idx="6">
                  <c:v>44043</c:v>
                </c:pt>
                <c:pt idx="7">
                  <c:v>44074</c:v>
                </c:pt>
                <c:pt idx="8">
                  <c:v>44104</c:v>
                </c:pt>
                <c:pt idx="9">
                  <c:v>44135</c:v>
                </c:pt>
                <c:pt idx="10">
                  <c:v>44165</c:v>
                </c:pt>
                <c:pt idx="11">
                  <c:v>44196</c:v>
                </c:pt>
                <c:pt idx="12">
                  <c:v>44227</c:v>
                </c:pt>
                <c:pt idx="13">
                  <c:v>44255</c:v>
                </c:pt>
                <c:pt idx="14">
                  <c:v>44286</c:v>
                </c:pt>
                <c:pt idx="15">
                  <c:v>44316</c:v>
                </c:pt>
                <c:pt idx="16">
                  <c:v>44347</c:v>
                </c:pt>
                <c:pt idx="17">
                  <c:v>44377</c:v>
                </c:pt>
                <c:pt idx="18">
                  <c:v>44408</c:v>
                </c:pt>
                <c:pt idx="19">
                  <c:v>44439</c:v>
                </c:pt>
                <c:pt idx="20">
                  <c:v>44469</c:v>
                </c:pt>
                <c:pt idx="21">
                  <c:v>44500</c:v>
                </c:pt>
                <c:pt idx="22">
                  <c:v>44530</c:v>
                </c:pt>
                <c:pt idx="23">
                  <c:v>44561</c:v>
                </c:pt>
                <c:pt idx="24">
                  <c:v>44592</c:v>
                </c:pt>
                <c:pt idx="25">
                  <c:v>44620</c:v>
                </c:pt>
                <c:pt idx="26">
                  <c:v>44651</c:v>
                </c:pt>
                <c:pt idx="27">
                  <c:v>44681</c:v>
                </c:pt>
                <c:pt idx="28">
                  <c:v>44712</c:v>
                </c:pt>
                <c:pt idx="29">
                  <c:v>44742</c:v>
                </c:pt>
                <c:pt idx="30">
                  <c:v>44773</c:v>
                </c:pt>
                <c:pt idx="31">
                  <c:v>44804</c:v>
                </c:pt>
                <c:pt idx="32">
                  <c:v>44834</c:v>
                </c:pt>
                <c:pt idx="33">
                  <c:v>44865</c:v>
                </c:pt>
                <c:pt idx="34">
                  <c:v>44895</c:v>
                </c:pt>
                <c:pt idx="35">
                  <c:v>44926</c:v>
                </c:pt>
                <c:pt idx="36">
                  <c:v>44957</c:v>
                </c:pt>
                <c:pt idx="37">
                  <c:v>44985</c:v>
                </c:pt>
                <c:pt idx="38">
                  <c:v>45016</c:v>
                </c:pt>
                <c:pt idx="39">
                  <c:v>45046</c:v>
                </c:pt>
                <c:pt idx="40">
                  <c:v>45077</c:v>
                </c:pt>
                <c:pt idx="41">
                  <c:v>45107</c:v>
                </c:pt>
                <c:pt idx="42">
                  <c:v>45138</c:v>
                </c:pt>
                <c:pt idx="43">
                  <c:v>45169</c:v>
                </c:pt>
                <c:pt idx="44">
                  <c:v>45199</c:v>
                </c:pt>
                <c:pt idx="45">
                  <c:v>45230</c:v>
                </c:pt>
                <c:pt idx="46">
                  <c:v>45260</c:v>
                </c:pt>
                <c:pt idx="47">
                  <c:v>45291</c:v>
                </c:pt>
              </c:numCache>
            </c:numRef>
          </c:cat>
          <c:val>
            <c:numRef>
              <c:f>Graphiques!$N$40:$BI$40</c:f>
              <c:numCache>
                <c:formatCode>#,##0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44685</c:v>
                </c:pt>
                <c:pt idx="5">
                  <c:v>988666</c:v>
                </c:pt>
                <c:pt idx="6">
                  <c:v>2666424.33</c:v>
                </c:pt>
                <c:pt idx="7">
                  <c:v>4076365.0500000003</c:v>
                </c:pt>
                <c:pt idx="8">
                  <c:v>5883797.21</c:v>
                </c:pt>
                <c:pt idx="9">
                  <c:v>9110238.3299999982</c:v>
                </c:pt>
                <c:pt idx="10">
                  <c:v>54343679.780000001</c:v>
                </c:pt>
                <c:pt idx="11">
                  <c:v>91327996.13000001</c:v>
                </c:pt>
                <c:pt idx="12">
                  <c:v>57959106.899999999</c:v>
                </c:pt>
                <c:pt idx="13">
                  <c:v>63502830.950000003</c:v>
                </c:pt>
                <c:pt idx="14">
                  <c:v>78536829.879999995</c:v>
                </c:pt>
                <c:pt idx="15">
                  <c:v>75532383.310000002</c:v>
                </c:pt>
                <c:pt idx="16">
                  <c:v>67652538.760000005</c:v>
                </c:pt>
                <c:pt idx="17">
                  <c:v>76822066.180000007</c:v>
                </c:pt>
                <c:pt idx="18">
                  <c:v>101948427.05</c:v>
                </c:pt>
                <c:pt idx="19">
                  <c:v>108363850.11</c:v>
                </c:pt>
                <c:pt idx="20">
                  <c:v>118512433.97</c:v>
                </c:pt>
                <c:pt idx="21">
                  <c:v>109103567.56</c:v>
                </c:pt>
                <c:pt idx="22">
                  <c:v>101722098.48999999</c:v>
                </c:pt>
                <c:pt idx="23">
                  <c:v>126204293.53999999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1-4BD7-9D85-56C20C00CC61}"/>
            </c:ext>
          </c:extLst>
        </c:ser>
        <c:ser>
          <c:idx val="2"/>
          <c:order val="2"/>
          <c:tx>
            <c:strRef>
              <c:f>Graphiques!$E$43</c:f>
              <c:strCache>
                <c:ptCount val="1"/>
                <c:pt idx="0">
                  <c:v>AE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Graphiques!$N$3:$BI$3</c:f>
              <c:numCache>
                <c:formatCode>m/d/yyyy</c:formatCode>
                <c:ptCount val="48"/>
                <c:pt idx="0">
                  <c:v>43861</c:v>
                </c:pt>
                <c:pt idx="1">
                  <c:v>43890</c:v>
                </c:pt>
                <c:pt idx="2">
                  <c:v>43921</c:v>
                </c:pt>
                <c:pt idx="3">
                  <c:v>43951</c:v>
                </c:pt>
                <c:pt idx="4">
                  <c:v>43982</c:v>
                </c:pt>
                <c:pt idx="5">
                  <c:v>44012</c:v>
                </c:pt>
                <c:pt idx="6">
                  <c:v>44043</c:v>
                </c:pt>
                <c:pt idx="7">
                  <c:v>44074</c:v>
                </c:pt>
                <c:pt idx="8">
                  <c:v>44104</c:v>
                </c:pt>
                <c:pt idx="9">
                  <c:v>44135</c:v>
                </c:pt>
                <c:pt idx="10">
                  <c:v>44165</c:v>
                </c:pt>
                <c:pt idx="11">
                  <c:v>44196</c:v>
                </c:pt>
                <c:pt idx="12">
                  <c:v>44227</c:v>
                </c:pt>
                <c:pt idx="13">
                  <c:v>44255</c:v>
                </c:pt>
                <c:pt idx="14">
                  <c:v>44286</c:v>
                </c:pt>
                <c:pt idx="15">
                  <c:v>44316</c:v>
                </c:pt>
                <c:pt idx="16">
                  <c:v>44347</c:v>
                </c:pt>
                <c:pt idx="17">
                  <c:v>44377</c:v>
                </c:pt>
                <c:pt idx="18">
                  <c:v>44408</c:v>
                </c:pt>
                <c:pt idx="19">
                  <c:v>44439</c:v>
                </c:pt>
                <c:pt idx="20">
                  <c:v>44469</c:v>
                </c:pt>
                <c:pt idx="21">
                  <c:v>44500</c:v>
                </c:pt>
                <c:pt idx="22">
                  <c:v>44530</c:v>
                </c:pt>
                <c:pt idx="23">
                  <c:v>44561</c:v>
                </c:pt>
                <c:pt idx="24">
                  <c:v>44592</c:v>
                </c:pt>
                <c:pt idx="25">
                  <c:v>44620</c:v>
                </c:pt>
                <c:pt idx="26">
                  <c:v>44651</c:v>
                </c:pt>
                <c:pt idx="27">
                  <c:v>44681</c:v>
                </c:pt>
                <c:pt idx="28">
                  <c:v>44712</c:v>
                </c:pt>
                <c:pt idx="29">
                  <c:v>44742</c:v>
                </c:pt>
                <c:pt idx="30">
                  <c:v>44773</c:v>
                </c:pt>
                <c:pt idx="31">
                  <c:v>44804</c:v>
                </c:pt>
                <c:pt idx="32">
                  <c:v>44834</c:v>
                </c:pt>
                <c:pt idx="33">
                  <c:v>44865</c:v>
                </c:pt>
                <c:pt idx="34">
                  <c:v>44895</c:v>
                </c:pt>
                <c:pt idx="35">
                  <c:v>44926</c:v>
                </c:pt>
                <c:pt idx="36">
                  <c:v>44957</c:v>
                </c:pt>
                <c:pt idx="37">
                  <c:v>44985</c:v>
                </c:pt>
                <c:pt idx="38">
                  <c:v>45016</c:v>
                </c:pt>
                <c:pt idx="39">
                  <c:v>45046</c:v>
                </c:pt>
                <c:pt idx="40">
                  <c:v>45077</c:v>
                </c:pt>
                <c:pt idx="41">
                  <c:v>45107</c:v>
                </c:pt>
                <c:pt idx="42">
                  <c:v>45138</c:v>
                </c:pt>
                <c:pt idx="43">
                  <c:v>45169</c:v>
                </c:pt>
                <c:pt idx="44">
                  <c:v>45199</c:v>
                </c:pt>
                <c:pt idx="45">
                  <c:v>45230</c:v>
                </c:pt>
                <c:pt idx="46">
                  <c:v>45260</c:v>
                </c:pt>
                <c:pt idx="47">
                  <c:v>45291</c:v>
                </c:pt>
              </c:numCache>
            </c:numRef>
          </c:cat>
          <c:val>
            <c:numRef>
              <c:f>Graphiques!$N$43:$BI$43</c:f>
              <c:numCache>
                <c:formatCode>#,##0</c:formatCode>
                <c:ptCount val="4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252048165.98999998</c:v>
                </c:pt>
                <c:pt idx="24">
                  <c:v>213569137.38977191</c:v>
                </c:pt>
                <c:pt idx="25">
                  <c:v>202446364.55863866</c:v>
                </c:pt>
                <c:pt idx="26">
                  <c:v>232450675.47761637</c:v>
                </c:pt>
                <c:pt idx="27">
                  <c:v>227977457.98599917</c:v>
                </c:pt>
                <c:pt idx="28">
                  <c:v>232416952.78830314</c:v>
                </c:pt>
                <c:pt idx="29">
                  <c:v>217772968.71084768</c:v>
                </c:pt>
                <c:pt idx="30">
                  <c:v>196512680.0211184</c:v>
                </c:pt>
                <c:pt idx="31">
                  <c:v>152890694.04308194</c:v>
                </c:pt>
                <c:pt idx="32">
                  <c:v>178027313.68446052</c:v>
                </c:pt>
                <c:pt idx="33">
                  <c:v>213805287.81276548</c:v>
                </c:pt>
                <c:pt idx="34">
                  <c:v>219308254.12965986</c:v>
                </c:pt>
                <c:pt idx="35">
                  <c:v>242043914.02026135</c:v>
                </c:pt>
                <c:pt idx="36">
                  <c:v>229090345.51953888</c:v>
                </c:pt>
                <c:pt idx="37">
                  <c:v>226077639.4065114</c:v>
                </c:pt>
                <c:pt idx="38">
                  <c:v>262823109.3896181</c:v>
                </c:pt>
                <c:pt idx="39">
                  <c:v>258358157.11934394</c:v>
                </c:pt>
                <c:pt idx="40">
                  <c:v>263557208.60002953</c:v>
                </c:pt>
                <c:pt idx="41">
                  <c:v>247026907.72899646</c:v>
                </c:pt>
                <c:pt idx="42">
                  <c:v>222957524.92105895</c:v>
                </c:pt>
                <c:pt idx="43">
                  <c:v>173510235.0903329</c:v>
                </c:pt>
                <c:pt idx="44">
                  <c:v>201945614.0760566</c:v>
                </c:pt>
                <c:pt idx="45">
                  <c:v>242452944.02202249</c:v>
                </c:pt>
                <c:pt idx="46">
                  <c:v>248634843.79249895</c:v>
                </c:pt>
                <c:pt idx="47">
                  <c:v>274345373.36815464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11-4BD7-9D85-56C20C00CC61}"/>
            </c:ext>
          </c:extLst>
        </c:ser>
        <c:ser>
          <c:idx val="3"/>
          <c:order val="3"/>
          <c:tx>
            <c:strRef>
              <c:f>Graphiques!$E$44</c:f>
              <c:strCache>
                <c:ptCount val="1"/>
                <c:pt idx="0">
                  <c:v>CP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Graphiques!$N$3:$BI$3</c:f>
              <c:numCache>
                <c:formatCode>m/d/yyyy</c:formatCode>
                <c:ptCount val="48"/>
                <c:pt idx="0">
                  <c:v>43861</c:v>
                </c:pt>
                <c:pt idx="1">
                  <c:v>43890</c:v>
                </c:pt>
                <c:pt idx="2">
                  <c:v>43921</c:v>
                </c:pt>
                <c:pt idx="3">
                  <c:v>43951</c:v>
                </c:pt>
                <c:pt idx="4">
                  <c:v>43982</c:v>
                </c:pt>
                <c:pt idx="5">
                  <c:v>44012</c:v>
                </c:pt>
                <c:pt idx="6">
                  <c:v>44043</c:v>
                </c:pt>
                <c:pt idx="7">
                  <c:v>44074</c:v>
                </c:pt>
                <c:pt idx="8">
                  <c:v>44104</c:v>
                </c:pt>
                <c:pt idx="9">
                  <c:v>44135</c:v>
                </c:pt>
                <c:pt idx="10">
                  <c:v>44165</c:v>
                </c:pt>
                <c:pt idx="11">
                  <c:v>44196</c:v>
                </c:pt>
                <c:pt idx="12">
                  <c:v>44227</c:v>
                </c:pt>
                <c:pt idx="13">
                  <c:v>44255</c:v>
                </c:pt>
                <c:pt idx="14">
                  <c:v>44286</c:v>
                </c:pt>
                <c:pt idx="15">
                  <c:v>44316</c:v>
                </c:pt>
                <c:pt idx="16">
                  <c:v>44347</c:v>
                </c:pt>
                <c:pt idx="17">
                  <c:v>44377</c:v>
                </c:pt>
                <c:pt idx="18">
                  <c:v>44408</c:v>
                </c:pt>
                <c:pt idx="19">
                  <c:v>44439</c:v>
                </c:pt>
                <c:pt idx="20">
                  <c:v>44469</c:v>
                </c:pt>
                <c:pt idx="21">
                  <c:v>44500</c:v>
                </c:pt>
                <c:pt idx="22">
                  <c:v>44530</c:v>
                </c:pt>
                <c:pt idx="23">
                  <c:v>44561</c:v>
                </c:pt>
                <c:pt idx="24">
                  <c:v>44592</c:v>
                </c:pt>
                <c:pt idx="25">
                  <c:v>44620</c:v>
                </c:pt>
                <c:pt idx="26">
                  <c:v>44651</c:v>
                </c:pt>
                <c:pt idx="27">
                  <c:v>44681</c:v>
                </c:pt>
                <c:pt idx="28">
                  <c:v>44712</c:v>
                </c:pt>
                <c:pt idx="29">
                  <c:v>44742</c:v>
                </c:pt>
                <c:pt idx="30">
                  <c:v>44773</c:v>
                </c:pt>
                <c:pt idx="31">
                  <c:v>44804</c:v>
                </c:pt>
                <c:pt idx="32">
                  <c:v>44834</c:v>
                </c:pt>
                <c:pt idx="33">
                  <c:v>44865</c:v>
                </c:pt>
                <c:pt idx="34">
                  <c:v>44895</c:v>
                </c:pt>
                <c:pt idx="35">
                  <c:v>44926</c:v>
                </c:pt>
                <c:pt idx="36">
                  <c:v>44957</c:v>
                </c:pt>
                <c:pt idx="37">
                  <c:v>44985</c:v>
                </c:pt>
                <c:pt idx="38">
                  <c:v>45016</c:v>
                </c:pt>
                <c:pt idx="39">
                  <c:v>45046</c:v>
                </c:pt>
                <c:pt idx="40">
                  <c:v>45077</c:v>
                </c:pt>
                <c:pt idx="41">
                  <c:v>45107</c:v>
                </c:pt>
                <c:pt idx="42">
                  <c:v>45138</c:v>
                </c:pt>
                <c:pt idx="43">
                  <c:v>45169</c:v>
                </c:pt>
                <c:pt idx="44">
                  <c:v>45199</c:v>
                </c:pt>
                <c:pt idx="45">
                  <c:v>45230</c:v>
                </c:pt>
                <c:pt idx="46">
                  <c:v>45260</c:v>
                </c:pt>
                <c:pt idx="47">
                  <c:v>45291</c:v>
                </c:pt>
              </c:numCache>
            </c:numRef>
          </c:cat>
          <c:val>
            <c:numRef>
              <c:f>Graphiques!$N$44:$BI$44</c:f>
              <c:numCache>
                <c:formatCode>#,##0</c:formatCode>
                <c:ptCount val="4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126204293.53999999</c:v>
                </c:pt>
                <c:pt idx="24">
                  <c:v>159841051.33323553</c:v>
                </c:pt>
                <c:pt idx="25">
                  <c:v>151333884.88083631</c:v>
                </c:pt>
                <c:pt idx="26">
                  <c:v>177347171.69798031</c:v>
                </c:pt>
                <c:pt idx="27">
                  <c:v>178318324.568039</c:v>
                </c:pt>
                <c:pt idx="28">
                  <c:v>190620311.78302449</c:v>
                </c:pt>
                <c:pt idx="29">
                  <c:v>187169625.42402199</c:v>
                </c:pt>
                <c:pt idx="30">
                  <c:v>193427451.5407677</c:v>
                </c:pt>
                <c:pt idx="31">
                  <c:v>188369069.42900318</c:v>
                </c:pt>
                <c:pt idx="32">
                  <c:v>180500160.66456586</c:v>
                </c:pt>
                <c:pt idx="33">
                  <c:v>187528793.75040492</c:v>
                </c:pt>
                <c:pt idx="34">
                  <c:v>182483295.57523215</c:v>
                </c:pt>
                <c:pt idx="35">
                  <c:v>192493121.51317078</c:v>
                </c:pt>
                <c:pt idx="36">
                  <c:v>194023546.48965549</c:v>
                </c:pt>
                <c:pt idx="37">
                  <c:v>176797296.01040083</c:v>
                </c:pt>
                <c:pt idx="38">
                  <c:v>201378248.73210132</c:v>
                </c:pt>
                <c:pt idx="39">
                  <c:v>198678369.30868259</c:v>
                </c:pt>
                <c:pt idx="40">
                  <c:v>210190184.24804074</c:v>
                </c:pt>
                <c:pt idx="41">
                  <c:v>205897879.64899209</c:v>
                </c:pt>
                <c:pt idx="42">
                  <c:v>213183401.37674934</c:v>
                </c:pt>
                <c:pt idx="43">
                  <c:v>208447792.53781164</c:v>
                </c:pt>
                <c:pt idx="44">
                  <c:v>200644882.24729994</c:v>
                </c:pt>
                <c:pt idx="45">
                  <c:v>209354603.33194137</c:v>
                </c:pt>
                <c:pt idx="46">
                  <c:v>204531104.19582459</c:v>
                </c:pt>
                <c:pt idx="47">
                  <c:v>216608040.0205262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11-4BD7-9D85-56C20C00C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7212080"/>
        <c:axId val="1987204592"/>
      </c:lineChart>
      <c:dateAx>
        <c:axId val="19872120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87204592"/>
        <c:crosses val="autoZero"/>
        <c:auto val="1"/>
        <c:lblOffset val="100"/>
        <c:baseTimeUnit val="months"/>
        <c:majorUnit val="6"/>
        <c:majorTimeUnit val="months"/>
      </c:dateAx>
      <c:valAx>
        <c:axId val="198720459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8721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095522211499086E-2"/>
          <c:y val="5.1499968849338815E-2"/>
          <c:w val="0.8673444768301567"/>
          <c:h val="0.83989002526337053"/>
        </c:manualLayout>
      </c:layout>
      <c:lineChart>
        <c:grouping val="standard"/>
        <c:varyColors val="0"/>
        <c:ser>
          <c:idx val="0"/>
          <c:order val="0"/>
          <c:tx>
            <c:strRef>
              <c:f>Graphiques!$E$56</c:f>
              <c:strCache>
                <c:ptCount val="1"/>
                <c:pt idx="0">
                  <c:v>Dépôt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Graphiques!$N$49:$Y$49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Graphiques!$N$56:$Y$56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02-4EA9-9FA7-DC613D91F7B9}"/>
            </c:ext>
          </c:extLst>
        </c:ser>
        <c:ser>
          <c:idx val="1"/>
          <c:order val="1"/>
          <c:tx>
            <c:strRef>
              <c:f>Graphiques!$E$57</c:f>
              <c:strCache>
                <c:ptCount val="1"/>
                <c:pt idx="0">
                  <c:v>Engagement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Graphiques!$N$49:$Y$49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Graphiques!$N$57:$Y$57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02-4EA9-9FA7-DC613D91F7B9}"/>
            </c:ext>
          </c:extLst>
        </c:ser>
        <c:ser>
          <c:idx val="2"/>
          <c:order val="2"/>
          <c:tx>
            <c:strRef>
              <c:f>Graphiques!$E$58</c:f>
              <c:strCache>
                <c:ptCount val="1"/>
                <c:pt idx="0">
                  <c:v>Demande de solde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Graphiques!$N$49:$Y$49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Graphiques!$N$58:$Y$58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02-4EA9-9FA7-DC613D91F7B9}"/>
            </c:ext>
          </c:extLst>
        </c:ser>
        <c:ser>
          <c:idx val="3"/>
          <c:order val="3"/>
          <c:tx>
            <c:strRef>
              <c:f>Graphiques!$E$59</c:f>
              <c:strCache>
                <c:ptCount val="1"/>
                <c:pt idx="0">
                  <c:v>Paiement du solde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Graphiques!$N$49:$Y$49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Graphiques!$N$59:$Y$59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02-4EA9-9FA7-DC613D91F7B9}"/>
            </c:ext>
          </c:extLst>
        </c:ser>
        <c:ser>
          <c:idx val="4"/>
          <c:order val="4"/>
          <c:tx>
            <c:strRef>
              <c:f>Graphiques!$E$62</c:f>
              <c:strCache>
                <c:ptCount val="1"/>
                <c:pt idx="0">
                  <c:v>Dépôt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1"/>
            <c:marker>
              <c:symbol val="circle"/>
              <c:size val="12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CA02-4EA9-9FA7-DC613D91F7B9}"/>
              </c:ext>
            </c:extLst>
          </c:dPt>
          <c:dLbls>
            <c:dLbl>
              <c:idx val="1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CA02-4EA9-9FA7-DC613D91F7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Graphiques!$N$49:$Y$49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Graphiques!$N$62:$Y$62</c:f>
              <c:numCache>
                <c:formatCode>#,##0</c:formatCode>
                <c:ptCount val="12"/>
                <c:pt idx="0">
                  <c:v>69086.403111506734</c:v>
                </c:pt>
                <c:pt idx="1">
                  <c:v>146300.61835377896</c:v>
                </c:pt>
                <c:pt idx="2">
                  <c:v>227578.73966143397</c:v>
                </c:pt>
                <c:pt idx="3">
                  <c:v>308856.86096908897</c:v>
                </c:pt>
                <c:pt idx="4">
                  <c:v>390134.98227674398</c:v>
                </c:pt>
                <c:pt idx="5">
                  <c:v>467349.19751901622</c:v>
                </c:pt>
                <c:pt idx="6">
                  <c:v>532371.69456514018</c:v>
                </c:pt>
                <c:pt idx="7">
                  <c:v>581138.5673497332</c:v>
                </c:pt>
                <c:pt idx="8">
                  <c:v>654288.87652662268</c:v>
                </c:pt>
                <c:pt idx="9">
                  <c:v>735566.99783427769</c:v>
                </c:pt>
                <c:pt idx="10">
                  <c:v>816845.11914193269</c:v>
                </c:pt>
                <c:pt idx="11">
                  <c:v>906251.05258035322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02-4EA9-9FA7-DC613D91F7B9}"/>
            </c:ext>
          </c:extLst>
        </c:ser>
        <c:ser>
          <c:idx val="5"/>
          <c:order val="5"/>
          <c:tx>
            <c:strRef>
              <c:f>Graphiques!$E$63</c:f>
              <c:strCache>
                <c:ptCount val="1"/>
                <c:pt idx="0">
                  <c:v>Engagement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1"/>
            <c:marker>
              <c:symbol val="circle"/>
              <c:size val="12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CA02-4EA9-9FA7-DC613D91F7B9}"/>
              </c:ext>
            </c:extLst>
          </c:dPt>
          <c:dLbls>
            <c:dLbl>
              <c:idx val="1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CA02-4EA9-9FA7-DC613D91F7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Graphiques!$N$49:$Y$49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Graphiques!$N$63:$Y$63</c:f>
              <c:numCache>
                <c:formatCode>#,##0</c:formatCode>
                <c:ptCount val="12"/>
                <c:pt idx="0">
                  <c:v>65371.735654758428</c:v>
                </c:pt>
                <c:pt idx="1">
                  <c:v>129245.11231328468</c:v>
                </c:pt>
                <c:pt idx="2">
                  <c:v>203118.38637887739</c:v>
                </c:pt>
                <c:pt idx="3">
                  <c:v>275665.56120700203</c:v>
                </c:pt>
                <c:pt idx="4">
                  <c:v>349873.32115105732</c:v>
                </c:pt>
                <c:pt idx="5">
                  <c:v>419750.6379999253</c:v>
                </c:pt>
                <c:pt idx="6">
                  <c:v>483427.60112098622</c:v>
                </c:pt>
                <c:pt idx="7">
                  <c:v>533813.66698626417</c:v>
                </c:pt>
                <c:pt idx="8">
                  <c:v>592038.17694036115</c:v>
                </c:pt>
                <c:pt idx="9">
                  <c:v>661642.54251503618</c:v>
                </c:pt>
                <c:pt idx="10">
                  <c:v>733021.47710802045</c:v>
                </c:pt>
                <c:pt idx="11">
                  <c:v>811774.62680510269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02-4EA9-9FA7-DC613D91F7B9}"/>
            </c:ext>
          </c:extLst>
        </c:ser>
        <c:ser>
          <c:idx val="6"/>
          <c:order val="6"/>
          <c:tx>
            <c:strRef>
              <c:f>Graphiques!$E$64</c:f>
              <c:strCache>
                <c:ptCount val="1"/>
                <c:pt idx="0">
                  <c:v>Demande de solde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1"/>
            <c:marker>
              <c:symbol val="circle"/>
              <c:size val="12"/>
              <c:spPr>
                <a:solidFill>
                  <a:schemeClr val="bg1">
                    <a:lumMod val="65000"/>
                  </a:schemeClr>
                </a:solidFill>
                <a:ln w="9525">
                  <a:solidFill>
                    <a:schemeClr val="bg1">
                      <a:lumMod val="6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CA02-4EA9-9FA7-DC613D91F7B9}"/>
              </c:ext>
            </c:extLst>
          </c:dPt>
          <c:dLbls>
            <c:dLbl>
              <c:idx val="1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CA02-4EA9-9FA7-DC613D91F7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Graphiques!$N$49:$Y$49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Graphiques!$N$64:$Y$64</c:f>
              <c:numCache>
                <c:formatCode>#,##0</c:formatCode>
                <c:ptCount val="12"/>
                <c:pt idx="0">
                  <c:v>55779.354484422802</c:v>
                </c:pt>
                <c:pt idx="1">
                  <c:v>108205.18273090268</c:v>
                </c:pt>
                <c:pt idx="2">
                  <c:v>168440.92621329945</c:v>
                </c:pt>
                <c:pt idx="3">
                  <c:v>227972.65596420449</c:v>
                </c:pt>
                <c:pt idx="4">
                  <c:v>290446.37754535908</c:v>
                </c:pt>
                <c:pt idx="5">
                  <c:v>350955.98555143701</c:v>
                </c:pt>
                <c:pt idx="6">
                  <c:v>411719.10066776711</c:v>
                </c:pt>
                <c:pt idx="7">
                  <c:v>468668.60917476407</c:v>
                </c:pt>
                <c:pt idx="8">
                  <c:v>525721.74535769399</c:v>
                </c:pt>
                <c:pt idx="9">
                  <c:v>586972.92430900177</c:v>
                </c:pt>
                <c:pt idx="10">
                  <c:v>647375.32635198103</c:v>
                </c:pt>
                <c:pt idx="11">
                  <c:v>711550.57852686336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A02-4EA9-9FA7-DC613D91F7B9}"/>
            </c:ext>
          </c:extLst>
        </c:ser>
        <c:ser>
          <c:idx val="7"/>
          <c:order val="7"/>
          <c:tx>
            <c:strRef>
              <c:f>Graphiques!$E$65</c:f>
              <c:strCache>
                <c:ptCount val="1"/>
                <c:pt idx="0">
                  <c:v>Paiement du solde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1"/>
            <c:marker>
              <c:symbol val="circle"/>
              <c:size val="12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CA02-4EA9-9FA7-DC613D91F7B9}"/>
              </c:ext>
            </c:extLst>
          </c:dPt>
          <c:dLbls>
            <c:dLbl>
              <c:idx val="1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CA02-4EA9-9FA7-DC613D91F7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Graphiques!$N$49:$Y$49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Graphiques!$N$65:$Y$65</c:f>
              <c:numCache>
                <c:formatCode>#,##0</c:formatCode>
                <c:ptCount val="12"/>
                <c:pt idx="0">
                  <c:v>50874.42615728989</c:v>
                </c:pt>
                <c:pt idx="1">
                  <c:v>98252.185015218856</c:v>
                </c:pt>
                <c:pt idx="2">
                  <c:v>152941.42314568968</c:v>
                </c:pt>
                <c:pt idx="3">
                  <c:v>207237.28046795639</c:v>
                </c:pt>
                <c:pt idx="4">
                  <c:v>264871.12202937639</c:v>
                </c:pt>
                <c:pt idx="5">
                  <c:v>321330.75845126575</c:v>
                </c:pt>
                <c:pt idx="6">
                  <c:v>379728.07886538515</c:v>
                </c:pt>
                <c:pt idx="7">
                  <c:v>436717.93323772727</c:v>
                </c:pt>
                <c:pt idx="8">
                  <c:v>491502.26953495399</c:v>
                </c:pt>
                <c:pt idx="9">
                  <c:v>548614.78775160538</c:v>
                </c:pt>
                <c:pt idx="10">
                  <c:v>604329.82115374494</c:v>
                </c:pt>
                <c:pt idx="11">
                  <c:v>663263.94346319465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A02-4EA9-9FA7-DC613D91F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422240"/>
        <c:axId val="1870422656"/>
      </c:lineChart>
      <c:dateAx>
        <c:axId val="1870422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0422656"/>
        <c:crosses val="autoZero"/>
        <c:auto val="1"/>
        <c:lblOffset val="100"/>
        <c:baseTimeUnit val="months"/>
      </c:dateAx>
      <c:valAx>
        <c:axId val="187042265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042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949572077702448E-2"/>
          <c:y val="5.1466254052460948E-2"/>
          <c:w val="0.8250100179403852"/>
          <c:h val="0.83999484232242849"/>
        </c:manualLayout>
      </c:layout>
      <c:lineChart>
        <c:grouping val="standard"/>
        <c:varyColors val="0"/>
        <c:ser>
          <c:idx val="0"/>
          <c:order val="0"/>
          <c:tx>
            <c:strRef>
              <c:f>Graphiques!$E$74</c:f>
              <c:strCache>
                <c:ptCount val="1"/>
                <c:pt idx="0">
                  <c:v>AE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Graphiques!$N$69:$Y$69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Graphiques!$N$74:$Y$74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1C-4E5A-A6A2-60142A114DFC}"/>
            </c:ext>
          </c:extLst>
        </c:ser>
        <c:ser>
          <c:idx val="1"/>
          <c:order val="1"/>
          <c:tx>
            <c:strRef>
              <c:f>Graphiques!$E$75</c:f>
              <c:strCache>
                <c:ptCount val="1"/>
                <c:pt idx="0">
                  <c:v>CP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Graphiques!$N$69:$Y$69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Graphiques!$N$75:$Y$75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1C-4E5A-A6A2-60142A114DFC}"/>
            </c:ext>
          </c:extLst>
        </c:ser>
        <c:ser>
          <c:idx val="2"/>
          <c:order val="2"/>
          <c:tx>
            <c:strRef>
              <c:f>Graphiques!$E$78</c:f>
              <c:strCache>
                <c:ptCount val="1"/>
                <c:pt idx="0">
                  <c:v>AE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1"/>
            <c:marker>
              <c:symbol val="circle"/>
              <c:size val="12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821C-4E5A-A6A2-60142A114DFC}"/>
              </c:ext>
            </c:extLst>
          </c:dPt>
          <c:dLbls>
            <c:dLbl>
              <c:idx val="1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821C-4E5A-A6A2-60142A114D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Graphiques!$N$69:$Y$69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Graphiques!$N$78:$Y$78</c:f>
              <c:numCache>
                <c:formatCode>#,##0</c:formatCode>
                <c:ptCount val="12"/>
                <c:pt idx="0">
                  <c:v>213569137.38977191</c:v>
                </c:pt>
                <c:pt idx="1">
                  <c:v>416015501.94841057</c:v>
                </c:pt>
                <c:pt idx="2">
                  <c:v>648466177.42602694</c:v>
                </c:pt>
                <c:pt idx="3">
                  <c:v>876443635.41202617</c:v>
                </c:pt>
                <c:pt idx="4">
                  <c:v>1108860588.2003293</c:v>
                </c:pt>
                <c:pt idx="5">
                  <c:v>1326633556.9111769</c:v>
                </c:pt>
                <c:pt idx="6">
                  <c:v>1523146236.9322953</c:v>
                </c:pt>
                <c:pt idx="7">
                  <c:v>1676036930.9753773</c:v>
                </c:pt>
                <c:pt idx="8">
                  <c:v>1854064244.6598377</c:v>
                </c:pt>
                <c:pt idx="9">
                  <c:v>2067869532.4726033</c:v>
                </c:pt>
                <c:pt idx="10">
                  <c:v>2287177786.602263</c:v>
                </c:pt>
                <c:pt idx="11">
                  <c:v>2529221700.6225243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1C-4E5A-A6A2-60142A114DFC}"/>
            </c:ext>
          </c:extLst>
        </c:ser>
        <c:ser>
          <c:idx val="3"/>
          <c:order val="3"/>
          <c:tx>
            <c:strRef>
              <c:f>Graphiques!$E$79</c:f>
              <c:strCache>
                <c:ptCount val="1"/>
                <c:pt idx="0">
                  <c:v>CP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1"/>
            <c:marker>
              <c:symbol val="circle"/>
              <c:size val="12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821C-4E5A-A6A2-60142A114DFC}"/>
              </c:ext>
            </c:extLst>
          </c:dPt>
          <c:dLbls>
            <c:dLbl>
              <c:idx val="1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821C-4E5A-A6A2-60142A114D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Graphiques!$N$69:$Y$69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Graphiques!$N$79:$Y$79</c:f>
              <c:numCache>
                <c:formatCode>#,##0</c:formatCode>
                <c:ptCount val="12"/>
                <c:pt idx="0">
                  <c:v>159841051.33323553</c:v>
                </c:pt>
                <c:pt idx="1">
                  <c:v>311174936.21407187</c:v>
                </c:pt>
                <c:pt idx="2">
                  <c:v>488522107.91205215</c:v>
                </c:pt>
                <c:pt idx="3">
                  <c:v>666840432.48009109</c:v>
                </c:pt>
                <c:pt idx="4">
                  <c:v>857460744.26311564</c:v>
                </c:pt>
                <c:pt idx="5">
                  <c:v>1044630369.6871376</c:v>
                </c:pt>
                <c:pt idx="6">
                  <c:v>1238057821.2279053</c:v>
                </c:pt>
                <c:pt idx="7">
                  <c:v>1426426890.6569085</c:v>
                </c:pt>
                <c:pt idx="8">
                  <c:v>1606927051.3214743</c:v>
                </c:pt>
                <c:pt idx="9">
                  <c:v>1794455845.0718791</c:v>
                </c:pt>
                <c:pt idx="10">
                  <c:v>1976939140.6471114</c:v>
                </c:pt>
                <c:pt idx="11">
                  <c:v>2169432262.1602821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1C-4E5A-A6A2-60142A114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8009504"/>
        <c:axId val="1987996608"/>
      </c:lineChart>
      <c:dateAx>
        <c:axId val="198800950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87996608"/>
        <c:crosses val="autoZero"/>
        <c:auto val="1"/>
        <c:lblOffset val="100"/>
        <c:baseTimeUnit val="months"/>
      </c:dateAx>
      <c:valAx>
        <c:axId val="198799660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8800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STOCKS</a:t>
            </a:r>
            <a:r>
              <a:rPr lang="fr-FR" b="1" baseline="0"/>
              <a:t> DE DOSSIERS</a:t>
            </a:r>
            <a:endParaRPr lang="fr-FR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Graphiques!$E$84</c:f>
              <c:strCache>
                <c:ptCount val="1"/>
                <c:pt idx="0">
                  <c:v>Stock - Engagement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Stock initial</c:v>
              </c:pt>
              <c:pt idx="1">
                <c:v>Stock de fin d'année</c:v>
              </c:pt>
            </c:strLit>
          </c:cat>
          <c:val>
            <c:numRef>
              <c:f>(Graphiques!$N$84,Graphiques!$Y$84)</c:f>
              <c:numCache>
                <c:formatCode>#,##0</c:formatCode>
                <c:ptCount val="2"/>
                <c:pt idx="0">
                  <c:v>65568.141272886234</c:v>
                </c:pt>
                <c:pt idx="1">
                  <c:v>73396.245019127949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46-46CE-ADC5-1F99FFFC7C7D}"/>
            </c:ext>
          </c:extLst>
        </c:ser>
        <c:ser>
          <c:idx val="1"/>
          <c:order val="1"/>
          <c:tx>
            <c:strRef>
              <c:f>Graphiques!$E$85</c:f>
              <c:strCache>
                <c:ptCount val="1"/>
                <c:pt idx="0">
                  <c:v>Stock - Paiement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Stock initial</c:v>
              </c:pt>
              <c:pt idx="1">
                <c:v>Stock de fin d'année</c:v>
              </c:pt>
            </c:strLit>
          </c:cat>
          <c:val>
            <c:numRef>
              <c:f>(Graphiques!$N$85,Graphiques!$Y$85)</c:f>
              <c:numCache>
                <c:formatCode>#,##0</c:formatCode>
                <c:ptCount val="2"/>
                <c:pt idx="0">
                  <c:v>102541.32695043345</c:v>
                </c:pt>
                <c:pt idx="1">
                  <c:v>113692.00646034272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46-46CE-ADC5-1F99FFFC7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70426400"/>
        <c:axId val="1870424320"/>
      </c:barChart>
      <c:catAx>
        <c:axId val="187042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0424320"/>
        <c:crosses val="autoZero"/>
        <c:auto val="1"/>
        <c:lblAlgn val="ctr"/>
        <c:lblOffset val="100"/>
        <c:noMultiLvlLbl val="0"/>
      </c:catAx>
      <c:valAx>
        <c:axId val="187042432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7042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962908920593747E-2"/>
          <c:y val="5.0792611983711461E-2"/>
          <c:w val="0.83220844141807193"/>
          <c:h val="0.84208915066899359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Graphiques!$N$89:$Y$89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Graphiques!$N$100:$Y$100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8-4364-ADD8-4C6DCFE85ED8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1"/>
            <c:marker>
              <c:symbol val="circle"/>
              <c:size val="1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C18-4364-ADD8-4C6DCFE85ED8}"/>
              </c:ext>
            </c:extLst>
          </c:dPt>
          <c:dLbls>
            <c:dLbl>
              <c:idx val="8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6C18-4364-ADD8-4C6DCFE85ED8}"/>
                </c:ext>
              </c:extLst>
            </c:dLbl>
            <c:dLbl>
              <c:idx val="1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6C18-4364-ADD8-4C6DCFE85E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Graphiques!$N$89:$Y$89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Graphiques!$N$101:$Y$101</c:f>
              <c:numCache>
                <c:formatCode>#,##0</c:formatCode>
                <c:ptCount val="12"/>
                <c:pt idx="0">
                  <c:v>7263.5261838620472</c:v>
                </c:pt>
                <c:pt idx="1">
                  <c:v>14360.56803480941</c:v>
                </c:pt>
                <c:pt idx="2">
                  <c:v>22568.709597653047</c:v>
                </c:pt>
                <c:pt idx="3">
                  <c:v>30629.506800778006</c:v>
                </c:pt>
                <c:pt idx="4">
                  <c:v>38874.813461228594</c:v>
                </c:pt>
                <c:pt idx="5">
                  <c:v>46638.95977776948</c:v>
                </c:pt>
                <c:pt idx="6">
                  <c:v>53714.177902331801</c:v>
                </c:pt>
                <c:pt idx="7">
                  <c:v>59312.629665140463</c:v>
                </c:pt>
                <c:pt idx="8">
                  <c:v>65782.019660040125</c:v>
                </c:pt>
                <c:pt idx="9">
                  <c:v>73515.838057226239</c:v>
                </c:pt>
                <c:pt idx="10">
                  <c:v>81446.830789780041</c:v>
                </c:pt>
                <c:pt idx="11">
                  <c:v>90197.180756122514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8-4364-ADD8-4C6DCFE85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8748208"/>
        <c:axId val="1678755696"/>
      </c:lineChart>
      <c:dateAx>
        <c:axId val="16787482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78755696"/>
        <c:crosses val="autoZero"/>
        <c:auto val="1"/>
        <c:lblOffset val="100"/>
        <c:baseTimeUnit val="months"/>
        <c:majorUnit val="1"/>
        <c:majorTimeUnit val="months"/>
      </c:dateAx>
      <c:valAx>
        <c:axId val="167875569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7874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31" fmlaLink="$H$8" horiz="1" inc="5" max="2000" page="20" val="1000"/>
</file>

<file path=xl/ctrlProps/ctrlProp2.xml><?xml version="1.0" encoding="utf-8"?>
<formControlPr xmlns="http://schemas.microsoft.com/office/spreadsheetml/2009/9/main" objectType="Scroll" dx="31" fmlaLink="$H$32" horiz="1" inc="5" max="2000" page="20" val="1000"/>
</file>

<file path=xl/ctrlProps/ctrlProp3.xml><?xml version="1.0" encoding="utf-8"?>
<formControlPr xmlns="http://schemas.microsoft.com/office/spreadsheetml/2009/9/main" objectType="Spin" dx="31" fmlaLink="$R$84" inc="20" max="2000" page="10" val="1000"/>
</file>

<file path=xl/ctrlProps/ctrlProp4.xml><?xml version="1.0" encoding="utf-8"?>
<formControlPr xmlns="http://schemas.microsoft.com/office/spreadsheetml/2009/9/main" objectType="Spin" dx="31" fmlaLink="$T$84" inc="20" max="2000" page="10" val="1000"/>
</file>

<file path=xl/ctrlProps/ctrlProp5.xml><?xml version="1.0" encoding="utf-8"?>
<formControlPr xmlns="http://schemas.microsoft.com/office/spreadsheetml/2009/9/main" objectType="Spin" dx="31" fmlaLink="$V$84" inc="20" max="2000" page="10" val="100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8</xdr:row>
      <xdr:rowOff>95250</xdr:rowOff>
    </xdr:from>
    <xdr:to>
      <xdr:col>7</xdr:col>
      <xdr:colOff>95250</xdr:colOff>
      <xdr:row>14</xdr:row>
      <xdr:rowOff>120650</xdr:rowOff>
    </xdr:to>
    <xdr:cxnSp macro="">
      <xdr:nvCxnSpPr>
        <xdr:cNvPr id="2" name="Connecteur droit avec flèche 1"/>
        <xdr:cNvCxnSpPr/>
      </xdr:nvCxnSpPr>
      <xdr:spPr>
        <a:xfrm flipH="1">
          <a:off x="3067050" y="1638300"/>
          <a:ext cx="0" cy="11303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107950</xdr:colOff>
      <xdr:row>10</xdr:row>
      <xdr:rowOff>95250</xdr:rowOff>
    </xdr:from>
    <xdr:to>
      <xdr:col>9</xdr:col>
      <xdr:colOff>114300</xdr:colOff>
      <xdr:row>16</xdr:row>
      <xdr:rowOff>114300</xdr:rowOff>
    </xdr:to>
    <xdr:cxnSp macro="">
      <xdr:nvCxnSpPr>
        <xdr:cNvPr id="4" name="Connecteur droit avec flèche 3"/>
        <xdr:cNvCxnSpPr/>
      </xdr:nvCxnSpPr>
      <xdr:spPr>
        <a:xfrm>
          <a:off x="4025900" y="2006600"/>
          <a:ext cx="6350" cy="112395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285750</xdr:colOff>
      <xdr:row>14</xdr:row>
      <xdr:rowOff>93300</xdr:rowOff>
    </xdr:from>
    <xdr:to>
      <xdr:col>9</xdr:col>
      <xdr:colOff>285750</xdr:colOff>
      <xdr:row>16</xdr:row>
      <xdr:rowOff>114300</xdr:rowOff>
    </xdr:to>
    <xdr:cxnSp macro="">
      <xdr:nvCxnSpPr>
        <xdr:cNvPr id="5" name="Connecteur droit avec flèche 4"/>
        <xdr:cNvCxnSpPr/>
      </xdr:nvCxnSpPr>
      <xdr:spPr>
        <a:xfrm>
          <a:off x="4203700" y="2741250"/>
          <a:ext cx="0" cy="3893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196850</xdr:colOff>
      <xdr:row>12</xdr:row>
      <xdr:rowOff>101600</xdr:rowOff>
    </xdr:from>
    <xdr:to>
      <xdr:col>9</xdr:col>
      <xdr:colOff>196850</xdr:colOff>
      <xdr:row>16</xdr:row>
      <xdr:rowOff>114300</xdr:rowOff>
    </xdr:to>
    <xdr:cxnSp macro="">
      <xdr:nvCxnSpPr>
        <xdr:cNvPr id="6" name="Connecteur droit avec flèche 5"/>
        <xdr:cNvCxnSpPr/>
      </xdr:nvCxnSpPr>
      <xdr:spPr>
        <a:xfrm>
          <a:off x="4114800" y="2381250"/>
          <a:ext cx="0" cy="7493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184150</xdr:colOff>
      <xdr:row>12</xdr:row>
      <xdr:rowOff>90650</xdr:rowOff>
    </xdr:from>
    <xdr:to>
      <xdr:col>11</xdr:col>
      <xdr:colOff>190500</xdr:colOff>
      <xdr:row>18</xdr:row>
      <xdr:rowOff>88900</xdr:rowOff>
    </xdr:to>
    <xdr:cxnSp macro="">
      <xdr:nvCxnSpPr>
        <xdr:cNvPr id="7" name="Connecteur droit avec flèche 6"/>
        <xdr:cNvCxnSpPr/>
      </xdr:nvCxnSpPr>
      <xdr:spPr>
        <a:xfrm flipH="1">
          <a:off x="5048250" y="2370300"/>
          <a:ext cx="6350" cy="110315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14</xdr:row>
      <xdr:rowOff>96650</xdr:rowOff>
    </xdr:from>
    <xdr:to>
      <xdr:col>11</xdr:col>
      <xdr:colOff>279400</xdr:colOff>
      <xdr:row>18</xdr:row>
      <xdr:rowOff>88900</xdr:rowOff>
    </xdr:to>
    <xdr:cxnSp macro="">
      <xdr:nvCxnSpPr>
        <xdr:cNvPr id="9" name="Connecteur droit avec flèche 8"/>
        <xdr:cNvCxnSpPr/>
      </xdr:nvCxnSpPr>
      <xdr:spPr>
        <a:xfrm>
          <a:off x="5143500" y="2744600"/>
          <a:ext cx="0" cy="72885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101600</xdr:colOff>
      <xdr:row>10</xdr:row>
      <xdr:rowOff>95250</xdr:rowOff>
    </xdr:from>
    <xdr:to>
      <xdr:col>11</xdr:col>
      <xdr:colOff>101600</xdr:colOff>
      <xdr:row>18</xdr:row>
      <xdr:rowOff>88900</xdr:rowOff>
    </xdr:to>
    <xdr:cxnSp macro="">
      <xdr:nvCxnSpPr>
        <xdr:cNvPr id="10" name="Connecteur droit avec flèche 9"/>
        <xdr:cNvCxnSpPr/>
      </xdr:nvCxnSpPr>
      <xdr:spPr>
        <a:xfrm>
          <a:off x="4965700" y="2006600"/>
          <a:ext cx="0" cy="146685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381000</xdr:colOff>
      <xdr:row>18</xdr:row>
      <xdr:rowOff>56800</xdr:rowOff>
    </xdr:from>
    <xdr:to>
      <xdr:col>13</xdr:col>
      <xdr:colOff>381000</xdr:colOff>
      <xdr:row>20</xdr:row>
      <xdr:rowOff>103900</xdr:rowOff>
    </xdr:to>
    <xdr:cxnSp macro="">
      <xdr:nvCxnSpPr>
        <xdr:cNvPr id="13" name="Connecteur droit avec flèche 12"/>
        <xdr:cNvCxnSpPr/>
      </xdr:nvCxnSpPr>
      <xdr:spPr>
        <a:xfrm flipH="1">
          <a:off x="6191250" y="3441350"/>
          <a:ext cx="0" cy="4154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292100</xdr:colOff>
      <xdr:row>14</xdr:row>
      <xdr:rowOff>73400</xdr:rowOff>
    </xdr:from>
    <xdr:to>
      <xdr:col>13</xdr:col>
      <xdr:colOff>292100</xdr:colOff>
      <xdr:row>20</xdr:row>
      <xdr:rowOff>103900</xdr:rowOff>
    </xdr:to>
    <xdr:cxnSp macro="">
      <xdr:nvCxnSpPr>
        <xdr:cNvPr id="14" name="Connecteur droit avec flèche 13"/>
        <xdr:cNvCxnSpPr/>
      </xdr:nvCxnSpPr>
      <xdr:spPr>
        <a:xfrm flipH="1">
          <a:off x="6102350" y="2721350"/>
          <a:ext cx="0" cy="11354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279400</xdr:colOff>
      <xdr:row>14</xdr:row>
      <xdr:rowOff>86950</xdr:rowOff>
    </xdr:from>
    <xdr:to>
      <xdr:col>15</xdr:col>
      <xdr:colOff>279400</xdr:colOff>
      <xdr:row>22</xdr:row>
      <xdr:rowOff>88900</xdr:rowOff>
    </xdr:to>
    <xdr:cxnSp macro="">
      <xdr:nvCxnSpPr>
        <xdr:cNvPr id="16" name="Connecteur droit avec flèche 15"/>
        <xdr:cNvCxnSpPr/>
      </xdr:nvCxnSpPr>
      <xdr:spPr>
        <a:xfrm>
          <a:off x="7035800" y="2734900"/>
          <a:ext cx="0" cy="147515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361950</xdr:colOff>
      <xdr:row>18</xdr:row>
      <xdr:rowOff>88900</xdr:rowOff>
    </xdr:from>
    <xdr:to>
      <xdr:col>15</xdr:col>
      <xdr:colOff>361950</xdr:colOff>
      <xdr:row>22</xdr:row>
      <xdr:rowOff>90300</xdr:rowOff>
    </xdr:to>
    <xdr:cxnSp macro="">
      <xdr:nvCxnSpPr>
        <xdr:cNvPr id="17" name="Connecteur droit avec flèche 16"/>
        <xdr:cNvCxnSpPr/>
      </xdr:nvCxnSpPr>
      <xdr:spPr>
        <a:xfrm flipH="1">
          <a:off x="7118350" y="3473450"/>
          <a:ext cx="0" cy="7380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177800</xdr:colOff>
      <xdr:row>12</xdr:row>
      <xdr:rowOff>95250</xdr:rowOff>
    </xdr:from>
    <xdr:to>
      <xdr:col>15</xdr:col>
      <xdr:colOff>184150</xdr:colOff>
      <xdr:row>22</xdr:row>
      <xdr:rowOff>88900</xdr:rowOff>
    </xdr:to>
    <xdr:cxnSp macro="">
      <xdr:nvCxnSpPr>
        <xdr:cNvPr id="19" name="Connecteur droit avec flèche 18"/>
        <xdr:cNvCxnSpPr/>
      </xdr:nvCxnSpPr>
      <xdr:spPr>
        <a:xfrm>
          <a:off x="6934200" y="2374900"/>
          <a:ext cx="6350" cy="183515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254000</xdr:colOff>
      <xdr:row>14</xdr:row>
      <xdr:rowOff>95250</xdr:rowOff>
    </xdr:from>
    <xdr:to>
      <xdr:col>17</xdr:col>
      <xdr:colOff>254000</xdr:colOff>
      <xdr:row>24</xdr:row>
      <xdr:rowOff>104150</xdr:rowOff>
    </xdr:to>
    <xdr:cxnSp macro="">
      <xdr:nvCxnSpPr>
        <xdr:cNvPr id="20" name="Connecteur droit avec flèche 19"/>
        <xdr:cNvCxnSpPr/>
      </xdr:nvCxnSpPr>
      <xdr:spPr>
        <a:xfrm flipH="1">
          <a:off x="7956550" y="2743200"/>
          <a:ext cx="0" cy="18504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158750</xdr:colOff>
      <xdr:row>12</xdr:row>
      <xdr:rowOff>107950</xdr:rowOff>
    </xdr:from>
    <xdr:to>
      <xdr:col>17</xdr:col>
      <xdr:colOff>165100</xdr:colOff>
      <xdr:row>24</xdr:row>
      <xdr:rowOff>104750</xdr:rowOff>
    </xdr:to>
    <xdr:cxnSp macro="">
      <xdr:nvCxnSpPr>
        <xdr:cNvPr id="22" name="Connecteur droit avec flèche 21"/>
        <xdr:cNvCxnSpPr/>
      </xdr:nvCxnSpPr>
      <xdr:spPr>
        <a:xfrm>
          <a:off x="7861300" y="2387600"/>
          <a:ext cx="6350" cy="22066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76200</xdr:colOff>
      <xdr:row>10</xdr:row>
      <xdr:rowOff>88900</xdr:rowOff>
    </xdr:from>
    <xdr:to>
      <xdr:col>17</xdr:col>
      <xdr:colOff>76200</xdr:colOff>
      <xdr:row>24</xdr:row>
      <xdr:rowOff>102800</xdr:rowOff>
    </xdr:to>
    <xdr:cxnSp macro="">
      <xdr:nvCxnSpPr>
        <xdr:cNvPr id="23" name="Connecteur droit avec flèche 22"/>
        <xdr:cNvCxnSpPr/>
      </xdr:nvCxnSpPr>
      <xdr:spPr>
        <a:xfrm flipH="1">
          <a:off x="7778750" y="2000250"/>
          <a:ext cx="0" cy="25920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263526</xdr:colOff>
      <xdr:row>14</xdr:row>
      <xdr:rowOff>96900</xdr:rowOff>
    </xdr:from>
    <xdr:to>
      <xdr:col>19</xdr:col>
      <xdr:colOff>263526</xdr:colOff>
      <xdr:row>22</xdr:row>
      <xdr:rowOff>104700</xdr:rowOff>
    </xdr:to>
    <xdr:cxnSp macro="">
      <xdr:nvCxnSpPr>
        <xdr:cNvPr id="24" name="Connecteur droit avec flèche 23"/>
        <xdr:cNvCxnSpPr/>
      </xdr:nvCxnSpPr>
      <xdr:spPr>
        <a:xfrm flipH="1">
          <a:off x="8912226" y="2744850"/>
          <a:ext cx="0" cy="22176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354014</xdr:colOff>
      <xdr:row>15</xdr:row>
      <xdr:rowOff>0</xdr:rowOff>
    </xdr:from>
    <xdr:to>
      <xdr:col>19</xdr:col>
      <xdr:colOff>354014</xdr:colOff>
      <xdr:row>22</xdr:row>
      <xdr:rowOff>104700</xdr:rowOff>
    </xdr:to>
    <xdr:cxnSp macro="">
      <xdr:nvCxnSpPr>
        <xdr:cNvPr id="25" name="Connecteur droit avec flèche 24"/>
        <xdr:cNvCxnSpPr/>
      </xdr:nvCxnSpPr>
      <xdr:spPr>
        <a:xfrm flipH="1">
          <a:off x="9002714" y="3101250"/>
          <a:ext cx="0" cy="18612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173038</xdr:colOff>
      <xdr:row>12</xdr:row>
      <xdr:rowOff>105200</xdr:rowOff>
    </xdr:from>
    <xdr:to>
      <xdr:col>19</xdr:col>
      <xdr:colOff>173038</xdr:colOff>
      <xdr:row>22</xdr:row>
      <xdr:rowOff>104700</xdr:rowOff>
    </xdr:to>
    <xdr:cxnSp macro="">
      <xdr:nvCxnSpPr>
        <xdr:cNvPr id="26" name="Connecteur droit avec flèche 25"/>
        <xdr:cNvCxnSpPr/>
      </xdr:nvCxnSpPr>
      <xdr:spPr>
        <a:xfrm flipH="1">
          <a:off x="8821738" y="2384850"/>
          <a:ext cx="0" cy="25776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82550</xdr:colOff>
      <xdr:row>10</xdr:row>
      <xdr:rowOff>99100</xdr:rowOff>
    </xdr:from>
    <xdr:to>
      <xdr:col>19</xdr:col>
      <xdr:colOff>82550</xdr:colOff>
      <xdr:row>22</xdr:row>
      <xdr:rowOff>104700</xdr:rowOff>
    </xdr:to>
    <xdr:cxnSp macro="">
      <xdr:nvCxnSpPr>
        <xdr:cNvPr id="27" name="Connecteur droit avec flèche 26"/>
        <xdr:cNvCxnSpPr/>
      </xdr:nvCxnSpPr>
      <xdr:spPr>
        <a:xfrm flipH="1">
          <a:off x="8731250" y="2010450"/>
          <a:ext cx="0" cy="29520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444500</xdr:colOff>
      <xdr:row>16</xdr:row>
      <xdr:rowOff>82800</xdr:rowOff>
    </xdr:from>
    <xdr:to>
      <xdr:col>19</xdr:col>
      <xdr:colOff>444500</xdr:colOff>
      <xdr:row>22</xdr:row>
      <xdr:rowOff>104700</xdr:rowOff>
    </xdr:to>
    <xdr:cxnSp macro="">
      <xdr:nvCxnSpPr>
        <xdr:cNvPr id="28" name="Connecteur droit avec flèche 27"/>
        <xdr:cNvCxnSpPr/>
      </xdr:nvCxnSpPr>
      <xdr:spPr>
        <a:xfrm flipH="1">
          <a:off x="9093200" y="3835650"/>
          <a:ext cx="0" cy="11268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27</xdr:row>
      <xdr:rowOff>177800</xdr:rowOff>
    </xdr:from>
    <xdr:to>
      <xdr:col>20</xdr:col>
      <xdr:colOff>171450</xdr:colOff>
      <xdr:row>32</xdr:row>
      <xdr:rowOff>177800</xdr:rowOff>
    </xdr:to>
    <xdr:sp macro="" textlink="">
      <xdr:nvSpPr>
        <xdr:cNvPr id="29" name="Rectangle à coins arrondis 28"/>
        <xdr:cNvSpPr/>
      </xdr:nvSpPr>
      <xdr:spPr>
        <a:xfrm>
          <a:off x="2971800" y="5219700"/>
          <a:ext cx="6610350" cy="920750"/>
        </a:xfrm>
        <a:prstGeom prst="roundRect">
          <a:avLst/>
        </a:prstGeom>
        <a:noFill/>
        <a:ln w="28575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641350</xdr:colOff>
      <xdr:row>20</xdr:row>
      <xdr:rowOff>69850</xdr:rowOff>
    </xdr:from>
    <xdr:to>
      <xdr:col>13</xdr:col>
      <xdr:colOff>647700</xdr:colOff>
      <xdr:row>30</xdr:row>
      <xdr:rowOff>50800</xdr:rowOff>
    </xdr:to>
    <xdr:cxnSp macro="">
      <xdr:nvCxnSpPr>
        <xdr:cNvPr id="30" name="Connecteur droit avec flèche 29"/>
        <xdr:cNvCxnSpPr/>
      </xdr:nvCxnSpPr>
      <xdr:spPr>
        <a:xfrm flipH="1">
          <a:off x="6451600" y="3822700"/>
          <a:ext cx="6350" cy="182245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647700</xdr:colOff>
      <xdr:row>22</xdr:row>
      <xdr:rowOff>95250</xdr:rowOff>
    </xdr:from>
    <xdr:to>
      <xdr:col>15</xdr:col>
      <xdr:colOff>647700</xdr:colOff>
      <xdr:row>30</xdr:row>
      <xdr:rowOff>44450</xdr:rowOff>
    </xdr:to>
    <xdr:cxnSp macro="">
      <xdr:nvCxnSpPr>
        <xdr:cNvPr id="31" name="Connecteur droit avec flèche 30"/>
        <xdr:cNvCxnSpPr/>
      </xdr:nvCxnSpPr>
      <xdr:spPr>
        <a:xfrm>
          <a:off x="7404100" y="4216400"/>
          <a:ext cx="0" cy="14224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628650</xdr:colOff>
      <xdr:row>22</xdr:row>
      <xdr:rowOff>95250</xdr:rowOff>
    </xdr:from>
    <xdr:to>
      <xdr:col>17</xdr:col>
      <xdr:colOff>628650</xdr:colOff>
      <xdr:row>30</xdr:row>
      <xdr:rowOff>44050</xdr:rowOff>
    </xdr:to>
    <xdr:cxnSp macro="">
      <xdr:nvCxnSpPr>
        <xdr:cNvPr id="32" name="Connecteur droit avec flèche 31"/>
        <xdr:cNvCxnSpPr/>
      </xdr:nvCxnSpPr>
      <xdr:spPr>
        <a:xfrm>
          <a:off x="8331200" y="4216400"/>
          <a:ext cx="0" cy="14220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647700</xdr:colOff>
      <xdr:row>22</xdr:row>
      <xdr:rowOff>69850</xdr:rowOff>
    </xdr:from>
    <xdr:to>
      <xdr:col>19</xdr:col>
      <xdr:colOff>647700</xdr:colOff>
      <xdr:row>30</xdr:row>
      <xdr:rowOff>36650</xdr:rowOff>
    </xdr:to>
    <xdr:cxnSp macro="">
      <xdr:nvCxnSpPr>
        <xdr:cNvPr id="33" name="Connecteur droit avec flèche 32"/>
        <xdr:cNvCxnSpPr/>
      </xdr:nvCxnSpPr>
      <xdr:spPr>
        <a:xfrm flipH="1">
          <a:off x="9296400" y="4191000"/>
          <a:ext cx="0" cy="14400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520700</xdr:colOff>
      <xdr:row>12</xdr:row>
      <xdr:rowOff>63500</xdr:rowOff>
    </xdr:from>
    <xdr:to>
      <xdr:col>7</xdr:col>
      <xdr:colOff>520700</xdr:colOff>
      <xdr:row>28</xdr:row>
      <xdr:rowOff>96050</xdr:rowOff>
    </xdr:to>
    <xdr:cxnSp macro="">
      <xdr:nvCxnSpPr>
        <xdr:cNvPr id="34" name="Connecteur droit avec flèche 33"/>
        <xdr:cNvCxnSpPr/>
      </xdr:nvCxnSpPr>
      <xdr:spPr>
        <a:xfrm flipV="1">
          <a:off x="3492500" y="2343150"/>
          <a:ext cx="0" cy="2978950"/>
        </a:xfrm>
        <a:prstGeom prst="straightConnector1">
          <a:avLst/>
        </a:prstGeom>
        <a:ln w="12700">
          <a:solidFill>
            <a:srgbClr val="FF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13</xdr:row>
      <xdr:rowOff>95988</xdr:rowOff>
    </xdr:from>
    <xdr:to>
      <xdr:col>21</xdr:col>
      <xdr:colOff>0</xdr:colOff>
      <xdr:row>13</xdr:row>
      <xdr:rowOff>95988</xdr:rowOff>
    </xdr:to>
    <xdr:cxnSp macro="">
      <xdr:nvCxnSpPr>
        <xdr:cNvPr id="37" name="Connecteur droit 36"/>
        <xdr:cNvCxnSpPr/>
      </xdr:nvCxnSpPr>
      <xdr:spPr>
        <a:xfrm>
          <a:off x="457200" y="2559788"/>
          <a:ext cx="9137650" cy="0"/>
        </a:xfrm>
        <a:prstGeom prst="line">
          <a:avLst/>
        </a:prstGeom>
        <a:ln w="12700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103374</xdr:colOff>
      <xdr:row>27</xdr:row>
      <xdr:rowOff>95981</xdr:rowOff>
    </xdr:from>
    <xdr:to>
      <xdr:col>20</xdr:col>
      <xdr:colOff>177211</xdr:colOff>
      <xdr:row>27</xdr:row>
      <xdr:rowOff>95981</xdr:rowOff>
    </xdr:to>
    <xdr:cxnSp macro="">
      <xdr:nvCxnSpPr>
        <xdr:cNvPr id="38" name="Connecteur droit 37"/>
        <xdr:cNvCxnSpPr/>
      </xdr:nvCxnSpPr>
      <xdr:spPr>
        <a:xfrm>
          <a:off x="446274" y="5137881"/>
          <a:ext cx="9141637" cy="0"/>
        </a:xfrm>
        <a:prstGeom prst="line">
          <a:avLst/>
        </a:prstGeom>
        <a:ln w="12700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107276</xdr:colOff>
      <xdr:row>15</xdr:row>
      <xdr:rowOff>77230</xdr:rowOff>
    </xdr:from>
    <xdr:to>
      <xdr:col>20</xdr:col>
      <xdr:colOff>174416</xdr:colOff>
      <xdr:row>15</xdr:row>
      <xdr:rowOff>77230</xdr:rowOff>
    </xdr:to>
    <xdr:cxnSp macro="">
      <xdr:nvCxnSpPr>
        <xdr:cNvPr id="39" name="Connecteur droit 38"/>
        <xdr:cNvCxnSpPr/>
      </xdr:nvCxnSpPr>
      <xdr:spPr>
        <a:xfrm flipV="1">
          <a:off x="450176" y="2909330"/>
          <a:ext cx="9134940" cy="0"/>
        </a:xfrm>
        <a:prstGeom prst="line">
          <a:avLst/>
        </a:prstGeom>
        <a:ln w="12700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603250</xdr:colOff>
      <xdr:row>18</xdr:row>
      <xdr:rowOff>83950</xdr:rowOff>
    </xdr:from>
    <xdr:to>
      <xdr:col>11</xdr:col>
      <xdr:colOff>609600</xdr:colOff>
      <xdr:row>30</xdr:row>
      <xdr:rowOff>38100</xdr:rowOff>
    </xdr:to>
    <xdr:cxnSp macro="">
      <xdr:nvCxnSpPr>
        <xdr:cNvPr id="44" name="Connecteur droit avec flèche 43"/>
        <xdr:cNvCxnSpPr/>
      </xdr:nvCxnSpPr>
      <xdr:spPr>
        <a:xfrm flipH="1">
          <a:off x="5467350" y="3468500"/>
          <a:ext cx="6350" cy="216395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406400</xdr:colOff>
      <xdr:row>16</xdr:row>
      <xdr:rowOff>63500</xdr:rowOff>
    </xdr:from>
    <xdr:to>
      <xdr:col>9</xdr:col>
      <xdr:colOff>406400</xdr:colOff>
      <xdr:row>30</xdr:row>
      <xdr:rowOff>44450</xdr:rowOff>
    </xdr:to>
    <xdr:cxnSp macro="">
      <xdr:nvCxnSpPr>
        <xdr:cNvPr id="46" name="Connecteur droit avec flèche 45"/>
        <xdr:cNvCxnSpPr/>
      </xdr:nvCxnSpPr>
      <xdr:spPr>
        <a:xfrm>
          <a:off x="4324350" y="3079750"/>
          <a:ext cx="0" cy="255905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368300</xdr:colOff>
      <xdr:row>16</xdr:row>
      <xdr:rowOff>69850</xdr:rowOff>
    </xdr:from>
    <xdr:to>
      <xdr:col>11</xdr:col>
      <xdr:colOff>368300</xdr:colOff>
      <xdr:row>18</xdr:row>
      <xdr:rowOff>90850</xdr:rowOff>
    </xdr:to>
    <xdr:cxnSp macro="">
      <xdr:nvCxnSpPr>
        <xdr:cNvPr id="54" name="Connecteur droit avec flèche 53"/>
        <xdr:cNvCxnSpPr/>
      </xdr:nvCxnSpPr>
      <xdr:spPr>
        <a:xfrm>
          <a:off x="5232400" y="3086100"/>
          <a:ext cx="0" cy="3893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196850</xdr:colOff>
      <xdr:row>12</xdr:row>
      <xdr:rowOff>114300</xdr:rowOff>
    </xdr:from>
    <xdr:to>
      <xdr:col>13</xdr:col>
      <xdr:colOff>196850</xdr:colOff>
      <xdr:row>20</xdr:row>
      <xdr:rowOff>107950</xdr:rowOff>
    </xdr:to>
    <xdr:cxnSp macro="">
      <xdr:nvCxnSpPr>
        <xdr:cNvPr id="57" name="Connecteur droit avec flèche 56"/>
        <xdr:cNvCxnSpPr/>
      </xdr:nvCxnSpPr>
      <xdr:spPr>
        <a:xfrm>
          <a:off x="6007100" y="2393950"/>
          <a:ext cx="0" cy="146685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88900</xdr:colOff>
      <xdr:row>10</xdr:row>
      <xdr:rowOff>101600</xdr:rowOff>
    </xdr:from>
    <xdr:to>
      <xdr:col>13</xdr:col>
      <xdr:colOff>88900</xdr:colOff>
      <xdr:row>20</xdr:row>
      <xdr:rowOff>107950</xdr:rowOff>
    </xdr:to>
    <xdr:cxnSp macro="">
      <xdr:nvCxnSpPr>
        <xdr:cNvPr id="58" name="Connecteur droit avec flèche 57"/>
        <xdr:cNvCxnSpPr/>
      </xdr:nvCxnSpPr>
      <xdr:spPr>
        <a:xfrm>
          <a:off x="5899150" y="2012950"/>
          <a:ext cx="0" cy="184785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82550</xdr:colOff>
      <xdr:row>10</xdr:row>
      <xdr:rowOff>95250</xdr:rowOff>
    </xdr:from>
    <xdr:to>
      <xdr:col>15</xdr:col>
      <xdr:colOff>82550</xdr:colOff>
      <xdr:row>22</xdr:row>
      <xdr:rowOff>88650</xdr:rowOff>
    </xdr:to>
    <xdr:cxnSp macro="">
      <xdr:nvCxnSpPr>
        <xdr:cNvPr id="68" name="Connecteur droit avec flèche 67"/>
        <xdr:cNvCxnSpPr/>
      </xdr:nvCxnSpPr>
      <xdr:spPr>
        <a:xfrm>
          <a:off x="6838950" y="2006600"/>
          <a:ext cx="0" cy="22032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336550</xdr:colOff>
      <xdr:row>22</xdr:row>
      <xdr:rowOff>95250</xdr:rowOff>
    </xdr:from>
    <xdr:to>
      <xdr:col>17</xdr:col>
      <xdr:colOff>342900</xdr:colOff>
      <xdr:row>24</xdr:row>
      <xdr:rowOff>104250</xdr:rowOff>
    </xdr:to>
    <xdr:cxnSp macro="">
      <xdr:nvCxnSpPr>
        <xdr:cNvPr id="70" name="Connecteur droit avec flèche 69"/>
        <xdr:cNvCxnSpPr/>
      </xdr:nvCxnSpPr>
      <xdr:spPr>
        <a:xfrm flipH="1">
          <a:off x="8039100" y="4216400"/>
          <a:ext cx="6350" cy="377300"/>
        </a:xfrm>
        <a:prstGeom prst="straightConnector1">
          <a:avLst/>
        </a:prstGeom>
        <a:ln>
          <a:solidFill>
            <a:sysClr val="windowText" lastClr="000000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612719</xdr:colOff>
      <xdr:row>14</xdr:row>
      <xdr:rowOff>66842</xdr:rowOff>
    </xdr:from>
    <xdr:to>
      <xdr:col>14</xdr:col>
      <xdr:colOff>740833</xdr:colOff>
      <xdr:row>29</xdr:row>
      <xdr:rowOff>22085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44450</xdr:colOff>
          <xdr:row>8</xdr:row>
          <xdr:rowOff>12700</xdr:rowOff>
        </xdr:from>
        <xdr:to>
          <xdr:col>10</xdr:col>
          <xdr:colOff>838200</xdr:colOff>
          <xdr:row>9</xdr:row>
          <xdr:rowOff>25399</xdr:rowOff>
        </xdr:to>
        <xdr:sp macro="" textlink="">
          <xdr:nvSpPr>
            <xdr:cNvPr id="13314" name="Scroll Bar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612719</xdr:colOff>
      <xdr:row>36</xdr:row>
      <xdr:rowOff>178246</xdr:rowOff>
    </xdr:from>
    <xdr:to>
      <xdr:col>14</xdr:col>
      <xdr:colOff>741582</xdr:colOff>
      <xdr:row>51</xdr:row>
      <xdr:rowOff>134657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44450</xdr:colOff>
          <xdr:row>32</xdr:row>
          <xdr:rowOff>12700</xdr:rowOff>
        </xdr:from>
        <xdr:to>
          <xdr:col>10</xdr:col>
          <xdr:colOff>838200</xdr:colOff>
          <xdr:row>33</xdr:row>
          <xdr:rowOff>25399</xdr:rowOff>
        </xdr:to>
        <xdr:sp macro="" textlink="">
          <xdr:nvSpPr>
            <xdr:cNvPr id="13315" name="Scroll Bar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0</xdr:colOff>
      <xdr:row>84</xdr:row>
      <xdr:rowOff>0</xdr:rowOff>
    </xdr:from>
    <xdr:to>
      <xdr:col>15</xdr:col>
      <xdr:colOff>390769</xdr:colOff>
      <xdr:row>98</xdr:row>
      <xdr:rowOff>148200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100</xdr:row>
      <xdr:rowOff>0</xdr:rowOff>
    </xdr:from>
    <xdr:to>
      <xdr:col>15</xdr:col>
      <xdr:colOff>586153</xdr:colOff>
      <xdr:row>114</xdr:row>
      <xdr:rowOff>149977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393700</xdr:colOff>
          <xdr:row>96</xdr:row>
          <xdr:rowOff>152400</xdr:rowOff>
        </xdr:from>
        <xdr:to>
          <xdr:col>17</xdr:col>
          <xdr:colOff>762000</xdr:colOff>
          <xdr:row>98</xdr:row>
          <xdr:rowOff>38100</xdr:rowOff>
        </xdr:to>
        <xdr:sp macro="" textlink="">
          <xdr:nvSpPr>
            <xdr:cNvPr id="13331" name="Spinner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488950</xdr:colOff>
          <xdr:row>96</xdr:row>
          <xdr:rowOff>165100</xdr:rowOff>
        </xdr:from>
        <xdr:to>
          <xdr:col>18</xdr:col>
          <xdr:colOff>857250</xdr:colOff>
          <xdr:row>98</xdr:row>
          <xdr:rowOff>50800</xdr:rowOff>
        </xdr:to>
        <xdr:sp macro="" textlink="">
          <xdr:nvSpPr>
            <xdr:cNvPr id="13332" name="Spinner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577850</xdr:colOff>
          <xdr:row>96</xdr:row>
          <xdr:rowOff>165100</xdr:rowOff>
        </xdr:from>
        <xdr:to>
          <xdr:col>21</xdr:col>
          <xdr:colOff>19050</xdr:colOff>
          <xdr:row>98</xdr:row>
          <xdr:rowOff>50800</xdr:rowOff>
        </xdr:to>
        <xdr:sp macro="" textlink="">
          <xdr:nvSpPr>
            <xdr:cNvPr id="13334" name="Spinner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952500</xdr:colOff>
      <xdr:row>100</xdr:row>
      <xdr:rowOff>88900</xdr:rowOff>
    </xdr:from>
    <xdr:to>
      <xdr:col>22</xdr:col>
      <xdr:colOff>850900</xdr:colOff>
      <xdr:row>114</xdr:row>
      <xdr:rowOff>136300</xdr:rowOff>
    </xdr:to>
    <xdr:graphicFrame macro="">
      <xdr:nvGraphicFramePr>
        <xdr:cNvPr id="28" name="Graphique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433659</xdr:colOff>
      <xdr:row>118</xdr:row>
      <xdr:rowOff>77439</xdr:rowOff>
    </xdr:from>
    <xdr:to>
      <xdr:col>16</xdr:col>
      <xdr:colOff>90571</xdr:colOff>
      <xdr:row>133</xdr:row>
      <xdr:rowOff>40034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184150</xdr:colOff>
          <xdr:row>115</xdr:row>
          <xdr:rowOff>171450</xdr:rowOff>
        </xdr:from>
        <xdr:to>
          <xdr:col>11</xdr:col>
          <xdr:colOff>569896</xdr:colOff>
          <xdr:row>117</xdr:row>
          <xdr:rowOff>63500</xdr:rowOff>
        </xdr:to>
        <xdr:sp macro="" textlink="">
          <xdr:nvSpPr>
            <xdr:cNvPr id="13337" name="ComboBox1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0.03992</cdr:x>
      <cdr:y>0.02807</cdr:y>
    </cdr:from>
    <cdr:to>
      <cdr:x>0.27345</cdr:x>
      <cdr:y>0.21054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254000" y="76200"/>
          <a:ext cx="1485900" cy="495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200" b="1">
              <a:solidFill>
                <a:schemeClr val="accent2"/>
              </a:solidFill>
            </a:rPr>
            <a:t>Stock-Engagement</a:t>
          </a:r>
        </a:p>
        <a:p xmlns:a="http://schemas.openxmlformats.org/drawingml/2006/main">
          <a:r>
            <a:rPr lang="fr-FR" sz="1200" b="1">
              <a:solidFill>
                <a:schemeClr val="accent4"/>
              </a:solidFill>
            </a:rPr>
            <a:t>Stock</a:t>
          </a:r>
          <a:r>
            <a:rPr lang="fr-FR" sz="1200" b="1" baseline="0">
              <a:solidFill>
                <a:schemeClr val="accent4"/>
              </a:solidFill>
            </a:rPr>
            <a:t>-Paiement</a:t>
          </a:r>
          <a:endParaRPr lang="fr-FR" sz="1200" b="1">
            <a:solidFill>
              <a:schemeClr val="accent4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002060"/>
  </sheetPr>
  <dimension ref="A1:U87"/>
  <sheetViews>
    <sheetView topLeftCell="A52" workbookViewId="0">
      <selection activeCell="E71" sqref="E71"/>
    </sheetView>
  </sheetViews>
  <sheetFormatPr baseColWidth="10" defaultColWidth="0" defaultRowHeight="14.5" x14ac:dyDescent="0.35"/>
  <cols>
    <col min="1" max="4" width="1.6328125" customWidth="1"/>
    <col min="5" max="5" width="30.7265625" bestFit="1" customWidth="1"/>
    <col min="6" max="7" width="2.6328125" customWidth="1"/>
    <col min="8" max="8" width="10.90625" customWidth="1"/>
    <col min="9" max="9" width="2.6328125" customWidth="1"/>
    <col min="10" max="10" width="10.90625" customWidth="1"/>
    <col min="11" max="11" width="2.6328125" customWidth="1"/>
    <col min="12" max="12" width="10.90625" customWidth="1"/>
    <col min="13" max="13" width="2.6328125" customWidth="1"/>
    <col min="14" max="14" width="10.90625" customWidth="1"/>
    <col min="15" max="15" width="2.6328125" customWidth="1"/>
    <col min="16" max="16" width="10.90625" customWidth="1"/>
    <col min="17" max="17" width="2.6328125" customWidth="1"/>
    <col min="18" max="18" width="10.90625" customWidth="1"/>
    <col min="19" max="19" width="2.6328125" customWidth="1"/>
    <col min="20" max="20" width="10.90625" customWidth="1"/>
    <col min="21" max="21" width="2.6328125" customWidth="1"/>
    <col min="22" max="16384" width="10.90625" style="36" hidden="1"/>
  </cols>
  <sheetData>
    <row r="1" spans="1:21" ht="18.5" x14ac:dyDescent="0.45">
      <c r="B1" s="58" t="str">
        <f ca="1">RIGHT(CELL("nomfichier",A1),LEN(CELL("nomfichier",A1))-FIND("]",CELL("nomfichier",A1),1))</f>
        <v>Guide</v>
      </c>
    </row>
    <row r="4" spans="1:21" x14ac:dyDescent="0.35">
      <c r="A4" s="59"/>
      <c r="B4" s="59"/>
      <c r="C4" s="59"/>
      <c r="D4" s="60" t="s">
        <v>210</v>
      </c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</row>
    <row r="5" spans="1:21" x14ac:dyDescent="0.35">
      <c r="D5" s="61" t="s">
        <v>211</v>
      </c>
    </row>
    <row r="6" spans="1:21" s="38" customFormat="1" x14ac:dyDescent="0.3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</row>
    <row r="7" spans="1:21" ht="16" thickBot="1" x14ac:dyDescent="0.4">
      <c r="E7" s="62" t="s">
        <v>212</v>
      </c>
      <c r="H7" s="62" t="s">
        <v>213</v>
      </c>
      <c r="I7" s="36"/>
      <c r="J7" s="62" t="s">
        <v>214</v>
      </c>
      <c r="K7" s="50"/>
      <c r="L7" s="50"/>
      <c r="M7" s="50"/>
      <c r="N7" s="50"/>
      <c r="O7" s="50"/>
      <c r="P7" s="50"/>
      <c r="Q7" s="50"/>
      <c r="R7" s="50"/>
      <c r="S7" s="50"/>
      <c r="T7" s="50"/>
    </row>
    <row r="9" spans="1:21" x14ac:dyDescent="0.35">
      <c r="E9" s="63" t="str">
        <f ca="1">Paramétrage_général!B1</f>
        <v>Paramétrage_général</v>
      </c>
      <c r="H9" s="64"/>
    </row>
    <row r="11" spans="1:21" x14ac:dyDescent="0.35">
      <c r="E11" s="63" t="str">
        <f ca="1">Données_historiques!B1</f>
        <v>Données_historiques</v>
      </c>
      <c r="J11" s="64"/>
      <c r="L11" s="64"/>
      <c r="N11" s="64"/>
      <c r="P11" s="64"/>
      <c r="R11" s="64"/>
      <c r="T11" s="64"/>
    </row>
    <row r="13" spans="1:21" x14ac:dyDescent="0.35">
      <c r="E13" s="63" t="str">
        <f ca="1">Hypothèses_trajectoire!B1</f>
        <v>Hypothèses_trajectoire</v>
      </c>
      <c r="H13" s="64"/>
      <c r="J13" s="64"/>
      <c r="L13" s="64"/>
      <c r="N13" s="64"/>
      <c r="P13" s="64"/>
      <c r="R13" s="64"/>
      <c r="T13" s="64"/>
    </row>
    <row r="15" spans="1:21" x14ac:dyDescent="0.35">
      <c r="E15" s="65" t="str">
        <f ca="1">Time!B1</f>
        <v>Time</v>
      </c>
      <c r="H15" s="66"/>
      <c r="J15" s="64"/>
      <c r="L15" s="64"/>
      <c r="N15" s="64"/>
      <c r="P15" s="64"/>
      <c r="R15" s="64"/>
      <c r="T15" s="64"/>
    </row>
    <row r="17" spans="5:20" x14ac:dyDescent="0.35">
      <c r="E17" s="65" t="str">
        <f ca="1">Dépôts!B1</f>
        <v>Dépôts</v>
      </c>
      <c r="J17" s="64"/>
      <c r="L17" s="64"/>
      <c r="N17" s="25"/>
      <c r="T17" s="64"/>
    </row>
    <row r="19" spans="5:20" x14ac:dyDescent="0.35">
      <c r="E19" s="65" t="str">
        <f ca="1">Engagements!B1</f>
        <v>Engagements</v>
      </c>
      <c r="L19" s="64"/>
      <c r="N19" s="64"/>
      <c r="P19" s="64"/>
    </row>
    <row r="21" spans="5:20" x14ac:dyDescent="0.35">
      <c r="E21" s="65" t="str">
        <f ca="1">Avances!B1</f>
        <v>Avances</v>
      </c>
      <c r="N21" s="64"/>
      <c r="R21" s="25"/>
    </row>
    <row r="23" spans="5:20" x14ac:dyDescent="0.35">
      <c r="E23" s="65" t="str">
        <f ca="1">'Demandes de solde'!B1</f>
        <v>Demandes de solde</v>
      </c>
      <c r="P23" s="64"/>
      <c r="R23" s="64"/>
      <c r="T23" s="64"/>
    </row>
    <row r="24" spans="5:20" x14ac:dyDescent="0.35">
      <c r="E24" s="25"/>
      <c r="T24" s="25"/>
    </row>
    <row r="25" spans="5:20" x14ac:dyDescent="0.35">
      <c r="E25" s="65" t="str">
        <f ca="1">'Paiements Solde et retraits'!B1</f>
        <v>Paiements Solde et retraits</v>
      </c>
      <c r="R25" s="64"/>
      <c r="T25" s="25"/>
    </row>
    <row r="26" spans="5:20" x14ac:dyDescent="0.35">
      <c r="E26" s="25"/>
      <c r="T26" s="25"/>
    </row>
    <row r="27" spans="5:20" x14ac:dyDescent="0.35">
      <c r="E27" s="65" t="str">
        <f ca="1">Stocks!B1</f>
        <v>Stocks</v>
      </c>
      <c r="T27" s="25"/>
    </row>
    <row r="29" spans="5:20" x14ac:dyDescent="0.35">
      <c r="E29" s="67" t="str">
        <f ca="1">'Tableau de bord'!B1</f>
        <v>Tableau de bord</v>
      </c>
    </row>
    <row r="31" spans="5:20" x14ac:dyDescent="0.35">
      <c r="E31" s="67" t="str">
        <f ca="1">Consolidation!B1</f>
        <v>Consolidation</v>
      </c>
      <c r="J31" s="68" t="s">
        <v>135</v>
      </c>
      <c r="L31" s="68" t="s">
        <v>88</v>
      </c>
      <c r="N31" s="68" t="s">
        <v>251</v>
      </c>
      <c r="P31" s="68" t="s">
        <v>252</v>
      </c>
      <c r="R31" s="68" t="s">
        <v>253</v>
      </c>
      <c r="T31" s="80"/>
    </row>
    <row r="33" spans="1:21" x14ac:dyDescent="0.35">
      <c r="E33" s="67" t="str">
        <f ca="1">Graphiques!B1</f>
        <v>Graphiques</v>
      </c>
    </row>
    <row r="36" spans="1:21" x14ac:dyDescent="0.35">
      <c r="E36" t="s">
        <v>215</v>
      </c>
    </row>
    <row r="37" spans="1:21" x14ac:dyDescent="0.35">
      <c r="E37" t="s">
        <v>216</v>
      </c>
    </row>
    <row r="39" spans="1:21" x14ac:dyDescent="0.35">
      <c r="E39" s="1" t="s">
        <v>217</v>
      </c>
      <c r="H39" t="s">
        <v>254</v>
      </c>
    </row>
    <row r="40" spans="1:21" x14ac:dyDescent="0.35">
      <c r="H40" t="s">
        <v>255</v>
      </c>
    </row>
    <row r="41" spans="1:21" x14ac:dyDescent="0.35">
      <c r="E41" s="1" t="s">
        <v>218</v>
      </c>
      <c r="H41" t="s">
        <v>219</v>
      </c>
    </row>
    <row r="43" spans="1:21" x14ac:dyDescent="0.35">
      <c r="E43" s="31" t="s">
        <v>256</v>
      </c>
    </row>
    <row r="45" spans="1:21" x14ac:dyDescent="0.35">
      <c r="A45" s="59"/>
      <c r="B45" s="59"/>
      <c r="C45" s="59"/>
      <c r="D45" s="60" t="s">
        <v>220</v>
      </c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</row>
    <row r="47" spans="1:21" x14ac:dyDescent="0.35">
      <c r="E47" s="61" t="s">
        <v>221</v>
      </c>
    </row>
    <row r="49" spans="5:8" x14ac:dyDescent="0.35">
      <c r="E49" s="69" t="s">
        <v>222</v>
      </c>
      <c r="H49" t="s">
        <v>223</v>
      </c>
    </row>
    <row r="51" spans="5:8" x14ac:dyDescent="0.35">
      <c r="E51" s="70" t="s">
        <v>224</v>
      </c>
      <c r="H51" t="s">
        <v>225</v>
      </c>
    </row>
    <row r="53" spans="5:8" x14ac:dyDescent="0.35">
      <c r="E53" s="71" t="s">
        <v>226</v>
      </c>
      <c r="H53" t="s">
        <v>227</v>
      </c>
    </row>
    <row r="55" spans="5:8" x14ac:dyDescent="0.35">
      <c r="E55" s="72" t="s">
        <v>228</v>
      </c>
      <c r="H55" t="s">
        <v>229</v>
      </c>
    </row>
    <row r="56" spans="5:8" x14ac:dyDescent="0.35">
      <c r="E56" s="73"/>
    </row>
    <row r="57" spans="5:8" x14ac:dyDescent="0.35">
      <c r="E57" s="74" t="s">
        <v>230</v>
      </c>
      <c r="H57" t="s">
        <v>231</v>
      </c>
    </row>
    <row r="59" spans="5:8" x14ac:dyDescent="0.35">
      <c r="E59" s="61" t="s">
        <v>232</v>
      </c>
    </row>
    <row r="60" spans="5:8" x14ac:dyDescent="0.35">
      <c r="E60" s="31"/>
    </row>
    <row r="61" spans="5:8" x14ac:dyDescent="0.35">
      <c r="E61" s="75" t="s">
        <v>233</v>
      </c>
      <c r="H61" t="s">
        <v>234</v>
      </c>
    </row>
    <row r="63" spans="5:8" x14ac:dyDescent="0.35">
      <c r="E63" s="8" t="s">
        <v>235</v>
      </c>
      <c r="H63" t="s">
        <v>236</v>
      </c>
    </row>
    <row r="65" spans="5:8" x14ac:dyDescent="0.35">
      <c r="E65" s="61" t="s">
        <v>237</v>
      </c>
    </row>
    <row r="67" spans="5:8" x14ac:dyDescent="0.35">
      <c r="E67" s="81" t="s">
        <v>238</v>
      </c>
      <c r="H67" t="s">
        <v>239</v>
      </c>
    </row>
    <row r="69" spans="5:8" x14ac:dyDescent="0.35">
      <c r="E69" s="76" t="s">
        <v>240</v>
      </c>
      <c r="H69" t="s">
        <v>241</v>
      </c>
    </row>
    <row r="71" spans="5:8" x14ac:dyDescent="0.35">
      <c r="E71" s="77" t="s">
        <v>242</v>
      </c>
      <c r="H71" t="s">
        <v>243</v>
      </c>
    </row>
    <row r="73" spans="5:8" x14ac:dyDescent="0.35">
      <c r="E73" s="78"/>
      <c r="H73" t="s">
        <v>244</v>
      </c>
    </row>
    <row r="75" spans="5:8" x14ac:dyDescent="0.35">
      <c r="E75" s="61" t="s">
        <v>245</v>
      </c>
    </row>
    <row r="77" spans="5:8" x14ac:dyDescent="0.35">
      <c r="E77" s="41">
        <v>1000</v>
      </c>
      <c r="H77" t="s">
        <v>246</v>
      </c>
    </row>
    <row r="79" spans="5:8" x14ac:dyDescent="0.35">
      <c r="E79" s="3">
        <v>43466</v>
      </c>
      <c r="H79" t="s">
        <v>247</v>
      </c>
    </row>
    <row r="81" spans="5:8" x14ac:dyDescent="0.35">
      <c r="E81" s="13">
        <v>0.5</v>
      </c>
      <c r="H81" t="s">
        <v>248</v>
      </c>
    </row>
    <row r="83" spans="5:8" x14ac:dyDescent="0.35">
      <c r="E83" t="s">
        <v>249</v>
      </c>
      <c r="H83" t="s">
        <v>249</v>
      </c>
    </row>
    <row r="85" spans="5:8" x14ac:dyDescent="0.35">
      <c r="E85" s="79">
        <v>1</v>
      </c>
      <c r="H85" t="s">
        <v>257</v>
      </c>
    </row>
    <row r="87" spans="5:8" x14ac:dyDescent="0.35">
      <c r="E87" s="1" t="s">
        <v>250</v>
      </c>
    </row>
  </sheetData>
  <sheetProtection algorithmName="SHA-512" hashValue="2QxA+wA6qOkJcqac7TU34/s6M/8+PgXPwYorlqww9OudQJ1YhZHWRu30T73PjNgbielubqq/qds4bqINtseLcw==" saltValue="9/iET/CiU6FwPBAz1Lpw9g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002060"/>
  </sheetPr>
  <dimension ref="B1:K42"/>
  <sheetViews>
    <sheetView workbookViewId="0">
      <pane xSplit="10" ySplit="6" topLeftCell="K29" activePane="bottomRight" state="frozen"/>
      <selection activeCell="G33" sqref="G33"/>
      <selection pane="topRight" activeCell="G33" sqref="G33"/>
      <selection pane="bottomLeft" activeCell="G33" sqref="G33"/>
      <selection pane="bottomRight" activeCell="G41" sqref="G41"/>
    </sheetView>
  </sheetViews>
  <sheetFormatPr baseColWidth="10" defaultRowHeight="14.5" x14ac:dyDescent="0.35"/>
  <cols>
    <col min="1" max="4" width="2.6328125" style="98" customWidth="1"/>
    <col min="5" max="16384" width="10.90625" style="98"/>
  </cols>
  <sheetData>
    <row r="1" spans="2:11" x14ac:dyDescent="0.35">
      <c r="B1" s="97" t="str">
        <f ca="1">RIGHT(CELL("nomfichier",A1),LEN(CELL("nomfichier",A1))-FIND("]",CELL("nomfichier",A1),1))</f>
        <v>Paramétrage_général</v>
      </c>
    </row>
    <row r="6" spans="2:11" s="99" customFormat="1" x14ac:dyDescent="0.35">
      <c r="I6" s="99" t="s">
        <v>0</v>
      </c>
      <c r="J6" s="99" t="s">
        <v>1</v>
      </c>
      <c r="K6" s="99" t="s">
        <v>2</v>
      </c>
    </row>
    <row r="8" spans="2:11" s="97" customFormat="1" x14ac:dyDescent="0.35">
      <c r="D8" s="97" t="s">
        <v>4</v>
      </c>
    </row>
    <row r="10" spans="2:11" x14ac:dyDescent="0.35">
      <c r="E10" s="98" t="s">
        <v>5</v>
      </c>
      <c r="I10" s="102">
        <v>43831</v>
      </c>
      <c r="J10" s="98" t="s">
        <v>6</v>
      </c>
    </row>
    <row r="11" spans="2:11" x14ac:dyDescent="0.35">
      <c r="E11" s="98" t="s">
        <v>7</v>
      </c>
      <c r="I11" s="102">
        <v>44562</v>
      </c>
      <c r="J11" s="98" t="s">
        <v>6</v>
      </c>
    </row>
    <row r="13" spans="2:11" x14ac:dyDescent="0.35">
      <c r="D13" s="97" t="s">
        <v>8</v>
      </c>
    </row>
    <row r="15" spans="2:11" x14ac:dyDescent="0.35">
      <c r="E15" s="98" t="s">
        <v>9</v>
      </c>
      <c r="I15" s="101">
        <v>12</v>
      </c>
      <c r="J15" s="98" t="s">
        <v>10</v>
      </c>
    </row>
    <row r="16" spans="2:11" x14ac:dyDescent="0.35">
      <c r="E16" s="98" t="s">
        <v>67</v>
      </c>
      <c r="I16" s="101">
        <v>365</v>
      </c>
      <c r="J16" s="98" t="s">
        <v>64</v>
      </c>
    </row>
    <row r="18" spans="4:9" x14ac:dyDescent="0.35">
      <c r="D18" s="97" t="s">
        <v>11</v>
      </c>
    </row>
    <row r="20" spans="4:9" x14ac:dyDescent="0.35">
      <c r="I20" s="103" t="s">
        <v>12</v>
      </c>
    </row>
    <row r="21" spans="4:9" x14ac:dyDescent="0.35">
      <c r="I21" s="103" t="s">
        <v>13</v>
      </c>
    </row>
    <row r="23" spans="4:9" x14ac:dyDescent="0.35">
      <c r="D23" s="97" t="s">
        <v>21</v>
      </c>
    </row>
    <row r="25" spans="4:9" x14ac:dyDescent="0.35">
      <c r="I25" s="103" t="s">
        <v>14</v>
      </c>
    </row>
    <row r="26" spans="4:9" x14ac:dyDescent="0.35">
      <c r="I26" s="103" t="s">
        <v>15</v>
      </c>
    </row>
    <row r="27" spans="4:9" x14ac:dyDescent="0.35">
      <c r="I27" s="103" t="s">
        <v>16</v>
      </c>
    </row>
    <row r="28" spans="4:9" x14ac:dyDescent="0.35">
      <c r="I28" s="103" t="s">
        <v>45</v>
      </c>
    </row>
    <row r="29" spans="4:9" x14ac:dyDescent="0.35">
      <c r="I29" s="103" t="s">
        <v>46</v>
      </c>
    </row>
    <row r="30" spans="4:9" x14ac:dyDescent="0.35">
      <c r="I30" s="103" t="s">
        <v>47</v>
      </c>
    </row>
    <row r="31" spans="4:9" x14ac:dyDescent="0.35">
      <c r="I31" s="103" t="s">
        <v>17</v>
      </c>
    </row>
    <row r="32" spans="4:9" x14ac:dyDescent="0.35">
      <c r="I32" s="103" t="s">
        <v>18</v>
      </c>
    </row>
    <row r="33" spans="4:9" x14ac:dyDescent="0.35">
      <c r="I33" s="103" t="s">
        <v>189</v>
      </c>
    </row>
    <row r="34" spans="4:9" x14ac:dyDescent="0.35">
      <c r="I34" s="103" t="s">
        <v>19</v>
      </c>
    </row>
    <row r="35" spans="4:9" x14ac:dyDescent="0.35">
      <c r="I35" s="103" t="s">
        <v>20</v>
      </c>
    </row>
    <row r="37" spans="4:9" x14ac:dyDescent="0.35">
      <c r="D37" s="97" t="s">
        <v>22</v>
      </c>
    </row>
    <row r="39" spans="4:9" x14ac:dyDescent="0.35">
      <c r="I39" s="103" t="s">
        <v>23</v>
      </c>
    </row>
    <row r="40" spans="4:9" x14ac:dyDescent="0.35">
      <c r="I40" s="103" t="s">
        <v>24</v>
      </c>
    </row>
    <row r="42" spans="4:9" x14ac:dyDescent="0.35">
      <c r="D42" s="97" t="s">
        <v>25</v>
      </c>
    </row>
  </sheetData>
  <sheetProtection algorithmName="SHA-512" hashValue="dg2ODzOcnvak2JwTAnwyboykDoZh1t+/9CB9+HqpkowsUq7eOu4OQd+oOUyk3FqQ6AStshdWhSDhBTZk8YQ/oA==" saltValue="N3cqGKjeX64Qr/REcpBQng==" spinCount="100000" sheet="1" objects="1" scenarios="1"/>
  <conditionalFormatting sqref="N4:BI4">
    <cfRule type="cellIs" dxfId="9" priority="1" operator="equal">
      <formula>$I$20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9BC2E6"/>
  </sheetPr>
  <dimension ref="B1:BI43"/>
  <sheetViews>
    <sheetView zoomScale="70" zoomScaleNormal="70" workbookViewId="0">
      <pane xSplit="10" ySplit="6" topLeftCell="BC7" activePane="bottomRight" state="frozen"/>
      <selection pane="topRight" activeCell="K1" sqref="K1"/>
      <selection pane="bottomLeft" activeCell="A7" sqref="A7"/>
      <selection pane="bottomRight" activeCell="BJ18" sqref="BJ18"/>
    </sheetView>
  </sheetViews>
  <sheetFormatPr baseColWidth="10" defaultRowHeight="14.5" x14ac:dyDescent="0.35"/>
  <cols>
    <col min="1" max="4" width="2.6328125" style="105" customWidth="1"/>
    <col min="5" max="12" width="10.90625" style="105"/>
    <col min="13" max="13" width="14.6328125" style="105" bestFit="1" customWidth="1"/>
    <col min="14" max="18" width="12.1796875" style="105" bestFit="1" customWidth="1"/>
    <col min="19" max="19" width="13.1796875" style="107" bestFit="1" customWidth="1"/>
    <col min="20" max="20" width="12.1796875" style="107" bestFit="1" customWidth="1"/>
    <col min="21" max="21" width="13.1796875" style="107" bestFit="1" customWidth="1"/>
    <col min="22" max="25" width="12.1796875" style="107" bestFit="1" customWidth="1"/>
    <col min="26" max="45" width="13.1796875" style="107" bestFit="1" customWidth="1"/>
    <col min="46" max="46" width="14.6328125" style="107" bestFit="1" customWidth="1"/>
    <col min="47" max="61" width="10.453125" style="107" bestFit="1" customWidth="1"/>
    <col min="62" max="16384" width="10.90625" style="105"/>
  </cols>
  <sheetData>
    <row r="1" spans="2:61" x14ac:dyDescent="0.35">
      <c r="B1" s="104" t="str">
        <f ca="1">RIGHT(CELL("nomfichier",A1),LEN(CELL("nomfichier",A1))-FIND("]",CELL("nomfichier",A1),1))</f>
        <v>Données_historiques</v>
      </c>
      <c r="F1" s="106" t="str">
        <f>Controles!F1</f>
        <v>Erreurs</v>
      </c>
      <c r="G1" s="105">
        <f>Controles!G1</f>
        <v>0</v>
      </c>
    </row>
    <row r="2" spans="2:61" x14ac:dyDescent="0.35">
      <c r="F2" s="108" t="str">
        <f>Controles!F2</f>
        <v>Alertes</v>
      </c>
      <c r="G2" s="105">
        <f>Controles!G2</f>
        <v>0</v>
      </c>
    </row>
    <row r="3" spans="2:61" x14ac:dyDescent="0.35">
      <c r="N3" s="109">
        <f>Time!N20</f>
        <v>43861</v>
      </c>
      <c r="O3" s="109">
        <f>Time!O20</f>
        <v>43890</v>
      </c>
      <c r="P3" s="109">
        <f>Time!P20</f>
        <v>43921</v>
      </c>
      <c r="Q3" s="109">
        <f>Time!Q20</f>
        <v>43951</v>
      </c>
      <c r="R3" s="109">
        <f>Time!R20</f>
        <v>43982</v>
      </c>
      <c r="S3" s="109">
        <f>Time!S20</f>
        <v>44012</v>
      </c>
      <c r="T3" s="109">
        <f>Time!T20</f>
        <v>44043</v>
      </c>
      <c r="U3" s="109">
        <f>Time!U20</f>
        <v>44074</v>
      </c>
      <c r="V3" s="109">
        <f>Time!V20</f>
        <v>44104</v>
      </c>
      <c r="W3" s="109">
        <f>Time!W20</f>
        <v>44135</v>
      </c>
      <c r="X3" s="109">
        <f>Time!X20</f>
        <v>44165</v>
      </c>
      <c r="Y3" s="109">
        <f>Time!Y20</f>
        <v>44196</v>
      </c>
      <c r="Z3" s="109">
        <f>Time!Z20</f>
        <v>44227</v>
      </c>
      <c r="AA3" s="109">
        <f>Time!AA20</f>
        <v>44255</v>
      </c>
      <c r="AB3" s="109">
        <f>Time!AB20</f>
        <v>44286</v>
      </c>
      <c r="AC3" s="109">
        <f>Time!AC20</f>
        <v>44316</v>
      </c>
      <c r="AD3" s="109">
        <f>Time!AD20</f>
        <v>44347</v>
      </c>
      <c r="AE3" s="109">
        <f>Time!AE20</f>
        <v>44377</v>
      </c>
      <c r="AF3" s="109">
        <f>Time!AF20</f>
        <v>44408</v>
      </c>
      <c r="AG3" s="109">
        <f>Time!AG20</f>
        <v>44439</v>
      </c>
      <c r="AH3" s="109">
        <f>Time!AH20</f>
        <v>44469</v>
      </c>
      <c r="AI3" s="109">
        <f>Time!AI20</f>
        <v>44500</v>
      </c>
      <c r="AJ3" s="109">
        <f>Time!AJ20</f>
        <v>44530</v>
      </c>
      <c r="AK3" s="109">
        <f>Time!AK20</f>
        <v>44561</v>
      </c>
      <c r="AL3" s="109">
        <f>Time!AL20</f>
        <v>44592</v>
      </c>
      <c r="AM3" s="109">
        <f>Time!AM20</f>
        <v>44620</v>
      </c>
      <c r="AN3" s="109">
        <f>Time!AN20</f>
        <v>44651</v>
      </c>
      <c r="AO3" s="109">
        <f>Time!AO20</f>
        <v>44681</v>
      </c>
      <c r="AP3" s="109">
        <f>Time!AP20</f>
        <v>44712</v>
      </c>
      <c r="AQ3" s="109">
        <f>Time!AQ20</f>
        <v>44742</v>
      </c>
      <c r="AR3" s="109">
        <f>Time!AR20</f>
        <v>44773</v>
      </c>
      <c r="AS3" s="109">
        <f>Time!AS20</f>
        <v>44804</v>
      </c>
      <c r="AT3" s="109">
        <f>Time!AT20</f>
        <v>44834</v>
      </c>
      <c r="AU3" s="109">
        <f>Time!AU20</f>
        <v>44865</v>
      </c>
      <c r="AV3" s="109">
        <f>Time!AV20</f>
        <v>44895</v>
      </c>
      <c r="AW3" s="109">
        <f>Time!AW20</f>
        <v>44926</v>
      </c>
      <c r="AX3" s="109">
        <f>Time!AX20</f>
        <v>44957</v>
      </c>
      <c r="AY3" s="109">
        <f>Time!AY20</f>
        <v>44985</v>
      </c>
      <c r="AZ3" s="109">
        <f>Time!AZ20</f>
        <v>45016</v>
      </c>
      <c r="BA3" s="109">
        <f>Time!BA20</f>
        <v>45046</v>
      </c>
      <c r="BB3" s="109">
        <f>Time!BB20</f>
        <v>45077</v>
      </c>
      <c r="BC3" s="109">
        <f>Time!BC20</f>
        <v>45107</v>
      </c>
      <c r="BD3" s="109">
        <f>Time!BD20</f>
        <v>45138</v>
      </c>
      <c r="BE3" s="109">
        <f>Time!BE20</f>
        <v>45169</v>
      </c>
      <c r="BF3" s="109">
        <f>Time!BF20</f>
        <v>45199</v>
      </c>
      <c r="BG3" s="109">
        <f>Time!BG20</f>
        <v>45230</v>
      </c>
      <c r="BH3" s="109">
        <f>Time!BH20</f>
        <v>45260</v>
      </c>
      <c r="BI3" s="109">
        <f>Time!BI20</f>
        <v>45291</v>
      </c>
    </row>
    <row r="4" spans="2:61" x14ac:dyDescent="0.35">
      <c r="N4" s="105" t="str">
        <f>Time!N41</f>
        <v>Exécution</v>
      </c>
      <c r="O4" s="105" t="str">
        <f>Time!O41</f>
        <v>Exécution</v>
      </c>
      <c r="P4" s="105" t="str">
        <f>Time!P41</f>
        <v>Exécution</v>
      </c>
      <c r="Q4" s="105" t="str">
        <f>Time!Q41</f>
        <v>Exécution</v>
      </c>
      <c r="R4" s="105" t="str">
        <f>Time!R41</f>
        <v>Exécution</v>
      </c>
      <c r="S4" s="107" t="str">
        <f>Time!S41</f>
        <v>Exécution</v>
      </c>
      <c r="T4" s="107" t="str">
        <f>Time!T41</f>
        <v>Exécution</v>
      </c>
      <c r="U4" s="107" t="str">
        <f>Time!U41</f>
        <v>Exécution</v>
      </c>
      <c r="V4" s="107" t="str">
        <f>Time!V41</f>
        <v>Exécution</v>
      </c>
      <c r="W4" s="107" t="str">
        <f>Time!W41</f>
        <v>Exécution</v>
      </c>
      <c r="X4" s="107" t="str">
        <f>Time!X41</f>
        <v>Exécution</v>
      </c>
      <c r="Y4" s="107" t="str">
        <f>Time!Y41</f>
        <v>Exécution</v>
      </c>
      <c r="Z4" s="107" t="str">
        <f>Time!Z41</f>
        <v>Exécution</v>
      </c>
      <c r="AA4" s="107" t="str">
        <f>Time!AA41</f>
        <v>Exécution</v>
      </c>
      <c r="AB4" s="107" t="str">
        <f>Time!AB41</f>
        <v>Exécution</v>
      </c>
      <c r="AC4" s="107" t="str">
        <f>Time!AC41</f>
        <v>Exécution</v>
      </c>
      <c r="AD4" s="107" t="str">
        <f>Time!AD41</f>
        <v>Exécution</v>
      </c>
      <c r="AE4" s="107" t="str">
        <f>Time!AE41</f>
        <v>Exécution</v>
      </c>
      <c r="AF4" s="107" t="str">
        <f>Time!AF41</f>
        <v>Exécution</v>
      </c>
      <c r="AG4" s="107" t="str">
        <f>Time!AG41</f>
        <v>Exécution</v>
      </c>
      <c r="AH4" s="107" t="str">
        <f>Time!AH41</f>
        <v>Exécution</v>
      </c>
      <c r="AI4" s="107" t="str">
        <f>Time!AI41</f>
        <v>Exécution</v>
      </c>
      <c r="AJ4" s="107" t="str">
        <f>Time!AJ41</f>
        <v>Exécution</v>
      </c>
      <c r="AK4" s="107" t="str">
        <f>Time!AK41</f>
        <v>Exécution</v>
      </c>
      <c r="AL4" s="107" t="str">
        <f>Time!AL41</f>
        <v>Trajectoire</v>
      </c>
      <c r="AM4" s="107" t="str">
        <f>Time!AM41</f>
        <v>Trajectoire</v>
      </c>
      <c r="AN4" s="107" t="str">
        <f>Time!AN41</f>
        <v>Trajectoire</v>
      </c>
      <c r="AO4" s="107" t="str">
        <f>Time!AO41</f>
        <v>Trajectoire</v>
      </c>
      <c r="AP4" s="107" t="str">
        <f>Time!AP41</f>
        <v>Trajectoire</v>
      </c>
      <c r="AQ4" s="107" t="str">
        <f>Time!AQ41</f>
        <v>Trajectoire</v>
      </c>
      <c r="AR4" s="107" t="str">
        <f>Time!AR41</f>
        <v>Trajectoire</v>
      </c>
      <c r="AS4" s="107" t="str">
        <f>Time!AS41</f>
        <v>Trajectoire</v>
      </c>
      <c r="AT4" s="107" t="str">
        <f>Time!AT41</f>
        <v>Trajectoire</v>
      </c>
      <c r="AU4" s="107" t="str">
        <f>Time!AU41</f>
        <v>Trajectoire</v>
      </c>
      <c r="AV4" s="107" t="str">
        <f>Time!AV41</f>
        <v>Trajectoire</v>
      </c>
      <c r="AW4" s="107" t="str">
        <f>Time!AW41</f>
        <v>Trajectoire</v>
      </c>
      <c r="AX4" s="107" t="str">
        <f>Time!AX41</f>
        <v>Trajectoire</v>
      </c>
      <c r="AY4" s="107" t="str">
        <f>Time!AY41</f>
        <v>Trajectoire</v>
      </c>
      <c r="AZ4" s="107" t="str">
        <f>Time!AZ41</f>
        <v>Trajectoire</v>
      </c>
      <c r="BA4" s="107" t="str">
        <f>Time!BA41</f>
        <v>Trajectoire</v>
      </c>
      <c r="BB4" s="107" t="str">
        <f>Time!BB41</f>
        <v>Trajectoire</v>
      </c>
      <c r="BC4" s="107" t="str">
        <f>Time!BC41</f>
        <v>Trajectoire</v>
      </c>
      <c r="BD4" s="107" t="str">
        <f>Time!BD41</f>
        <v>Trajectoire</v>
      </c>
      <c r="BE4" s="107" t="str">
        <f>Time!BE41</f>
        <v>Trajectoire</v>
      </c>
      <c r="BF4" s="107" t="str">
        <f>Time!BF41</f>
        <v>Trajectoire</v>
      </c>
      <c r="BG4" s="107" t="str">
        <f>Time!BG41</f>
        <v>Trajectoire</v>
      </c>
      <c r="BH4" s="107" t="str">
        <f>Time!BH41</f>
        <v>Trajectoire</v>
      </c>
      <c r="BI4" s="107" t="str">
        <f>Time!BI41</f>
        <v>Trajectoire</v>
      </c>
    </row>
    <row r="5" spans="2:61" x14ac:dyDescent="0.35">
      <c r="N5" s="109">
        <f>Time!N54</f>
        <v>44196</v>
      </c>
      <c r="O5" s="109">
        <f>Time!O54</f>
        <v>44196</v>
      </c>
      <c r="P5" s="109">
        <f>Time!P54</f>
        <v>44196</v>
      </c>
      <c r="Q5" s="109">
        <f>Time!Q54</f>
        <v>44196</v>
      </c>
      <c r="R5" s="109">
        <f>Time!R54</f>
        <v>44196</v>
      </c>
      <c r="S5" s="109">
        <f>Time!S54</f>
        <v>44196</v>
      </c>
      <c r="T5" s="109">
        <f>Time!T54</f>
        <v>44196</v>
      </c>
      <c r="U5" s="109">
        <f>Time!U54</f>
        <v>44196</v>
      </c>
      <c r="V5" s="109">
        <f>Time!V54</f>
        <v>44196</v>
      </c>
      <c r="W5" s="109">
        <f>Time!W54</f>
        <v>44196</v>
      </c>
      <c r="X5" s="109">
        <f>Time!X54</f>
        <v>44196</v>
      </c>
      <c r="Y5" s="109">
        <f>Time!Y54</f>
        <v>44196</v>
      </c>
      <c r="Z5" s="109">
        <f>Time!Z54</f>
        <v>44561</v>
      </c>
      <c r="AA5" s="109">
        <f>Time!AA54</f>
        <v>44561</v>
      </c>
      <c r="AB5" s="109">
        <f>Time!AB54</f>
        <v>44561</v>
      </c>
      <c r="AC5" s="109">
        <f>Time!AC54</f>
        <v>44561</v>
      </c>
      <c r="AD5" s="109">
        <f>Time!AD54</f>
        <v>44561</v>
      </c>
      <c r="AE5" s="109">
        <f>Time!AE54</f>
        <v>44561</v>
      </c>
      <c r="AF5" s="109">
        <f>Time!AF54</f>
        <v>44561</v>
      </c>
      <c r="AG5" s="109">
        <f>Time!AG54</f>
        <v>44561</v>
      </c>
      <c r="AH5" s="109">
        <f>Time!AH54</f>
        <v>44561</v>
      </c>
      <c r="AI5" s="109">
        <f>Time!AI54</f>
        <v>44561</v>
      </c>
      <c r="AJ5" s="109">
        <f>Time!AJ54</f>
        <v>44561</v>
      </c>
      <c r="AK5" s="109">
        <f>Time!AK54</f>
        <v>44561</v>
      </c>
      <c r="AL5" s="109">
        <f>Time!AL54</f>
        <v>44926</v>
      </c>
      <c r="AM5" s="109">
        <f>Time!AM54</f>
        <v>44926</v>
      </c>
      <c r="AN5" s="109">
        <f>Time!AN54</f>
        <v>44926</v>
      </c>
      <c r="AO5" s="109">
        <f>Time!AO54</f>
        <v>44926</v>
      </c>
      <c r="AP5" s="109">
        <f>Time!AP54</f>
        <v>44926</v>
      </c>
      <c r="AQ5" s="109">
        <f>Time!AQ54</f>
        <v>44926</v>
      </c>
      <c r="AR5" s="109">
        <f>Time!AR54</f>
        <v>44926</v>
      </c>
      <c r="AS5" s="109">
        <f>Time!AS54</f>
        <v>44926</v>
      </c>
      <c r="AT5" s="109">
        <f>Time!AT54</f>
        <v>44926</v>
      </c>
      <c r="AU5" s="109">
        <f>Time!AU54</f>
        <v>44926</v>
      </c>
      <c r="AV5" s="109">
        <f>Time!AV54</f>
        <v>44926</v>
      </c>
      <c r="AW5" s="109">
        <f>Time!AW54</f>
        <v>44926</v>
      </c>
      <c r="AX5" s="109">
        <f>Time!AX54</f>
        <v>45291</v>
      </c>
      <c r="AY5" s="109">
        <f>Time!AY54</f>
        <v>45291</v>
      </c>
      <c r="AZ5" s="109">
        <f>Time!AZ54</f>
        <v>45291</v>
      </c>
      <c r="BA5" s="109">
        <f>Time!BA54</f>
        <v>45291</v>
      </c>
      <c r="BB5" s="109">
        <f>Time!BB54</f>
        <v>45291</v>
      </c>
      <c r="BC5" s="109">
        <f>Time!BC54</f>
        <v>45291</v>
      </c>
      <c r="BD5" s="109">
        <f>Time!BD54</f>
        <v>45291</v>
      </c>
      <c r="BE5" s="109">
        <f>Time!BE54</f>
        <v>45291</v>
      </c>
      <c r="BF5" s="109">
        <f>Time!BF54</f>
        <v>45291</v>
      </c>
      <c r="BG5" s="109">
        <f>Time!BG54</f>
        <v>45291</v>
      </c>
      <c r="BH5" s="109">
        <f>Time!BH54</f>
        <v>45291</v>
      </c>
      <c r="BI5" s="109">
        <f>Time!BI54</f>
        <v>45291</v>
      </c>
    </row>
    <row r="6" spans="2:61" s="110" customFormat="1" x14ac:dyDescent="0.35">
      <c r="I6" s="110" t="s">
        <v>0</v>
      </c>
      <c r="J6" s="110" t="s">
        <v>1</v>
      </c>
      <c r="K6" s="110" t="s">
        <v>2</v>
      </c>
      <c r="M6" s="110" t="s">
        <v>3</v>
      </c>
      <c r="Z6" s="111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U6" s="112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</row>
    <row r="7" spans="2:61" x14ac:dyDescent="0.35">
      <c r="N7" s="107"/>
      <c r="O7" s="107"/>
      <c r="P7" s="107"/>
      <c r="Q7" s="107"/>
      <c r="R7" s="107"/>
      <c r="Z7" s="113"/>
      <c r="AA7" s="114"/>
    </row>
    <row r="8" spans="2:61" s="104" customFormat="1" x14ac:dyDescent="0.35">
      <c r="D8" s="104" t="s">
        <v>48</v>
      </c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5"/>
      <c r="AA8" s="115"/>
      <c r="AB8" s="115"/>
      <c r="AC8" s="115"/>
      <c r="AD8" s="115"/>
      <c r="AE8" s="115"/>
      <c r="AF8" s="115"/>
      <c r="AG8" s="115"/>
      <c r="AH8" s="113"/>
      <c r="AI8" s="115"/>
      <c r="AJ8" s="115"/>
      <c r="AK8" s="115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</row>
    <row r="9" spans="2:61" x14ac:dyDescent="0.35">
      <c r="N9" s="114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  <c r="AA9" s="117"/>
      <c r="AB9" s="117"/>
      <c r="AC9" s="117"/>
      <c r="AD9" s="117"/>
      <c r="AE9" s="117"/>
      <c r="AF9" s="117"/>
      <c r="AG9" s="117"/>
      <c r="AH9" s="114"/>
      <c r="AI9" s="114"/>
      <c r="AJ9" s="114"/>
      <c r="AK9" s="114"/>
      <c r="AL9" s="114"/>
      <c r="AM9" s="114"/>
      <c r="AN9" s="114"/>
      <c r="AO9" s="114"/>
      <c r="AP9" s="114"/>
      <c r="AQ9" s="114"/>
      <c r="AR9" s="114"/>
      <c r="AS9" s="114"/>
      <c r="AT9" s="114"/>
      <c r="AV9" s="114"/>
    </row>
    <row r="10" spans="2:61" x14ac:dyDescent="0.35">
      <c r="E10" s="105" t="str">
        <f>Paramétrage_général!I25&amp;"-"&amp;Paramétrage_général!I$20</f>
        <v>Dépôt-Exécution</v>
      </c>
      <c r="J10" s="105" t="s">
        <v>50</v>
      </c>
      <c r="K10" s="118" t="s">
        <v>58</v>
      </c>
      <c r="N10" s="120">
        <v>6320</v>
      </c>
      <c r="O10" s="120">
        <v>11443</v>
      </c>
      <c r="P10" s="120">
        <v>9961</v>
      </c>
      <c r="Q10" s="120">
        <v>5157</v>
      </c>
      <c r="R10" s="120">
        <v>7758</v>
      </c>
      <c r="S10" s="120">
        <v>19366</v>
      </c>
      <c r="T10" s="120">
        <v>17473</v>
      </c>
      <c r="U10" s="120">
        <v>10690</v>
      </c>
      <c r="V10" s="120">
        <v>19315</v>
      </c>
      <c r="W10" s="120">
        <v>28065</v>
      </c>
      <c r="X10" s="120">
        <v>30651</v>
      </c>
      <c r="Y10" s="120">
        <v>27939</v>
      </c>
      <c r="Z10" s="120">
        <v>52269</v>
      </c>
      <c r="AA10" s="120">
        <v>57486</v>
      </c>
      <c r="AB10" s="120">
        <v>67267</v>
      </c>
      <c r="AC10" s="120">
        <v>68625</v>
      </c>
      <c r="AD10" s="120">
        <v>60334</v>
      </c>
      <c r="AE10" s="120">
        <v>70423</v>
      </c>
      <c r="AF10" s="120">
        <v>55455</v>
      </c>
      <c r="AG10" s="120">
        <v>40687</v>
      </c>
      <c r="AH10" s="120">
        <v>62423</v>
      </c>
      <c r="AI10" s="120">
        <v>77015</v>
      </c>
      <c r="AJ10" s="120">
        <v>68409</v>
      </c>
      <c r="AK10" s="120">
        <v>80621</v>
      </c>
      <c r="AL10" s="121"/>
      <c r="AM10" s="121"/>
      <c r="AN10" s="121"/>
      <c r="AO10" s="121"/>
      <c r="AP10" s="121"/>
      <c r="AQ10" s="121"/>
      <c r="AR10" s="121"/>
      <c r="AS10" s="121"/>
      <c r="AT10" s="121"/>
      <c r="AU10" s="121"/>
      <c r="AV10" s="121"/>
      <c r="AW10" s="121"/>
      <c r="AX10" s="121"/>
      <c r="AY10" s="121"/>
      <c r="AZ10" s="121"/>
      <c r="BA10" s="121"/>
      <c r="BB10" s="121"/>
      <c r="BC10" s="121"/>
      <c r="BD10" s="121"/>
      <c r="BE10" s="121"/>
      <c r="BF10" s="121"/>
      <c r="BG10" s="121"/>
      <c r="BH10" s="121"/>
      <c r="BI10" s="121"/>
    </row>
    <row r="11" spans="2:61" x14ac:dyDescent="0.35">
      <c r="E11" s="105" t="str">
        <f>Paramétrage_général!I26&amp;"-"&amp;Paramétrage_général!I$20</f>
        <v>Engagement-Exécution</v>
      </c>
      <c r="J11" s="105" t="s">
        <v>50</v>
      </c>
      <c r="K11" s="118" t="s">
        <v>58</v>
      </c>
      <c r="N11" s="120">
        <v>0</v>
      </c>
      <c r="O11" s="120">
        <v>0</v>
      </c>
      <c r="P11" s="120">
        <v>0</v>
      </c>
      <c r="Q11" s="120">
        <v>726</v>
      </c>
      <c r="R11" s="120">
        <v>4807</v>
      </c>
      <c r="S11" s="120">
        <v>7112</v>
      </c>
      <c r="T11" s="120">
        <v>17956</v>
      </c>
      <c r="U11" s="120">
        <v>27791</v>
      </c>
      <c r="V11" s="120">
        <v>13787</v>
      </c>
      <c r="W11" s="120">
        <v>14792</v>
      </c>
      <c r="X11" s="120">
        <v>20452</v>
      </c>
      <c r="Y11" s="120">
        <v>31303</v>
      </c>
      <c r="Z11" s="120">
        <v>33518</v>
      </c>
      <c r="AA11" s="120">
        <v>39754</v>
      </c>
      <c r="AB11" s="120">
        <v>45141</v>
      </c>
      <c r="AC11" s="120">
        <v>57254</v>
      </c>
      <c r="AD11" s="120">
        <v>55077</v>
      </c>
      <c r="AE11" s="120">
        <v>71050</v>
      </c>
      <c r="AF11" s="120">
        <v>60529</v>
      </c>
      <c r="AG11" s="120">
        <v>51721</v>
      </c>
      <c r="AH11" s="120">
        <v>51153</v>
      </c>
      <c r="AI11" s="120">
        <v>63159</v>
      </c>
      <c r="AJ11" s="120">
        <v>62431</v>
      </c>
      <c r="AK11" s="120">
        <v>70804</v>
      </c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</row>
    <row r="12" spans="2:61" x14ac:dyDescent="0.35">
      <c r="E12" s="105" t="str">
        <f>Paramétrage_général!I27&amp;"-"&amp;Paramétrage_général!I$20</f>
        <v>Rejet de l'engagement-Exécution</v>
      </c>
      <c r="J12" s="105" t="s">
        <v>50</v>
      </c>
      <c r="K12" s="118" t="s">
        <v>58</v>
      </c>
      <c r="N12" s="120">
        <v>0</v>
      </c>
      <c r="O12" s="120">
        <v>0</v>
      </c>
      <c r="P12" s="120">
        <v>0</v>
      </c>
      <c r="Q12" s="120">
        <v>0</v>
      </c>
      <c r="R12" s="120">
        <v>0</v>
      </c>
      <c r="S12" s="120">
        <v>38</v>
      </c>
      <c r="T12" s="120">
        <v>259</v>
      </c>
      <c r="U12" s="120">
        <v>357</v>
      </c>
      <c r="V12" s="120">
        <v>1196</v>
      </c>
      <c r="W12" s="120">
        <v>4629</v>
      </c>
      <c r="X12" s="120">
        <v>2287</v>
      </c>
      <c r="Y12" s="120">
        <v>2766</v>
      </c>
      <c r="Z12" s="120">
        <v>3246</v>
      </c>
      <c r="AA12" s="120">
        <v>4936</v>
      </c>
      <c r="AB12" s="120">
        <v>7071</v>
      </c>
      <c r="AC12" s="120">
        <v>7763</v>
      </c>
      <c r="AD12" s="120">
        <v>5182</v>
      </c>
      <c r="AE12" s="120">
        <v>6280</v>
      </c>
      <c r="AF12" s="120">
        <v>5842</v>
      </c>
      <c r="AG12" s="120">
        <v>6114</v>
      </c>
      <c r="AH12" s="120">
        <v>5310</v>
      </c>
      <c r="AI12" s="120">
        <v>7488</v>
      </c>
      <c r="AJ12" s="120">
        <v>7460</v>
      </c>
      <c r="AK12" s="120">
        <v>7494</v>
      </c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</row>
    <row r="13" spans="2:61" x14ac:dyDescent="0.35">
      <c r="E13" s="105" t="str">
        <f>Paramétrage_général!I28&amp;"-"&amp;Paramétrage_général!I$20</f>
        <v>Demande d'avance-Exécution</v>
      </c>
      <c r="J13" s="105" t="s">
        <v>50</v>
      </c>
      <c r="K13" s="118" t="s">
        <v>58</v>
      </c>
      <c r="N13" s="120">
        <v>0</v>
      </c>
      <c r="O13" s="120">
        <v>0</v>
      </c>
      <c r="P13" s="120">
        <v>0</v>
      </c>
      <c r="Q13" s="120">
        <v>0</v>
      </c>
      <c r="R13" s="120">
        <v>0</v>
      </c>
      <c r="S13" s="120">
        <v>18</v>
      </c>
      <c r="T13" s="120">
        <v>127</v>
      </c>
      <c r="U13" s="120">
        <v>326</v>
      </c>
      <c r="V13" s="120">
        <v>514</v>
      </c>
      <c r="W13" s="120">
        <v>527</v>
      </c>
      <c r="X13" s="120">
        <v>525</v>
      </c>
      <c r="Y13" s="120">
        <v>513</v>
      </c>
      <c r="Z13" s="120">
        <v>507</v>
      </c>
      <c r="AA13" s="120">
        <v>470</v>
      </c>
      <c r="AB13" s="120">
        <v>544</v>
      </c>
      <c r="AC13" s="120">
        <v>659</v>
      </c>
      <c r="AD13" s="120">
        <v>684</v>
      </c>
      <c r="AE13" s="120">
        <v>769</v>
      </c>
      <c r="AF13" s="120">
        <v>669</v>
      </c>
      <c r="AG13" s="120">
        <v>508</v>
      </c>
      <c r="AH13" s="120">
        <v>589</v>
      </c>
      <c r="AI13" s="120">
        <v>803</v>
      </c>
      <c r="AJ13" s="120">
        <v>508</v>
      </c>
      <c r="AK13" s="120">
        <v>416</v>
      </c>
      <c r="AL13" s="121"/>
      <c r="AM13" s="121"/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</row>
    <row r="14" spans="2:61" x14ac:dyDescent="0.35">
      <c r="E14" s="105" t="str">
        <f>Paramétrage_général!I29&amp;"-"&amp;Paramétrage_général!I$20</f>
        <v>Rejet de l'avance-Exécution</v>
      </c>
      <c r="J14" s="105" t="s">
        <v>50</v>
      </c>
      <c r="K14" s="118" t="s">
        <v>58</v>
      </c>
      <c r="N14" s="120">
        <v>0</v>
      </c>
      <c r="O14" s="120">
        <v>0</v>
      </c>
      <c r="P14" s="120">
        <v>0</v>
      </c>
      <c r="Q14" s="120">
        <v>0</v>
      </c>
      <c r="R14" s="120">
        <v>0</v>
      </c>
      <c r="S14" s="120">
        <v>0</v>
      </c>
      <c r="T14" s="120">
        <v>0</v>
      </c>
      <c r="U14" s="120">
        <v>0</v>
      </c>
      <c r="V14" s="120">
        <v>0</v>
      </c>
      <c r="W14" s="120">
        <v>0</v>
      </c>
      <c r="X14" s="120">
        <v>1</v>
      </c>
      <c r="Y14" s="120">
        <v>1</v>
      </c>
      <c r="Z14" s="120">
        <v>459</v>
      </c>
      <c r="AA14" s="120">
        <v>62</v>
      </c>
      <c r="AB14" s="120">
        <v>118</v>
      </c>
      <c r="AC14" s="120">
        <v>57</v>
      </c>
      <c r="AD14" s="120">
        <v>119</v>
      </c>
      <c r="AE14" s="120">
        <v>113</v>
      </c>
      <c r="AF14" s="120">
        <v>75</v>
      </c>
      <c r="AG14" s="120">
        <v>13</v>
      </c>
      <c r="AH14" s="120">
        <v>109</v>
      </c>
      <c r="AI14" s="120">
        <v>260</v>
      </c>
      <c r="AJ14" s="120">
        <v>116</v>
      </c>
      <c r="AK14" s="120">
        <v>54</v>
      </c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</row>
    <row r="15" spans="2:61" x14ac:dyDescent="0.35">
      <c r="E15" s="105" t="str">
        <f>Paramétrage_général!I30&amp;"-"&amp;Paramétrage_général!I$20</f>
        <v>Paiement de l'avance-Exécution</v>
      </c>
      <c r="J15" s="105" t="s">
        <v>50</v>
      </c>
      <c r="K15" s="118" t="s">
        <v>58</v>
      </c>
      <c r="N15" s="120">
        <v>0</v>
      </c>
      <c r="O15" s="120">
        <v>0</v>
      </c>
      <c r="P15" s="120">
        <v>0</v>
      </c>
      <c r="Q15" s="120">
        <v>0</v>
      </c>
      <c r="R15" s="120">
        <v>0</v>
      </c>
      <c r="S15" s="120">
        <v>0</v>
      </c>
      <c r="T15" s="120">
        <v>0</v>
      </c>
      <c r="U15" s="120">
        <v>5</v>
      </c>
      <c r="V15" s="120">
        <v>25</v>
      </c>
      <c r="W15" s="120">
        <v>195</v>
      </c>
      <c r="X15" s="120">
        <v>51</v>
      </c>
      <c r="Y15" s="120">
        <v>590</v>
      </c>
      <c r="Z15" s="120">
        <v>707</v>
      </c>
      <c r="AA15" s="120">
        <v>743</v>
      </c>
      <c r="AB15" s="120">
        <v>462</v>
      </c>
      <c r="AC15" s="120">
        <v>505</v>
      </c>
      <c r="AD15" s="120">
        <v>491</v>
      </c>
      <c r="AE15" s="120">
        <v>422</v>
      </c>
      <c r="AF15" s="120">
        <v>592</v>
      </c>
      <c r="AG15" s="120">
        <v>430</v>
      </c>
      <c r="AH15" s="120">
        <v>555</v>
      </c>
      <c r="AI15" s="120">
        <v>487</v>
      </c>
      <c r="AJ15" s="120">
        <v>325</v>
      </c>
      <c r="AK15" s="120">
        <v>762</v>
      </c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</row>
    <row r="16" spans="2:61" x14ac:dyDescent="0.35">
      <c r="E16" s="105" t="str">
        <f>Paramétrage_général!I31&amp;"-"&amp;Paramétrage_général!I$20</f>
        <v>Demande de solde-Exécution</v>
      </c>
      <c r="J16" s="105" t="s">
        <v>50</v>
      </c>
      <c r="K16" s="118" t="s">
        <v>58</v>
      </c>
      <c r="N16" s="120">
        <v>0</v>
      </c>
      <c r="O16" s="120">
        <v>0</v>
      </c>
      <c r="P16" s="120">
        <v>0</v>
      </c>
      <c r="Q16" s="120">
        <v>87</v>
      </c>
      <c r="R16" s="120">
        <v>636</v>
      </c>
      <c r="S16" s="120">
        <v>2269</v>
      </c>
      <c r="T16" s="120">
        <v>4269</v>
      </c>
      <c r="U16" s="120">
        <v>6469</v>
      </c>
      <c r="V16" s="120">
        <v>10749</v>
      </c>
      <c r="W16" s="120">
        <v>14183</v>
      </c>
      <c r="X16" s="120">
        <v>16574</v>
      </c>
      <c r="Y16" s="120">
        <v>19960</v>
      </c>
      <c r="Z16" s="120">
        <v>21697</v>
      </c>
      <c r="AA16" s="120">
        <v>27179</v>
      </c>
      <c r="AB16" s="120">
        <v>32553</v>
      </c>
      <c r="AC16" s="120">
        <v>34544</v>
      </c>
      <c r="AD16" s="120">
        <v>32781</v>
      </c>
      <c r="AE16" s="120">
        <v>38664</v>
      </c>
      <c r="AF16" s="120">
        <v>40773</v>
      </c>
      <c r="AG16" s="120">
        <v>27624</v>
      </c>
      <c r="AH16" s="120">
        <v>44997</v>
      </c>
      <c r="AI16" s="120">
        <v>51424</v>
      </c>
      <c r="AJ16" s="120">
        <v>53131</v>
      </c>
      <c r="AK16" s="120">
        <v>56324</v>
      </c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</row>
    <row r="17" spans="4:61" x14ac:dyDescent="0.35">
      <c r="E17" s="105" t="str">
        <f>Paramétrage_général!I32&amp;"-"&amp;Paramétrage_général!I$20</f>
        <v>Paiement du solde-Exécution</v>
      </c>
      <c r="J17" s="105" t="s">
        <v>50</v>
      </c>
      <c r="K17" s="118" t="s">
        <v>58</v>
      </c>
      <c r="M17" s="114"/>
      <c r="N17" s="120">
        <v>0</v>
      </c>
      <c r="O17" s="120">
        <v>0</v>
      </c>
      <c r="P17" s="120">
        <v>0</v>
      </c>
      <c r="Q17" s="120">
        <v>0</v>
      </c>
      <c r="R17" s="120">
        <v>21</v>
      </c>
      <c r="S17" s="120">
        <v>486</v>
      </c>
      <c r="T17" s="120">
        <v>1328</v>
      </c>
      <c r="U17" s="120">
        <v>1620</v>
      </c>
      <c r="V17" s="120">
        <v>2404</v>
      </c>
      <c r="W17" s="120">
        <v>3558</v>
      </c>
      <c r="X17" s="120">
        <v>18930</v>
      </c>
      <c r="Y17" s="120">
        <v>24201</v>
      </c>
      <c r="Z17" s="120">
        <v>11896</v>
      </c>
      <c r="AA17" s="120">
        <v>18436</v>
      </c>
      <c r="AB17" s="120">
        <v>26308</v>
      </c>
      <c r="AC17" s="120">
        <v>25819</v>
      </c>
      <c r="AD17" s="120">
        <v>25351</v>
      </c>
      <c r="AE17" s="120">
        <v>32358</v>
      </c>
      <c r="AF17" s="120">
        <v>36220</v>
      </c>
      <c r="AG17" s="120">
        <v>37185</v>
      </c>
      <c r="AH17" s="120">
        <v>39041</v>
      </c>
      <c r="AI17" s="120">
        <v>36356</v>
      </c>
      <c r="AJ17" s="120">
        <v>33503</v>
      </c>
      <c r="AK17" s="120">
        <v>41862</v>
      </c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</row>
    <row r="18" spans="4:61" x14ac:dyDescent="0.35">
      <c r="E18" s="105" t="str">
        <f>Paramétrage_général!I33&amp;"-"&amp;Paramétrage_général!I$20</f>
        <v>Rejet paiement-Exécution</v>
      </c>
      <c r="J18" s="105" t="s">
        <v>50</v>
      </c>
      <c r="K18" s="118" t="s">
        <v>58</v>
      </c>
      <c r="N18" s="120">
        <v>0</v>
      </c>
      <c r="O18" s="120">
        <v>0</v>
      </c>
      <c r="P18" s="120">
        <v>0</v>
      </c>
      <c r="Q18" s="120">
        <v>0</v>
      </c>
      <c r="R18" s="120">
        <v>0</v>
      </c>
      <c r="S18" s="120">
        <v>0</v>
      </c>
      <c r="T18" s="120">
        <v>2</v>
      </c>
      <c r="U18" s="120">
        <v>0</v>
      </c>
      <c r="V18" s="120">
        <v>0</v>
      </c>
      <c r="W18" s="120">
        <v>8</v>
      </c>
      <c r="X18" s="120">
        <v>11</v>
      </c>
      <c r="Y18" s="120">
        <v>697</v>
      </c>
      <c r="Z18" s="120">
        <v>839</v>
      </c>
      <c r="AA18" s="120">
        <v>1108</v>
      </c>
      <c r="AB18" s="120">
        <v>482</v>
      </c>
      <c r="AC18" s="120">
        <v>1169</v>
      </c>
      <c r="AD18" s="120">
        <v>651</v>
      </c>
      <c r="AE18" s="120">
        <v>1158</v>
      </c>
      <c r="AF18" s="120">
        <v>1274</v>
      </c>
      <c r="AG18" s="120">
        <v>1794</v>
      </c>
      <c r="AH18" s="120">
        <v>2191</v>
      </c>
      <c r="AI18" s="120">
        <v>2652</v>
      </c>
      <c r="AJ18" s="120">
        <v>3615</v>
      </c>
      <c r="AK18" s="120">
        <v>2039</v>
      </c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</row>
    <row r="19" spans="4:61" x14ac:dyDescent="0.35">
      <c r="E19" s="105" t="str">
        <f>Paramétrage_général!I34&amp;"-"&amp;Paramétrage_général!I$20</f>
        <v>Retrait total-Exécution</v>
      </c>
      <c r="J19" s="105" t="s">
        <v>50</v>
      </c>
      <c r="K19" s="118" t="s">
        <v>58</v>
      </c>
      <c r="N19" s="120">
        <v>0</v>
      </c>
      <c r="O19" s="120">
        <v>0</v>
      </c>
      <c r="P19" s="120">
        <v>0</v>
      </c>
      <c r="Q19" s="120">
        <v>0</v>
      </c>
      <c r="R19" s="120">
        <v>0</v>
      </c>
      <c r="S19" s="120">
        <v>0</v>
      </c>
      <c r="T19" s="120">
        <v>2</v>
      </c>
      <c r="U19" s="120">
        <v>0</v>
      </c>
      <c r="V19" s="120">
        <v>0</v>
      </c>
      <c r="W19" s="120">
        <v>8</v>
      </c>
      <c r="X19" s="120">
        <v>9</v>
      </c>
      <c r="Y19" s="120">
        <v>713</v>
      </c>
      <c r="Z19" s="120">
        <v>38</v>
      </c>
      <c r="AA19" s="120">
        <v>422</v>
      </c>
      <c r="AB19" s="120">
        <v>136</v>
      </c>
      <c r="AC19" s="120">
        <v>598</v>
      </c>
      <c r="AD19" s="120">
        <v>383</v>
      </c>
      <c r="AE19" s="120">
        <v>952</v>
      </c>
      <c r="AF19" s="120">
        <v>1055</v>
      </c>
      <c r="AG19" s="120">
        <v>1537</v>
      </c>
      <c r="AH19" s="120">
        <v>1814</v>
      </c>
      <c r="AI19" s="120">
        <v>2403</v>
      </c>
      <c r="AJ19" s="120">
        <v>3307</v>
      </c>
      <c r="AK19" s="120">
        <v>1661</v>
      </c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</row>
    <row r="20" spans="4:61" x14ac:dyDescent="0.35">
      <c r="E20" s="105" t="str">
        <f>Paramétrage_général!I35&amp;"-"&amp;Paramétrage_général!I$20</f>
        <v>Retrait partiel-Exécution</v>
      </c>
      <c r="J20" s="105" t="s">
        <v>50</v>
      </c>
      <c r="K20" s="118" t="s">
        <v>58</v>
      </c>
      <c r="N20" s="120">
        <v>0</v>
      </c>
      <c r="O20" s="120">
        <v>0</v>
      </c>
      <c r="P20" s="120">
        <v>0</v>
      </c>
      <c r="Q20" s="120">
        <v>0</v>
      </c>
      <c r="R20" s="120">
        <v>0</v>
      </c>
      <c r="S20" s="120">
        <v>0</v>
      </c>
      <c r="T20" s="120">
        <v>12</v>
      </c>
      <c r="U20" s="120">
        <v>9</v>
      </c>
      <c r="V20" s="120">
        <v>14</v>
      </c>
      <c r="W20" s="120">
        <v>84</v>
      </c>
      <c r="X20" s="120">
        <v>481</v>
      </c>
      <c r="Y20" s="120">
        <v>1775</v>
      </c>
      <c r="Z20" s="120">
        <v>24</v>
      </c>
      <c r="AA20" s="120">
        <v>258</v>
      </c>
      <c r="AB20" s="120">
        <v>573</v>
      </c>
      <c r="AC20" s="120">
        <v>570</v>
      </c>
      <c r="AD20" s="120">
        <v>743</v>
      </c>
      <c r="AE20" s="120">
        <v>1198</v>
      </c>
      <c r="AF20" s="120">
        <v>1628</v>
      </c>
      <c r="AG20" s="120">
        <v>1774</v>
      </c>
      <c r="AH20" s="120">
        <v>1835</v>
      </c>
      <c r="AI20" s="120">
        <v>1920</v>
      </c>
      <c r="AJ20" s="120">
        <v>1110</v>
      </c>
      <c r="AK20" s="120">
        <v>2140</v>
      </c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</row>
    <row r="21" spans="4:61" x14ac:dyDescent="0.35"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</row>
    <row r="22" spans="4:61" x14ac:dyDescent="0.35">
      <c r="D22" s="104" t="s">
        <v>49</v>
      </c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4"/>
      <c r="AM22" s="119"/>
      <c r="AN22" s="119"/>
      <c r="AO22" s="119"/>
      <c r="AP22" s="119"/>
      <c r="AQ22" s="119"/>
      <c r="AR22" s="119"/>
      <c r="AS22" s="119"/>
      <c r="AT22" s="119"/>
    </row>
    <row r="23" spans="4:61" x14ac:dyDescent="0.35">
      <c r="N23" s="107"/>
      <c r="O23" s="107"/>
      <c r="P23" s="107"/>
      <c r="Q23" s="107"/>
      <c r="R23" s="107"/>
    </row>
    <row r="24" spans="4:61" x14ac:dyDescent="0.35">
      <c r="E24" s="105" t="str">
        <f>Paramétrage_général!I25&amp;"-"&amp;Paramétrage_général!I$20</f>
        <v>Dépôt-Exécution</v>
      </c>
      <c r="J24" s="105" t="s">
        <v>51</v>
      </c>
      <c r="K24" s="118" t="s">
        <v>58</v>
      </c>
      <c r="N24" s="120">
        <v>23130610.18</v>
      </c>
      <c r="O24" s="120">
        <v>44398500.210000001</v>
      </c>
      <c r="P24" s="120">
        <v>40714392.460000001</v>
      </c>
      <c r="Q24" s="120">
        <v>25367062.789999999</v>
      </c>
      <c r="R24" s="120">
        <v>47650754.68</v>
      </c>
      <c r="S24" s="120">
        <v>117340642.18000001</v>
      </c>
      <c r="T24" s="120">
        <v>99551541.700000003</v>
      </c>
      <c r="U24" s="120">
        <v>29948583.800000001</v>
      </c>
      <c r="V24" s="120">
        <v>63069254.049999997</v>
      </c>
      <c r="W24" s="120">
        <v>92588493.819999993</v>
      </c>
      <c r="X24" s="120">
        <v>86151157.519999996</v>
      </c>
      <c r="Y24" s="120">
        <v>84977786.239999995</v>
      </c>
      <c r="Z24" s="120">
        <v>128670424.92</v>
      </c>
      <c r="AA24" s="120">
        <v>149748412.93000001</v>
      </c>
      <c r="AB24" s="120">
        <v>201825331.86000001</v>
      </c>
      <c r="AC24" s="120">
        <v>198412672.91</v>
      </c>
      <c r="AD24" s="120">
        <v>187398985.25</v>
      </c>
      <c r="AE24" s="120">
        <v>225117408.47</v>
      </c>
      <c r="AF24" s="120">
        <v>192520092.06</v>
      </c>
      <c r="AG24" s="120">
        <v>128542065.67</v>
      </c>
      <c r="AH24" s="120">
        <v>199918671.38</v>
      </c>
      <c r="AI24" s="120">
        <v>255096073.02000001</v>
      </c>
      <c r="AJ24" s="120">
        <v>249452947.46000001</v>
      </c>
      <c r="AK24" s="120">
        <v>293575405.31999999</v>
      </c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</row>
    <row r="25" spans="4:61" x14ac:dyDescent="0.35">
      <c r="E25" s="105" t="str">
        <f>Paramétrage_général!I26&amp;"-"&amp;Paramétrage_général!I$20</f>
        <v>Engagement-Exécution</v>
      </c>
      <c r="J25" s="105" t="s">
        <v>51</v>
      </c>
      <c r="K25" s="118" t="s">
        <v>58</v>
      </c>
      <c r="M25" s="114"/>
      <c r="N25" s="120">
        <v>0</v>
      </c>
      <c r="O25" s="120">
        <v>0</v>
      </c>
      <c r="P25" s="120">
        <v>0</v>
      </c>
      <c r="Q25" s="120">
        <v>1695772.18</v>
      </c>
      <c r="R25" s="120">
        <v>10857056.4</v>
      </c>
      <c r="S25" s="120">
        <v>20903722.16</v>
      </c>
      <c r="T25" s="120">
        <v>86869565.299999997</v>
      </c>
      <c r="U25" s="120">
        <v>172653794.88999999</v>
      </c>
      <c r="V25" s="120">
        <v>56745854.399999999</v>
      </c>
      <c r="W25" s="120">
        <v>49226405.049999997</v>
      </c>
      <c r="X25" s="120">
        <v>62967540.109999999</v>
      </c>
      <c r="Y25" s="120">
        <v>99522693.840000004</v>
      </c>
      <c r="Z25" s="120">
        <v>98951762.090000004</v>
      </c>
      <c r="AA25" s="120">
        <v>91501313.090000004</v>
      </c>
      <c r="AB25" s="120">
        <v>125765957.95</v>
      </c>
      <c r="AC25" s="120">
        <v>148151497.30000001</v>
      </c>
      <c r="AD25" s="120">
        <v>163744048.12</v>
      </c>
      <c r="AE25" s="120">
        <v>220443813.47999999</v>
      </c>
      <c r="AF25" s="120">
        <v>217255838.49000001</v>
      </c>
      <c r="AG25" s="120">
        <v>184361005.40000001</v>
      </c>
      <c r="AH25" s="120">
        <v>171496786</v>
      </c>
      <c r="AI25" s="120">
        <v>197482118.59999999</v>
      </c>
      <c r="AJ25" s="120">
        <v>216834248.84999999</v>
      </c>
      <c r="AK25" s="120">
        <v>258729610.41999999</v>
      </c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</row>
    <row r="26" spans="4:61" x14ac:dyDescent="0.35">
      <c r="E26" s="105" t="str">
        <f>Paramétrage_général!I30&amp;"-"&amp;Paramétrage_général!I$20</f>
        <v>Paiement de l'avance-Exécution</v>
      </c>
      <c r="J26" s="105" t="s">
        <v>51</v>
      </c>
      <c r="K26" s="118" t="s">
        <v>58</v>
      </c>
      <c r="M26" s="114"/>
      <c r="N26" s="120">
        <v>0</v>
      </c>
      <c r="O26" s="120">
        <v>0</v>
      </c>
      <c r="P26" s="120">
        <v>0</v>
      </c>
      <c r="Q26" s="120">
        <v>0</v>
      </c>
      <c r="R26" s="120">
        <v>0</v>
      </c>
      <c r="S26" s="120">
        <v>0</v>
      </c>
      <c r="T26" s="120">
        <v>0</v>
      </c>
      <c r="U26" s="120">
        <v>14559.87</v>
      </c>
      <c r="V26" s="120">
        <v>148309.84</v>
      </c>
      <c r="W26" s="120">
        <v>890807.46</v>
      </c>
      <c r="X26" s="120">
        <v>234430.93</v>
      </c>
      <c r="Y26" s="120">
        <v>2315794.2000000002</v>
      </c>
      <c r="Z26" s="120">
        <v>2375652.29</v>
      </c>
      <c r="AA26" s="120">
        <v>1888569.45</v>
      </c>
      <c r="AB26" s="120">
        <v>1044032.1399999999</v>
      </c>
      <c r="AC26" s="120">
        <v>1134493.48</v>
      </c>
      <c r="AD26" s="120">
        <v>1147931.47</v>
      </c>
      <c r="AE26" s="120">
        <v>838255.64</v>
      </c>
      <c r="AF26" s="120">
        <v>1314362.21</v>
      </c>
      <c r="AG26" s="120">
        <v>1063650.3399999999</v>
      </c>
      <c r="AH26" s="120">
        <v>1326775.6399999999</v>
      </c>
      <c r="AI26" s="120">
        <v>1348086.03</v>
      </c>
      <c r="AJ26" s="120">
        <v>967246.41</v>
      </c>
      <c r="AK26" s="120">
        <v>1934359.77</v>
      </c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</row>
    <row r="27" spans="4:61" x14ac:dyDescent="0.35">
      <c r="E27" s="105" t="str">
        <f>Paramétrage_général!I31&amp;"-"&amp;Paramétrage_général!I$20</f>
        <v>Demande de solde-Exécution</v>
      </c>
      <c r="J27" s="105" t="s">
        <v>51</v>
      </c>
      <c r="K27" s="118" t="s">
        <v>58</v>
      </c>
      <c r="M27" s="114"/>
      <c r="N27" s="120">
        <v>0</v>
      </c>
      <c r="O27" s="120">
        <v>0</v>
      </c>
      <c r="P27" s="120">
        <v>0</v>
      </c>
      <c r="Q27" s="120">
        <v>160504.63</v>
      </c>
      <c r="R27" s="120">
        <v>1267129.6000000001</v>
      </c>
      <c r="S27" s="120">
        <v>5261271.97</v>
      </c>
      <c r="T27" s="120">
        <v>13023606.43</v>
      </c>
      <c r="U27" s="120">
        <v>26368978.469999999</v>
      </c>
      <c r="V27" s="120">
        <v>44193795.350000001</v>
      </c>
      <c r="W27" s="120">
        <v>54588368.890000001</v>
      </c>
      <c r="X27" s="120">
        <v>54663927.649999999</v>
      </c>
      <c r="Y27" s="120">
        <v>64527047.490000002</v>
      </c>
      <c r="Z27" s="120">
        <v>68603893.200000003</v>
      </c>
      <c r="AA27" s="120">
        <v>68891145.689999998</v>
      </c>
      <c r="AB27" s="120">
        <v>88522987.609999999</v>
      </c>
      <c r="AC27" s="120">
        <v>85918607.150000006</v>
      </c>
      <c r="AD27" s="120">
        <v>84705685.909999996</v>
      </c>
      <c r="AE27" s="120">
        <v>117137593.17</v>
      </c>
      <c r="AF27" s="120">
        <v>121435745.29000001</v>
      </c>
      <c r="AG27" s="120">
        <v>83392625.019999996</v>
      </c>
      <c r="AH27" s="120">
        <v>129732636.14</v>
      </c>
      <c r="AI27" s="120">
        <v>164989438.21000001</v>
      </c>
      <c r="AJ27" s="120">
        <v>158424692.24000001</v>
      </c>
      <c r="AK27" s="120">
        <v>166312266.81999999</v>
      </c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</row>
    <row r="28" spans="4:61" x14ac:dyDescent="0.35">
      <c r="E28" s="105" t="str">
        <f>Paramétrage_général!I32&amp;"-"&amp;Paramétrage_général!I$20</f>
        <v>Paiement du solde-Exécution</v>
      </c>
      <c r="J28" s="105" t="s">
        <v>51</v>
      </c>
      <c r="K28" s="118" t="s">
        <v>58</v>
      </c>
      <c r="M28" s="114"/>
      <c r="N28" s="120">
        <v>0</v>
      </c>
      <c r="O28" s="120">
        <v>0</v>
      </c>
      <c r="P28" s="120">
        <v>0</v>
      </c>
      <c r="Q28" s="120">
        <v>0</v>
      </c>
      <c r="R28" s="120">
        <v>44685</v>
      </c>
      <c r="S28" s="120">
        <v>988666</v>
      </c>
      <c r="T28" s="120">
        <v>2666424.33</v>
      </c>
      <c r="U28" s="120">
        <v>4061805.18</v>
      </c>
      <c r="V28" s="120">
        <v>5735487.3700000001</v>
      </c>
      <c r="W28" s="120">
        <v>8219430.8699999992</v>
      </c>
      <c r="X28" s="120">
        <v>54109248.850000001</v>
      </c>
      <c r="Y28" s="120">
        <v>89012201.930000007</v>
      </c>
      <c r="Z28" s="120">
        <v>55583454.609999999</v>
      </c>
      <c r="AA28" s="120">
        <v>61614261.5</v>
      </c>
      <c r="AB28" s="120">
        <v>77492797.739999995</v>
      </c>
      <c r="AC28" s="120">
        <v>74397889.829999998</v>
      </c>
      <c r="AD28" s="120">
        <v>66504607.289999999</v>
      </c>
      <c r="AE28" s="120">
        <v>75983810.540000007</v>
      </c>
      <c r="AF28" s="120">
        <v>100634064.84</v>
      </c>
      <c r="AG28" s="120">
        <v>107300199.77</v>
      </c>
      <c r="AH28" s="120">
        <v>117185658.33</v>
      </c>
      <c r="AI28" s="120">
        <v>107755481.53</v>
      </c>
      <c r="AJ28" s="120">
        <v>100754852.08</v>
      </c>
      <c r="AK28" s="120">
        <v>124269933.77</v>
      </c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</row>
    <row r="29" spans="4:61" x14ac:dyDescent="0.35">
      <c r="E29" s="105" t="str">
        <f>Paramétrage_général!I34&amp;"-"&amp;Paramétrage_général!I$20</f>
        <v>Retrait total-Exécution</v>
      </c>
      <c r="J29" s="105" t="s">
        <v>51</v>
      </c>
      <c r="K29" s="118" t="s">
        <v>58</v>
      </c>
      <c r="N29" s="120">
        <v>0</v>
      </c>
      <c r="O29" s="120">
        <v>0</v>
      </c>
      <c r="P29" s="120">
        <v>0</v>
      </c>
      <c r="Q29" s="120">
        <v>0</v>
      </c>
      <c r="R29" s="120">
        <v>0</v>
      </c>
      <c r="S29" s="120">
        <v>0</v>
      </c>
      <c r="T29" s="120">
        <v>7069</v>
      </c>
      <c r="U29" s="120">
        <v>0</v>
      </c>
      <c r="V29" s="120">
        <v>0</v>
      </c>
      <c r="W29" s="120">
        <v>20051</v>
      </c>
      <c r="X29" s="120">
        <v>44008.75</v>
      </c>
      <c r="Y29" s="120">
        <v>1930455.98</v>
      </c>
      <c r="Z29" s="120">
        <v>105150.25</v>
      </c>
      <c r="AA29" s="120">
        <v>970778.02</v>
      </c>
      <c r="AB29" s="120">
        <v>412208.31</v>
      </c>
      <c r="AC29" s="120">
        <v>1150063.3500000001</v>
      </c>
      <c r="AD29" s="120">
        <v>620467.68000000005</v>
      </c>
      <c r="AE29" s="120">
        <v>1976676.4000000001</v>
      </c>
      <c r="AF29" s="120">
        <v>2431454.67</v>
      </c>
      <c r="AG29" s="120">
        <v>3508259.18</v>
      </c>
      <c r="AH29" s="120">
        <v>4170771.129999999</v>
      </c>
      <c r="AI29" s="120">
        <v>5140150.7</v>
      </c>
      <c r="AJ29" s="120">
        <v>7935632.1799999997</v>
      </c>
      <c r="AK29" s="120">
        <v>4311465.92</v>
      </c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</row>
    <row r="30" spans="4:61" x14ac:dyDescent="0.35">
      <c r="E30" s="105" t="str">
        <f>Paramétrage_général!I35&amp;"-"&amp;Paramétrage_général!I$20</f>
        <v>Retrait partiel-Exécution</v>
      </c>
      <c r="J30" s="105" t="s">
        <v>51</v>
      </c>
      <c r="K30" s="118" t="s">
        <v>58</v>
      </c>
      <c r="M30" s="114"/>
      <c r="N30" s="120">
        <v>0</v>
      </c>
      <c r="O30" s="120">
        <v>0</v>
      </c>
      <c r="P30" s="120">
        <v>0</v>
      </c>
      <c r="Q30" s="120">
        <v>0</v>
      </c>
      <c r="R30" s="120">
        <v>0</v>
      </c>
      <c r="S30" s="120">
        <v>0</v>
      </c>
      <c r="T30" s="120">
        <v>1616.5899999999983</v>
      </c>
      <c r="U30" s="120">
        <v>3628.9</v>
      </c>
      <c r="V30" s="120">
        <v>1197.6699999999992</v>
      </c>
      <c r="W30" s="120">
        <v>14896.850000000013</v>
      </c>
      <c r="X30" s="120">
        <v>185900.89999999988</v>
      </c>
      <c r="Y30" s="120">
        <v>1332867.1100000001</v>
      </c>
      <c r="Z30" s="120">
        <v>4958.4799999999959</v>
      </c>
      <c r="AA30" s="120">
        <v>114005.79000000004</v>
      </c>
      <c r="AB30" s="120">
        <v>256815.58000000007</v>
      </c>
      <c r="AC30" s="120">
        <v>254368.01</v>
      </c>
      <c r="AD30" s="120">
        <v>456301.45000000042</v>
      </c>
      <c r="AE30" s="120">
        <v>588117.16999999946</v>
      </c>
      <c r="AF30" s="120">
        <v>751919.37999999989</v>
      </c>
      <c r="AG30" s="120">
        <v>1033504.3099999987</v>
      </c>
      <c r="AH30" s="120">
        <v>1313177.8299999991</v>
      </c>
      <c r="AI30" s="120">
        <v>1464815.6799999997</v>
      </c>
      <c r="AJ30" s="120">
        <v>783020.19</v>
      </c>
      <c r="AK30" s="120">
        <v>2369978.5099999998</v>
      </c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</row>
    <row r="32" spans="4:61" x14ac:dyDescent="0.35">
      <c r="D32" s="104" t="s">
        <v>25</v>
      </c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</row>
    <row r="33" spans="19:46" x14ac:dyDescent="0.35"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</row>
    <row r="34" spans="19:46" x14ac:dyDescent="0.35"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</row>
    <row r="35" spans="19:46" x14ac:dyDescent="0.35"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</row>
    <row r="36" spans="19:46" x14ac:dyDescent="0.35"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</row>
    <row r="37" spans="19:46" x14ac:dyDescent="0.35"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</row>
    <row r="38" spans="19:46" x14ac:dyDescent="0.35"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</row>
    <row r="39" spans="19:46" x14ac:dyDescent="0.35"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</row>
    <row r="40" spans="19:46" x14ac:dyDescent="0.35"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</row>
    <row r="41" spans="19:46" x14ac:dyDescent="0.35"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</row>
    <row r="42" spans="19:46" x14ac:dyDescent="0.35"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</row>
    <row r="43" spans="19:46" x14ac:dyDescent="0.35"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</row>
  </sheetData>
  <sheetProtection algorithmName="SHA-512" hashValue="n2emRBRxowaKkZHwyH0EsbWC5ZUxIG+jg34l+6IjDEqb1X0roRlpz1xEKI3I8HgF7Gv36yBD2f0B0QYzWu4bEw==" saltValue="HILYiwti2SfpeE9T3mWmQg==" spinCount="100000" sheet="1" objects="1" scenarios="1"/>
  <conditionalFormatting sqref="G2">
    <cfRule type="cellIs" dxfId="13" priority="5" operator="greaterThan">
      <formula>0</formula>
    </cfRule>
    <cfRule type="cellIs" dxfId="12" priority="6" operator="equal">
      <formula>0</formula>
    </cfRule>
  </conditionalFormatting>
  <conditionalFormatting sqref="G1">
    <cfRule type="cellIs" dxfId="11" priority="3" operator="greaterThan">
      <formula>0</formula>
    </cfRule>
    <cfRule type="cellIs" dxfId="10" priority="4" operator="equal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097F77F4-F513-4526-B533-98EE7380A1E9}">
            <xm:f>Paramétrage_général!$I$20</xm:f>
            <x14:dxf>
              <font>
                <b/>
                <i val="0"/>
                <color theme="0"/>
              </font>
              <fill>
                <patternFill>
                  <bgColor rgb="FF002060"/>
                </patternFill>
              </fill>
            </x14:dxf>
          </x14:cfRule>
          <xm:sqref>N4:BI4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9BC2E6"/>
  </sheetPr>
  <dimension ref="B1:Y146"/>
  <sheetViews>
    <sheetView zoomScale="71" workbookViewId="0">
      <pane xSplit="10" ySplit="6" topLeftCell="K7" activePane="bottomRight" state="frozen"/>
      <selection activeCell="G33" sqref="G33"/>
      <selection pane="topRight" activeCell="G33" sqref="G33"/>
      <selection pane="bottomLeft" activeCell="G33" sqref="G33"/>
      <selection pane="bottomRight" activeCell="I20" sqref="I20"/>
    </sheetView>
  </sheetViews>
  <sheetFormatPr baseColWidth="10" defaultRowHeight="14.5" outlineLevelRow="1" x14ac:dyDescent="0.35"/>
  <cols>
    <col min="1" max="4" width="2.6328125" customWidth="1"/>
    <col min="14" max="14" width="15.1796875" bestFit="1" customWidth="1"/>
  </cols>
  <sheetData>
    <row r="1" spans="2:14" x14ac:dyDescent="0.35">
      <c r="B1" s="1" t="str">
        <f ca="1">RIGHT(CELL("nomfichier",A1),LEN(CELL("nomfichier",A1))-FIND("]",CELL("nomfichier",A1),1))</f>
        <v>Hypothèses_trajectoire</v>
      </c>
      <c r="F1" s="54" t="str">
        <f>Controles!F1</f>
        <v>Erreurs</v>
      </c>
      <c r="G1">
        <f>Controles!G1</f>
        <v>0</v>
      </c>
    </row>
    <row r="2" spans="2:14" x14ac:dyDescent="0.35">
      <c r="F2" s="55" t="str">
        <f>Controles!F2</f>
        <v>Alertes</v>
      </c>
      <c r="G2">
        <f>Controles!G2</f>
        <v>0</v>
      </c>
    </row>
    <row r="6" spans="2:14" s="2" customFormat="1" x14ac:dyDescent="0.35">
      <c r="I6" s="2" t="s">
        <v>0</v>
      </c>
      <c r="J6" s="2" t="s">
        <v>1</v>
      </c>
      <c r="K6" s="2" t="s">
        <v>2</v>
      </c>
    </row>
    <row r="8" spans="2:14" s="1" customFormat="1" x14ac:dyDescent="0.35">
      <c r="D8" s="1" t="s">
        <v>57</v>
      </c>
    </row>
    <row r="10" spans="2:14" x14ac:dyDescent="0.35">
      <c r="E10" t="str">
        <f>"Date de référence-Volumes-"&amp;Paramétrage_général!I25</f>
        <v>Date de référence-Volumes-Dépôt</v>
      </c>
      <c r="I10" s="100">
        <v>44377</v>
      </c>
      <c r="J10" t="s">
        <v>6</v>
      </c>
    </row>
    <row r="11" spans="2:14" x14ac:dyDescent="0.35">
      <c r="E11" t="str">
        <f>"Volume de référence-"&amp;Paramétrage_général!I25</f>
        <v>Volume de référence-Dépôt</v>
      </c>
      <c r="I11" s="120">
        <v>70423</v>
      </c>
      <c r="J11" t="s">
        <v>50</v>
      </c>
      <c r="N11" s="16"/>
    </row>
    <row r="12" spans="2:14" x14ac:dyDescent="0.35">
      <c r="I12" s="24"/>
    </row>
    <row r="13" spans="2:14" x14ac:dyDescent="0.35">
      <c r="E13" t="str">
        <f>"Date de référence-Coût moyen-"&amp;Paramétrage_général!I25</f>
        <v>Date de référence-Coût moyen-Dépôt</v>
      </c>
      <c r="I13" s="100">
        <v>44742</v>
      </c>
      <c r="J13" t="s">
        <v>6</v>
      </c>
    </row>
    <row r="14" spans="2:14" x14ac:dyDescent="0.35">
      <c r="D14" s="1"/>
      <c r="E14" t="str">
        <f>"Coût moyen de référence-"&amp;Paramétrage_général!I25</f>
        <v>Coût moyen de référence-Dépôt</v>
      </c>
      <c r="I14" s="120">
        <v>3196.6461024097239</v>
      </c>
      <c r="J14" t="s">
        <v>51</v>
      </c>
    </row>
    <row r="16" spans="2:14" x14ac:dyDescent="0.35">
      <c r="E16" t="s">
        <v>59</v>
      </c>
      <c r="I16" s="122">
        <v>0.1</v>
      </c>
      <c r="J16" t="s">
        <v>61</v>
      </c>
      <c r="K16" s="12"/>
    </row>
    <row r="17" spans="4:25" x14ac:dyDescent="0.35">
      <c r="E17" t="s">
        <v>60</v>
      </c>
      <c r="I17" s="122">
        <v>0.03</v>
      </c>
      <c r="J17" t="s">
        <v>61</v>
      </c>
    </row>
    <row r="18" spans="4:25" hidden="1" outlineLevel="1" x14ac:dyDescent="0.35"/>
    <row r="19" spans="4:25" hidden="1" outlineLevel="1" x14ac:dyDescent="0.35">
      <c r="E19" t="s">
        <v>141</v>
      </c>
      <c r="I19">
        <f>'Tableau de bord'!H8/1000-1</f>
        <v>0</v>
      </c>
    </row>
    <row r="20" spans="4:25" hidden="1" outlineLevel="1" x14ac:dyDescent="0.35">
      <c r="E20" t="s">
        <v>142</v>
      </c>
      <c r="I20">
        <f>'Tableau de bord'!J33</f>
        <v>0</v>
      </c>
    </row>
    <row r="21" spans="4:25" hidden="1" outlineLevel="1" x14ac:dyDescent="0.35"/>
    <row r="22" spans="4:25" hidden="1" outlineLevel="1" x14ac:dyDescent="0.35">
      <c r="E22" t="s">
        <v>59</v>
      </c>
      <c r="I22" s="20">
        <f>I16+I19</f>
        <v>0.1</v>
      </c>
      <c r="J22" t="s">
        <v>61</v>
      </c>
    </row>
    <row r="23" spans="4:25" hidden="1" outlineLevel="1" x14ac:dyDescent="0.35">
      <c r="E23" t="s">
        <v>60</v>
      </c>
      <c r="I23" s="20">
        <f>I17+I20</f>
        <v>0.03</v>
      </c>
      <c r="J23" t="s">
        <v>61</v>
      </c>
    </row>
    <row r="24" spans="4:25" collapsed="1" x14ac:dyDescent="0.35">
      <c r="I24" s="20"/>
    </row>
    <row r="25" spans="4:25" s="4" customFormat="1" x14ac:dyDescent="0.35">
      <c r="E25" s="4" t="str">
        <f>Time!E13</f>
        <v>Mois</v>
      </c>
      <c r="I25" s="22"/>
      <c r="J25" s="4" t="str">
        <f>Time!J13</f>
        <v>N° mois</v>
      </c>
      <c r="N25" s="4">
        <f>Time!N13</f>
        <v>1</v>
      </c>
      <c r="O25" s="4">
        <f>Time!O13</f>
        <v>2</v>
      </c>
      <c r="P25" s="4">
        <f>Time!P13</f>
        <v>3</v>
      </c>
      <c r="Q25" s="4">
        <f>Time!Q13</f>
        <v>4</v>
      </c>
      <c r="R25" s="4">
        <f>Time!R13</f>
        <v>5</v>
      </c>
      <c r="S25" s="4">
        <f>Time!S13</f>
        <v>6</v>
      </c>
      <c r="T25" s="4">
        <f>Time!T13</f>
        <v>7</v>
      </c>
      <c r="U25" s="4">
        <f>Time!U13</f>
        <v>8</v>
      </c>
      <c r="V25" s="4">
        <f>Time!V13</f>
        <v>9</v>
      </c>
      <c r="W25" s="4">
        <f>Time!W13</f>
        <v>10</v>
      </c>
      <c r="X25" s="4">
        <f>Time!X13</f>
        <v>11</v>
      </c>
      <c r="Y25" s="4">
        <f>Time!Y13</f>
        <v>12</v>
      </c>
    </row>
    <row r="26" spans="4:25" x14ac:dyDescent="0.35">
      <c r="E26" t="str">
        <f>"Saisonnalité-"&amp;Paramétrage_général!I25</f>
        <v>Saisonnalité-Dépôt</v>
      </c>
      <c r="I26" s="20"/>
      <c r="J26" t="s">
        <v>66</v>
      </c>
      <c r="K26" s="12"/>
      <c r="N26" s="122">
        <v>0.85</v>
      </c>
      <c r="O26" s="122">
        <v>0.95</v>
      </c>
      <c r="P26" s="122">
        <v>1</v>
      </c>
      <c r="Q26" s="122">
        <v>1</v>
      </c>
      <c r="R26" s="122">
        <v>1</v>
      </c>
      <c r="S26" s="122">
        <v>0.95</v>
      </c>
      <c r="T26" s="122">
        <v>0.8</v>
      </c>
      <c r="U26" s="122">
        <v>0.6</v>
      </c>
      <c r="V26" s="122">
        <v>0.9</v>
      </c>
      <c r="W26" s="122">
        <v>1</v>
      </c>
      <c r="X26" s="122">
        <v>1</v>
      </c>
      <c r="Y26" s="122">
        <v>1.1000000000000001</v>
      </c>
    </row>
    <row r="27" spans="4:25" x14ac:dyDescent="0.35">
      <c r="I27" s="20"/>
    </row>
    <row r="29" spans="4:25" x14ac:dyDescent="0.35">
      <c r="D29" s="1" t="s">
        <v>78</v>
      </c>
    </row>
    <row r="31" spans="4:25" x14ac:dyDescent="0.35">
      <c r="E31" s="25" t="s">
        <v>86</v>
      </c>
      <c r="I31" t="s">
        <v>79</v>
      </c>
    </row>
    <row r="32" spans="4:25" x14ac:dyDescent="0.35">
      <c r="E32" s="25">
        <v>1</v>
      </c>
      <c r="I32" s="120">
        <v>20</v>
      </c>
      <c r="J32" t="s">
        <v>64</v>
      </c>
    </row>
    <row r="33" spans="5:10" x14ac:dyDescent="0.35">
      <c r="E33" s="25">
        <v>2</v>
      </c>
      <c r="I33" s="120">
        <v>20</v>
      </c>
      <c r="J33" t="s">
        <v>64</v>
      </c>
    </row>
    <row r="34" spans="5:10" x14ac:dyDescent="0.35">
      <c r="E34" s="25">
        <v>3</v>
      </c>
      <c r="I34" s="120">
        <v>20</v>
      </c>
      <c r="J34" t="s">
        <v>64</v>
      </c>
    </row>
    <row r="35" spans="5:10" x14ac:dyDescent="0.35">
      <c r="E35" s="25">
        <v>4</v>
      </c>
      <c r="I35" s="120">
        <v>20</v>
      </c>
      <c r="J35" t="s">
        <v>64</v>
      </c>
    </row>
    <row r="36" spans="5:10" x14ac:dyDescent="0.35">
      <c r="E36" s="25">
        <v>5</v>
      </c>
      <c r="I36" s="120">
        <v>20</v>
      </c>
      <c r="J36" t="s">
        <v>64</v>
      </c>
    </row>
    <row r="37" spans="5:10" x14ac:dyDescent="0.35">
      <c r="E37" s="25">
        <v>6</v>
      </c>
      <c r="I37" s="120">
        <v>20</v>
      </c>
      <c r="J37" t="s">
        <v>64</v>
      </c>
    </row>
    <row r="38" spans="5:10" x14ac:dyDescent="0.35">
      <c r="E38" s="25">
        <v>7</v>
      </c>
      <c r="I38" s="120">
        <v>20</v>
      </c>
      <c r="J38" t="s">
        <v>64</v>
      </c>
    </row>
    <row r="39" spans="5:10" x14ac:dyDescent="0.35">
      <c r="E39" s="25">
        <v>8</v>
      </c>
      <c r="I39" s="120">
        <v>20</v>
      </c>
      <c r="J39" t="s">
        <v>64</v>
      </c>
    </row>
    <row r="40" spans="5:10" x14ac:dyDescent="0.35">
      <c r="E40" s="25">
        <v>9</v>
      </c>
      <c r="I40" s="120">
        <v>20</v>
      </c>
      <c r="J40" t="s">
        <v>64</v>
      </c>
    </row>
    <row r="41" spans="5:10" x14ac:dyDescent="0.35">
      <c r="E41" s="25">
        <v>10</v>
      </c>
      <c r="I41" s="120">
        <v>20</v>
      </c>
      <c r="J41" t="s">
        <v>64</v>
      </c>
    </row>
    <row r="42" spans="5:10" x14ac:dyDescent="0.35">
      <c r="E42" s="25">
        <v>11</v>
      </c>
      <c r="I42" s="120">
        <v>20</v>
      </c>
      <c r="J42" t="s">
        <v>64</v>
      </c>
    </row>
    <row r="43" spans="5:10" x14ac:dyDescent="0.35">
      <c r="E43" s="25">
        <v>12</v>
      </c>
      <c r="I43" s="120">
        <v>20</v>
      </c>
      <c r="J43" t="s">
        <v>64</v>
      </c>
    </row>
    <row r="45" spans="5:10" hidden="1" outlineLevel="1" x14ac:dyDescent="0.35">
      <c r="E45" t="str">
        <f>'Tableau de bord'!Q84</f>
        <v>DB-contrôle délais</v>
      </c>
      <c r="I45">
        <f>'Tableau de bord'!R98</f>
        <v>0</v>
      </c>
    </row>
    <row r="46" spans="5:10" hidden="1" outlineLevel="1" x14ac:dyDescent="0.35">
      <c r="E46" s="25"/>
      <c r="I46" s="30"/>
    </row>
    <row r="47" spans="5:10" hidden="1" outlineLevel="1" x14ac:dyDescent="0.35">
      <c r="E47" s="25" t="s">
        <v>86</v>
      </c>
      <c r="I47" t="s">
        <v>79</v>
      </c>
    </row>
    <row r="48" spans="5:10" hidden="1" outlineLevel="1" x14ac:dyDescent="0.35">
      <c r="E48" s="25">
        <v>1</v>
      </c>
      <c r="I48" s="30">
        <f>I32*(1+$I$45)</f>
        <v>20</v>
      </c>
      <c r="J48" t="s">
        <v>64</v>
      </c>
    </row>
    <row r="49" spans="5:10" hidden="1" outlineLevel="1" x14ac:dyDescent="0.35">
      <c r="E49" s="25">
        <v>2</v>
      </c>
      <c r="I49" s="30">
        <f t="shared" ref="I49:I59" si="0">I33*(1+$I$45)</f>
        <v>20</v>
      </c>
      <c r="J49" t="s">
        <v>64</v>
      </c>
    </row>
    <row r="50" spans="5:10" hidden="1" outlineLevel="1" x14ac:dyDescent="0.35">
      <c r="E50" s="25">
        <v>3</v>
      </c>
      <c r="I50" s="30">
        <f t="shared" si="0"/>
        <v>20</v>
      </c>
      <c r="J50" t="s">
        <v>64</v>
      </c>
    </row>
    <row r="51" spans="5:10" hidden="1" outlineLevel="1" x14ac:dyDescent="0.35">
      <c r="E51" s="25">
        <v>4</v>
      </c>
      <c r="I51" s="30">
        <f t="shared" si="0"/>
        <v>20</v>
      </c>
      <c r="J51" t="s">
        <v>64</v>
      </c>
    </row>
    <row r="52" spans="5:10" hidden="1" outlineLevel="1" x14ac:dyDescent="0.35">
      <c r="E52" s="25">
        <v>5</v>
      </c>
      <c r="I52" s="30">
        <f t="shared" si="0"/>
        <v>20</v>
      </c>
      <c r="J52" t="s">
        <v>64</v>
      </c>
    </row>
    <row r="53" spans="5:10" hidden="1" outlineLevel="1" x14ac:dyDescent="0.35">
      <c r="E53" s="25">
        <v>6</v>
      </c>
      <c r="I53" s="30">
        <f t="shared" si="0"/>
        <v>20</v>
      </c>
      <c r="J53" t="s">
        <v>64</v>
      </c>
    </row>
    <row r="54" spans="5:10" hidden="1" outlineLevel="1" x14ac:dyDescent="0.35">
      <c r="E54" s="25">
        <v>7</v>
      </c>
      <c r="I54" s="30">
        <f t="shared" si="0"/>
        <v>20</v>
      </c>
      <c r="J54" t="s">
        <v>64</v>
      </c>
    </row>
    <row r="55" spans="5:10" hidden="1" outlineLevel="1" x14ac:dyDescent="0.35">
      <c r="E55" s="25">
        <v>8</v>
      </c>
      <c r="I55" s="30">
        <f t="shared" si="0"/>
        <v>20</v>
      </c>
      <c r="J55" t="s">
        <v>64</v>
      </c>
    </row>
    <row r="56" spans="5:10" hidden="1" outlineLevel="1" x14ac:dyDescent="0.35">
      <c r="E56" s="25">
        <v>9</v>
      </c>
      <c r="I56" s="30">
        <f t="shared" si="0"/>
        <v>20</v>
      </c>
      <c r="J56" t="s">
        <v>64</v>
      </c>
    </row>
    <row r="57" spans="5:10" hidden="1" outlineLevel="1" x14ac:dyDescent="0.35">
      <c r="E57" s="25">
        <v>10</v>
      </c>
      <c r="I57" s="30">
        <f t="shared" si="0"/>
        <v>20</v>
      </c>
      <c r="J57" t="s">
        <v>64</v>
      </c>
    </row>
    <row r="58" spans="5:10" hidden="1" outlineLevel="1" x14ac:dyDescent="0.35">
      <c r="E58" s="25">
        <v>11</v>
      </c>
      <c r="I58" s="30">
        <f t="shared" si="0"/>
        <v>20</v>
      </c>
      <c r="J58" t="s">
        <v>64</v>
      </c>
    </row>
    <row r="59" spans="5:10" hidden="1" outlineLevel="1" x14ac:dyDescent="0.35">
      <c r="E59" s="25">
        <v>12</v>
      </c>
      <c r="I59" s="30">
        <f t="shared" si="0"/>
        <v>20</v>
      </c>
      <c r="J59" t="s">
        <v>64</v>
      </c>
    </row>
    <row r="60" spans="5:10" hidden="1" outlineLevel="1" x14ac:dyDescent="0.35">
      <c r="E60" s="25"/>
      <c r="I60" s="30"/>
    </row>
    <row r="61" spans="5:10" collapsed="1" x14ac:dyDescent="0.35">
      <c r="E61" s="25" t="s">
        <v>108</v>
      </c>
      <c r="I61" s="120">
        <v>30</v>
      </c>
      <c r="J61" t="s">
        <v>64</v>
      </c>
    </row>
    <row r="63" spans="5:10" x14ac:dyDescent="0.35">
      <c r="E63" t="s">
        <v>122</v>
      </c>
      <c r="I63" s="122">
        <v>0.1</v>
      </c>
      <c r="J63" t="s">
        <v>87</v>
      </c>
    </row>
    <row r="65" spans="4:10" x14ac:dyDescent="0.35">
      <c r="D65" s="1" t="s">
        <v>95</v>
      </c>
    </row>
    <row r="67" spans="4:10" x14ac:dyDescent="0.35">
      <c r="E67" t="s">
        <v>96</v>
      </c>
      <c r="I67" s="122">
        <v>0.01</v>
      </c>
      <c r="J67" t="s">
        <v>97</v>
      </c>
    </row>
    <row r="68" spans="4:10" x14ac:dyDescent="0.35">
      <c r="E68" t="s">
        <v>98</v>
      </c>
      <c r="I68" s="122">
        <v>0.19600000000000001</v>
      </c>
      <c r="J68" t="s">
        <v>99</v>
      </c>
    </row>
    <row r="69" spans="4:10" x14ac:dyDescent="0.35">
      <c r="E69" t="s">
        <v>100</v>
      </c>
      <c r="I69" s="122">
        <v>0.42799999999999999</v>
      </c>
      <c r="J69" t="s">
        <v>101</v>
      </c>
    </row>
    <row r="70" spans="4:10" x14ac:dyDescent="0.35">
      <c r="E70" t="s">
        <v>102</v>
      </c>
      <c r="I70" s="121">
        <v>74</v>
      </c>
      <c r="J70" t="s">
        <v>64</v>
      </c>
    </row>
    <row r="71" spans="4:10" x14ac:dyDescent="0.35">
      <c r="E71" s="25" t="s">
        <v>108</v>
      </c>
      <c r="I71" s="121">
        <v>10</v>
      </c>
      <c r="J71" t="s">
        <v>64</v>
      </c>
    </row>
    <row r="73" spans="4:10" x14ac:dyDescent="0.35">
      <c r="D73" s="1" t="s">
        <v>103</v>
      </c>
    </row>
    <row r="74" spans="4:10" x14ac:dyDescent="0.35">
      <c r="D74" s="1"/>
    </row>
    <row r="75" spans="4:10" x14ac:dyDescent="0.35">
      <c r="D75" s="1"/>
      <c r="E75" s="25" t="s">
        <v>104</v>
      </c>
      <c r="I75" t="s">
        <v>105</v>
      </c>
    </row>
    <row r="76" spans="4:10" x14ac:dyDescent="0.35">
      <c r="D76" s="1"/>
      <c r="E76" s="25">
        <v>1</v>
      </c>
      <c r="I76" s="120">
        <v>105</v>
      </c>
      <c r="J76" t="s">
        <v>64</v>
      </c>
    </row>
    <row r="77" spans="4:10" x14ac:dyDescent="0.35">
      <c r="D77" s="1"/>
      <c r="E77" s="25">
        <v>2</v>
      </c>
      <c r="I77" s="120">
        <v>105</v>
      </c>
      <c r="J77" t="s">
        <v>64</v>
      </c>
    </row>
    <row r="78" spans="4:10" x14ac:dyDescent="0.35">
      <c r="D78" s="1"/>
      <c r="E78" s="25">
        <v>3</v>
      </c>
      <c r="I78" s="120">
        <v>105</v>
      </c>
      <c r="J78" t="s">
        <v>64</v>
      </c>
    </row>
    <row r="79" spans="4:10" x14ac:dyDescent="0.35">
      <c r="D79" s="1"/>
      <c r="E79" s="25">
        <v>4</v>
      </c>
      <c r="I79" s="120">
        <v>105</v>
      </c>
      <c r="J79" t="s">
        <v>64</v>
      </c>
    </row>
    <row r="80" spans="4:10" x14ac:dyDescent="0.35">
      <c r="D80" s="1"/>
      <c r="E80" s="25">
        <v>5</v>
      </c>
      <c r="I80" s="120">
        <v>105</v>
      </c>
      <c r="J80" t="s">
        <v>64</v>
      </c>
    </row>
    <row r="81" spans="4:10" x14ac:dyDescent="0.35">
      <c r="D81" s="1"/>
      <c r="E81" s="25">
        <v>6</v>
      </c>
      <c r="I81" s="120">
        <v>105</v>
      </c>
      <c r="J81" t="s">
        <v>64</v>
      </c>
    </row>
    <row r="82" spans="4:10" x14ac:dyDescent="0.35">
      <c r="D82" s="1"/>
      <c r="E82" s="25">
        <v>7</v>
      </c>
      <c r="I82" s="120">
        <v>105</v>
      </c>
      <c r="J82" t="s">
        <v>64</v>
      </c>
    </row>
    <row r="83" spans="4:10" x14ac:dyDescent="0.35">
      <c r="D83" s="1"/>
      <c r="E83" s="25">
        <v>8</v>
      </c>
      <c r="I83" s="120">
        <v>105</v>
      </c>
      <c r="J83" t="s">
        <v>64</v>
      </c>
    </row>
    <row r="84" spans="4:10" x14ac:dyDescent="0.35">
      <c r="D84" s="1"/>
      <c r="E84" s="25">
        <v>9</v>
      </c>
      <c r="I84" s="120">
        <v>105</v>
      </c>
      <c r="J84" t="s">
        <v>64</v>
      </c>
    </row>
    <row r="85" spans="4:10" x14ac:dyDescent="0.35">
      <c r="D85" s="1"/>
      <c r="E85" s="25">
        <v>10</v>
      </c>
      <c r="I85" s="120">
        <v>105</v>
      </c>
      <c r="J85" t="s">
        <v>64</v>
      </c>
    </row>
    <row r="86" spans="4:10" x14ac:dyDescent="0.35">
      <c r="D86" s="1"/>
      <c r="E86" s="25">
        <v>11</v>
      </c>
      <c r="I86" s="120">
        <v>105</v>
      </c>
      <c r="J86" t="s">
        <v>64</v>
      </c>
    </row>
    <row r="87" spans="4:10" x14ac:dyDescent="0.35">
      <c r="D87" s="1"/>
      <c r="E87" s="25">
        <v>12</v>
      </c>
      <c r="I87" s="120">
        <v>105</v>
      </c>
      <c r="J87" t="s">
        <v>64</v>
      </c>
    </row>
    <row r="88" spans="4:10" hidden="1" outlineLevel="1" x14ac:dyDescent="0.35">
      <c r="D88" s="1"/>
      <c r="I88" s="41"/>
    </row>
    <row r="89" spans="4:10" hidden="1" outlineLevel="1" x14ac:dyDescent="0.35">
      <c r="D89" s="1"/>
      <c r="E89" t="str">
        <f>'Tableau de bord'!Q84</f>
        <v>DB-contrôle délais</v>
      </c>
      <c r="I89" s="41">
        <f>'Tableau de bord'!T98</f>
        <v>0</v>
      </c>
    </row>
    <row r="90" spans="4:10" hidden="1" outlineLevel="1" x14ac:dyDescent="0.35">
      <c r="D90" s="1"/>
      <c r="I90" s="41"/>
    </row>
    <row r="91" spans="4:10" hidden="1" outlineLevel="1" x14ac:dyDescent="0.35">
      <c r="D91" s="1"/>
      <c r="E91" s="25" t="s">
        <v>104</v>
      </c>
      <c r="I91" s="41" t="s">
        <v>105</v>
      </c>
    </row>
    <row r="92" spans="4:10" hidden="1" outlineLevel="1" x14ac:dyDescent="0.35">
      <c r="D92" s="1"/>
      <c r="E92" s="25">
        <v>1</v>
      </c>
      <c r="I92" s="84">
        <f>I76*(1+$I$89)</f>
        <v>105</v>
      </c>
      <c r="J92" t="s">
        <v>64</v>
      </c>
    </row>
    <row r="93" spans="4:10" hidden="1" outlineLevel="1" x14ac:dyDescent="0.35">
      <c r="D93" s="1"/>
      <c r="E93" s="25">
        <v>2</v>
      </c>
      <c r="I93" s="84">
        <f t="shared" ref="I93:I103" si="1">I77*(1+$I$89)</f>
        <v>105</v>
      </c>
      <c r="J93" t="s">
        <v>64</v>
      </c>
    </row>
    <row r="94" spans="4:10" hidden="1" outlineLevel="1" x14ac:dyDescent="0.35">
      <c r="D94" s="1"/>
      <c r="E94" s="25">
        <v>3</v>
      </c>
      <c r="I94" s="84">
        <f t="shared" si="1"/>
        <v>105</v>
      </c>
      <c r="J94" t="s">
        <v>64</v>
      </c>
    </row>
    <row r="95" spans="4:10" hidden="1" outlineLevel="1" x14ac:dyDescent="0.35">
      <c r="D95" s="1"/>
      <c r="E95" s="25">
        <v>4</v>
      </c>
      <c r="I95" s="84">
        <f t="shared" si="1"/>
        <v>105</v>
      </c>
      <c r="J95" t="s">
        <v>64</v>
      </c>
    </row>
    <row r="96" spans="4:10" hidden="1" outlineLevel="1" x14ac:dyDescent="0.35">
      <c r="D96" s="1"/>
      <c r="E96" s="25">
        <v>5</v>
      </c>
      <c r="I96" s="84">
        <f t="shared" si="1"/>
        <v>105</v>
      </c>
      <c r="J96" t="s">
        <v>64</v>
      </c>
    </row>
    <row r="97" spans="4:11" hidden="1" outlineLevel="1" x14ac:dyDescent="0.35">
      <c r="D97" s="1"/>
      <c r="E97" s="25">
        <v>6</v>
      </c>
      <c r="I97" s="84">
        <f t="shared" si="1"/>
        <v>105</v>
      </c>
      <c r="J97" t="s">
        <v>64</v>
      </c>
    </row>
    <row r="98" spans="4:11" hidden="1" outlineLevel="1" x14ac:dyDescent="0.35">
      <c r="D98" s="1"/>
      <c r="E98" s="25">
        <v>7</v>
      </c>
      <c r="I98" s="84">
        <f t="shared" si="1"/>
        <v>105</v>
      </c>
      <c r="J98" t="s">
        <v>64</v>
      </c>
    </row>
    <row r="99" spans="4:11" hidden="1" outlineLevel="1" x14ac:dyDescent="0.35">
      <c r="D99" s="1"/>
      <c r="E99" s="25">
        <v>8</v>
      </c>
      <c r="I99" s="84">
        <f t="shared" si="1"/>
        <v>105</v>
      </c>
      <c r="J99" t="s">
        <v>64</v>
      </c>
    </row>
    <row r="100" spans="4:11" hidden="1" outlineLevel="1" x14ac:dyDescent="0.35">
      <c r="D100" s="1"/>
      <c r="E100" s="25">
        <v>9</v>
      </c>
      <c r="I100" s="84">
        <f t="shared" si="1"/>
        <v>105</v>
      </c>
      <c r="J100" t="s">
        <v>64</v>
      </c>
    </row>
    <row r="101" spans="4:11" hidden="1" outlineLevel="1" x14ac:dyDescent="0.35">
      <c r="D101" s="1"/>
      <c r="E101" s="25">
        <v>10</v>
      </c>
      <c r="I101" s="84">
        <f t="shared" si="1"/>
        <v>105</v>
      </c>
      <c r="J101" t="s">
        <v>64</v>
      </c>
    </row>
    <row r="102" spans="4:11" hidden="1" outlineLevel="1" x14ac:dyDescent="0.35">
      <c r="E102" s="25">
        <v>11</v>
      </c>
      <c r="I102" s="84">
        <f t="shared" si="1"/>
        <v>105</v>
      </c>
      <c r="J102" t="s">
        <v>64</v>
      </c>
    </row>
    <row r="103" spans="4:11" hidden="1" outlineLevel="1" x14ac:dyDescent="0.35">
      <c r="E103" s="25">
        <v>12</v>
      </c>
      <c r="I103" s="84">
        <f t="shared" si="1"/>
        <v>105</v>
      </c>
      <c r="J103" t="s">
        <v>64</v>
      </c>
    </row>
    <row r="104" spans="4:11" collapsed="1" x14ac:dyDescent="0.35">
      <c r="E104" s="25"/>
      <c r="I104" s="41"/>
    </row>
    <row r="105" spans="4:11" x14ac:dyDescent="0.35">
      <c r="E105" s="25" t="s">
        <v>108</v>
      </c>
      <c r="I105" s="120">
        <v>158.00330446049037</v>
      </c>
      <c r="J105" t="s">
        <v>64</v>
      </c>
      <c r="K105" t="s">
        <v>209</v>
      </c>
    </row>
    <row r="106" spans="4:11" x14ac:dyDescent="0.35">
      <c r="E106" s="25"/>
    </row>
    <row r="107" spans="4:11" x14ac:dyDescent="0.35">
      <c r="E107" s="25" t="s">
        <v>106</v>
      </c>
      <c r="I107" s="122">
        <v>0.05</v>
      </c>
      <c r="J107" t="s">
        <v>107</v>
      </c>
    </row>
    <row r="108" spans="4:11" x14ac:dyDescent="0.35">
      <c r="E108" s="25"/>
    </row>
    <row r="109" spans="4:11" x14ac:dyDescent="0.35">
      <c r="D109" s="1" t="s">
        <v>118</v>
      </c>
      <c r="E109" s="25"/>
    </row>
    <row r="110" spans="4:11" x14ac:dyDescent="0.35">
      <c r="D110" s="1"/>
      <c r="E110" s="25"/>
    </row>
    <row r="111" spans="4:11" x14ac:dyDescent="0.35">
      <c r="D111" s="1"/>
      <c r="E111" s="25" t="s">
        <v>119</v>
      </c>
      <c r="I111" t="s">
        <v>120</v>
      </c>
    </row>
    <row r="112" spans="4:11" x14ac:dyDescent="0.35">
      <c r="D112" s="1"/>
      <c r="E112" s="25">
        <v>1</v>
      </c>
      <c r="I112" s="120">
        <v>50</v>
      </c>
      <c r="J112" t="s">
        <v>64</v>
      </c>
    </row>
    <row r="113" spans="4:10" x14ac:dyDescent="0.35">
      <c r="D113" s="1"/>
      <c r="E113" s="25">
        <v>2</v>
      </c>
      <c r="I113" s="120">
        <v>50</v>
      </c>
      <c r="J113" t="s">
        <v>64</v>
      </c>
    </row>
    <row r="114" spans="4:10" x14ac:dyDescent="0.35">
      <c r="D114" s="1"/>
      <c r="E114" s="25">
        <v>3</v>
      </c>
      <c r="I114" s="120">
        <v>50</v>
      </c>
      <c r="J114" t="s">
        <v>64</v>
      </c>
    </row>
    <row r="115" spans="4:10" x14ac:dyDescent="0.35">
      <c r="D115" s="1"/>
      <c r="E115" s="25">
        <v>4</v>
      </c>
      <c r="I115" s="120">
        <v>50</v>
      </c>
      <c r="J115" t="s">
        <v>64</v>
      </c>
    </row>
    <row r="116" spans="4:10" x14ac:dyDescent="0.35">
      <c r="D116" s="1"/>
      <c r="E116" s="25">
        <v>5</v>
      </c>
      <c r="I116" s="120">
        <v>50</v>
      </c>
      <c r="J116" t="s">
        <v>64</v>
      </c>
    </row>
    <row r="117" spans="4:10" x14ac:dyDescent="0.35">
      <c r="D117" s="1"/>
      <c r="E117" s="25">
        <v>6</v>
      </c>
      <c r="I117" s="120">
        <v>50</v>
      </c>
      <c r="J117" t="s">
        <v>64</v>
      </c>
    </row>
    <row r="118" spans="4:10" x14ac:dyDescent="0.35">
      <c r="D118" s="1"/>
      <c r="E118" s="25">
        <v>7</v>
      </c>
      <c r="I118" s="120">
        <v>50</v>
      </c>
      <c r="J118" t="s">
        <v>64</v>
      </c>
    </row>
    <row r="119" spans="4:10" x14ac:dyDescent="0.35">
      <c r="D119" s="1"/>
      <c r="E119" s="25">
        <v>8</v>
      </c>
      <c r="I119" s="120">
        <v>50</v>
      </c>
      <c r="J119" t="s">
        <v>64</v>
      </c>
    </row>
    <row r="120" spans="4:10" x14ac:dyDescent="0.35">
      <c r="D120" s="1"/>
      <c r="E120" s="25">
        <v>9</v>
      </c>
      <c r="I120" s="120">
        <v>50</v>
      </c>
      <c r="J120" t="s">
        <v>64</v>
      </c>
    </row>
    <row r="121" spans="4:10" x14ac:dyDescent="0.35">
      <c r="D121" s="1"/>
      <c r="E121" s="25">
        <v>10</v>
      </c>
      <c r="I121" s="120">
        <v>50</v>
      </c>
      <c r="J121" t="s">
        <v>64</v>
      </c>
    </row>
    <row r="122" spans="4:10" x14ac:dyDescent="0.35">
      <c r="D122" s="1"/>
      <c r="E122" s="25">
        <v>11</v>
      </c>
      <c r="I122" s="120">
        <v>50</v>
      </c>
      <c r="J122" t="s">
        <v>64</v>
      </c>
    </row>
    <row r="123" spans="4:10" x14ac:dyDescent="0.35">
      <c r="D123" s="1"/>
      <c r="E123" s="25">
        <v>12</v>
      </c>
      <c r="I123" s="120">
        <v>50</v>
      </c>
      <c r="J123" t="s">
        <v>64</v>
      </c>
    </row>
    <row r="124" spans="4:10" x14ac:dyDescent="0.35">
      <c r="D124" s="1"/>
      <c r="E124" s="25"/>
      <c r="I124" s="41"/>
    </row>
    <row r="125" spans="4:10" hidden="1" outlineLevel="1" x14ac:dyDescent="0.35">
      <c r="D125" s="1"/>
      <c r="E125" s="25" t="str">
        <f>'Tableau de bord'!Q84</f>
        <v>DB-contrôle délais</v>
      </c>
      <c r="I125" s="41">
        <f>'Tableau de bord'!V98</f>
        <v>0</v>
      </c>
    </row>
    <row r="126" spans="4:10" hidden="1" outlineLevel="1" x14ac:dyDescent="0.35">
      <c r="E126" s="25"/>
      <c r="I126" s="41"/>
    </row>
    <row r="127" spans="4:10" hidden="1" outlineLevel="1" x14ac:dyDescent="0.35">
      <c r="E127" s="25" t="s">
        <v>119</v>
      </c>
      <c r="I127" s="41" t="s">
        <v>120</v>
      </c>
    </row>
    <row r="128" spans="4:10" hidden="1" outlineLevel="1" x14ac:dyDescent="0.35">
      <c r="E128" s="25">
        <v>1</v>
      </c>
      <c r="I128" s="84">
        <f>I112*(1+$I$125)</f>
        <v>50</v>
      </c>
      <c r="J128" t="s">
        <v>64</v>
      </c>
    </row>
    <row r="129" spans="5:10" hidden="1" outlineLevel="1" x14ac:dyDescent="0.35">
      <c r="E129" s="25">
        <v>2</v>
      </c>
      <c r="I129" s="84">
        <f t="shared" ref="I129:I139" si="2">I113*(1+$I$125)</f>
        <v>50</v>
      </c>
      <c r="J129" t="s">
        <v>64</v>
      </c>
    </row>
    <row r="130" spans="5:10" hidden="1" outlineLevel="1" x14ac:dyDescent="0.35">
      <c r="E130" s="25">
        <v>3</v>
      </c>
      <c r="I130" s="84">
        <f t="shared" si="2"/>
        <v>50</v>
      </c>
      <c r="J130" t="s">
        <v>64</v>
      </c>
    </row>
    <row r="131" spans="5:10" hidden="1" outlineLevel="1" x14ac:dyDescent="0.35">
      <c r="E131" s="25">
        <v>4</v>
      </c>
      <c r="I131" s="84">
        <f t="shared" si="2"/>
        <v>50</v>
      </c>
      <c r="J131" t="s">
        <v>64</v>
      </c>
    </row>
    <row r="132" spans="5:10" hidden="1" outlineLevel="1" x14ac:dyDescent="0.35">
      <c r="E132" s="25">
        <v>5</v>
      </c>
      <c r="I132" s="84">
        <f t="shared" si="2"/>
        <v>50</v>
      </c>
      <c r="J132" t="s">
        <v>64</v>
      </c>
    </row>
    <row r="133" spans="5:10" hidden="1" outlineLevel="1" x14ac:dyDescent="0.35">
      <c r="E133" s="25">
        <v>6</v>
      </c>
      <c r="I133" s="84">
        <f t="shared" si="2"/>
        <v>50</v>
      </c>
      <c r="J133" t="s">
        <v>64</v>
      </c>
    </row>
    <row r="134" spans="5:10" hidden="1" outlineLevel="1" x14ac:dyDescent="0.35">
      <c r="E134" s="25">
        <v>7</v>
      </c>
      <c r="I134" s="84">
        <f t="shared" si="2"/>
        <v>50</v>
      </c>
      <c r="J134" t="s">
        <v>64</v>
      </c>
    </row>
    <row r="135" spans="5:10" hidden="1" outlineLevel="1" x14ac:dyDescent="0.35">
      <c r="E135" s="25">
        <v>8</v>
      </c>
      <c r="I135" s="84">
        <f t="shared" si="2"/>
        <v>50</v>
      </c>
      <c r="J135" t="s">
        <v>64</v>
      </c>
    </row>
    <row r="136" spans="5:10" hidden="1" outlineLevel="1" x14ac:dyDescent="0.35">
      <c r="E136" s="25">
        <v>9</v>
      </c>
      <c r="I136" s="84">
        <f t="shared" si="2"/>
        <v>50</v>
      </c>
      <c r="J136" t="s">
        <v>64</v>
      </c>
    </row>
    <row r="137" spans="5:10" hidden="1" outlineLevel="1" x14ac:dyDescent="0.35">
      <c r="E137" s="25">
        <v>10</v>
      </c>
      <c r="I137" s="84">
        <f t="shared" si="2"/>
        <v>50</v>
      </c>
      <c r="J137" t="s">
        <v>64</v>
      </c>
    </row>
    <row r="138" spans="5:10" hidden="1" outlineLevel="1" x14ac:dyDescent="0.35">
      <c r="E138" s="25">
        <v>11</v>
      </c>
      <c r="I138" s="84">
        <f t="shared" si="2"/>
        <v>50</v>
      </c>
      <c r="J138" t="s">
        <v>64</v>
      </c>
    </row>
    <row r="139" spans="5:10" hidden="1" outlineLevel="1" x14ac:dyDescent="0.35">
      <c r="E139" s="25">
        <v>12</v>
      </c>
      <c r="I139" s="84">
        <f t="shared" si="2"/>
        <v>50</v>
      </c>
      <c r="J139" t="s">
        <v>64</v>
      </c>
    </row>
    <row r="140" spans="5:10" hidden="1" outlineLevel="1" x14ac:dyDescent="0.35">
      <c r="I140" s="41"/>
    </row>
    <row r="141" spans="5:10" collapsed="1" x14ac:dyDescent="0.35">
      <c r="E141" s="25" t="s">
        <v>108</v>
      </c>
      <c r="I141" s="120">
        <v>60</v>
      </c>
      <c r="J141" t="s">
        <v>64</v>
      </c>
    </row>
    <row r="143" spans="5:10" x14ac:dyDescent="0.35">
      <c r="E143" t="s">
        <v>121</v>
      </c>
      <c r="I143" s="122">
        <v>0.05</v>
      </c>
      <c r="J143" t="s">
        <v>87</v>
      </c>
    </row>
    <row r="144" spans="5:10" x14ac:dyDescent="0.35">
      <c r="E144" t="s">
        <v>123</v>
      </c>
      <c r="I144" s="122">
        <v>1.7500000000000002E-2</v>
      </c>
      <c r="J144" t="s">
        <v>124</v>
      </c>
    </row>
    <row r="146" spans="4:4" x14ac:dyDescent="0.35">
      <c r="D146" s="1" t="s">
        <v>25</v>
      </c>
    </row>
  </sheetData>
  <sheetProtection algorithmName="SHA-512" hashValue="VodTH0nXOnmJsiTqjhfZdDVQtvbkHaoubQimNx2NkMY4Lkzgz+EapklCIwYGQ0XXCI2cOC8ZHH1n4H55zoOn1g==" saltValue="KtkKr8lTDhCqquveV74l+A==" spinCount="100000" sheet="1" objects="1" scenarios="1"/>
  <conditionalFormatting sqref="G2">
    <cfRule type="cellIs" dxfId="73" priority="3" operator="greaterThan">
      <formula>0</formula>
    </cfRule>
    <cfRule type="cellIs" dxfId="72" priority="4" operator="equal">
      <formula>0</formula>
    </cfRule>
  </conditionalFormatting>
  <conditionalFormatting sqref="G1">
    <cfRule type="cellIs" dxfId="71" priority="1" operator="greaterThan">
      <formula>0</formula>
    </cfRule>
    <cfRule type="cellIs" dxfId="70" priority="2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rgb="FFCBA9E5"/>
  </sheetPr>
  <dimension ref="B1:BI142"/>
  <sheetViews>
    <sheetView showGridLines="0" tabSelected="1" zoomScale="46" workbookViewId="0">
      <selection activeCell="R40" sqref="R40"/>
    </sheetView>
  </sheetViews>
  <sheetFormatPr baseColWidth="10" defaultRowHeight="14.5" outlineLevelRow="1" x14ac:dyDescent="0.35"/>
  <cols>
    <col min="1" max="4" width="2.6328125" customWidth="1"/>
    <col min="6" max="6" width="30.453125" bestFit="1" customWidth="1"/>
    <col min="7" max="7" width="12.26953125" bestFit="1" customWidth="1"/>
    <col min="8" max="8" width="14" bestFit="1" customWidth="1"/>
    <col min="9" max="9" width="13.81640625" bestFit="1" customWidth="1"/>
    <col min="10" max="10" width="14.36328125" bestFit="1" customWidth="1"/>
    <col min="11" max="11" width="12.7265625" bestFit="1" customWidth="1"/>
    <col min="12" max="12" width="17.90625" bestFit="1" customWidth="1"/>
    <col min="13" max="15" width="13.90625" bestFit="1" customWidth="1"/>
    <col min="16" max="16" width="14.36328125" bestFit="1" customWidth="1"/>
    <col min="17" max="17" width="18.26953125" bestFit="1" customWidth="1"/>
    <col min="18" max="18" width="22.6328125" bestFit="1" customWidth="1"/>
    <col min="19" max="19" width="12.26953125" customWidth="1"/>
    <col min="20" max="20" width="12.36328125" bestFit="1" customWidth="1"/>
    <col min="21" max="21" width="13.26953125" bestFit="1" customWidth="1"/>
    <col min="22" max="22" width="12.36328125" bestFit="1" customWidth="1"/>
    <col min="23" max="34" width="13.36328125" bestFit="1" customWidth="1"/>
    <col min="35" max="61" width="14.90625" bestFit="1" customWidth="1"/>
  </cols>
  <sheetData>
    <row r="1" spans="2:61" s="6" customFormat="1" x14ac:dyDescent="0.35">
      <c r="B1" s="9" t="str">
        <f ca="1">RIGHT(CELL("nomfichier",A1),LEN(CELL("nomfichier",A1))-FIND("]",CELL("nomfichier",A1),1))</f>
        <v>Tableau de bord</v>
      </c>
      <c r="F1" s="54" t="str">
        <f>Controles!F1</f>
        <v>Erreurs</v>
      </c>
      <c r="G1">
        <f>Controles!G1</f>
        <v>0</v>
      </c>
    </row>
    <row r="2" spans="2:61" x14ac:dyDescent="0.35">
      <c r="F2" s="55" t="str">
        <f>Controles!F2</f>
        <v>Alertes</v>
      </c>
      <c r="G2">
        <f>Controles!G2</f>
        <v>0</v>
      </c>
    </row>
    <row r="3" spans="2:61" hidden="1" outlineLevel="1" x14ac:dyDescent="0.35">
      <c r="G3" s="3">
        <f>Time!N45</f>
        <v>44196</v>
      </c>
      <c r="H3" s="3">
        <f>Time!O45</f>
        <v>44561</v>
      </c>
      <c r="I3" s="3">
        <f>Time!P45</f>
        <v>44926</v>
      </c>
      <c r="J3" s="3">
        <f>Time!Q45</f>
        <v>45291</v>
      </c>
    </row>
    <row r="4" spans="2:61" collapsed="1" x14ac:dyDescent="0.35"/>
    <row r="5" spans="2:61" x14ac:dyDescent="0.35"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</row>
    <row r="6" spans="2:61" ht="15" thickBot="1" x14ac:dyDescent="0.4">
      <c r="D6" s="49" t="s">
        <v>136</v>
      </c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1"/>
      <c r="T6" s="51"/>
      <c r="U6" s="51"/>
      <c r="V6" s="51"/>
      <c r="W6" s="5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</row>
    <row r="7" spans="2:61" x14ac:dyDescent="0.35"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</row>
    <row r="8" spans="2:61" hidden="1" outlineLevel="1" x14ac:dyDescent="0.35">
      <c r="F8" t="s">
        <v>143</v>
      </c>
      <c r="H8" s="123">
        <v>1000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</row>
    <row r="9" spans="2:61" collapsed="1" x14ac:dyDescent="0.35">
      <c r="F9" t="str">
        <f>Hypothèses_trajectoire!E22</f>
        <v>Croissance des dépôts</v>
      </c>
      <c r="H9" s="13">
        <f>Hypothèses_trajectoire!I22</f>
        <v>0.1</v>
      </c>
      <c r="J9" s="52">
        <f>H8/1000-1</f>
        <v>0</v>
      </c>
      <c r="L9" t="str">
        <f>IF(J9=0,"Scénario-Base","Scénario alternatif")</f>
        <v>Scénario-Base</v>
      </c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</row>
    <row r="10" spans="2:61" s="39" customFormat="1" x14ac:dyDescent="0.35">
      <c r="F10" s="40" t="s">
        <v>140</v>
      </c>
      <c r="G10" s="40">
        <f>Time!N46</f>
        <v>2020</v>
      </c>
      <c r="H10" s="40">
        <f>Time!O46</f>
        <v>2021</v>
      </c>
      <c r="I10" s="40">
        <f>Time!P46</f>
        <v>2022</v>
      </c>
      <c r="J10" s="40">
        <f>Time!Q46</f>
        <v>2023</v>
      </c>
    </row>
    <row r="11" spans="2:61" x14ac:dyDescent="0.35">
      <c r="F11" s="46" t="s">
        <v>135</v>
      </c>
      <c r="G11" s="41">
        <f>SUMIF(Consolidation!$N$5:$BI$5,G$3,Consolidation!$N$8:$BI$8)</f>
        <v>194138</v>
      </c>
      <c r="H11" s="41">
        <f>SUMIF(Consolidation!$N$5:$BI$5,H$3,Consolidation!$N$8:$BI$8)</f>
        <v>761014</v>
      </c>
      <c r="I11" s="41">
        <f>SUMIF(Consolidation!$N$5:$BI$5,I$3,Consolidation!$N$8:$BI$8)</f>
        <v>906251.05258035322</v>
      </c>
      <c r="J11" s="41">
        <f>SUMIF(Consolidation!$N$5:$BI$5,J$3,Consolidation!$N$8:$BI$8)</f>
        <v>996876.1578383887</v>
      </c>
    </row>
    <row r="12" spans="2:61" x14ac:dyDescent="0.35">
      <c r="F12" s="44" t="s">
        <v>88</v>
      </c>
      <c r="G12" s="41">
        <f>SUMIF(Consolidation!$N$5:$BI$5,G$3,Consolidation!$N$10:$BI$10)</f>
        <v>138726</v>
      </c>
      <c r="H12" s="41">
        <f>SUMIF(Consolidation!$N$5:$BI$5,H$3,Consolidation!$N$10:$BI$10)</f>
        <v>661591</v>
      </c>
      <c r="I12" s="41">
        <f>SUMIF(Consolidation!$N$5:$BI$5,I$3,Consolidation!$N$10:$BI$10)</f>
        <v>811774.62680510269</v>
      </c>
      <c r="J12" s="41">
        <f>SUMIF(Consolidation!$N$5:$BI$5,J$3,Consolidation!$N$10:$BI$10)</f>
        <v>893626.15345270513</v>
      </c>
    </row>
    <row r="13" spans="2:61" x14ac:dyDescent="0.35">
      <c r="F13" s="47" t="s">
        <v>137</v>
      </c>
      <c r="G13" s="41">
        <f>SUMIF(Consolidation!$N$5:$BI$5,G$3,Consolidation!$N$17:$BI$17)</f>
        <v>75196</v>
      </c>
      <c r="H13" s="41">
        <f>SUMIF(Consolidation!$N$5:$BI$5,H$3,Consolidation!$N$17:$BI$17)</f>
        <v>461691</v>
      </c>
      <c r="I13" s="41">
        <f>SUMIF(Consolidation!$N$5:$BI$5,I$3,Consolidation!$N$17:$BI$17)</f>
        <v>711550.57852686336</v>
      </c>
      <c r="J13" s="41">
        <f>SUMIF(Consolidation!$N$5:$BI$5,J$3,Consolidation!$N$17:$BI$17)</f>
        <v>786048.62481364899</v>
      </c>
    </row>
    <row r="14" spans="2:61" x14ac:dyDescent="0.35">
      <c r="F14" s="48" t="s">
        <v>18</v>
      </c>
      <c r="G14" s="41">
        <f>SUMIF(Consolidation!$N$5:$BI$5,G$3,Consolidation!$N$19:$BI$19)</f>
        <v>52548</v>
      </c>
      <c r="H14" s="41">
        <f>SUMIF(Consolidation!$N$5:$BI$5,H$3,Consolidation!$N$19:$BI$19)</f>
        <v>364335</v>
      </c>
      <c r="I14" s="41">
        <f>SUMIF(Consolidation!$N$5:$BI$5,I$3,Consolidation!$N$19:$BI$19)</f>
        <v>663263.94346319465</v>
      </c>
      <c r="J14" s="41">
        <f>SUMIF(Consolidation!$N$5:$BI$5,J$3,Consolidation!$N$19:$BI$19)</f>
        <v>738050.34789204411</v>
      </c>
    </row>
    <row r="32" spans="6:8" hidden="1" outlineLevel="1" x14ac:dyDescent="0.35">
      <c r="F32" t="s">
        <v>145</v>
      </c>
      <c r="H32" s="123">
        <v>1000</v>
      </c>
    </row>
    <row r="33" spans="6:18" collapsed="1" x14ac:dyDescent="0.35">
      <c r="F33" t="str">
        <f>Hypothèses_trajectoire!E23</f>
        <v>Croissance du coût moyen</v>
      </c>
      <c r="H33" s="13">
        <f>Hypothèses_trajectoire!I23</f>
        <v>0.03</v>
      </c>
      <c r="J33" s="52">
        <f>H32/1000-1</f>
        <v>0</v>
      </c>
      <c r="L33" t="str">
        <f>IF(J33=0,"Scénario-Base","Scénario alternatif")</f>
        <v>Scénario-Base</v>
      </c>
    </row>
    <row r="34" spans="6:18" x14ac:dyDescent="0.35">
      <c r="F34" s="40" t="s">
        <v>140</v>
      </c>
      <c r="G34" s="40">
        <f>Time!N46</f>
        <v>2020</v>
      </c>
      <c r="H34" s="40">
        <f>Time!O46</f>
        <v>2021</v>
      </c>
      <c r="I34" s="40">
        <f>Time!P46</f>
        <v>2022</v>
      </c>
      <c r="J34" s="40">
        <f>Time!Q46</f>
        <v>2023</v>
      </c>
      <c r="R34" s="16"/>
    </row>
    <row r="35" spans="6:18" x14ac:dyDescent="0.35">
      <c r="F35" s="44" t="s">
        <v>23</v>
      </c>
      <c r="G35" s="41">
        <f>SUMIF(Consolidation!$N$5:$BI$5,G$3,Consolidation!$N$15:$BI$15)</f>
        <v>557900711.57999992</v>
      </c>
      <c r="H35" s="41">
        <f>SUMIF(Consolidation!$N$5:$BI$5,H$3,Consolidation!$N$15:$BI$15)</f>
        <v>2052593939.6200001</v>
      </c>
      <c r="I35" s="41">
        <f>SUMIF(Consolidation!$N$5:$BI$5,I$3,Consolidation!$N$15:$BI$15)</f>
        <v>2529221700.6225243</v>
      </c>
      <c r="J35" s="41">
        <f>SUMIF(Consolidation!$N$5:$BI$5,J$3,Consolidation!$N$15:$BI$15)</f>
        <v>2850779903.034163</v>
      </c>
    </row>
    <row r="36" spans="6:18" x14ac:dyDescent="0.35">
      <c r="F36" s="45" t="s">
        <v>24</v>
      </c>
      <c r="G36" s="41">
        <f>SUMIF(Consolidation!$N$5:$BI$5,G$3,Consolidation!$N$24:$BI$24)</f>
        <v>168441851.83000001</v>
      </c>
      <c r="H36" s="41">
        <f>SUMIF(Consolidation!$N$5:$BI$5,H$3,Consolidation!$N$24:$BI$24)</f>
        <v>1085860426.7</v>
      </c>
      <c r="I36" s="41">
        <f>SUMIF(Consolidation!$N$5:$BI$5,I$3,Consolidation!$N$24:$BI$24)</f>
        <v>2169432262.1602821</v>
      </c>
      <c r="J36" s="41">
        <f>SUMIF(Consolidation!$N$5:$BI$5,J$3,Consolidation!$N$24:$BI$24)</f>
        <v>2439735348.1480265</v>
      </c>
    </row>
    <row r="53" spans="4:23" ht="15" thickBot="1" x14ac:dyDescent="0.4">
      <c r="D53" s="49" t="s">
        <v>138</v>
      </c>
      <c r="E53" s="50"/>
      <c r="F53" s="50"/>
      <c r="G53" s="50">
        <f>YEAR(Paramétrage_général!I11)</f>
        <v>2022</v>
      </c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</row>
    <row r="54" spans="4:23" hidden="1" outlineLevel="1" x14ac:dyDescent="0.35">
      <c r="F54" t="s">
        <v>139</v>
      </c>
      <c r="G54" s="3">
        <f>INDEX(Time!$N$45:$BI$45,1,MATCH('Tableau de bord'!G53,Time!$N$46:$BI$46,0))</f>
        <v>44926</v>
      </c>
    </row>
    <row r="55" spans="4:23" hidden="1" outlineLevel="1" x14ac:dyDescent="0.35">
      <c r="F55" t="str">
        <f>Paramétrage_général!E15</f>
        <v>Mois dans une année</v>
      </c>
      <c r="G55" s="16">
        <f>Paramétrage_général!I15</f>
        <v>12</v>
      </c>
    </row>
    <row r="56" spans="4:23" hidden="1" outlineLevel="1" x14ac:dyDescent="0.35">
      <c r="F56" t="s">
        <v>146</v>
      </c>
      <c r="G56" s="3">
        <f>EOMONTH($G54,-1*$G55+G59)</f>
        <v>44592</v>
      </c>
      <c r="H56" s="3">
        <f t="shared" ref="H56:R56" si="0">EOMONTH($G54,-1*$G55+H59)</f>
        <v>44620</v>
      </c>
      <c r="I56" s="3">
        <f t="shared" si="0"/>
        <v>44651</v>
      </c>
      <c r="J56" s="3">
        <f t="shared" si="0"/>
        <v>44681</v>
      </c>
      <c r="K56" s="3">
        <f t="shared" si="0"/>
        <v>44712</v>
      </c>
      <c r="L56" s="3">
        <f t="shared" si="0"/>
        <v>44742</v>
      </c>
      <c r="M56" s="3">
        <f t="shared" si="0"/>
        <v>44773</v>
      </c>
      <c r="N56" s="3">
        <f t="shared" si="0"/>
        <v>44804</v>
      </c>
      <c r="O56" s="3">
        <f t="shared" si="0"/>
        <v>44834</v>
      </c>
      <c r="P56" s="3">
        <f t="shared" si="0"/>
        <v>44865</v>
      </c>
      <c r="Q56" s="3">
        <f t="shared" si="0"/>
        <v>44895</v>
      </c>
      <c r="R56" s="3">
        <f t="shared" si="0"/>
        <v>44926</v>
      </c>
    </row>
    <row r="57" spans="4:23" collapsed="1" x14ac:dyDescent="0.35"/>
    <row r="58" spans="4:23" hidden="1" outlineLevel="1" x14ac:dyDescent="0.35">
      <c r="F58" s="1" t="s">
        <v>140</v>
      </c>
    </row>
    <row r="59" spans="4:23" hidden="1" outlineLevel="1" x14ac:dyDescent="0.35">
      <c r="F59" s="40" t="s">
        <v>76</v>
      </c>
      <c r="G59" s="40">
        <f>Time!N21</f>
        <v>1</v>
      </c>
      <c r="H59" s="40">
        <f>Time!O21</f>
        <v>2</v>
      </c>
      <c r="I59" s="40">
        <f>Time!P21</f>
        <v>3</v>
      </c>
      <c r="J59" s="40">
        <f>Time!Q21</f>
        <v>4</v>
      </c>
      <c r="K59" s="40">
        <f>Time!R21</f>
        <v>5</v>
      </c>
      <c r="L59" s="40">
        <f>Time!S21</f>
        <v>6</v>
      </c>
      <c r="M59" s="40">
        <f>Time!T21</f>
        <v>7</v>
      </c>
      <c r="N59" s="40">
        <f>Time!U21</f>
        <v>8</v>
      </c>
      <c r="O59" s="40">
        <f>Time!V21</f>
        <v>9</v>
      </c>
      <c r="P59" s="40">
        <f>Time!W21</f>
        <v>10</v>
      </c>
      <c r="Q59" s="40">
        <f>Time!X21</f>
        <v>11</v>
      </c>
      <c r="R59" s="40">
        <f>Time!Y21</f>
        <v>12</v>
      </c>
    </row>
    <row r="60" spans="4:23" hidden="1" outlineLevel="1" x14ac:dyDescent="0.35">
      <c r="F60" t="s">
        <v>135</v>
      </c>
      <c r="G60" s="41">
        <f>SUMIF(Consolidation!$N$3:$BI$3,G$56,Consolidation!$N8:$BI8)</f>
        <v>69086.403111506734</v>
      </c>
      <c r="H60" s="41">
        <f>SUMIF(Consolidation!$N$3:$BI$3,H$56,Consolidation!$N8:$BI8)</f>
        <v>77214.215242272243</v>
      </c>
      <c r="I60" s="41">
        <f>SUMIF(Consolidation!$N$3:$BI$3,I$56,Consolidation!$N8:$BI8)</f>
        <v>81278.12130765499</v>
      </c>
      <c r="J60" s="41">
        <f>SUMIF(Consolidation!$N$3:$BI$3,J$56,Consolidation!$N8:$BI8)</f>
        <v>81278.12130765499</v>
      </c>
      <c r="K60" s="41">
        <f>SUMIF(Consolidation!$N$3:$BI$3,K$56,Consolidation!$N8:$BI8)</f>
        <v>81278.12130765499</v>
      </c>
      <c r="L60" s="41">
        <f>SUMIF(Consolidation!$N$3:$BI$3,L$56,Consolidation!$N8:$BI8)</f>
        <v>77214.215242272243</v>
      </c>
      <c r="M60" s="41">
        <f>SUMIF(Consolidation!$N$3:$BI$3,M$56,Consolidation!$N8:$BI8)</f>
        <v>65022.497046123994</v>
      </c>
      <c r="N60" s="41">
        <f>SUMIF(Consolidation!$N$3:$BI$3,N$56,Consolidation!$N8:$BI8)</f>
        <v>48766.87278459299</v>
      </c>
      <c r="O60" s="41">
        <f>SUMIF(Consolidation!$N$3:$BI$3,O$56,Consolidation!$N8:$BI8)</f>
        <v>73150.309176889496</v>
      </c>
      <c r="P60" s="41">
        <f>SUMIF(Consolidation!$N$3:$BI$3,P$56,Consolidation!$N8:$BI8)</f>
        <v>81278.12130765499</v>
      </c>
      <c r="Q60" s="41">
        <f>SUMIF(Consolidation!$N$3:$BI$3,Q$56,Consolidation!$N8:$BI8)</f>
        <v>81278.12130765499</v>
      </c>
      <c r="R60" s="41">
        <f>SUMIF(Consolidation!$N$3:$BI$3,R$56,Consolidation!$N8:$BI8)</f>
        <v>89405.933438420499</v>
      </c>
    </row>
    <row r="61" spans="4:23" hidden="1" outlineLevel="1" x14ac:dyDescent="0.35">
      <c r="F61" t="s">
        <v>88</v>
      </c>
      <c r="G61" s="41">
        <f>SUMIF(Consolidation!$N$3:$BI$3,G$56,Consolidation!$N10:$BI10)</f>
        <v>65371.735654758428</v>
      </c>
      <c r="H61" s="41">
        <f>SUMIF(Consolidation!$N$3:$BI$3,H$56,Consolidation!$N10:$BI10)</f>
        <v>63873.376658526257</v>
      </c>
      <c r="I61" s="41">
        <f>SUMIF(Consolidation!$N$3:$BI$3,I$56,Consolidation!$N10:$BI10)</f>
        <v>73873.274065592719</v>
      </c>
      <c r="J61" s="41">
        <f>SUMIF(Consolidation!$N$3:$BI$3,J$56,Consolidation!$N10:$BI10)</f>
        <v>72547.17482812464</v>
      </c>
      <c r="K61" s="41">
        <f>SUMIF(Consolidation!$N$3:$BI$3,K$56,Consolidation!$N10:$BI10)</f>
        <v>74207.759944055273</v>
      </c>
      <c r="L61" s="41">
        <f>SUMIF(Consolidation!$N$3:$BI$3,L$56,Consolidation!$N10:$BI10)</f>
        <v>69877.316848867995</v>
      </c>
      <c r="M61" s="41">
        <f>SUMIF(Consolidation!$N$3:$BI$3,M$56,Consolidation!$N10:$BI10)</f>
        <v>63676.963121060908</v>
      </c>
      <c r="N61" s="41">
        <f>SUMIF(Consolidation!$N$3:$BI$3,N$56,Consolidation!$N10:$BI10)</f>
        <v>50386.06586527796</v>
      </c>
      <c r="O61" s="41">
        <f>SUMIF(Consolidation!$N$3:$BI$3,O$56,Consolidation!$N10:$BI10)</f>
        <v>58224.509954096939</v>
      </c>
      <c r="P61" s="41">
        <f>SUMIF(Consolidation!$N$3:$BI$3,P$56,Consolidation!$N10:$BI10)</f>
        <v>69604.36557467503</v>
      </c>
      <c r="Q61" s="41">
        <f>SUMIF(Consolidation!$N$3:$BI$3,Q$56,Consolidation!$N10:$BI10)</f>
        <v>71378.934592984268</v>
      </c>
      <c r="R61" s="41">
        <f>SUMIF(Consolidation!$N$3:$BI$3,R$56,Consolidation!$N10:$BI10)</f>
        <v>78753.149697082248</v>
      </c>
    </row>
    <row r="62" spans="4:23" hidden="1" outlineLevel="1" x14ac:dyDescent="0.35">
      <c r="F62" t="s">
        <v>137</v>
      </c>
      <c r="G62" s="41">
        <f>SUMIF(Consolidation!$N$3:$BI$3,G$56,Consolidation!$N17:$BI17)</f>
        <v>55779.354484422802</v>
      </c>
      <c r="H62" s="41">
        <f>SUMIF(Consolidation!$N$3:$BI$3,H$56,Consolidation!$N17:$BI17)</f>
        <v>52425.82824647989</v>
      </c>
      <c r="I62" s="41">
        <f>SUMIF(Consolidation!$N$3:$BI$3,I$56,Consolidation!$N17:$BI17)</f>
        <v>60235.743482396771</v>
      </c>
      <c r="J62" s="41">
        <f>SUMIF(Consolidation!$N$3:$BI$3,J$56,Consolidation!$N17:$BI17)</f>
        <v>59531.72975090504</v>
      </c>
      <c r="K62" s="41">
        <f>SUMIF(Consolidation!$N$3:$BI$3,K$56,Consolidation!$N17:$BI17)</f>
        <v>62473.721581154561</v>
      </c>
      <c r="L62" s="41">
        <f>SUMIF(Consolidation!$N$3:$BI$3,L$56,Consolidation!$N17:$BI17)</f>
        <v>60509.608006077935</v>
      </c>
      <c r="M62" s="41">
        <f>SUMIF(Consolidation!$N$3:$BI$3,M$56,Consolidation!$N17:$BI17)</f>
        <v>60763.115116330067</v>
      </c>
      <c r="N62" s="41">
        <f>SUMIF(Consolidation!$N$3:$BI$3,N$56,Consolidation!$N17:$BI17)</f>
        <v>56949.508506996957</v>
      </c>
      <c r="O62" s="41">
        <f>SUMIF(Consolidation!$N$3:$BI$3,O$56,Consolidation!$N17:$BI17)</f>
        <v>57053.136182929935</v>
      </c>
      <c r="P62" s="41">
        <f>SUMIF(Consolidation!$N$3:$BI$3,P$56,Consolidation!$N17:$BI17)</f>
        <v>61251.178951307833</v>
      </c>
      <c r="Q62" s="41">
        <f>SUMIF(Consolidation!$N$3:$BI$3,Q$56,Consolidation!$N17:$BI17)</f>
        <v>60402.402042979265</v>
      </c>
      <c r="R62" s="41">
        <f>SUMIF(Consolidation!$N$3:$BI$3,R$56,Consolidation!$N17:$BI17)</f>
        <v>64175.252174882356</v>
      </c>
    </row>
    <row r="63" spans="4:23" hidden="1" outlineLevel="1" x14ac:dyDescent="0.35">
      <c r="F63" t="s">
        <v>18</v>
      </c>
      <c r="G63" s="41">
        <f>SUMIF(Consolidation!$N$3:$BI$3,G$56,Consolidation!$N19:$BI19)</f>
        <v>50874.42615728989</v>
      </c>
      <c r="H63" s="41">
        <f>SUMIF(Consolidation!$N$3:$BI$3,H$56,Consolidation!$N19:$BI19)</f>
        <v>47377.758857928959</v>
      </c>
      <c r="I63" s="41">
        <f>SUMIF(Consolidation!$N$3:$BI$3,I$56,Consolidation!$N19:$BI19)</f>
        <v>54689.238130470832</v>
      </c>
      <c r="J63" s="41">
        <f>SUMIF(Consolidation!$N$3:$BI$3,J$56,Consolidation!$N19:$BI19)</f>
        <v>54295.857322266689</v>
      </c>
      <c r="K63" s="41">
        <f>SUMIF(Consolidation!$N$3:$BI$3,K$56,Consolidation!$N19:$BI19)</f>
        <v>57633.841561419991</v>
      </c>
      <c r="L63" s="41">
        <f>SUMIF(Consolidation!$N$3:$BI$3,L$56,Consolidation!$N19:$BI19)</f>
        <v>56459.636421889329</v>
      </c>
      <c r="M63" s="41">
        <f>SUMIF(Consolidation!$N$3:$BI$3,M$56,Consolidation!$N19:$BI19)</f>
        <v>58397.320414119422</v>
      </c>
      <c r="N63" s="41">
        <f>SUMIF(Consolidation!$N$3:$BI$3,N$56,Consolidation!$N19:$BI19)</f>
        <v>56989.854372342103</v>
      </c>
      <c r="O63" s="41">
        <f>SUMIF(Consolidation!$N$3:$BI$3,O$56,Consolidation!$N19:$BI19)</f>
        <v>54784.336297226713</v>
      </c>
      <c r="P63" s="41">
        <f>SUMIF(Consolidation!$N$3:$BI$3,P$56,Consolidation!$N19:$BI19)</f>
        <v>57112.51821665145</v>
      </c>
      <c r="Q63" s="41">
        <f>SUMIF(Consolidation!$N$3:$BI$3,Q$56,Consolidation!$N19:$BI19)</f>
        <v>55715.033402139583</v>
      </c>
      <c r="R63" s="41">
        <f>SUMIF(Consolidation!$N$3:$BI$3,R$56,Consolidation!$N19:$BI19)</f>
        <v>58934.122309449682</v>
      </c>
    </row>
    <row r="64" spans="4:23" hidden="1" outlineLevel="1" x14ac:dyDescent="0.35"/>
    <row r="65" spans="6:20" hidden="1" outlineLevel="1" x14ac:dyDescent="0.35">
      <c r="F65" s="1" t="s">
        <v>148</v>
      </c>
    </row>
    <row r="66" spans="6:20" hidden="1" outlineLevel="1" x14ac:dyDescent="0.35">
      <c r="F66" s="40" t="s">
        <v>76</v>
      </c>
      <c r="G66" s="40">
        <f>G59</f>
        <v>1</v>
      </c>
      <c r="H66" s="40">
        <f t="shared" ref="H66:R66" si="1">H59</f>
        <v>2</v>
      </c>
      <c r="I66" s="40">
        <f t="shared" si="1"/>
        <v>3</v>
      </c>
      <c r="J66" s="40">
        <f t="shared" si="1"/>
        <v>4</v>
      </c>
      <c r="K66" s="40">
        <f t="shared" si="1"/>
        <v>5</v>
      </c>
      <c r="L66" s="40">
        <f t="shared" si="1"/>
        <v>6</v>
      </c>
      <c r="M66" s="40">
        <f t="shared" si="1"/>
        <v>7</v>
      </c>
      <c r="N66" s="40">
        <f t="shared" si="1"/>
        <v>8</v>
      </c>
      <c r="O66" s="40">
        <f t="shared" si="1"/>
        <v>9</v>
      </c>
      <c r="P66" s="40">
        <f t="shared" si="1"/>
        <v>10</v>
      </c>
      <c r="Q66" s="40">
        <f t="shared" si="1"/>
        <v>11</v>
      </c>
      <c r="R66" s="40">
        <f t="shared" si="1"/>
        <v>12</v>
      </c>
    </row>
    <row r="67" spans="6:20" hidden="1" outlineLevel="1" x14ac:dyDescent="0.35">
      <c r="F67" t="s">
        <v>23</v>
      </c>
      <c r="G67" s="41">
        <f>SUMIF(Consolidation!$N$3:$BI$3,G$56,Consolidation!$N$15:$BI$15)</f>
        <v>213569137.38977191</v>
      </c>
      <c r="H67" s="41">
        <f>SUMIF(Consolidation!$N$3:$BI$3,H$56,Consolidation!$N$15:$BI$15)</f>
        <v>202446364.55863866</v>
      </c>
      <c r="I67" s="41">
        <f>SUMIF(Consolidation!$N$3:$BI$3,I$56,Consolidation!$N$15:$BI$15)</f>
        <v>232450675.47761637</v>
      </c>
      <c r="J67" s="41">
        <f>SUMIF(Consolidation!$N$3:$BI$3,J$56,Consolidation!$N$15:$BI$15)</f>
        <v>227977457.98599917</v>
      </c>
      <c r="K67" s="41">
        <f>SUMIF(Consolidation!$N$3:$BI$3,K$56,Consolidation!$N$15:$BI$15)</f>
        <v>232416952.78830314</v>
      </c>
      <c r="L67" s="41">
        <f>SUMIF(Consolidation!$N$3:$BI$3,L$56,Consolidation!$N$15:$BI$15)</f>
        <v>217772968.71084768</v>
      </c>
      <c r="M67" s="41">
        <f>SUMIF(Consolidation!$N$3:$BI$3,M$56,Consolidation!$N$15:$BI$15)</f>
        <v>196512680.0211184</v>
      </c>
      <c r="N67" s="41">
        <f>SUMIF(Consolidation!$N$3:$BI$3,N$56,Consolidation!$N$15:$BI$15)</f>
        <v>152890694.04308194</v>
      </c>
      <c r="O67" s="41">
        <f>SUMIF(Consolidation!$N$3:$BI$3,O$56,Consolidation!$N$15:$BI$15)</f>
        <v>178027313.68446052</v>
      </c>
      <c r="P67" s="41">
        <f>SUMIF(Consolidation!$N$3:$BI$3,P$56,Consolidation!$N$15:$BI$15)</f>
        <v>213805287.81276548</v>
      </c>
      <c r="Q67" s="41">
        <f>SUMIF(Consolidation!$N$3:$BI$3,Q$56,Consolidation!$N$15:$BI$15)</f>
        <v>219308254.12965986</v>
      </c>
      <c r="R67" s="41">
        <f>SUMIF(Consolidation!$N$3:$BI$3,R$56,Consolidation!$N$15:$BI$15)</f>
        <v>242043914.02026135</v>
      </c>
    </row>
    <row r="68" spans="6:20" hidden="1" outlineLevel="1" x14ac:dyDescent="0.35">
      <c r="F68" t="s">
        <v>24</v>
      </c>
      <c r="G68" s="41">
        <f>SUMIF(Consolidation!$N$3:$BI$3,G$56,Consolidation!$N24:$BI24)</f>
        <v>159841051.33323553</v>
      </c>
      <c r="H68" s="41">
        <f>SUMIF(Consolidation!$N$3:$BI$3,H$56,Consolidation!$N24:$BI24)</f>
        <v>151333884.88083631</v>
      </c>
      <c r="I68" s="41">
        <f>SUMIF(Consolidation!$N$3:$BI$3,I$56,Consolidation!$N24:$BI24)</f>
        <v>177347171.69798031</v>
      </c>
      <c r="J68" s="41">
        <f>SUMIF(Consolidation!$N$3:$BI$3,J$56,Consolidation!$N24:$BI24)</f>
        <v>178318324.568039</v>
      </c>
      <c r="K68" s="41">
        <f>SUMIF(Consolidation!$N$3:$BI$3,K$56,Consolidation!$N24:$BI24)</f>
        <v>190620311.78302449</v>
      </c>
      <c r="L68" s="41">
        <f>SUMIF(Consolidation!$N$3:$BI$3,L$56,Consolidation!$N24:$BI24)</f>
        <v>187169625.42402199</v>
      </c>
      <c r="M68" s="41">
        <f>SUMIF(Consolidation!$N$3:$BI$3,M$56,Consolidation!$N24:$BI24)</f>
        <v>193427451.5407677</v>
      </c>
      <c r="N68" s="41">
        <f>SUMIF(Consolidation!$N$3:$BI$3,N$56,Consolidation!$N24:$BI24)</f>
        <v>188369069.42900318</v>
      </c>
      <c r="O68" s="41">
        <f>SUMIF(Consolidation!$N$3:$BI$3,O$56,Consolidation!$N24:$BI24)</f>
        <v>180500160.66456586</v>
      </c>
      <c r="P68" s="41">
        <f>SUMIF(Consolidation!$N$3:$BI$3,P$56,Consolidation!$N24:$BI24)</f>
        <v>187528793.75040492</v>
      </c>
      <c r="Q68" s="41">
        <f>SUMIF(Consolidation!$N$3:$BI$3,Q$56,Consolidation!$N24:$BI24)</f>
        <v>182483295.57523215</v>
      </c>
      <c r="R68" s="41">
        <f>SUMIF(Consolidation!$N$3:$BI$3,R$56,Consolidation!$N24:$BI24)</f>
        <v>192493121.51317078</v>
      </c>
    </row>
    <row r="69" spans="6:20" hidden="1" outlineLevel="1" x14ac:dyDescent="0.35"/>
    <row r="70" spans="6:20" collapsed="1" x14ac:dyDescent="0.35">
      <c r="F70" s="1" t="s">
        <v>147</v>
      </c>
    </row>
    <row r="71" spans="6:20" x14ac:dyDescent="0.35">
      <c r="F71" s="40" t="s">
        <v>76</v>
      </c>
      <c r="G71" s="40">
        <f t="shared" ref="G71:R71" si="2">G59</f>
        <v>1</v>
      </c>
      <c r="H71" s="40">
        <f t="shared" si="2"/>
        <v>2</v>
      </c>
      <c r="I71" s="40">
        <f t="shared" si="2"/>
        <v>3</v>
      </c>
      <c r="J71" s="40">
        <f t="shared" si="2"/>
        <v>4</v>
      </c>
      <c r="K71" s="40">
        <f t="shared" si="2"/>
        <v>5</v>
      </c>
      <c r="L71" s="40">
        <f t="shared" si="2"/>
        <v>6</v>
      </c>
      <c r="M71" s="40">
        <f t="shared" si="2"/>
        <v>7</v>
      </c>
      <c r="N71" s="40">
        <f t="shared" si="2"/>
        <v>8</v>
      </c>
      <c r="O71" s="40">
        <f t="shared" si="2"/>
        <v>9</v>
      </c>
      <c r="P71" s="40">
        <f t="shared" si="2"/>
        <v>10</v>
      </c>
      <c r="Q71" s="40">
        <f t="shared" si="2"/>
        <v>11</v>
      </c>
      <c r="R71" s="40">
        <f t="shared" si="2"/>
        <v>12</v>
      </c>
    </row>
    <row r="72" spans="6:20" x14ac:dyDescent="0.35">
      <c r="F72" s="46" t="str">
        <f>F60</f>
        <v>Dépôts</v>
      </c>
      <c r="G72" s="41">
        <f>SUM($G60:G60)</f>
        <v>69086.403111506734</v>
      </c>
      <c r="H72" s="41">
        <f>SUM($G60:H60)</f>
        <v>146300.61835377896</v>
      </c>
      <c r="I72" s="41">
        <f>SUM($G60:I60)</f>
        <v>227578.73966143397</v>
      </c>
      <c r="J72" s="41">
        <f>SUM($G60:J60)</f>
        <v>308856.86096908897</v>
      </c>
      <c r="K72" s="41">
        <f>SUM($G60:K60)</f>
        <v>390134.98227674398</v>
      </c>
      <c r="L72" s="41">
        <f>SUM($G60:L60)</f>
        <v>467349.19751901622</v>
      </c>
      <c r="M72" s="41">
        <f>SUM($G60:M60)</f>
        <v>532371.69456514018</v>
      </c>
      <c r="N72" s="41">
        <f>SUM($G60:N60)</f>
        <v>581138.5673497332</v>
      </c>
      <c r="O72" s="41">
        <f>SUM($G60:O60)</f>
        <v>654288.87652662268</v>
      </c>
      <c r="P72" s="41">
        <f>SUM($G60:P60)</f>
        <v>735566.99783427769</v>
      </c>
      <c r="Q72" s="41">
        <f>SUM($G60:Q60)</f>
        <v>816845.11914193269</v>
      </c>
      <c r="R72" s="41">
        <f>SUM($G60:R60)</f>
        <v>906251.05258035322</v>
      </c>
      <c r="T72" s="41"/>
    </row>
    <row r="73" spans="6:20" x14ac:dyDescent="0.35">
      <c r="F73" s="44" t="str">
        <f>F61</f>
        <v>Engagements</v>
      </c>
      <c r="G73" s="41">
        <f>SUM($G61:G61)</f>
        <v>65371.735654758428</v>
      </c>
      <c r="H73" s="41">
        <f>SUM($G61:H61)</f>
        <v>129245.11231328468</v>
      </c>
      <c r="I73" s="41">
        <f>SUM($G61:I61)</f>
        <v>203118.38637887739</v>
      </c>
      <c r="J73" s="41">
        <f>SUM($G61:J61)</f>
        <v>275665.56120700203</v>
      </c>
      <c r="K73" s="41">
        <f>SUM($G61:K61)</f>
        <v>349873.32115105732</v>
      </c>
      <c r="L73" s="41">
        <f>SUM($G61:L61)</f>
        <v>419750.6379999253</v>
      </c>
      <c r="M73" s="41">
        <f>SUM($G61:M61)</f>
        <v>483427.60112098622</v>
      </c>
      <c r="N73" s="41">
        <f>SUM($G61:N61)</f>
        <v>533813.66698626417</v>
      </c>
      <c r="O73" s="41">
        <f>SUM($G61:O61)</f>
        <v>592038.17694036115</v>
      </c>
      <c r="P73" s="41">
        <f>SUM($G61:P61)</f>
        <v>661642.54251503618</v>
      </c>
      <c r="Q73" s="41">
        <f>SUM($G61:Q61)</f>
        <v>733021.47710802045</v>
      </c>
      <c r="R73" s="41">
        <f>SUM($G61:R61)</f>
        <v>811774.62680510269</v>
      </c>
      <c r="T73" s="41"/>
    </row>
    <row r="74" spans="6:20" x14ac:dyDescent="0.35">
      <c r="F74" s="47" t="str">
        <f>F62</f>
        <v>Demandes de solde</v>
      </c>
      <c r="G74" s="41">
        <f>SUM($G62:G62)</f>
        <v>55779.354484422802</v>
      </c>
      <c r="H74" s="41">
        <f>SUM($G62:H62)</f>
        <v>108205.18273090268</v>
      </c>
      <c r="I74" s="41">
        <f>SUM($G62:I62)</f>
        <v>168440.92621329945</v>
      </c>
      <c r="J74" s="41">
        <f>SUM($G62:J62)</f>
        <v>227972.65596420449</v>
      </c>
      <c r="K74" s="41">
        <f>SUM($G62:K62)</f>
        <v>290446.37754535908</v>
      </c>
      <c r="L74" s="41">
        <f>SUM($G62:L62)</f>
        <v>350955.98555143701</v>
      </c>
      <c r="M74" s="41">
        <f>SUM($G62:M62)</f>
        <v>411719.10066776711</v>
      </c>
      <c r="N74" s="41">
        <f>SUM($G62:N62)</f>
        <v>468668.60917476407</v>
      </c>
      <c r="O74" s="41">
        <f>SUM($G62:O62)</f>
        <v>525721.74535769399</v>
      </c>
      <c r="P74" s="41">
        <f>SUM($G62:P62)</f>
        <v>586972.92430900177</v>
      </c>
      <c r="Q74" s="41">
        <f>SUM($G62:Q62)</f>
        <v>647375.32635198103</v>
      </c>
      <c r="R74" s="41">
        <f>SUM($G62:R62)</f>
        <v>711550.57852686336</v>
      </c>
      <c r="T74" s="41"/>
    </row>
    <row r="75" spans="6:20" x14ac:dyDescent="0.35">
      <c r="F75" s="48" t="str">
        <f>F63</f>
        <v>Paiement du solde</v>
      </c>
      <c r="G75" s="41">
        <f>SUM($G63:G63)</f>
        <v>50874.42615728989</v>
      </c>
      <c r="H75" s="41">
        <f>SUM($G63:H63)</f>
        <v>98252.185015218856</v>
      </c>
      <c r="I75" s="41">
        <f>SUM($G63:I63)</f>
        <v>152941.42314568968</v>
      </c>
      <c r="J75" s="41">
        <f>SUM($G63:J63)</f>
        <v>207237.28046795639</v>
      </c>
      <c r="K75" s="41">
        <f>SUM($G63:K63)</f>
        <v>264871.12202937639</v>
      </c>
      <c r="L75" s="41">
        <f>SUM($G63:L63)</f>
        <v>321330.75845126575</v>
      </c>
      <c r="M75" s="41">
        <f>SUM($G63:M63)</f>
        <v>379728.07886538515</v>
      </c>
      <c r="N75" s="41">
        <f>SUM($G63:N63)</f>
        <v>436717.93323772727</v>
      </c>
      <c r="O75" s="41">
        <f>SUM($G63:O63)</f>
        <v>491502.26953495399</v>
      </c>
      <c r="P75" s="41">
        <f>SUM($G63:P63)</f>
        <v>548614.78775160538</v>
      </c>
      <c r="Q75" s="41">
        <f>SUM($G63:Q63)</f>
        <v>604329.82115374494</v>
      </c>
      <c r="R75" s="41">
        <f>SUM($G63:R63)</f>
        <v>663263.94346319465</v>
      </c>
      <c r="T75" s="41"/>
    </row>
    <row r="77" spans="6:20" x14ac:dyDescent="0.35">
      <c r="F77" s="1" t="s">
        <v>149</v>
      </c>
    </row>
    <row r="78" spans="6:20" x14ac:dyDescent="0.35">
      <c r="F78" s="40" t="s">
        <v>76</v>
      </c>
      <c r="G78" s="40">
        <f>G71</f>
        <v>1</v>
      </c>
      <c r="H78" s="40">
        <f t="shared" ref="H78:R78" si="3">H71</f>
        <v>2</v>
      </c>
      <c r="I78" s="40">
        <f t="shared" si="3"/>
        <v>3</v>
      </c>
      <c r="J78" s="40">
        <f t="shared" si="3"/>
        <v>4</v>
      </c>
      <c r="K78" s="40">
        <f t="shared" si="3"/>
        <v>5</v>
      </c>
      <c r="L78" s="40">
        <f t="shared" si="3"/>
        <v>6</v>
      </c>
      <c r="M78" s="40">
        <f t="shared" si="3"/>
        <v>7</v>
      </c>
      <c r="N78" s="40">
        <f t="shared" si="3"/>
        <v>8</v>
      </c>
      <c r="O78" s="40">
        <f t="shared" si="3"/>
        <v>9</v>
      </c>
      <c r="P78" s="40">
        <f t="shared" si="3"/>
        <v>10</v>
      </c>
      <c r="Q78" s="40">
        <f t="shared" si="3"/>
        <v>11</v>
      </c>
      <c r="R78" s="40">
        <f t="shared" si="3"/>
        <v>12</v>
      </c>
    </row>
    <row r="79" spans="6:20" x14ac:dyDescent="0.35">
      <c r="F79" s="46" t="s">
        <v>23</v>
      </c>
      <c r="G79" s="41">
        <f>SUM($G67:G67)</f>
        <v>213569137.38977191</v>
      </c>
      <c r="H79" s="41">
        <f>SUM($G67:H67)</f>
        <v>416015501.94841057</v>
      </c>
      <c r="I79" s="41">
        <f>SUM($G67:I67)</f>
        <v>648466177.42602694</v>
      </c>
      <c r="J79" s="41">
        <f>SUM($G67:J67)</f>
        <v>876443635.41202617</v>
      </c>
      <c r="K79" s="41">
        <f>SUM($G67:K67)</f>
        <v>1108860588.2003293</v>
      </c>
      <c r="L79" s="41">
        <f>SUM($G67:L67)</f>
        <v>1326633556.9111769</v>
      </c>
      <c r="M79" s="41">
        <f>SUM($G67:M67)</f>
        <v>1523146236.9322953</v>
      </c>
      <c r="N79" s="41">
        <f>SUM($G67:N67)</f>
        <v>1676036930.9753773</v>
      </c>
      <c r="O79" s="41">
        <f>SUM($G67:O67)</f>
        <v>1854064244.6598377</v>
      </c>
      <c r="P79" s="41">
        <f>SUM($G67:P67)</f>
        <v>2067869532.4726033</v>
      </c>
      <c r="Q79" s="41">
        <f>SUM($G67:Q67)</f>
        <v>2287177786.602263</v>
      </c>
      <c r="R79" s="41">
        <f>SUM($G67:R67)</f>
        <v>2529221700.6225243</v>
      </c>
      <c r="S79" s="41"/>
      <c r="T79" s="41"/>
    </row>
    <row r="80" spans="6:20" x14ac:dyDescent="0.35">
      <c r="F80" s="45" t="s">
        <v>24</v>
      </c>
      <c r="G80" s="41">
        <f>SUM($G68:G68)</f>
        <v>159841051.33323553</v>
      </c>
      <c r="H80" s="41">
        <f>SUM($G68:H68)</f>
        <v>311174936.21407187</v>
      </c>
      <c r="I80" s="41">
        <f>SUM($G68:I68)</f>
        <v>488522107.91205215</v>
      </c>
      <c r="J80" s="41">
        <f>SUM($G68:J68)</f>
        <v>666840432.48009109</v>
      </c>
      <c r="K80" s="41">
        <f>SUM($G68:K68)</f>
        <v>857460744.26311564</v>
      </c>
      <c r="L80" s="41">
        <f>SUM($G68:L68)</f>
        <v>1044630369.6871376</v>
      </c>
      <c r="M80" s="41">
        <f>SUM($G68:M68)</f>
        <v>1238057821.2279053</v>
      </c>
      <c r="N80" s="41">
        <f>SUM($G68:N68)</f>
        <v>1426426890.6569085</v>
      </c>
      <c r="O80" s="41">
        <f>SUM($G68:O68)</f>
        <v>1606927051.3214743</v>
      </c>
      <c r="P80" s="41">
        <f>SUM($G68:P68)</f>
        <v>1794455845.0718791</v>
      </c>
      <c r="Q80" s="41">
        <f>SUM($G68:Q68)</f>
        <v>1976939140.6471114</v>
      </c>
      <c r="R80" s="41">
        <f>SUM($G68:R68)</f>
        <v>2169432262.1602821</v>
      </c>
      <c r="T80" s="41"/>
    </row>
    <row r="84" spans="17:22" hidden="1" outlineLevel="1" x14ac:dyDescent="0.35">
      <c r="Q84" t="s">
        <v>171</v>
      </c>
      <c r="R84" s="123">
        <v>1000</v>
      </c>
      <c r="T84" s="123">
        <v>1000</v>
      </c>
      <c r="V84" s="123">
        <v>1000</v>
      </c>
    </row>
    <row r="85" spans="17:22" collapsed="1" x14ac:dyDescent="0.35">
      <c r="Q85" s="40" t="s">
        <v>76</v>
      </c>
      <c r="R85" s="40" t="s">
        <v>168</v>
      </c>
      <c r="S85" s="40"/>
      <c r="T85" s="40" t="s">
        <v>169</v>
      </c>
      <c r="U85" s="40"/>
      <c r="V85" s="40" t="s">
        <v>170</v>
      </c>
    </row>
    <row r="86" spans="17:22" x14ac:dyDescent="0.35">
      <c r="Q86" t="s">
        <v>156</v>
      </c>
      <c r="R86" s="16">
        <f>Hypothèses_trajectoire!I48</f>
        <v>20</v>
      </c>
      <c r="T86" s="16">
        <f>Hypothèses_trajectoire!I92</f>
        <v>105</v>
      </c>
      <c r="V86" s="16">
        <f>Hypothèses_trajectoire!I128</f>
        <v>50</v>
      </c>
    </row>
    <row r="87" spans="17:22" x14ac:dyDescent="0.35">
      <c r="Q87" t="s">
        <v>157</v>
      </c>
      <c r="R87" s="16">
        <f>Hypothèses_trajectoire!I49</f>
        <v>20</v>
      </c>
      <c r="T87" s="16">
        <f>Hypothèses_trajectoire!I93</f>
        <v>105</v>
      </c>
      <c r="V87" s="16">
        <f>Hypothèses_trajectoire!I129</f>
        <v>50</v>
      </c>
    </row>
    <row r="88" spans="17:22" x14ac:dyDescent="0.35">
      <c r="Q88" t="s">
        <v>158</v>
      </c>
      <c r="R88" s="16">
        <f>Hypothèses_trajectoire!I50</f>
        <v>20</v>
      </c>
      <c r="T88" s="16">
        <f>Hypothèses_trajectoire!I94</f>
        <v>105</v>
      </c>
      <c r="V88" s="16">
        <f>Hypothèses_trajectoire!I130</f>
        <v>50</v>
      </c>
    </row>
    <row r="89" spans="17:22" x14ac:dyDescent="0.35">
      <c r="Q89" t="s">
        <v>159</v>
      </c>
      <c r="R89" s="16">
        <f>Hypothèses_trajectoire!I51</f>
        <v>20</v>
      </c>
      <c r="T89" s="16">
        <f>Hypothèses_trajectoire!I95</f>
        <v>105</v>
      </c>
      <c r="V89" s="16">
        <f>Hypothèses_trajectoire!I131</f>
        <v>50</v>
      </c>
    </row>
    <row r="90" spans="17:22" x14ac:dyDescent="0.35">
      <c r="Q90" t="s">
        <v>160</v>
      </c>
      <c r="R90" s="16">
        <f>Hypothèses_trajectoire!I52</f>
        <v>20</v>
      </c>
      <c r="T90" s="16">
        <f>Hypothèses_trajectoire!I96</f>
        <v>105</v>
      </c>
      <c r="V90" s="16">
        <f>Hypothèses_trajectoire!I132</f>
        <v>50</v>
      </c>
    </row>
    <row r="91" spans="17:22" x14ac:dyDescent="0.35">
      <c r="Q91" t="s">
        <v>161</v>
      </c>
      <c r="R91" s="16">
        <f>Hypothèses_trajectoire!I53</f>
        <v>20</v>
      </c>
      <c r="T91" s="16">
        <f>Hypothèses_trajectoire!I97</f>
        <v>105</v>
      </c>
      <c r="V91" s="16">
        <f>Hypothèses_trajectoire!I133</f>
        <v>50</v>
      </c>
    </row>
    <row r="92" spans="17:22" x14ac:dyDescent="0.35">
      <c r="Q92" t="s">
        <v>162</v>
      </c>
      <c r="R92" s="16">
        <f>Hypothèses_trajectoire!I54</f>
        <v>20</v>
      </c>
      <c r="T92" s="16">
        <f>Hypothèses_trajectoire!I98</f>
        <v>105</v>
      </c>
      <c r="V92" s="16">
        <f>Hypothèses_trajectoire!I134</f>
        <v>50</v>
      </c>
    </row>
    <row r="93" spans="17:22" x14ac:dyDescent="0.35">
      <c r="Q93" t="s">
        <v>163</v>
      </c>
      <c r="R93" s="16">
        <f>Hypothèses_trajectoire!I55</f>
        <v>20</v>
      </c>
      <c r="T93" s="16">
        <f>Hypothèses_trajectoire!I99</f>
        <v>105</v>
      </c>
      <c r="V93" s="16">
        <f>Hypothèses_trajectoire!I135</f>
        <v>50</v>
      </c>
    </row>
    <row r="94" spans="17:22" x14ac:dyDescent="0.35">
      <c r="Q94" t="s">
        <v>164</v>
      </c>
      <c r="R94" s="16">
        <f>Hypothèses_trajectoire!I56</f>
        <v>20</v>
      </c>
      <c r="T94" s="16">
        <f>Hypothèses_trajectoire!I100</f>
        <v>105</v>
      </c>
      <c r="V94" s="16">
        <f>Hypothèses_trajectoire!I136</f>
        <v>50</v>
      </c>
    </row>
    <row r="95" spans="17:22" x14ac:dyDescent="0.35">
      <c r="Q95" t="s">
        <v>165</v>
      </c>
      <c r="R95" s="16">
        <f>Hypothèses_trajectoire!I57</f>
        <v>20</v>
      </c>
      <c r="T95" s="16">
        <f>Hypothèses_trajectoire!I101</f>
        <v>105</v>
      </c>
      <c r="V95" s="16">
        <f>Hypothèses_trajectoire!I137</f>
        <v>50</v>
      </c>
    </row>
    <row r="96" spans="17:22" x14ac:dyDescent="0.35">
      <c r="Q96" t="s">
        <v>166</v>
      </c>
      <c r="R96" s="16">
        <f>Hypothèses_trajectoire!I58</f>
        <v>20</v>
      </c>
      <c r="T96" s="16">
        <f>Hypothèses_trajectoire!I102</f>
        <v>105</v>
      </c>
      <c r="V96" s="16">
        <f>Hypothèses_trajectoire!I138</f>
        <v>50</v>
      </c>
    </row>
    <row r="97" spans="17:22" x14ac:dyDescent="0.35">
      <c r="Q97" t="s">
        <v>167</v>
      </c>
      <c r="R97" s="16">
        <f>Hypothèses_trajectoire!I59</f>
        <v>20</v>
      </c>
      <c r="T97" s="16">
        <f>Hypothèses_trajectoire!I103</f>
        <v>105</v>
      </c>
      <c r="V97" s="16">
        <f>Hypothèses_trajectoire!I139</f>
        <v>50</v>
      </c>
    </row>
    <row r="98" spans="17:22" x14ac:dyDescent="0.35">
      <c r="R98" s="52">
        <f>R84/1000-1</f>
        <v>0</v>
      </c>
      <c r="T98" s="52">
        <f>T84/1000-1</f>
        <v>0</v>
      </c>
      <c r="V98" s="52">
        <f>V84/1000-1</f>
        <v>0</v>
      </c>
    </row>
    <row r="117" spans="6:6" x14ac:dyDescent="0.35">
      <c r="F117" s="1" t="s">
        <v>208</v>
      </c>
    </row>
    <row r="136" spans="6:7" hidden="1" outlineLevel="1" x14ac:dyDescent="0.35">
      <c r="F136" s="1" t="s">
        <v>175</v>
      </c>
    </row>
    <row r="137" spans="6:7" hidden="1" outlineLevel="1" x14ac:dyDescent="0.35">
      <c r="F137" t="s">
        <v>176</v>
      </c>
      <c r="G137">
        <f>(J9&lt;&gt;0)*1</f>
        <v>0</v>
      </c>
    </row>
    <row r="138" spans="6:7" hidden="1" outlineLevel="1" x14ac:dyDescent="0.35">
      <c r="F138" t="s">
        <v>177</v>
      </c>
      <c r="G138">
        <f>(J33&lt;&gt;0)*1</f>
        <v>0</v>
      </c>
    </row>
    <row r="139" spans="6:7" hidden="1" outlineLevel="1" x14ac:dyDescent="0.35">
      <c r="F139" t="s">
        <v>178</v>
      </c>
      <c r="G139">
        <f>(R98&lt;&gt;0)*1</f>
        <v>0</v>
      </c>
    </row>
    <row r="140" spans="6:7" hidden="1" outlineLevel="1" x14ac:dyDescent="0.35">
      <c r="F140" t="s">
        <v>179</v>
      </c>
      <c r="G140">
        <f>(T98&lt;&gt;0)*1</f>
        <v>0</v>
      </c>
    </row>
    <row r="141" spans="6:7" hidden="1" outlineLevel="1" x14ac:dyDescent="0.35">
      <c r="F141" t="s">
        <v>180</v>
      </c>
      <c r="G141">
        <f>(V98&lt;&gt;0)*1</f>
        <v>0</v>
      </c>
    </row>
    <row r="142" spans="6:7" collapsed="1" x14ac:dyDescent="0.35"/>
  </sheetData>
  <sheetProtection algorithmName="SHA-512" hashValue="54fI8bKTEgW/KTA0TMw/onNr1mxmt3VC1rYXU6DzpB36Y07b6ne2Z8Fl6T1pVT3QZpLGBzMX6pzMxlVcE+EEVQ==" saltValue="EFer3IWSFVPaKyi3jqoE3g==" spinCount="100000" sheet="1" objects="1" scenarios="1"/>
  <conditionalFormatting sqref="L9">
    <cfRule type="cellIs" dxfId="69" priority="11" operator="equal">
      <formula>"Scénario alternatif"</formula>
    </cfRule>
    <cfRule type="cellIs" dxfId="68" priority="12" operator="equal">
      <formula>"Scénario-Base"</formula>
    </cfRule>
  </conditionalFormatting>
  <conditionalFormatting sqref="L33">
    <cfRule type="cellIs" dxfId="67" priority="9" operator="equal">
      <formula>"Scénario alternatif"</formula>
    </cfRule>
    <cfRule type="cellIs" dxfId="66" priority="10" operator="equal">
      <formula>"Scénario-Base"</formula>
    </cfRule>
  </conditionalFormatting>
  <conditionalFormatting sqref="G137:G141">
    <cfRule type="cellIs" dxfId="65" priority="7" operator="equal">
      <formula>0</formula>
    </cfRule>
    <cfRule type="cellIs" dxfId="64" priority="8" operator="equal">
      <formula>1</formula>
    </cfRule>
  </conditionalFormatting>
  <conditionalFormatting sqref="G2">
    <cfRule type="cellIs" dxfId="63" priority="3" operator="greaterThan">
      <formula>0</formula>
    </cfRule>
    <cfRule type="cellIs" dxfId="62" priority="4" operator="equal">
      <formula>0</formula>
    </cfRule>
  </conditionalFormatting>
  <conditionalFormatting sqref="G1">
    <cfRule type="cellIs" dxfId="61" priority="1" operator="greaterThan">
      <formula>0</formula>
    </cfRule>
    <cfRule type="cellIs" dxfId="60" priority="2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37" r:id="rId4" name="ComboBox1">
          <controlPr defaultSize="0" autoLine="0" linkedCell="Graphiques!E97" listFillRange="Graphiques!E90:E94" r:id="rId5">
            <anchor moveWithCells="1">
              <from>
                <xdr:col>7</xdr:col>
                <xdr:colOff>184150</xdr:colOff>
                <xdr:row>115</xdr:row>
                <xdr:rowOff>171450</xdr:rowOff>
              </from>
              <to>
                <xdr:col>11</xdr:col>
                <xdr:colOff>565150</xdr:colOff>
                <xdr:row>117</xdr:row>
                <xdr:rowOff>63500</xdr:rowOff>
              </to>
            </anchor>
          </controlPr>
        </control>
      </mc:Choice>
      <mc:Fallback>
        <control shapeId="13337" r:id="rId4" name="ComboBox1"/>
      </mc:Fallback>
    </mc:AlternateContent>
    <mc:AlternateContent xmlns:mc="http://schemas.openxmlformats.org/markup-compatibility/2006">
      <mc:Choice Requires="x14">
        <control shapeId="13314" r:id="rId6" name="Scroll Bar 2">
          <controlPr defaultSize="0" autoPict="0">
            <anchor moveWithCells="1">
              <from>
                <xdr:col>10</xdr:col>
                <xdr:colOff>44450</xdr:colOff>
                <xdr:row>8</xdr:row>
                <xdr:rowOff>12700</xdr:rowOff>
              </from>
              <to>
                <xdr:col>10</xdr:col>
                <xdr:colOff>838200</xdr:colOff>
                <xdr:row>9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7" name="Scroll Bar 3">
          <controlPr defaultSize="0" autoPict="0">
            <anchor moveWithCells="1">
              <from>
                <xdr:col>10</xdr:col>
                <xdr:colOff>44450</xdr:colOff>
                <xdr:row>32</xdr:row>
                <xdr:rowOff>12700</xdr:rowOff>
              </from>
              <to>
                <xdr:col>10</xdr:col>
                <xdr:colOff>838200</xdr:colOff>
                <xdr:row>33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1" r:id="rId8" name="Spinner 19">
          <controlPr defaultSize="0" autoPict="0">
            <anchor moveWithCells="1" sizeWithCells="1">
              <from>
                <xdr:col>17</xdr:col>
                <xdr:colOff>393700</xdr:colOff>
                <xdr:row>96</xdr:row>
                <xdr:rowOff>152400</xdr:rowOff>
              </from>
              <to>
                <xdr:col>17</xdr:col>
                <xdr:colOff>762000</xdr:colOff>
                <xdr:row>98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2" r:id="rId9" name="Spinner 20">
          <controlPr defaultSize="0" autoPict="0">
            <anchor moveWithCells="1" sizeWithCells="1">
              <from>
                <xdr:col>18</xdr:col>
                <xdr:colOff>488950</xdr:colOff>
                <xdr:row>96</xdr:row>
                <xdr:rowOff>165100</xdr:rowOff>
              </from>
              <to>
                <xdr:col>18</xdr:col>
                <xdr:colOff>857250</xdr:colOff>
                <xdr:row>98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4" r:id="rId10" name="Spinner 22">
          <controlPr defaultSize="0" autoPict="0">
            <anchor moveWithCells="1" sizeWithCells="1">
              <from>
                <xdr:col>20</xdr:col>
                <xdr:colOff>577850</xdr:colOff>
                <xdr:row>96</xdr:row>
                <xdr:rowOff>165100</xdr:rowOff>
              </from>
              <to>
                <xdr:col>21</xdr:col>
                <xdr:colOff>19050</xdr:colOff>
                <xdr:row>98</xdr:row>
                <xdr:rowOff>50800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6E0B4"/>
  </sheetPr>
  <dimension ref="B1:K20"/>
  <sheetViews>
    <sheetView zoomScale="71" workbookViewId="0">
      <pane xSplit="10" ySplit="6" topLeftCell="K7" activePane="bottomRight" state="frozen"/>
      <selection activeCell="G33" sqref="G33"/>
      <selection pane="topRight" activeCell="G33" sqref="G33"/>
      <selection pane="bottomLeft" activeCell="G33" sqref="G33"/>
      <selection pane="bottomRight" activeCell="G33" sqref="G33"/>
    </sheetView>
  </sheetViews>
  <sheetFormatPr baseColWidth="10" defaultRowHeight="14.5" x14ac:dyDescent="0.35"/>
  <cols>
    <col min="1" max="4" width="2.6328125" customWidth="1"/>
  </cols>
  <sheetData>
    <row r="1" spans="2:11" x14ac:dyDescent="0.35">
      <c r="B1" s="1" t="str">
        <f ca="1">RIGHT(CELL("nomfichier",A1),LEN(CELL("nomfichier",A1))-FIND("]",CELL("nomfichier",A1),1))</f>
        <v>Controles</v>
      </c>
      <c r="F1" s="54" t="s">
        <v>181</v>
      </c>
      <c r="G1">
        <f>SUM(I11:I13)</f>
        <v>0</v>
      </c>
    </row>
    <row r="2" spans="2:11" x14ac:dyDescent="0.35">
      <c r="F2" s="55" t="s">
        <v>175</v>
      </c>
      <c r="G2">
        <f>I17</f>
        <v>0</v>
      </c>
    </row>
    <row r="6" spans="2:11" s="2" customFormat="1" x14ac:dyDescent="0.35">
      <c r="I6" s="2" t="s">
        <v>0</v>
      </c>
      <c r="J6" s="2" t="s">
        <v>1</v>
      </c>
      <c r="K6" s="2" t="s">
        <v>2</v>
      </c>
    </row>
    <row r="9" spans="2:11" x14ac:dyDescent="0.35">
      <c r="D9" s="1" t="s">
        <v>181</v>
      </c>
    </row>
    <row r="11" spans="2:11" x14ac:dyDescent="0.35">
      <c r="E11" t="str">
        <f>Consolidation!E28</f>
        <v>Cohérence engagement</v>
      </c>
      <c r="I11">
        <f>Consolidation!M28</f>
        <v>0</v>
      </c>
      <c r="J11" t="s">
        <v>188</v>
      </c>
    </row>
    <row r="12" spans="2:11" x14ac:dyDescent="0.35">
      <c r="E12" t="str">
        <f>Consolidation!E29</f>
        <v>Cohérence demandes de solde</v>
      </c>
      <c r="I12">
        <f>Consolidation!M29</f>
        <v>0</v>
      </c>
      <c r="J12" t="s">
        <v>188</v>
      </c>
    </row>
    <row r="13" spans="2:11" x14ac:dyDescent="0.35">
      <c r="E13" t="str">
        <f>Consolidation!E30</f>
        <v>Cohérence paiements</v>
      </c>
      <c r="I13">
        <f>Consolidation!M30</f>
        <v>0</v>
      </c>
      <c r="J13" t="s">
        <v>188</v>
      </c>
    </row>
    <row r="15" spans="2:11" x14ac:dyDescent="0.35">
      <c r="D15" s="1" t="s">
        <v>175</v>
      </c>
    </row>
    <row r="16" spans="2:11" x14ac:dyDescent="0.35">
      <c r="D16" s="1"/>
    </row>
    <row r="17" spans="4:10" x14ac:dyDescent="0.35">
      <c r="E17" t="s">
        <v>182</v>
      </c>
      <c r="I17">
        <f>SUM('Tableau de bord'!G137:G141)</f>
        <v>0</v>
      </c>
      <c r="J17" t="s">
        <v>183</v>
      </c>
    </row>
    <row r="20" spans="4:10" x14ac:dyDescent="0.35">
      <c r="D20" s="1" t="s">
        <v>25</v>
      </c>
    </row>
  </sheetData>
  <sheetProtection algorithmName="SHA-512" hashValue="2gM2TIxLSAXbIVLYg/tMmi5Kk2k5Mdu9e+ECg0sKu0LufME1eYMw6IG7E9O/250gwFR3dZIo0L4YOgXZQToWBg==" saltValue="cjvOLrmAzGVWdD5ctQ0CUg==" spinCount="100000" sheet="1" objects="1" scenarios="1"/>
  <conditionalFormatting sqref="G2">
    <cfRule type="cellIs" dxfId="59" priority="7" operator="greaterThan">
      <formula>0</formula>
    </cfRule>
    <cfRule type="cellIs" dxfId="58" priority="8" operator="equal">
      <formula>0</formula>
    </cfRule>
  </conditionalFormatting>
  <conditionalFormatting sqref="G1">
    <cfRule type="cellIs" dxfId="57" priority="5" operator="greaterThan">
      <formula>0</formula>
    </cfRule>
    <cfRule type="cellIs" dxfId="56" priority="6" operator="equal">
      <formula>0</formula>
    </cfRule>
  </conditionalFormatting>
  <conditionalFormatting sqref="I11:I13">
    <cfRule type="cellIs" dxfId="55" priority="3" operator="greaterThan">
      <formula>0</formula>
    </cfRule>
    <cfRule type="cellIs" dxfId="54" priority="4" operator="equal">
      <formula>0</formula>
    </cfRule>
  </conditionalFormatting>
  <conditionalFormatting sqref="I17">
    <cfRule type="cellIs" dxfId="53" priority="1" operator="greaterThan">
      <formula>0</formula>
    </cfRule>
    <cfRule type="cellIs" dxfId="52" priority="2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BFBFBF"/>
  </sheetPr>
  <dimension ref="B1:BI66"/>
  <sheetViews>
    <sheetView zoomScale="70" zoomScaleNormal="70" workbookViewId="0">
      <pane xSplit="10" ySplit="6" topLeftCell="M35" activePane="bottomRight" state="frozen"/>
      <selection activeCell="I37" sqref="I37"/>
      <selection pane="topRight" activeCell="I37" sqref="I37"/>
      <selection pane="bottomLeft" activeCell="I37" sqref="I37"/>
      <selection pane="bottomRight" activeCell="N37" sqref="N37"/>
    </sheetView>
  </sheetViews>
  <sheetFormatPr baseColWidth="10" defaultRowHeight="14.5" x14ac:dyDescent="0.35"/>
  <cols>
    <col min="1" max="4" width="2.6328125" customWidth="1"/>
  </cols>
  <sheetData>
    <row r="1" spans="2:61" s="6" customFormat="1" x14ac:dyDescent="0.35">
      <c r="B1" s="9" t="str">
        <f ca="1">RIGHT(CELL("nomfichier",A1),LEN(CELL("nomfichier",A1))-FIND("]",CELL("nomfichier",A1),1))</f>
        <v>Time</v>
      </c>
      <c r="F1" s="54" t="str">
        <f>Controles!F1</f>
        <v>Erreurs</v>
      </c>
      <c r="G1">
        <f>Controles!G1</f>
        <v>0</v>
      </c>
    </row>
    <row r="2" spans="2:61" x14ac:dyDescent="0.35">
      <c r="F2" s="55" t="str">
        <f>Controles!F2</f>
        <v>Alertes</v>
      </c>
      <c r="G2">
        <f>Controles!G2</f>
        <v>0</v>
      </c>
    </row>
    <row r="6" spans="2:61" s="2" customFormat="1" x14ac:dyDescent="0.35">
      <c r="I6" s="2" t="s">
        <v>0</v>
      </c>
      <c r="J6" s="2" t="s">
        <v>1</v>
      </c>
      <c r="K6" s="2" t="s">
        <v>2</v>
      </c>
    </row>
    <row r="8" spans="2:61" x14ac:dyDescent="0.35">
      <c r="D8" s="1" t="s">
        <v>27</v>
      </c>
    </row>
    <row r="10" spans="2:61" x14ac:dyDescent="0.35">
      <c r="E10" t="s">
        <v>28</v>
      </c>
      <c r="J10" t="s">
        <v>29</v>
      </c>
      <c r="N10">
        <f>M10+1</f>
        <v>1</v>
      </c>
      <c r="O10">
        <f t="shared" ref="O10:R10" si="0">N10+1</f>
        <v>2</v>
      </c>
      <c r="P10">
        <f t="shared" si="0"/>
        <v>3</v>
      </c>
      <c r="Q10">
        <f t="shared" si="0"/>
        <v>4</v>
      </c>
      <c r="R10">
        <f t="shared" si="0"/>
        <v>5</v>
      </c>
      <c r="S10">
        <f t="shared" ref="S10:AA10" si="1">R10+1</f>
        <v>6</v>
      </c>
      <c r="T10">
        <f t="shared" si="1"/>
        <v>7</v>
      </c>
      <c r="U10">
        <f t="shared" si="1"/>
        <v>8</v>
      </c>
      <c r="V10">
        <f t="shared" si="1"/>
        <v>9</v>
      </c>
      <c r="W10">
        <f t="shared" si="1"/>
        <v>10</v>
      </c>
      <c r="X10">
        <f t="shared" si="1"/>
        <v>11</v>
      </c>
      <c r="Y10">
        <f t="shared" si="1"/>
        <v>12</v>
      </c>
      <c r="Z10">
        <f t="shared" si="1"/>
        <v>13</v>
      </c>
      <c r="AA10">
        <f t="shared" si="1"/>
        <v>14</v>
      </c>
      <c r="AB10">
        <f t="shared" ref="AB10:AV10" si="2">AA10+1</f>
        <v>15</v>
      </c>
      <c r="AC10">
        <f t="shared" si="2"/>
        <v>16</v>
      </c>
      <c r="AD10">
        <f t="shared" si="2"/>
        <v>17</v>
      </c>
      <c r="AE10">
        <f t="shared" si="2"/>
        <v>18</v>
      </c>
      <c r="AF10">
        <f t="shared" si="2"/>
        <v>19</v>
      </c>
      <c r="AG10">
        <f t="shared" si="2"/>
        <v>20</v>
      </c>
      <c r="AH10">
        <f t="shared" si="2"/>
        <v>21</v>
      </c>
      <c r="AI10">
        <f t="shared" si="2"/>
        <v>22</v>
      </c>
      <c r="AJ10">
        <f t="shared" si="2"/>
        <v>23</v>
      </c>
      <c r="AK10">
        <f t="shared" si="2"/>
        <v>24</v>
      </c>
      <c r="AL10">
        <f t="shared" si="2"/>
        <v>25</v>
      </c>
      <c r="AM10">
        <f t="shared" si="2"/>
        <v>26</v>
      </c>
      <c r="AN10">
        <f t="shared" si="2"/>
        <v>27</v>
      </c>
      <c r="AO10">
        <f t="shared" si="2"/>
        <v>28</v>
      </c>
      <c r="AP10">
        <f t="shared" si="2"/>
        <v>29</v>
      </c>
      <c r="AQ10">
        <f t="shared" si="2"/>
        <v>30</v>
      </c>
      <c r="AR10">
        <f t="shared" si="2"/>
        <v>31</v>
      </c>
      <c r="AS10">
        <f t="shared" si="2"/>
        <v>32</v>
      </c>
      <c r="AT10">
        <f t="shared" si="2"/>
        <v>33</v>
      </c>
      <c r="AU10">
        <f t="shared" si="2"/>
        <v>34</v>
      </c>
      <c r="AV10">
        <f t="shared" si="2"/>
        <v>35</v>
      </c>
      <c r="AW10">
        <f t="shared" ref="AW10:BI10" si="3">AV10+1</f>
        <v>36</v>
      </c>
      <c r="AX10">
        <f t="shared" si="3"/>
        <v>37</v>
      </c>
      <c r="AY10">
        <f t="shared" si="3"/>
        <v>38</v>
      </c>
      <c r="AZ10">
        <f t="shared" si="3"/>
        <v>39</v>
      </c>
      <c r="BA10">
        <f t="shared" si="3"/>
        <v>40</v>
      </c>
      <c r="BB10">
        <f t="shared" si="3"/>
        <v>41</v>
      </c>
      <c r="BC10">
        <f t="shared" si="3"/>
        <v>42</v>
      </c>
      <c r="BD10">
        <f t="shared" si="3"/>
        <v>43</v>
      </c>
      <c r="BE10">
        <f t="shared" si="3"/>
        <v>44</v>
      </c>
      <c r="BF10">
        <f t="shared" si="3"/>
        <v>45</v>
      </c>
      <c r="BG10">
        <f t="shared" si="3"/>
        <v>46</v>
      </c>
      <c r="BH10">
        <f t="shared" si="3"/>
        <v>47</v>
      </c>
      <c r="BI10">
        <f t="shared" si="3"/>
        <v>48</v>
      </c>
    </row>
    <row r="11" spans="2:61" s="6" customFormat="1" x14ac:dyDescent="0.35">
      <c r="E11" s="6" t="s">
        <v>30</v>
      </c>
      <c r="J11" s="6" t="s">
        <v>31</v>
      </c>
      <c r="N11" s="79">
        <f>IF(N10=1,1,0)</f>
        <v>1</v>
      </c>
      <c r="O11" s="79">
        <f t="shared" ref="O11:R11" si="4">IF(O10=1,1,0)</f>
        <v>0</v>
      </c>
      <c r="P11" s="79">
        <f t="shared" si="4"/>
        <v>0</v>
      </c>
      <c r="Q11" s="79">
        <f t="shared" si="4"/>
        <v>0</v>
      </c>
      <c r="R11" s="79">
        <f t="shared" si="4"/>
        <v>0</v>
      </c>
      <c r="S11" s="79">
        <f t="shared" ref="S11" si="5">IF(S10=1,1,0)</f>
        <v>0</v>
      </c>
      <c r="T11" s="79">
        <f t="shared" ref="T11" si="6">IF(T10=1,1,0)</f>
        <v>0</v>
      </c>
      <c r="U11" s="79">
        <f t="shared" ref="U11" si="7">IF(U10=1,1,0)</f>
        <v>0</v>
      </c>
      <c r="V11" s="79">
        <f t="shared" ref="V11" si="8">IF(V10=1,1,0)</f>
        <v>0</v>
      </c>
      <c r="W11" s="79">
        <f t="shared" ref="W11" si="9">IF(W10=1,1,0)</f>
        <v>0</v>
      </c>
      <c r="X11" s="79">
        <f t="shared" ref="X11" si="10">IF(X10=1,1,0)</f>
        <v>0</v>
      </c>
      <c r="Y11" s="79">
        <f t="shared" ref="Y11" si="11">IF(Y10=1,1,0)</f>
        <v>0</v>
      </c>
      <c r="Z11" s="79">
        <f t="shared" ref="Z11" si="12">IF(Z10=1,1,0)</f>
        <v>0</v>
      </c>
      <c r="AA11" s="79">
        <f t="shared" ref="AA11" si="13">IF(AA10=1,1,0)</f>
        <v>0</v>
      </c>
      <c r="AB11" s="79">
        <f t="shared" ref="AB11" si="14">IF(AB10=1,1,0)</f>
        <v>0</v>
      </c>
      <c r="AC11" s="79">
        <f t="shared" ref="AC11" si="15">IF(AC10=1,1,0)</f>
        <v>0</v>
      </c>
      <c r="AD11" s="79">
        <f t="shared" ref="AD11" si="16">IF(AD10=1,1,0)</f>
        <v>0</v>
      </c>
      <c r="AE11" s="79">
        <f t="shared" ref="AE11" si="17">IF(AE10=1,1,0)</f>
        <v>0</v>
      </c>
      <c r="AF11" s="79">
        <f t="shared" ref="AF11" si="18">IF(AF10=1,1,0)</f>
        <v>0</v>
      </c>
      <c r="AG11" s="79">
        <f t="shared" ref="AG11" si="19">IF(AG10=1,1,0)</f>
        <v>0</v>
      </c>
      <c r="AH11" s="79">
        <f t="shared" ref="AH11" si="20">IF(AH10=1,1,0)</f>
        <v>0</v>
      </c>
      <c r="AI11" s="79">
        <f t="shared" ref="AI11" si="21">IF(AI10=1,1,0)</f>
        <v>0</v>
      </c>
      <c r="AJ11" s="79">
        <f t="shared" ref="AJ11" si="22">IF(AJ10=1,1,0)</f>
        <v>0</v>
      </c>
      <c r="AK11" s="79">
        <f t="shared" ref="AK11" si="23">IF(AK10=1,1,0)</f>
        <v>0</v>
      </c>
      <c r="AL11" s="79">
        <f t="shared" ref="AL11" si="24">IF(AL10=1,1,0)</f>
        <v>0</v>
      </c>
      <c r="AM11" s="79">
        <f t="shared" ref="AM11" si="25">IF(AM10=1,1,0)</f>
        <v>0</v>
      </c>
      <c r="AN11" s="79">
        <f t="shared" ref="AN11" si="26">IF(AN10=1,1,0)</f>
        <v>0</v>
      </c>
      <c r="AO11" s="79">
        <f t="shared" ref="AO11" si="27">IF(AO10=1,1,0)</f>
        <v>0</v>
      </c>
      <c r="AP11" s="79">
        <f t="shared" ref="AP11" si="28">IF(AP10=1,1,0)</f>
        <v>0</v>
      </c>
      <c r="AQ11" s="79">
        <f t="shared" ref="AQ11" si="29">IF(AQ10=1,1,0)</f>
        <v>0</v>
      </c>
      <c r="AR11" s="79">
        <f t="shared" ref="AR11" si="30">IF(AR10=1,1,0)</f>
        <v>0</v>
      </c>
      <c r="AS11" s="79">
        <f t="shared" ref="AS11" si="31">IF(AS10=1,1,0)</f>
        <v>0</v>
      </c>
      <c r="AT11" s="79">
        <f t="shared" ref="AT11" si="32">IF(AT10=1,1,0)</f>
        <v>0</v>
      </c>
      <c r="AU11" s="79">
        <f t="shared" ref="AU11" si="33">IF(AU10=1,1,0)</f>
        <v>0</v>
      </c>
      <c r="AV11" s="79">
        <f t="shared" ref="AV11:AW11" si="34">IF(AV10=1,1,0)</f>
        <v>0</v>
      </c>
      <c r="AW11" s="79">
        <f t="shared" si="34"/>
        <v>0</v>
      </c>
      <c r="AX11" s="79">
        <f t="shared" ref="AX11" si="35">IF(AX10=1,1,0)</f>
        <v>0</v>
      </c>
      <c r="AY11" s="79">
        <f t="shared" ref="AY11" si="36">IF(AY10=1,1,0)</f>
        <v>0</v>
      </c>
      <c r="AZ11" s="79">
        <f t="shared" ref="AZ11" si="37">IF(AZ10=1,1,0)</f>
        <v>0</v>
      </c>
      <c r="BA11" s="79">
        <f t="shared" ref="BA11" si="38">IF(BA10=1,1,0)</f>
        <v>0</v>
      </c>
      <c r="BB11" s="79">
        <f t="shared" ref="BB11" si="39">IF(BB10=1,1,0)</f>
        <v>0</v>
      </c>
      <c r="BC11" s="79">
        <f t="shared" ref="BC11" si="40">IF(BC10=1,1,0)</f>
        <v>0</v>
      </c>
      <c r="BD11" s="79">
        <f t="shared" ref="BD11" si="41">IF(BD10=1,1,0)</f>
        <v>0</v>
      </c>
      <c r="BE11" s="79">
        <f t="shared" ref="BE11" si="42">IF(BE10=1,1,0)</f>
        <v>0</v>
      </c>
      <c r="BF11" s="79">
        <f t="shared" ref="BF11" si="43">IF(BF10=1,1,0)</f>
        <v>0</v>
      </c>
      <c r="BG11" s="79">
        <f t="shared" ref="BG11" si="44">IF(BG10=1,1,0)</f>
        <v>0</v>
      </c>
      <c r="BH11" s="79">
        <f t="shared" ref="BH11" si="45">IF(BH10=1,1,0)</f>
        <v>0</v>
      </c>
      <c r="BI11" s="79">
        <f t="shared" ref="BI11" si="46">IF(BI10=1,1,0)</f>
        <v>0</v>
      </c>
    </row>
    <row r="12" spans="2:61" s="6" customFormat="1" x14ac:dyDescent="0.35"/>
    <row r="13" spans="2:61" s="8" customFormat="1" x14ac:dyDescent="0.35">
      <c r="E13" s="8" t="s">
        <v>76</v>
      </c>
      <c r="J13" s="8" t="s">
        <v>56</v>
      </c>
      <c r="N13" s="8">
        <f>M13+1</f>
        <v>1</v>
      </c>
      <c r="O13" s="8">
        <f t="shared" ref="O13:Y13" si="47">N13+1</f>
        <v>2</v>
      </c>
      <c r="P13" s="8">
        <f t="shared" si="47"/>
        <v>3</v>
      </c>
      <c r="Q13" s="8">
        <f t="shared" si="47"/>
        <v>4</v>
      </c>
      <c r="R13" s="8">
        <f t="shared" si="47"/>
        <v>5</v>
      </c>
      <c r="S13" s="8">
        <f t="shared" si="47"/>
        <v>6</v>
      </c>
      <c r="T13" s="8">
        <f t="shared" si="47"/>
        <v>7</v>
      </c>
      <c r="U13" s="8">
        <f t="shared" si="47"/>
        <v>8</v>
      </c>
      <c r="V13" s="8">
        <f t="shared" si="47"/>
        <v>9</v>
      </c>
      <c r="W13" s="8">
        <f t="shared" si="47"/>
        <v>10</v>
      </c>
      <c r="X13" s="8">
        <f t="shared" si="47"/>
        <v>11</v>
      </c>
      <c r="Y13" s="8">
        <f t="shared" si="47"/>
        <v>12</v>
      </c>
    </row>
    <row r="15" spans="2:61" x14ac:dyDescent="0.35">
      <c r="D15" s="1" t="s">
        <v>26</v>
      </c>
    </row>
    <row r="17" spans="4:61" s="4" customFormat="1" x14ac:dyDescent="0.35">
      <c r="E17" s="4" t="str">
        <f>Paramétrage_général!E10</f>
        <v>Date de début du programme</v>
      </c>
      <c r="I17" s="5">
        <f>Paramétrage_général!I10</f>
        <v>43831</v>
      </c>
      <c r="J17" s="4" t="str">
        <f>Paramétrage_général!J10</f>
        <v>date</v>
      </c>
    </row>
    <row r="18" spans="4:61" s="4" customFormat="1" x14ac:dyDescent="0.35">
      <c r="E18" s="4" t="str">
        <f>Paramétrage_général!E15</f>
        <v>Mois dans une année</v>
      </c>
      <c r="I18" s="15">
        <f>Paramétrage_général!I15</f>
        <v>12</v>
      </c>
      <c r="J18" s="4" t="str">
        <f>Paramétrage_général!J15</f>
        <v>Nb de mois</v>
      </c>
    </row>
    <row r="19" spans="4:61" s="8" customFormat="1" x14ac:dyDescent="0.35">
      <c r="E19" s="8" t="s">
        <v>32</v>
      </c>
      <c r="J19" s="8" t="s">
        <v>6</v>
      </c>
      <c r="N19" s="10">
        <f>IF(N11=1,$I$17,EOMONTH(M19,0)+1)</f>
        <v>43831</v>
      </c>
      <c r="O19" s="10">
        <f t="shared" ref="O19:R19" si="48">IF(O11=1,$I$17,EOMONTH(N19,0)+1)</f>
        <v>43862</v>
      </c>
      <c r="P19" s="10">
        <f t="shared" si="48"/>
        <v>43891</v>
      </c>
      <c r="Q19" s="10">
        <f t="shared" si="48"/>
        <v>43922</v>
      </c>
      <c r="R19" s="10">
        <f t="shared" si="48"/>
        <v>43952</v>
      </c>
      <c r="S19" s="10">
        <f t="shared" ref="S19:AA19" si="49">IF(S11=1,$I$17,EOMONTH(R19,0)+1)</f>
        <v>43983</v>
      </c>
      <c r="T19" s="10">
        <f t="shared" si="49"/>
        <v>44013</v>
      </c>
      <c r="U19" s="10">
        <f t="shared" si="49"/>
        <v>44044</v>
      </c>
      <c r="V19" s="10">
        <f t="shared" si="49"/>
        <v>44075</v>
      </c>
      <c r="W19" s="10">
        <f t="shared" si="49"/>
        <v>44105</v>
      </c>
      <c r="X19" s="10">
        <f t="shared" si="49"/>
        <v>44136</v>
      </c>
      <c r="Y19" s="10">
        <f t="shared" si="49"/>
        <v>44166</v>
      </c>
      <c r="Z19" s="10">
        <f t="shared" si="49"/>
        <v>44197</v>
      </c>
      <c r="AA19" s="10">
        <f t="shared" si="49"/>
        <v>44228</v>
      </c>
      <c r="AB19" s="10">
        <f t="shared" ref="AB19:AV19" si="50">IF(AB11=1,$I$17,EOMONTH(AA19,0)+1)</f>
        <v>44256</v>
      </c>
      <c r="AC19" s="10">
        <f t="shared" si="50"/>
        <v>44287</v>
      </c>
      <c r="AD19" s="10">
        <f t="shared" si="50"/>
        <v>44317</v>
      </c>
      <c r="AE19" s="10">
        <f t="shared" si="50"/>
        <v>44348</v>
      </c>
      <c r="AF19" s="10">
        <f t="shared" si="50"/>
        <v>44378</v>
      </c>
      <c r="AG19" s="10">
        <f t="shared" si="50"/>
        <v>44409</v>
      </c>
      <c r="AH19" s="10">
        <f t="shared" si="50"/>
        <v>44440</v>
      </c>
      <c r="AI19" s="10">
        <f t="shared" si="50"/>
        <v>44470</v>
      </c>
      <c r="AJ19" s="10">
        <f t="shared" si="50"/>
        <v>44501</v>
      </c>
      <c r="AK19" s="10">
        <f t="shared" si="50"/>
        <v>44531</v>
      </c>
      <c r="AL19" s="10">
        <f t="shared" si="50"/>
        <v>44562</v>
      </c>
      <c r="AM19" s="10">
        <f t="shared" si="50"/>
        <v>44593</v>
      </c>
      <c r="AN19" s="10">
        <f t="shared" si="50"/>
        <v>44621</v>
      </c>
      <c r="AO19" s="10">
        <f t="shared" si="50"/>
        <v>44652</v>
      </c>
      <c r="AP19" s="10">
        <f t="shared" si="50"/>
        <v>44682</v>
      </c>
      <c r="AQ19" s="10">
        <f t="shared" si="50"/>
        <v>44713</v>
      </c>
      <c r="AR19" s="10">
        <f t="shared" si="50"/>
        <v>44743</v>
      </c>
      <c r="AS19" s="10">
        <f t="shared" si="50"/>
        <v>44774</v>
      </c>
      <c r="AT19" s="10">
        <f t="shared" si="50"/>
        <v>44805</v>
      </c>
      <c r="AU19" s="10">
        <f t="shared" si="50"/>
        <v>44835</v>
      </c>
      <c r="AV19" s="10">
        <f t="shared" si="50"/>
        <v>44866</v>
      </c>
      <c r="AW19" s="10">
        <f t="shared" ref="AW19:BI19" si="51">IF(AW11=1,$I$17,EOMONTH(AV19,0)+1)</f>
        <v>44896</v>
      </c>
      <c r="AX19" s="10">
        <f t="shared" si="51"/>
        <v>44927</v>
      </c>
      <c r="AY19" s="10">
        <f t="shared" si="51"/>
        <v>44958</v>
      </c>
      <c r="AZ19" s="10">
        <f t="shared" si="51"/>
        <v>44986</v>
      </c>
      <c r="BA19" s="10">
        <f t="shared" si="51"/>
        <v>45017</v>
      </c>
      <c r="BB19" s="10">
        <f t="shared" si="51"/>
        <v>45047</v>
      </c>
      <c r="BC19" s="10">
        <f t="shared" si="51"/>
        <v>45078</v>
      </c>
      <c r="BD19" s="10">
        <f t="shared" si="51"/>
        <v>45108</v>
      </c>
      <c r="BE19" s="10">
        <f t="shared" si="51"/>
        <v>45139</v>
      </c>
      <c r="BF19" s="10">
        <f t="shared" si="51"/>
        <v>45170</v>
      </c>
      <c r="BG19" s="10">
        <f t="shared" si="51"/>
        <v>45200</v>
      </c>
      <c r="BH19" s="10">
        <f t="shared" si="51"/>
        <v>45231</v>
      </c>
      <c r="BI19" s="10">
        <f t="shared" si="51"/>
        <v>45261</v>
      </c>
    </row>
    <row r="20" spans="4:61" s="8" customFormat="1" x14ac:dyDescent="0.35">
      <c r="E20" s="8" t="s">
        <v>33</v>
      </c>
      <c r="J20" s="8" t="s">
        <v>6</v>
      </c>
      <c r="N20" s="10">
        <f>EOMONTH(N19,0)</f>
        <v>43861</v>
      </c>
      <c r="O20" s="10">
        <f t="shared" ref="O20:R20" si="52">EOMONTH(O19,0)</f>
        <v>43890</v>
      </c>
      <c r="P20" s="10">
        <f t="shared" si="52"/>
        <v>43921</v>
      </c>
      <c r="Q20" s="10">
        <f t="shared" si="52"/>
        <v>43951</v>
      </c>
      <c r="R20" s="10">
        <f t="shared" si="52"/>
        <v>43982</v>
      </c>
      <c r="S20" s="10">
        <f t="shared" ref="S20" si="53">EOMONTH(S19,0)</f>
        <v>44012</v>
      </c>
      <c r="T20" s="10">
        <f t="shared" ref="T20" si="54">EOMONTH(T19,0)</f>
        <v>44043</v>
      </c>
      <c r="U20" s="10">
        <f t="shared" ref="U20" si="55">EOMONTH(U19,0)</f>
        <v>44074</v>
      </c>
      <c r="V20" s="10">
        <f t="shared" ref="V20" si="56">EOMONTH(V19,0)</f>
        <v>44104</v>
      </c>
      <c r="W20" s="10">
        <f t="shared" ref="W20" si="57">EOMONTH(W19,0)</f>
        <v>44135</v>
      </c>
      <c r="X20" s="10">
        <f t="shared" ref="X20" si="58">EOMONTH(X19,0)</f>
        <v>44165</v>
      </c>
      <c r="Y20" s="10">
        <f t="shared" ref="Y20" si="59">EOMONTH(Y19,0)</f>
        <v>44196</v>
      </c>
      <c r="Z20" s="10">
        <f t="shared" ref="Z20" si="60">EOMONTH(Z19,0)</f>
        <v>44227</v>
      </c>
      <c r="AA20" s="10">
        <f t="shared" ref="AA20" si="61">EOMONTH(AA19,0)</f>
        <v>44255</v>
      </c>
      <c r="AB20" s="10">
        <f t="shared" ref="AB20" si="62">EOMONTH(AB19,0)</f>
        <v>44286</v>
      </c>
      <c r="AC20" s="10">
        <f t="shared" ref="AC20" si="63">EOMONTH(AC19,0)</f>
        <v>44316</v>
      </c>
      <c r="AD20" s="10">
        <f t="shared" ref="AD20" si="64">EOMONTH(AD19,0)</f>
        <v>44347</v>
      </c>
      <c r="AE20" s="10">
        <f t="shared" ref="AE20" si="65">EOMONTH(AE19,0)</f>
        <v>44377</v>
      </c>
      <c r="AF20" s="10">
        <f t="shared" ref="AF20" si="66">EOMONTH(AF19,0)</f>
        <v>44408</v>
      </c>
      <c r="AG20" s="10">
        <f t="shared" ref="AG20" si="67">EOMONTH(AG19,0)</f>
        <v>44439</v>
      </c>
      <c r="AH20" s="10">
        <f t="shared" ref="AH20" si="68">EOMONTH(AH19,0)</f>
        <v>44469</v>
      </c>
      <c r="AI20" s="10">
        <f t="shared" ref="AI20" si="69">EOMONTH(AI19,0)</f>
        <v>44500</v>
      </c>
      <c r="AJ20" s="10">
        <f t="shared" ref="AJ20" si="70">EOMONTH(AJ19,0)</f>
        <v>44530</v>
      </c>
      <c r="AK20" s="10">
        <f t="shared" ref="AK20" si="71">EOMONTH(AK19,0)</f>
        <v>44561</v>
      </c>
      <c r="AL20" s="10">
        <f t="shared" ref="AL20" si="72">EOMONTH(AL19,0)</f>
        <v>44592</v>
      </c>
      <c r="AM20" s="10">
        <f t="shared" ref="AM20" si="73">EOMONTH(AM19,0)</f>
        <v>44620</v>
      </c>
      <c r="AN20" s="10">
        <f t="shared" ref="AN20" si="74">EOMONTH(AN19,0)</f>
        <v>44651</v>
      </c>
      <c r="AO20" s="10">
        <f t="shared" ref="AO20" si="75">EOMONTH(AO19,0)</f>
        <v>44681</v>
      </c>
      <c r="AP20" s="10">
        <f t="shared" ref="AP20" si="76">EOMONTH(AP19,0)</f>
        <v>44712</v>
      </c>
      <c r="AQ20" s="10">
        <f t="shared" ref="AQ20" si="77">EOMONTH(AQ19,0)</f>
        <v>44742</v>
      </c>
      <c r="AR20" s="10">
        <f t="shared" ref="AR20" si="78">EOMONTH(AR19,0)</f>
        <v>44773</v>
      </c>
      <c r="AS20" s="10">
        <f t="shared" ref="AS20" si="79">EOMONTH(AS19,0)</f>
        <v>44804</v>
      </c>
      <c r="AT20" s="10">
        <f t="shared" ref="AT20" si="80">EOMONTH(AT19,0)</f>
        <v>44834</v>
      </c>
      <c r="AU20" s="10">
        <f t="shared" ref="AU20" si="81">EOMONTH(AU19,0)</f>
        <v>44865</v>
      </c>
      <c r="AV20" s="10">
        <f t="shared" ref="AV20:AW20" si="82">EOMONTH(AV19,0)</f>
        <v>44895</v>
      </c>
      <c r="AW20" s="10">
        <f t="shared" si="82"/>
        <v>44926</v>
      </c>
      <c r="AX20" s="10">
        <f t="shared" ref="AX20" si="83">EOMONTH(AX19,0)</f>
        <v>44957</v>
      </c>
      <c r="AY20" s="10">
        <f t="shared" ref="AY20" si="84">EOMONTH(AY19,0)</f>
        <v>44985</v>
      </c>
      <c r="AZ20" s="10">
        <f t="shared" ref="AZ20" si="85">EOMONTH(AZ19,0)</f>
        <v>45016</v>
      </c>
      <c r="BA20" s="10">
        <f t="shared" ref="BA20" si="86">EOMONTH(BA19,0)</f>
        <v>45046</v>
      </c>
      <c r="BB20" s="10">
        <f t="shared" ref="BB20" si="87">EOMONTH(BB19,0)</f>
        <v>45077</v>
      </c>
      <c r="BC20" s="10">
        <f t="shared" ref="BC20" si="88">EOMONTH(BC19,0)</f>
        <v>45107</v>
      </c>
      <c r="BD20" s="10">
        <f t="shared" ref="BD20" si="89">EOMONTH(BD19,0)</f>
        <v>45138</v>
      </c>
      <c r="BE20" s="10">
        <f t="shared" ref="BE20" si="90">EOMONTH(BE19,0)</f>
        <v>45169</v>
      </c>
      <c r="BF20" s="10">
        <f t="shared" ref="BF20" si="91">EOMONTH(BF19,0)</f>
        <v>45199</v>
      </c>
      <c r="BG20" s="10">
        <f t="shared" ref="BG20" si="92">EOMONTH(BG19,0)</f>
        <v>45230</v>
      </c>
      <c r="BH20" s="10">
        <f t="shared" ref="BH20" si="93">EOMONTH(BH19,0)</f>
        <v>45260</v>
      </c>
      <c r="BI20" s="10">
        <f t="shared" ref="BI20" si="94">EOMONTH(BI19,0)</f>
        <v>45291</v>
      </c>
    </row>
    <row r="21" spans="4:61" s="8" customFormat="1" x14ac:dyDescent="0.35">
      <c r="E21" s="8" t="s">
        <v>75</v>
      </c>
      <c r="J21" s="8" t="s">
        <v>56</v>
      </c>
      <c r="N21" s="21">
        <f>MONTH(N20)</f>
        <v>1</v>
      </c>
      <c r="O21" s="21">
        <f t="shared" ref="O21:AW21" si="95">MONTH(O20)</f>
        <v>2</v>
      </c>
      <c r="P21" s="21">
        <f t="shared" si="95"/>
        <v>3</v>
      </c>
      <c r="Q21" s="21">
        <f t="shared" si="95"/>
        <v>4</v>
      </c>
      <c r="R21" s="21">
        <f t="shared" si="95"/>
        <v>5</v>
      </c>
      <c r="S21" s="21">
        <f t="shared" si="95"/>
        <v>6</v>
      </c>
      <c r="T21" s="21">
        <f t="shared" si="95"/>
        <v>7</v>
      </c>
      <c r="U21" s="21">
        <f t="shared" si="95"/>
        <v>8</v>
      </c>
      <c r="V21" s="21">
        <f t="shared" si="95"/>
        <v>9</v>
      </c>
      <c r="W21" s="21">
        <f t="shared" si="95"/>
        <v>10</v>
      </c>
      <c r="X21" s="21">
        <f t="shared" si="95"/>
        <v>11</v>
      </c>
      <c r="Y21" s="21">
        <f t="shared" si="95"/>
        <v>12</v>
      </c>
      <c r="Z21" s="21">
        <f t="shared" si="95"/>
        <v>1</v>
      </c>
      <c r="AA21" s="21">
        <f t="shared" si="95"/>
        <v>2</v>
      </c>
      <c r="AB21" s="21">
        <f t="shared" si="95"/>
        <v>3</v>
      </c>
      <c r="AC21" s="21">
        <f t="shared" si="95"/>
        <v>4</v>
      </c>
      <c r="AD21" s="21">
        <f t="shared" si="95"/>
        <v>5</v>
      </c>
      <c r="AE21" s="21">
        <f t="shared" si="95"/>
        <v>6</v>
      </c>
      <c r="AF21" s="21">
        <f t="shared" si="95"/>
        <v>7</v>
      </c>
      <c r="AG21" s="21">
        <f t="shared" si="95"/>
        <v>8</v>
      </c>
      <c r="AH21" s="21">
        <f t="shared" si="95"/>
        <v>9</v>
      </c>
      <c r="AI21" s="21">
        <f t="shared" si="95"/>
        <v>10</v>
      </c>
      <c r="AJ21" s="21">
        <f t="shared" si="95"/>
        <v>11</v>
      </c>
      <c r="AK21" s="21">
        <f t="shared" si="95"/>
        <v>12</v>
      </c>
      <c r="AL21" s="21">
        <f t="shared" si="95"/>
        <v>1</v>
      </c>
      <c r="AM21" s="21">
        <f t="shared" si="95"/>
        <v>2</v>
      </c>
      <c r="AN21" s="21">
        <f t="shared" si="95"/>
        <v>3</v>
      </c>
      <c r="AO21" s="21">
        <f t="shared" si="95"/>
        <v>4</v>
      </c>
      <c r="AP21" s="21">
        <f t="shared" si="95"/>
        <v>5</v>
      </c>
      <c r="AQ21" s="21">
        <f t="shared" si="95"/>
        <v>6</v>
      </c>
      <c r="AR21" s="21">
        <f t="shared" si="95"/>
        <v>7</v>
      </c>
      <c r="AS21" s="21">
        <f t="shared" si="95"/>
        <v>8</v>
      </c>
      <c r="AT21" s="21">
        <f t="shared" si="95"/>
        <v>9</v>
      </c>
      <c r="AU21" s="21">
        <f t="shared" si="95"/>
        <v>10</v>
      </c>
      <c r="AV21" s="21">
        <f t="shared" si="95"/>
        <v>11</v>
      </c>
      <c r="AW21" s="21">
        <f t="shared" si="95"/>
        <v>12</v>
      </c>
      <c r="AX21" s="21">
        <f t="shared" ref="AX21" si="96">MONTH(AX20)</f>
        <v>1</v>
      </c>
      <c r="AY21" s="21">
        <f t="shared" ref="AY21" si="97">MONTH(AY20)</f>
        <v>2</v>
      </c>
      <c r="AZ21" s="21">
        <f t="shared" ref="AZ21" si="98">MONTH(AZ20)</f>
        <v>3</v>
      </c>
      <c r="BA21" s="21">
        <f t="shared" ref="BA21" si="99">MONTH(BA20)</f>
        <v>4</v>
      </c>
      <c r="BB21" s="21">
        <f t="shared" ref="BB21" si="100">MONTH(BB20)</f>
        <v>5</v>
      </c>
      <c r="BC21" s="21">
        <f t="shared" ref="BC21" si="101">MONTH(BC20)</f>
        <v>6</v>
      </c>
      <c r="BD21" s="21">
        <f t="shared" ref="BD21" si="102">MONTH(BD20)</f>
        <v>7</v>
      </c>
      <c r="BE21" s="21">
        <f t="shared" ref="BE21" si="103">MONTH(BE20)</f>
        <v>8</v>
      </c>
      <c r="BF21" s="21">
        <f t="shared" ref="BF21" si="104">MONTH(BF20)</f>
        <v>9</v>
      </c>
      <c r="BG21" s="21">
        <f t="shared" ref="BG21" si="105">MONTH(BG20)</f>
        <v>10</v>
      </c>
      <c r="BH21" s="21">
        <f t="shared" ref="BH21" si="106">MONTH(BH20)</f>
        <v>11</v>
      </c>
      <c r="BI21" s="21">
        <f t="shared" ref="BI21" si="107">MONTH(BI20)</f>
        <v>12</v>
      </c>
    </row>
    <row r="22" spans="4:61" s="8" customFormat="1" x14ac:dyDescent="0.35"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</row>
    <row r="23" spans="4:61" s="6" customFormat="1" x14ac:dyDescent="0.35">
      <c r="E23" s="6" t="s">
        <v>55</v>
      </c>
      <c r="I23" s="17">
        <f>MONTH(I17-1)</f>
        <v>12</v>
      </c>
      <c r="J23" s="6" t="s">
        <v>56</v>
      </c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</row>
    <row r="24" spans="4:61" s="6" customFormat="1" x14ac:dyDescent="0.35">
      <c r="E24" s="6" t="s">
        <v>54</v>
      </c>
      <c r="J24" s="6" t="s">
        <v>31</v>
      </c>
      <c r="N24" s="79">
        <f>IF(MONTH(N20)=$I$23,1,0)</f>
        <v>0</v>
      </c>
      <c r="O24" s="79">
        <f t="shared" ref="O24:AW24" si="108">IF(MONTH(O20)=$I$23,1,0)</f>
        <v>0</v>
      </c>
      <c r="P24" s="79">
        <f t="shared" si="108"/>
        <v>0</v>
      </c>
      <c r="Q24" s="79">
        <f t="shared" si="108"/>
        <v>0</v>
      </c>
      <c r="R24" s="79">
        <f t="shared" si="108"/>
        <v>0</v>
      </c>
      <c r="S24" s="79">
        <f t="shared" si="108"/>
        <v>0</v>
      </c>
      <c r="T24" s="79">
        <f t="shared" si="108"/>
        <v>0</v>
      </c>
      <c r="U24" s="79">
        <f t="shared" si="108"/>
        <v>0</v>
      </c>
      <c r="V24" s="79">
        <f t="shared" si="108"/>
        <v>0</v>
      </c>
      <c r="W24" s="79">
        <f t="shared" si="108"/>
        <v>0</v>
      </c>
      <c r="X24" s="79">
        <f t="shared" si="108"/>
        <v>0</v>
      </c>
      <c r="Y24" s="79">
        <f t="shared" si="108"/>
        <v>1</v>
      </c>
      <c r="Z24" s="79">
        <f t="shared" si="108"/>
        <v>0</v>
      </c>
      <c r="AA24" s="79">
        <f t="shared" si="108"/>
        <v>0</v>
      </c>
      <c r="AB24" s="79">
        <f t="shared" si="108"/>
        <v>0</v>
      </c>
      <c r="AC24" s="79">
        <f t="shared" si="108"/>
        <v>0</v>
      </c>
      <c r="AD24" s="79">
        <f t="shared" si="108"/>
        <v>0</v>
      </c>
      <c r="AE24" s="79">
        <f t="shared" si="108"/>
        <v>0</v>
      </c>
      <c r="AF24" s="79">
        <f t="shared" si="108"/>
        <v>0</v>
      </c>
      <c r="AG24" s="79">
        <f t="shared" si="108"/>
        <v>0</v>
      </c>
      <c r="AH24" s="79">
        <f t="shared" si="108"/>
        <v>0</v>
      </c>
      <c r="AI24" s="79">
        <f t="shared" si="108"/>
        <v>0</v>
      </c>
      <c r="AJ24" s="79">
        <f t="shared" si="108"/>
        <v>0</v>
      </c>
      <c r="AK24" s="79">
        <f t="shared" si="108"/>
        <v>1</v>
      </c>
      <c r="AL24" s="79">
        <f t="shared" si="108"/>
        <v>0</v>
      </c>
      <c r="AM24" s="79">
        <f t="shared" si="108"/>
        <v>0</v>
      </c>
      <c r="AN24" s="79">
        <f t="shared" si="108"/>
        <v>0</v>
      </c>
      <c r="AO24" s="79">
        <f t="shared" si="108"/>
        <v>0</v>
      </c>
      <c r="AP24" s="79">
        <f t="shared" si="108"/>
        <v>0</v>
      </c>
      <c r="AQ24" s="79">
        <f t="shared" si="108"/>
        <v>0</v>
      </c>
      <c r="AR24" s="79">
        <f t="shared" si="108"/>
        <v>0</v>
      </c>
      <c r="AS24" s="79">
        <f t="shared" si="108"/>
        <v>0</v>
      </c>
      <c r="AT24" s="79">
        <f t="shared" si="108"/>
        <v>0</v>
      </c>
      <c r="AU24" s="79">
        <f t="shared" si="108"/>
        <v>0</v>
      </c>
      <c r="AV24" s="79">
        <f t="shared" si="108"/>
        <v>0</v>
      </c>
      <c r="AW24" s="79">
        <f t="shared" si="108"/>
        <v>1</v>
      </c>
      <c r="AX24" s="79">
        <f t="shared" ref="AX24:BI24" si="109">IF(MONTH(AX20)=$I$23,1,0)</f>
        <v>0</v>
      </c>
      <c r="AY24" s="79">
        <f t="shared" si="109"/>
        <v>0</v>
      </c>
      <c r="AZ24" s="79">
        <f t="shared" si="109"/>
        <v>0</v>
      </c>
      <c r="BA24" s="79">
        <f t="shared" si="109"/>
        <v>0</v>
      </c>
      <c r="BB24" s="79">
        <f t="shared" si="109"/>
        <v>0</v>
      </c>
      <c r="BC24" s="79">
        <f t="shared" si="109"/>
        <v>0</v>
      </c>
      <c r="BD24" s="79">
        <f t="shared" si="109"/>
        <v>0</v>
      </c>
      <c r="BE24" s="79">
        <f t="shared" si="109"/>
        <v>0</v>
      </c>
      <c r="BF24" s="79">
        <f t="shared" si="109"/>
        <v>0</v>
      </c>
      <c r="BG24" s="79">
        <f t="shared" si="109"/>
        <v>0</v>
      </c>
      <c r="BH24" s="79">
        <f t="shared" si="109"/>
        <v>0</v>
      </c>
      <c r="BI24" s="79">
        <f t="shared" si="109"/>
        <v>1</v>
      </c>
    </row>
    <row r="26" spans="4:61" x14ac:dyDescent="0.35">
      <c r="D26" s="1" t="s">
        <v>34</v>
      </c>
    </row>
    <row r="28" spans="4:61" s="4" customFormat="1" x14ac:dyDescent="0.35">
      <c r="E28" s="4" t="str">
        <f>Paramétrage_général!E10</f>
        <v>Date de début du programme</v>
      </c>
      <c r="I28" s="5">
        <f>Paramétrage_général!I10</f>
        <v>43831</v>
      </c>
      <c r="J28" s="4" t="str">
        <f>Paramétrage_général!J10</f>
        <v>date</v>
      </c>
    </row>
    <row r="29" spans="4:61" s="4" customFormat="1" x14ac:dyDescent="0.35">
      <c r="E29" s="4" t="str">
        <f>Paramétrage_général!E15</f>
        <v>Mois dans une année</v>
      </c>
      <c r="I29" s="15">
        <f>Paramétrage_général!I15</f>
        <v>12</v>
      </c>
      <c r="J29" s="4" t="str">
        <f>Paramétrage_général!J15</f>
        <v>Nb de mois</v>
      </c>
    </row>
    <row r="30" spans="4:61" s="8" customFormat="1" x14ac:dyDescent="0.35">
      <c r="E30" s="8" t="s">
        <v>35</v>
      </c>
      <c r="J30" s="8" t="s">
        <v>6</v>
      </c>
      <c r="N30" s="10">
        <f>IF(N11=1,$I$28,EOMONTH(M30,$I29-1)+1)</f>
        <v>43831</v>
      </c>
      <c r="O30" s="10">
        <f t="shared" ref="O30:R30" si="110">IF(O11=1,$I$28,EOMONTH(N30,$I29-1)+1)</f>
        <v>44197</v>
      </c>
      <c r="P30" s="10">
        <f t="shared" si="110"/>
        <v>44562</v>
      </c>
      <c r="Q30" s="10">
        <f t="shared" si="110"/>
        <v>44927</v>
      </c>
      <c r="R30" s="10">
        <f t="shared" si="110"/>
        <v>45292</v>
      </c>
      <c r="S30" s="10">
        <f t="shared" ref="S30" si="111">IF(S11=1,$I$28,EOMONTH(R30,$I29-1)+1)</f>
        <v>45658</v>
      </c>
      <c r="T30" s="10">
        <f t="shared" ref="T30" si="112">IF(T11=1,$I$28,EOMONTH(S30,$I29-1)+1)</f>
        <v>46023</v>
      </c>
      <c r="U30" s="10">
        <f t="shared" ref="U30" si="113">IF(U11=1,$I$28,EOMONTH(T30,$I29-1)+1)</f>
        <v>46388</v>
      </c>
      <c r="V30" s="10">
        <f t="shared" ref="V30" si="114">IF(V11=1,$I$28,EOMONTH(U30,$I29-1)+1)</f>
        <v>46753</v>
      </c>
      <c r="W30" s="10">
        <f t="shared" ref="W30" si="115">IF(W11=1,$I$28,EOMONTH(V30,$I29-1)+1)</f>
        <v>47119</v>
      </c>
      <c r="X30" s="10">
        <f t="shared" ref="X30" si="116">IF(X11=1,$I$28,EOMONTH(W30,$I29-1)+1)</f>
        <v>47484</v>
      </c>
      <c r="Y30" s="10">
        <f t="shared" ref="Y30" si="117">IF(Y11=1,$I$28,EOMONTH(X30,$I29-1)+1)</f>
        <v>47849</v>
      </c>
      <c r="Z30" s="10">
        <f t="shared" ref="Z30" si="118">IF(Z11=1,$I$28,EOMONTH(Y30,$I29-1)+1)</f>
        <v>48214</v>
      </c>
      <c r="AA30" s="10">
        <f t="shared" ref="AA30" si="119">IF(AA11=1,$I$28,EOMONTH(Z30,$I29-1)+1)</f>
        <v>48580</v>
      </c>
      <c r="AB30" s="10">
        <f t="shared" ref="AB30" si="120">IF(AB11=1,$I$28,EOMONTH(AA30,$I29-1)+1)</f>
        <v>48945</v>
      </c>
      <c r="AC30" s="10">
        <f t="shared" ref="AC30" si="121">IF(AC11=1,$I$28,EOMONTH(AB30,$I29-1)+1)</f>
        <v>49310</v>
      </c>
      <c r="AD30" s="10">
        <f t="shared" ref="AD30" si="122">IF(AD11=1,$I$28,EOMONTH(AC30,$I29-1)+1)</f>
        <v>49675</v>
      </c>
      <c r="AE30" s="10">
        <f t="shared" ref="AE30" si="123">IF(AE11=1,$I$28,EOMONTH(AD30,$I29-1)+1)</f>
        <v>50041</v>
      </c>
      <c r="AF30" s="10">
        <f t="shared" ref="AF30" si="124">IF(AF11=1,$I$28,EOMONTH(AE30,$I29-1)+1)</f>
        <v>50406</v>
      </c>
      <c r="AG30" s="10">
        <f t="shared" ref="AG30" si="125">IF(AG11=1,$I$28,EOMONTH(AF30,$I29-1)+1)</f>
        <v>50771</v>
      </c>
      <c r="AH30" s="10">
        <f t="shared" ref="AH30" si="126">IF(AH11=1,$I$28,EOMONTH(AG30,$I29-1)+1)</f>
        <v>51136</v>
      </c>
      <c r="AI30" s="10">
        <f t="shared" ref="AI30" si="127">IF(AI11=1,$I$28,EOMONTH(AH30,$I29-1)+1)</f>
        <v>51502</v>
      </c>
      <c r="AJ30" s="10">
        <f t="shared" ref="AJ30" si="128">IF(AJ11=1,$I$28,EOMONTH(AI30,$I29-1)+1)</f>
        <v>51867</v>
      </c>
      <c r="AK30" s="10">
        <f t="shared" ref="AK30" si="129">IF(AK11=1,$I$28,EOMONTH(AJ30,$I29-1)+1)</f>
        <v>52232</v>
      </c>
      <c r="AL30" s="10">
        <f t="shared" ref="AL30" si="130">IF(AL11=1,$I$28,EOMONTH(AK30,$I29-1)+1)</f>
        <v>52597</v>
      </c>
      <c r="AM30" s="10">
        <f t="shared" ref="AM30" si="131">IF(AM11=1,$I$28,EOMONTH(AL30,$I29-1)+1)</f>
        <v>52963</v>
      </c>
      <c r="AN30" s="10">
        <f t="shared" ref="AN30" si="132">IF(AN11=1,$I$28,EOMONTH(AM30,$I29-1)+1)</f>
        <v>53328</v>
      </c>
      <c r="AO30" s="10">
        <f t="shared" ref="AO30" si="133">IF(AO11=1,$I$28,EOMONTH(AN30,$I29-1)+1)</f>
        <v>53693</v>
      </c>
      <c r="AP30" s="10">
        <f t="shared" ref="AP30" si="134">IF(AP11=1,$I$28,EOMONTH(AO30,$I29-1)+1)</f>
        <v>54058</v>
      </c>
      <c r="AQ30" s="10">
        <f t="shared" ref="AQ30" si="135">IF(AQ11=1,$I$28,EOMONTH(AP30,$I29-1)+1)</f>
        <v>54424</v>
      </c>
      <c r="AR30" s="10">
        <f t="shared" ref="AR30" si="136">IF(AR11=1,$I$28,EOMONTH(AQ30,$I29-1)+1)</f>
        <v>54789</v>
      </c>
      <c r="AS30" s="10">
        <f t="shared" ref="AS30" si="137">IF(AS11=1,$I$28,EOMONTH(AR30,$I29-1)+1)</f>
        <v>55154</v>
      </c>
      <c r="AT30" s="10">
        <f t="shared" ref="AT30" si="138">IF(AT11=1,$I$28,EOMONTH(AS30,$I29-1)+1)</f>
        <v>55519</v>
      </c>
      <c r="AU30" s="10">
        <f t="shared" ref="AU30" si="139">IF(AU11=1,$I$28,EOMONTH(AT30,$I29-1)+1)</f>
        <v>55885</v>
      </c>
      <c r="AV30" s="10">
        <f t="shared" ref="AV30:AW30" si="140">IF(AV11=1,$I$28,EOMONTH(AU30,$I29-1)+1)</f>
        <v>56250</v>
      </c>
      <c r="AW30" s="10">
        <f t="shared" si="140"/>
        <v>56615</v>
      </c>
      <c r="AX30" s="10">
        <f t="shared" ref="AX30" si="141">IF(AX11=1,$I$28,EOMONTH(AW30,$I29-1)+1)</f>
        <v>56980</v>
      </c>
      <c r="AY30" s="10">
        <f t="shared" ref="AY30" si="142">IF(AY11=1,$I$28,EOMONTH(AX30,$I29-1)+1)</f>
        <v>57346</v>
      </c>
      <c r="AZ30" s="10">
        <f t="shared" ref="AZ30" si="143">IF(AZ11=1,$I$28,EOMONTH(AY30,$I29-1)+1)</f>
        <v>57711</v>
      </c>
      <c r="BA30" s="10">
        <f t="shared" ref="BA30" si="144">IF(BA11=1,$I$28,EOMONTH(AZ30,$I29-1)+1)</f>
        <v>58076</v>
      </c>
      <c r="BB30" s="10">
        <f t="shared" ref="BB30" si="145">IF(BB11=1,$I$28,EOMONTH(BA30,$I29-1)+1)</f>
        <v>58441</v>
      </c>
      <c r="BC30" s="10">
        <f t="shared" ref="BC30" si="146">IF(BC11=1,$I$28,EOMONTH(BB30,$I29-1)+1)</f>
        <v>58807</v>
      </c>
      <c r="BD30" s="10">
        <f t="shared" ref="BD30" si="147">IF(BD11=1,$I$28,EOMONTH(BC30,$I29-1)+1)</f>
        <v>59172</v>
      </c>
      <c r="BE30" s="10">
        <f t="shared" ref="BE30" si="148">IF(BE11=1,$I$28,EOMONTH(BD30,$I29-1)+1)</f>
        <v>59537</v>
      </c>
      <c r="BF30" s="10">
        <f t="shared" ref="BF30" si="149">IF(BF11=1,$I$28,EOMONTH(BE30,$I29-1)+1)</f>
        <v>59902</v>
      </c>
      <c r="BG30" s="10">
        <f t="shared" ref="BG30" si="150">IF(BG11=1,$I$28,EOMONTH(BF30,$I29-1)+1)</f>
        <v>60268</v>
      </c>
      <c r="BH30" s="10">
        <f t="shared" ref="BH30" si="151">IF(BH11=1,$I$28,EOMONTH(BG30,$I29-1)+1)</f>
        <v>60633</v>
      </c>
      <c r="BI30" s="10">
        <f t="shared" ref="BI30" si="152">IF(BI11=1,$I$28,EOMONTH(BH30,$I29-1)+1)</f>
        <v>60998</v>
      </c>
    </row>
    <row r="31" spans="4:61" s="8" customFormat="1" x14ac:dyDescent="0.35">
      <c r="E31" s="8" t="s">
        <v>36</v>
      </c>
      <c r="J31" s="8" t="s">
        <v>6</v>
      </c>
      <c r="N31" s="10">
        <f>EOMONTH(N30,$I29-1)</f>
        <v>44196</v>
      </c>
      <c r="O31" s="10">
        <f t="shared" ref="O31:R31" si="153">EOMONTH(O30,$I29-1)</f>
        <v>44561</v>
      </c>
      <c r="P31" s="10">
        <f t="shared" si="153"/>
        <v>44926</v>
      </c>
      <c r="Q31" s="10">
        <f t="shared" si="153"/>
        <v>45291</v>
      </c>
      <c r="R31" s="10">
        <f t="shared" si="153"/>
        <v>45657</v>
      </c>
      <c r="S31" s="10">
        <f t="shared" ref="S31" si="154">EOMONTH(S30,$I29-1)</f>
        <v>46022</v>
      </c>
      <c r="T31" s="10">
        <f t="shared" ref="T31" si="155">EOMONTH(T30,$I29-1)</f>
        <v>46387</v>
      </c>
      <c r="U31" s="10">
        <f t="shared" ref="U31" si="156">EOMONTH(U30,$I29-1)</f>
        <v>46752</v>
      </c>
      <c r="V31" s="10">
        <f t="shared" ref="V31" si="157">EOMONTH(V30,$I29-1)</f>
        <v>47118</v>
      </c>
      <c r="W31" s="10">
        <f t="shared" ref="W31" si="158">EOMONTH(W30,$I29-1)</f>
        <v>47483</v>
      </c>
      <c r="X31" s="10">
        <f t="shared" ref="X31" si="159">EOMONTH(X30,$I29-1)</f>
        <v>47848</v>
      </c>
      <c r="Y31" s="10">
        <f t="shared" ref="Y31" si="160">EOMONTH(Y30,$I29-1)</f>
        <v>48213</v>
      </c>
      <c r="Z31" s="10">
        <f t="shared" ref="Z31" si="161">EOMONTH(Z30,$I29-1)</f>
        <v>48579</v>
      </c>
      <c r="AA31" s="10">
        <f t="shared" ref="AA31" si="162">EOMONTH(AA30,$I29-1)</f>
        <v>48944</v>
      </c>
      <c r="AB31" s="10">
        <f t="shared" ref="AB31" si="163">EOMONTH(AB30,$I29-1)</f>
        <v>49309</v>
      </c>
      <c r="AC31" s="10">
        <f t="shared" ref="AC31" si="164">EOMONTH(AC30,$I29-1)</f>
        <v>49674</v>
      </c>
      <c r="AD31" s="10">
        <f t="shared" ref="AD31" si="165">EOMONTH(AD30,$I29-1)</f>
        <v>50040</v>
      </c>
      <c r="AE31" s="10">
        <f t="shared" ref="AE31" si="166">EOMONTH(AE30,$I29-1)</f>
        <v>50405</v>
      </c>
      <c r="AF31" s="10">
        <f t="shared" ref="AF31" si="167">EOMONTH(AF30,$I29-1)</f>
        <v>50770</v>
      </c>
      <c r="AG31" s="10">
        <f t="shared" ref="AG31" si="168">EOMONTH(AG30,$I29-1)</f>
        <v>51135</v>
      </c>
      <c r="AH31" s="10">
        <f t="shared" ref="AH31" si="169">EOMONTH(AH30,$I29-1)</f>
        <v>51501</v>
      </c>
      <c r="AI31" s="10">
        <f t="shared" ref="AI31" si="170">EOMONTH(AI30,$I29-1)</f>
        <v>51866</v>
      </c>
      <c r="AJ31" s="10">
        <f t="shared" ref="AJ31" si="171">EOMONTH(AJ30,$I29-1)</f>
        <v>52231</v>
      </c>
      <c r="AK31" s="10">
        <f t="shared" ref="AK31" si="172">EOMONTH(AK30,$I29-1)</f>
        <v>52596</v>
      </c>
      <c r="AL31" s="10">
        <f t="shared" ref="AL31" si="173">EOMONTH(AL30,$I29-1)</f>
        <v>52962</v>
      </c>
      <c r="AM31" s="10">
        <f t="shared" ref="AM31" si="174">EOMONTH(AM30,$I29-1)</f>
        <v>53327</v>
      </c>
      <c r="AN31" s="10">
        <f t="shared" ref="AN31" si="175">EOMONTH(AN30,$I29-1)</f>
        <v>53692</v>
      </c>
      <c r="AO31" s="10">
        <f t="shared" ref="AO31" si="176">EOMONTH(AO30,$I29-1)</f>
        <v>54057</v>
      </c>
      <c r="AP31" s="10">
        <f t="shared" ref="AP31" si="177">EOMONTH(AP30,$I29-1)</f>
        <v>54423</v>
      </c>
      <c r="AQ31" s="10">
        <f t="shared" ref="AQ31" si="178">EOMONTH(AQ30,$I29-1)</f>
        <v>54788</v>
      </c>
      <c r="AR31" s="10">
        <f t="shared" ref="AR31" si="179">EOMONTH(AR30,$I29-1)</f>
        <v>55153</v>
      </c>
      <c r="AS31" s="10">
        <f t="shared" ref="AS31" si="180">EOMONTH(AS30,$I29-1)</f>
        <v>55518</v>
      </c>
      <c r="AT31" s="10">
        <f t="shared" ref="AT31" si="181">EOMONTH(AT30,$I29-1)</f>
        <v>55884</v>
      </c>
      <c r="AU31" s="10">
        <f t="shared" ref="AU31" si="182">EOMONTH(AU30,$I29-1)</f>
        <v>56249</v>
      </c>
      <c r="AV31" s="10">
        <f t="shared" ref="AV31:AW31" si="183">EOMONTH(AV30,$I29-1)</f>
        <v>56614</v>
      </c>
      <c r="AW31" s="10">
        <f t="shared" si="183"/>
        <v>56979</v>
      </c>
      <c r="AX31" s="10">
        <f t="shared" ref="AX31" si="184">EOMONTH(AX30,$I29-1)</f>
        <v>57345</v>
      </c>
      <c r="AY31" s="10">
        <f t="shared" ref="AY31" si="185">EOMONTH(AY30,$I29-1)</f>
        <v>57710</v>
      </c>
      <c r="AZ31" s="10">
        <f t="shared" ref="AZ31" si="186">EOMONTH(AZ30,$I29-1)</f>
        <v>58075</v>
      </c>
      <c r="BA31" s="10">
        <f t="shared" ref="BA31" si="187">EOMONTH(BA30,$I29-1)</f>
        <v>58440</v>
      </c>
      <c r="BB31" s="10">
        <f t="shared" ref="BB31" si="188">EOMONTH(BB30,$I29-1)</f>
        <v>58806</v>
      </c>
      <c r="BC31" s="10">
        <f t="shared" ref="BC31" si="189">EOMONTH(BC30,$I29-1)</f>
        <v>59171</v>
      </c>
      <c r="BD31" s="10">
        <f t="shared" ref="BD31" si="190">EOMONTH(BD30,$I29-1)</f>
        <v>59536</v>
      </c>
      <c r="BE31" s="10">
        <f t="shared" ref="BE31" si="191">EOMONTH(BE30,$I29-1)</f>
        <v>59901</v>
      </c>
      <c r="BF31" s="10">
        <f t="shared" ref="BF31" si="192">EOMONTH(BF30,$I29-1)</f>
        <v>60267</v>
      </c>
      <c r="BG31" s="10">
        <f t="shared" ref="BG31" si="193">EOMONTH(BG30,$I29-1)</f>
        <v>60632</v>
      </c>
      <c r="BH31" s="10">
        <f t="shared" ref="BH31" si="194">EOMONTH(BH30,$I29-1)</f>
        <v>60997</v>
      </c>
      <c r="BI31" s="10">
        <f t="shared" ref="BI31" si="195">EOMONTH(BI30,$I29-1)</f>
        <v>61362</v>
      </c>
    </row>
    <row r="33" spans="4:61" x14ac:dyDescent="0.35">
      <c r="D33" s="1" t="s">
        <v>37</v>
      </c>
    </row>
    <row r="35" spans="4:61" s="4" customFormat="1" x14ac:dyDescent="0.35">
      <c r="E35" s="4" t="str">
        <f>Paramétrage_général!E11</f>
        <v>Date de début de projection</v>
      </c>
      <c r="I35" s="5">
        <f>Paramétrage_général!I11</f>
        <v>44562</v>
      </c>
      <c r="J35" s="4" t="str">
        <f>Paramétrage_général!J11</f>
        <v>date</v>
      </c>
    </row>
    <row r="36" spans="4:61" x14ac:dyDescent="0.35">
      <c r="E36" t="str">
        <f>E20</f>
        <v>Frise mensuelle-fin de période</v>
      </c>
      <c r="J36" t="str">
        <f>J20</f>
        <v>date</v>
      </c>
      <c r="N36" s="3">
        <f t="shared" ref="N36:R36" si="196">N20</f>
        <v>43861</v>
      </c>
      <c r="O36" s="3">
        <f t="shared" si="196"/>
        <v>43890</v>
      </c>
      <c r="P36" s="3">
        <f t="shared" si="196"/>
        <v>43921</v>
      </c>
      <c r="Q36" s="3">
        <f t="shared" si="196"/>
        <v>43951</v>
      </c>
      <c r="R36" s="3">
        <f t="shared" si="196"/>
        <v>43982</v>
      </c>
      <c r="S36" s="3">
        <f t="shared" ref="S36:AA36" si="197">S20</f>
        <v>44012</v>
      </c>
      <c r="T36" s="3">
        <f t="shared" si="197"/>
        <v>44043</v>
      </c>
      <c r="U36" s="3">
        <f t="shared" si="197"/>
        <v>44074</v>
      </c>
      <c r="V36" s="3">
        <f t="shared" si="197"/>
        <v>44104</v>
      </c>
      <c r="W36" s="3">
        <f t="shared" si="197"/>
        <v>44135</v>
      </c>
      <c r="X36" s="3">
        <f t="shared" si="197"/>
        <v>44165</v>
      </c>
      <c r="Y36" s="3">
        <f t="shared" si="197"/>
        <v>44196</v>
      </c>
      <c r="Z36" s="3">
        <f t="shared" si="197"/>
        <v>44227</v>
      </c>
      <c r="AA36" s="3">
        <f t="shared" si="197"/>
        <v>44255</v>
      </c>
      <c r="AB36" s="3">
        <f t="shared" ref="AB36:AV36" si="198">AB20</f>
        <v>44286</v>
      </c>
      <c r="AC36" s="3">
        <f t="shared" si="198"/>
        <v>44316</v>
      </c>
      <c r="AD36" s="3">
        <f t="shared" si="198"/>
        <v>44347</v>
      </c>
      <c r="AE36" s="3">
        <f t="shared" si="198"/>
        <v>44377</v>
      </c>
      <c r="AF36" s="3">
        <f t="shared" si="198"/>
        <v>44408</v>
      </c>
      <c r="AG36" s="3">
        <f t="shared" si="198"/>
        <v>44439</v>
      </c>
      <c r="AH36" s="3">
        <f t="shared" si="198"/>
        <v>44469</v>
      </c>
      <c r="AI36" s="3">
        <f t="shared" si="198"/>
        <v>44500</v>
      </c>
      <c r="AJ36" s="3">
        <f t="shared" si="198"/>
        <v>44530</v>
      </c>
      <c r="AK36" s="3">
        <f t="shared" si="198"/>
        <v>44561</v>
      </c>
      <c r="AL36" s="3">
        <f t="shared" si="198"/>
        <v>44592</v>
      </c>
      <c r="AM36" s="3">
        <f t="shared" si="198"/>
        <v>44620</v>
      </c>
      <c r="AN36" s="3">
        <f t="shared" si="198"/>
        <v>44651</v>
      </c>
      <c r="AO36" s="3">
        <f t="shared" si="198"/>
        <v>44681</v>
      </c>
      <c r="AP36" s="3">
        <f t="shared" si="198"/>
        <v>44712</v>
      </c>
      <c r="AQ36" s="3">
        <f t="shared" si="198"/>
        <v>44742</v>
      </c>
      <c r="AR36" s="3">
        <f t="shared" si="198"/>
        <v>44773</v>
      </c>
      <c r="AS36" s="3">
        <f t="shared" si="198"/>
        <v>44804</v>
      </c>
      <c r="AT36" s="3">
        <f t="shared" si="198"/>
        <v>44834</v>
      </c>
      <c r="AU36" s="3">
        <f t="shared" si="198"/>
        <v>44865</v>
      </c>
      <c r="AV36" s="3">
        <f t="shared" si="198"/>
        <v>44895</v>
      </c>
      <c r="AW36" s="3">
        <f t="shared" ref="AW36:BI36" si="199">AW20</f>
        <v>44926</v>
      </c>
      <c r="AX36" s="3">
        <f t="shared" si="199"/>
        <v>44957</v>
      </c>
      <c r="AY36" s="3">
        <f t="shared" si="199"/>
        <v>44985</v>
      </c>
      <c r="AZ36" s="3">
        <f t="shared" si="199"/>
        <v>45016</v>
      </c>
      <c r="BA36" s="3">
        <f t="shared" si="199"/>
        <v>45046</v>
      </c>
      <c r="BB36" s="3">
        <f t="shared" si="199"/>
        <v>45077</v>
      </c>
      <c r="BC36" s="3">
        <f t="shared" si="199"/>
        <v>45107</v>
      </c>
      <c r="BD36" s="3">
        <f t="shared" si="199"/>
        <v>45138</v>
      </c>
      <c r="BE36" s="3">
        <f t="shared" si="199"/>
        <v>45169</v>
      </c>
      <c r="BF36" s="3">
        <f t="shared" si="199"/>
        <v>45199</v>
      </c>
      <c r="BG36" s="3">
        <f t="shared" si="199"/>
        <v>45230</v>
      </c>
      <c r="BH36" s="3">
        <f t="shared" si="199"/>
        <v>45260</v>
      </c>
      <c r="BI36" s="3">
        <f t="shared" si="199"/>
        <v>45291</v>
      </c>
    </row>
    <row r="38" spans="4:61" s="8" customFormat="1" x14ac:dyDescent="0.35">
      <c r="E38" s="8" t="s">
        <v>38</v>
      </c>
      <c r="J38" s="8" t="s">
        <v>31</v>
      </c>
      <c r="N38" s="82">
        <f>IF(N36&lt;$I$35,0,1)</f>
        <v>0</v>
      </c>
      <c r="O38" s="82">
        <f t="shared" ref="O38:R38" si="200">IF(O36&lt;$I$35,0,1)</f>
        <v>0</v>
      </c>
      <c r="P38" s="82">
        <f t="shared" si="200"/>
        <v>0</v>
      </c>
      <c r="Q38" s="82">
        <f t="shared" si="200"/>
        <v>0</v>
      </c>
      <c r="R38" s="82">
        <f t="shared" si="200"/>
        <v>0</v>
      </c>
      <c r="S38" s="82">
        <f t="shared" ref="S38:AA38" si="201">IF(S36&lt;$I$35,0,1)</f>
        <v>0</v>
      </c>
      <c r="T38" s="82">
        <f t="shared" si="201"/>
        <v>0</v>
      </c>
      <c r="U38" s="82">
        <f t="shared" si="201"/>
        <v>0</v>
      </c>
      <c r="V38" s="82">
        <f t="shared" si="201"/>
        <v>0</v>
      </c>
      <c r="W38" s="82">
        <f t="shared" si="201"/>
        <v>0</v>
      </c>
      <c r="X38" s="82">
        <f t="shared" si="201"/>
        <v>0</v>
      </c>
      <c r="Y38" s="82">
        <f t="shared" si="201"/>
        <v>0</v>
      </c>
      <c r="Z38" s="82">
        <f t="shared" si="201"/>
        <v>0</v>
      </c>
      <c r="AA38" s="82">
        <f t="shared" si="201"/>
        <v>0</v>
      </c>
      <c r="AB38" s="82">
        <f t="shared" ref="AB38:AV38" si="202">IF(AB36&lt;$I$35,0,1)</f>
        <v>0</v>
      </c>
      <c r="AC38" s="82">
        <f t="shared" si="202"/>
        <v>0</v>
      </c>
      <c r="AD38" s="82">
        <f t="shared" si="202"/>
        <v>0</v>
      </c>
      <c r="AE38" s="82">
        <f t="shared" si="202"/>
        <v>0</v>
      </c>
      <c r="AF38" s="82">
        <f t="shared" si="202"/>
        <v>0</v>
      </c>
      <c r="AG38" s="82">
        <f t="shared" si="202"/>
        <v>0</v>
      </c>
      <c r="AH38" s="82">
        <f t="shared" si="202"/>
        <v>0</v>
      </c>
      <c r="AI38" s="82">
        <f t="shared" si="202"/>
        <v>0</v>
      </c>
      <c r="AJ38" s="82">
        <f t="shared" si="202"/>
        <v>0</v>
      </c>
      <c r="AK38" s="82">
        <f t="shared" si="202"/>
        <v>0</v>
      </c>
      <c r="AL38" s="82">
        <f t="shared" si="202"/>
        <v>1</v>
      </c>
      <c r="AM38" s="82">
        <f t="shared" si="202"/>
        <v>1</v>
      </c>
      <c r="AN38" s="82">
        <f t="shared" si="202"/>
        <v>1</v>
      </c>
      <c r="AO38" s="82">
        <f t="shared" si="202"/>
        <v>1</v>
      </c>
      <c r="AP38" s="82">
        <f t="shared" si="202"/>
        <v>1</v>
      </c>
      <c r="AQ38" s="82">
        <f t="shared" si="202"/>
        <v>1</v>
      </c>
      <c r="AR38" s="82">
        <f t="shared" si="202"/>
        <v>1</v>
      </c>
      <c r="AS38" s="82">
        <f t="shared" si="202"/>
        <v>1</v>
      </c>
      <c r="AT38" s="82">
        <f t="shared" si="202"/>
        <v>1</v>
      </c>
      <c r="AU38" s="82">
        <f t="shared" si="202"/>
        <v>1</v>
      </c>
      <c r="AV38" s="82">
        <f t="shared" si="202"/>
        <v>1</v>
      </c>
      <c r="AW38" s="82">
        <f t="shared" ref="AW38:BI38" si="203">IF(AW36&lt;$I$35,0,1)</f>
        <v>1</v>
      </c>
      <c r="AX38" s="82">
        <f t="shared" si="203"/>
        <v>1</v>
      </c>
      <c r="AY38" s="82">
        <f t="shared" si="203"/>
        <v>1</v>
      </c>
      <c r="AZ38" s="82">
        <f t="shared" si="203"/>
        <v>1</v>
      </c>
      <c r="BA38" s="82">
        <f t="shared" si="203"/>
        <v>1</v>
      </c>
      <c r="BB38" s="82">
        <f t="shared" si="203"/>
        <v>1</v>
      </c>
      <c r="BC38" s="82">
        <f t="shared" si="203"/>
        <v>1</v>
      </c>
      <c r="BD38" s="82">
        <f t="shared" si="203"/>
        <v>1</v>
      </c>
      <c r="BE38" s="82">
        <f t="shared" si="203"/>
        <v>1</v>
      </c>
      <c r="BF38" s="82">
        <f t="shared" si="203"/>
        <v>1</v>
      </c>
      <c r="BG38" s="82">
        <f t="shared" si="203"/>
        <v>1</v>
      </c>
      <c r="BH38" s="82">
        <f t="shared" si="203"/>
        <v>1</v>
      </c>
      <c r="BI38" s="82">
        <f t="shared" si="203"/>
        <v>1</v>
      </c>
    </row>
    <row r="39" spans="4:61" s="8" customFormat="1" x14ac:dyDescent="0.35">
      <c r="E39" s="8" t="s">
        <v>39</v>
      </c>
      <c r="J39" s="8" t="s">
        <v>31</v>
      </c>
      <c r="N39" s="82">
        <f>IF(N36&lt;$I$35,1,0)</f>
        <v>1</v>
      </c>
      <c r="O39" s="82">
        <f t="shared" ref="O39:R39" si="204">IF(O36&lt;$I$35,1,0)</f>
        <v>1</v>
      </c>
      <c r="P39" s="82">
        <f t="shared" si="204"/>
        <v>1</v>
      </c>
      <c r="Q39" s="82">
        <f t="shared" si="204"/>
        <v>1</v>
      </c>
      <c r="R39" s="82">
        <f t="shared" si="204"/>
        <v>1</v>
      </c>
      <c r="S39" s="82">
        <f t="shared" ref="S39:AA39" si="205">IF(S36&lt;$I$35,1,0)</f>
        <v>1</v>
      </c>
      <c r="T39" s="82">
        <f t="shared" si="205"/>
        <v>1</v>
      </c>
      <c r="U39" s="82">
        <f t="shared" si="205"/>
        <v>1</v>
      </c>
      <c r="V39" s="82">
        <f t="shared" si="205"/>
        <v>1</v>
      </c>
      <c r="W39" s="82">
        <f t="shared" si="205"/>
        <v>1</v>
      </c>
      <c r="X39" s="82">
        <f t="shared" si="205"/>
        <v>1</v>
      </c>
      <c r="Y39" s="82">
        <f t="shared" si="205"/>
        <v>1</v>
      </c>
      <c r="Z39" s="82">
        <f t="shared" si="205"/>
        <v>1</v>
      </c>
      <c r="AA39" s="82">
        <f t="shared" si="205"/>
        <v>1</v>
      </c>
      <c r="AB39" s="82">
        <f t="shared" ref="AB39:AV39" si="206">IF(AB36&lt;$I$35,1,0)</f>
        <v>1</v>
      </c>
      <c r="AC39" s="82">
        <f t="shared" si="206"/>
        <v>1</v>
      </c>
      <c r="AD39" s="82">
        <f t="shared" si="206"/>
        <v>1</v>
      </c>
      <c r="AE39" s="82">
        <f t="shared" si="206"/>
        <v>1</v>
      </c>
      <c r="AF39" s="82">
        <f t="shared" si="206"/>
        <v>1</v>
      </c>
      <c r="AG39" s="82">
        <f t="shared" si="206"/>
        <v>1</v>
      </c>
      <c r="AH39" s="82">
        <f t="shared" si="206"/>
        <v>1</v>
      </c>
      <c r="AI39" s="82">
        <f t="shared" si="206"/>
        <v>1</v>
      </c>
      <c r="AJ39" s="82">
        <f t="shared" si="206"/>
        <v>1</v>
      </c>
      <c r="AK39" s="82">
        <f t="shared" si="206"/>
        <v>1</v>
      </c>
      <c r="AL39" s="82">
        <f t="shared" si="206"/>
        <v>0</v>
      </c>
      <c r="AM39" s="82">
        <f t="shared" si="206"/>
        <v>0</v>
      </c>
      <c r="AN39" s="82">
        <f t="shared" si="206"/>
        <v>0</v>
      </c>
      <c r="AO39" s="82">
        <f t="shared" si="206"/>
        <v>0</v>
      </c>
      <c r="AP39" s="82">
        <f t="shared" si="206"/>
        <v>0</v>
      </c>
      <c r="AQ39" s="82">
        <f t="shared" si="206"/>
        <v>0</v>
      </c>
      <c r="AR39" s="82">
        <f t="shared" si="206"/>
        <v>0</v>
      </c>
      <c r="AS39" s="82">
        <f t="shared" si="206"/>
        <v>0</v>
      </c>
      <c r="AT39" s="82">
        <f t="shared" si="206"/>
        <v>0</v>
      </c>
      <c r="AU39" s="82">
        <f t="shared" si="206"/>
        <v>0</v>
      </c>
      <c r="AV39" s="82">
        <f t="shared" si="206"/>
        <v>0</v>
      </c>
      <c r="AW39" s="82">
        <f t="shared" ref="AW39:BI39" si="207">IF(AW36&lt;$I$35,1,0)</f>
        <v>0</v>
      </c>
      <c r="AX39" s="82">
        <f t="shared" si="207"/>
        <v>0</v>
      </c>
      <c r="AY39" s="82">
        <f t="shared" si="207"/>
        <v>0</v>
      </c>
      <c r="AZ39" s="82">
        <f t="shared" si="207"/>
        <v>0</v>
      </c>
      <c r="BA39" s="82">
        <f t="shared" si="207"/>
        <v>0</v>
      </c>
      <c r="BB39" s="82">
        <f t="shared" si="207"/>
        <v>0</v>
      </c>
      <c r="BC39" s="82">
        <f t="shared" si="207"/>
        <v>0</v>
      </c>
      <c r="BD39" s="82">
        <f t="shared" si="207"/>
        <v>0</v>
      </c>
      <c r="BE39" s="82">
        <f t="shared" si="207"/>
        <v>0</v>
      </c>
      <c r="BF39" s="82">
        <f t="shared" si="207"/>
        <v>0</v>
      </c>
      <c r="BG39" s="82">
        <f t="shared" si="207"/>
        <v>0</v>
      </c>
      <c r="BH39" s="82">
        <f t="shared" si="207"/>
        <v>0</v>
      </c>
      <c r="BI39" s="82">
        <f t="shared" si="207"/>
        <v>0</v>
      </c>
    </row>
    <row r="41" spans="4:61" s="8" customFormat="1" x14ac:dyDescent="0.35">
      <c r="E41" s="8" t="s">
        <v>40</v>
      </c>
      <c r="J41" s="8" t="s">
        <v>41</v>
      </c>
      <c r="N41" s="8" t="str">
        <f>IF(N38=1,Paramétrage_général!$I21,Paramétrage_général!$I20)</f>
        <v>Exécution</v>
      </c>
      <c r="O41" s="8" t="str">
        <f>IF(O38=1,Paramétrage_général!$I21,Paramétrage_général!$I20)</f>
        <v>Exécution</v>
      </c>
      <c r="P41" s="8" t="str">
        <f>IF(P38=1,Paramétrage_général!$I21,Paramétrage_général!$I20)</f>
        <v>Exécution</v>
      </c>
      <c r="Q41" s="8" t="str">
        <f>IF(Q38=1,Paramétrage_général!$I21,Paramétrage_général!$I20)</f>
        <v>Exécution</v>
      </c>
      <c r="R41" s="8" t="str">
        <f>IF(R38=1,Paramétrage_général!$I21,Paramétrage_général!$I20)</f>
        <v>Exécution</v>
      </c>
      <c r="S41" s="8" t="str">
        <f>IF(S38=1,Paramétrage_général!$I21,Paramétrage_général!$I20)</f>
        <v>Exécution</v>
      </c>
      <c r="T41" s="8" t="str">
        <f>IF(T38=1,Paramétrage_général!$I21,Paramétrage_général!$I20)</f>
        <v>Exécution</v>
      </c>
      <c r="U41" s="8" t="str">
        <f>IF(U38=1,Paramétrage_général!$I21,Paramétrage_général!$I20)</f>
        <v>Exécution</v>
      </c>
      <c r="V41" s="8" t="str">
        <f>IF(V38=1,Paramétrage_général!$I21,Paramétrage_général!$I20)</f>
        <v>Exécution</v>
      </c>
      <c r="W41" s="8" t="str">
        <f>IF(W38=1,Paramétrage_général!$I21,Paramétrage_général!$I20)</f>
        <v>Exécution</v>
      </c>
      <c r="X41" s="8" t="str">
        <f>IF(X38=1,Paramétrage_général!$I21,Paramétrage_général!$I20)</f>
        <v>Exécution</v>
      </c>
      <c r="Y41" s="8" t="str">
        <f>IF(Y38=1,Paramétrage_général!$I21,Paramétrage_général!$I20)</f>
        <v>Exécution</v>
      </c>
      <c r="Z41" s="8" t="str">
        <f>IF(Z38=1,Paramétrage_général!$I21,Paramétrage_général!$I20)</f>
        <v>Exécution</v>
      </c>
      <c r="AA41" s="8" t="str">
        <f>IF(AA38=1,Paramétrage_général!$I21,Paramétrage_général!$I20)</f>
        <v>Exécution</v>
      </c>
      <c r="AB41" s="8" t="str">
        <f>IF(AB38=1,Paramétrage_général!$I21,Paramétrage_général!$I20)</f>
        <v>Exécution</v>
      </c>
      <c r="AC41" s="8" t="str">
        <f>IF(AC38=1,Paramétrage_général!$I21,Paramétrage_général!$I20)</f>
        <v>Exécution</v>
      </c>
      <c r="AD41" s="8" t="str">
        <f>IF(AD38=1,Paramétrage_général!$I21,Paramétrage_général!$I20)</f>
        <v>Exécution</v>
      </c>
      <c r="AE41" s="8" t="str">
        <f>IF(AE38=1,Paramétrage_général!$I21,Paramétrage_général!$I20)</f>
        <v>Exécution</v>
      </c>
      <c r="AF41" s="8" t="str">
        <f>IF(AF38=1,Paramétrage_général!$I21,Paramétrage_général!$I20)</f>
        <v>Exécution</v>
      </c>
      <c r="AG41" s="8" t="str">
        <f>IF(AG38=1,Paramétrage_général!$I21,Paramétrage_général!$I20)</f>
        <v>Exécution</v>
      </c>
      <c r="AH41" s="8" t="str">
        <f>IF(AH38=1,Paramétrage_général!$I21,Paramétrage_général!$I20)</f>
        <v>Exécution</v>
      </c>
      <c r="AI41" s="8" t="str">
        <f>IF(AI38=1,Paramétrage_général!$I21,Paramétrage_général!$I20)</f>
        <v>Exécution</v>
      </c>
      <c r="AJ41" s="8" t="str">
        <f>IF(AJ38=1,Paramétrage_général!$I21,Paramétrage_général!$I20)</f>
        <v>Exécution</v>
      </c>
      <c r="AK41" s="8" t="str">
        <f>IF(AK38=1,Paramétrage_général!$I21,Paramétrage_général!$I20)</f>
        <v>Exécution</v>
      </c>
      <c r="AL41" s="8" t="str">
        <f>IF(AL38=1,Paramétrage_général!$I21,Paramétrage_général!$I20)</f>
        <v>Trajectoire</v>
      </c>
      <c r="AM41" s="8" t="str">
        <f>IF(AM38=1,Paramétrage_général!$I21,Paramétrage_général!$I20)</f>
        <v>Trajectoire</v>
      </c>
      <c r="AN41" s="8" t="str">
        <f>IF(AN38=1,Paramétrage_général!$I21,Paramétrage_général!$I20)</f>
        <v>Trajectoire</v>
      </c>
      <c r="AO41" s="8" t="str">
        <f>IF(AO38=1,Paramétrage_général!$I21,Paramétrage_général!$I20)</f>
        <v>Trajectoire</v>
      </c>
      <c r="AP41" s="8" t="str">
        <f>IF(AP38=1,Paramétrage_général!$I21,Paramétrage_général!$I20)</f>
        <v>Trajectoire</v>
      </c>
      <c r="AQ41" s="8" t="str">
        <f>IF(AQ38=1,Paramétrage_général!$I21,Paramétrage_général!$I20)</f>
        <v>Trajectoire</v>
      </c>
      <c r="AR41" s="8" t="str">
        <f>IF(AR38=1,Paramétrage_général!$I21,Paramétrage_général!$I20)</f>
        <v>Trajectoire</v>
      </c>
      <c r="AS41" s="8" t="str">
        <f>IF(AS38=1,Paramétrage_général!$I21,Paramétrage_général!$I20)</f>
        <v>Trajectoire</v>
      </c>
      <c r="AT41" s="8" t="str">
        <f>IF(AT38=1,Paramétrage_général!$I21,Paramétrage_général!$I20)</f>
        <v>Trajectoire</v>
      </c>
      <c r="AU41" s="8" t="str">
        <f>IF(AU38=1,Paramétrage_général!$I21,Paramétrage_général!$I20)</f>
        <v>Trajectoire</v>
      </c>
      <c r="AV41" s="8" t="str">
        <f>IF(AV38=1,Paramétrage_général!$I21,Paramétrage_général!$I20)</f>
        <v>Trajectoire</v>
      </c>
      <c r="AW41" s="8" t="str">
        <f>IF(AW38=1,Paramétrage_général!$I21,Paramétrage_général!$I20)</f>
        <v>Trajectoire</v>
      </c>
      <c r="AX41" s="8" t="str">
        <f>IF(AX38=1,Paramétrage_général!$I21,Paramétrage_général!$I20)</f>
        <v>Trajectoire</v>
      </c>
      <c r="AY41" s="8" t="str">
        <f>IF(AY38=1,Paramétrage_général!$I21,Paramétrage_général!$I20)</f>
        <v>Trajectoire</v>
      </c>
      <c r="AZ41" s="8" t="str">
        <f>IF(AZ38=1,Paramétrage_général!$I21,Paramétrage_général!$I20)</f>
        <v>Trajectoire</v>
      </c>
      <c r="BA41" s="8" t="str">
        <f>IF(BA38=1,Paramétrage_général!$I21,Paramétrage_général!$I20)</f>
        <v>Trajectoire</v>
      </c>
      <c r="BB41" s="8" t="str">
        <f>IF(BB38=1,Paramétrage_général!$I21,Paramétrage_général!$I20)</f>
        <v>Trajectoire</v>
      </c>
      <c r="BC41" s="8" t="str">
        <f>IF(BC38=1,Paramétrage_général!$I21,Paramétrage_général!$I20)</f>
        <v>Trajectoire</v>
      </c>
      <c r="BD41" s="8" t="str">
        <f>IF(BD38=1,Paramétrage_général!$I21,Paramétrage_général!$I20)</f>
        <v>Trajectoire</v>
      </c>
      <c r="BE41" s="8" t="str">
        <f>IF(BE38=1,Paramétrage_général!$I21,Paramétrage_général!$I20)</f>
        <v>Trajectoire</v>
      </c>
      <c r="BF41" s="8" t="str">
        <f>IF(BF38=1,Paramétrage_général!$I21,Paramétrage_général!$I20)</f>
        <v>Trajectoire</v>
      </c>
      <c r="BG41" s="8" t="str">
        <f>IF(BG38=1,Paramétrage_général!$I21,Paramétrage_général!$I20)</f>
        <v>Trajectoire</v>
      </c>
      <c r="BH41" s="8" t="str">
        <f>IF(BH38=1,Paramétrage_général!$I21,Paramétrage_général!$I20)</f>
        <v>Trajectoire</v>
      </c>
      <c r="BI41" s="8" t="str">
        <f>IF(BI38=1,Paramétrage_général!$I21,Paramétrage_général!$I20)</f>
        <v>Trajectoire</v>
      </c>
    </row>
    <row r="43" spans="4:61" x14ac:dyDescent="0.35">
      <c r="D43" s="1" t="s">
        <v>42</v>
      </c>
    </row>
    <row r="45" spans="4:61" x14ac:dyDescent="0.35">
      <c r="E45" t="str">
        <f>E31</f>
        <v>Frise annuelle-fin de période</v>
      </c>
      <c r="J45" t="str">
        <f>J31</f>
        <v>date</v>
      </c>
      <c r="N45" s="3">
        <f t="shared" ref="N45:R45" si="208">N31</f>
        <v>44196</v>
      </c>
      <c r="O45" s="3">
        <f t="shared" si="208"/>
        <v>44561</v>
      </c>
      <c r="P45" s="3">
        <f t="shared" si="208"/>
        <v>44926</v>
      </c>
      <c r="Q45" s="3">
        <f t="shared" si="208"/>
        <v>45291</v>
      </c>
      <c r="R45" s="3">
        <f t="shared" si="208"/>
        <v>45657</v>
      </c>
      <c r="S45" s="3">
        <f t="shared" ref="S45:AA45" si="209">S31</f>
        <v>46022</v>
      </c>
      <c r="T45" s="3">
        <f t="shared" si="209"/>
        <v>46387</v>
      </c>
      <c r="U45" s="3">
        <f t="shared" si="209"/>
        <v>46752</v>
      </c>
      <c r="V45" s="3">
        <f t="shared" si="209"/>
        <v>47118</v>
      </c>
      <c r="W45" s="3">
        <f t="shared" si="209"/>
        <v>47483</v>
      </c>
      <c r="X45" s="3">
        <f t="shared" si="209"/>
        <v>47848</v>
      </c>
      <c r="Y45" s="3">
        <f t="shared" si="209"/>
        <v>48213</v>
      </c>
      <c r="Z45" s="3">
        <f t="shared" si="209"/>
        <v>48579</v>
      </c>
      <c r="AA45" s="3">
        <f t="shared" si="209"/>
        <v>48944</v>
      </c>
      <c r="AB45" s="3">
        <f t="shared" ref="AB45:AV45" si="210">AB31</f>
        <v>49309</v>
      </c>
      <c r="AC45" s="3">
        <f t="shared" si="210"/>
        <v>49674</v>
      </c>
      <c r="AD45" s="3">
        <f t="shared" si="210"/>
        <v>50040</v>
      </c>
      <c r="AE45" s="3">
        <f t="shared" si="210"/>
        <v>50405</v>
      </c>
      <c r="AF45" s="3">
        <f t="shared" si="210"/>
        <v>50770</v>
      </c>
      <c r="AG45" s="3">
        <f t="shared" si="210"/>
        <v>51135</v>
      </c>
      <c r="AH45" s="3">
        <f t="shared" si="210"/>
        <v>51501</v>
      </c>
      <c r="AI45" s="3">
        <f t="shared" si="210"/>
        <v>51866</v>
      </c>
      <c r="AJ45" s="3">
        <f t="shared" si="210"/>
        <v>52231</v>
      </c>
      <c r="AK45" s="3">
        <f t="shared" si="210"/>
        <v>52596</v>
      </c>
      <c r="AL45" s="3">
        <f t="shared" si="210"/>
        <v>52962</v>
      </c>
      <c r="AM45" s="3">
        <f t="shared" si="210"/>
        <v>53327</v>
      </c>
      <c r="AN45" s="3">
        <f t="shared" si="210"/>
        <v>53692</v>
      </c>
      <c r="AO45" s="3">
        <f t="shared" si="210"/>
        <v>54057</v>
      </c>
      <c r="AP45" s="3">
        <f t="shared" si="210"/>
        <v>54423</v>
      </c>
      <c r="AQ45" s="3">
        <f t="shared" si="210"/>
        <v>54788</v>
      </c>
      <c r="AR45" s="3">
        <f t="shared" si="210"/>
        <v>55153</v>
      </c>
      <c r="AS45" s="3">
        <f t="shared" si="210"/>
        <v>55518</v>
      </c>
      <c r="AT45" s="3">
        <f t="shared" si="210"/>
        <v>55884</v>
      </c>
      <c r="AU45" s="3">
        <f t="shared" si="210"/>
        <v>56249</v>
      </c>
      <c r="AV45" s="3">
        <f t="shared" si="210"/>
        <v>56614</v>
      </c>
      <c r="AW45" s="3">
        <f t="shared" ref="AW45:BI45" si="211">AW31</f>
        <v>56979</v>
      </c>
      <c r="AX45" s="3">
        <f t="shared" si="211"/>
        <v>57345</v>
      </c>
      <c r="AY45" s="3">
        <f t="shared" si="211"/>
        <v>57710</v>
      </c>
      <c r="AZ45" s="3">
        <f t="shared" si="211"/>
        <v>58075</v>
      </c>
      <c r="BA45" s="3">
        <f t="shared" si="211"/>
        <v>58440</v>
      </c>
      <c r="BB45" s="3">
        <f t="shared" si="211"/>
        <v>58806</v>
      </c>
      <c r="BC45" s="3">
        <f t="shared" si="211"/>
        <v>59171</v>
      </c>
      <c r="BD45" s="3">
        <f t="shared" si="211"/>
        <v>59536</v>
      </c>
      <c r="BE45" s="3">
        <f t="shared" si="211"/>
        <v>59901</v>
      </c>
      <c r="BF45" s="3">
        <f t="shared" si="211"/>
        <v>60267</v>
      </c>
      <c r="BG45" s="3">
        <f t="shared" si="211"/>
        <v>60632</v>
      </c>
      <c r="BH45" s="3">
        <f t="shared" si="211"/>
        <v>60997</v>
      </c>
      <c r="BI45" s="3">
        <f t="shared" si="211"/>
        <v>61362</v>
      </c>
    </row>
    <row r="46" spans="4:61" s="8" customFormat="1" x14ac:dyDescent="0.35">
      <c r="E46" s="8" t="s">
        <v>43</v>
      </c>
      <c r="J46" s="8" t="s">
        <v>44</v>
      </c>
      <c r="N46" s="8">
        <f>YEAR(N45)</f>
        <v>2020</v>
      </c>
      <c r="O46" s="8">
        <f t="shared" ref="O46:R46" si="212">YEAR(O45)</f>
        <v>2021</v>
      </c>
      <c r="P46" s="8">
        <f t="shared" si="212"/>
        <v>2022</v>
      </c>
      <c r="Q46" s="8">
        <f t="shared" si="212"/>
        <v>2023</v>
      </c>
      <c r="R46" s="8">
        <f t="shared" si="212"/>
        <v>2024</v>
      </c>
      <c r="S46" s="8">
        <f t="shared" ref="S46" si="213">YEAR(S45)</f>
        <v>2025</v>
      </c>
      <c r="T46" s="8">
        <f t="shared" ref="T46" si="214">YEAR(T45)</f>
        <v>2026</v>
      </c>
      <c r="U46" s="8">
        <f t="shared" ref="U46" si="215">YEAR(U45)</f>
        <v>2027</v>
      </c>
      <c r="V46" s="8">
        <f t="shared" ref="V46" si="216">YEAR(V45)</f>
        <v>2028</v>
      </c>
      <c r="W46" s="8">
        <f t="shared" ref="W46" si="217">YEAR(W45)</f>
        <v>2029</v>
      </c>
      <c r="X46" s="8">
        <f t="shared" ref="X46" si="218">YEAR(X45)</f>
        <v>2030</v>
      </c>
      <c r="Y46" s="8">
        <f t="shared" ref="Y46" si="219">YEAR(Y45)</f>
        <v>2031</v>
      </c>
      <c r="Z46" s="8">
        <f t="shared" ref="Z46" si="220">YEAR(Z45)</f>
        <v>2032</v>
      </c>
      <c r="AA46" s="8">
        <f t="shared" ref="AA46" si="221">YEAR(AA45)</f>
        <v>2033</v>
      </c>
      <c r="AB46" s="8">
        <f t="shared" ref="AB46" si="222">YEAR(AB45)</f>
        <v>2034</v>
      </c>
      <c r="AC46" s="8">
        <f t="shared" ref="AC46" si="223">YEAR(AC45)</f>
        <v>2035</v>
      </c>
      <c r="AD46" s="8">
        <f t="shared" ref="AD46" si="224">YEAR(AD45)</f>
        <v>2036</v>
      </c>
      <c r="AE46" s="8">
        <f t="shared" ref="AE46" si="225">YEAR(AE45)</f>
        <v>2037</v>
      </c>
      <c r="AF46" s="8">
        <f t="shared" ref="AF46" si="226">YEAR(AF45)</f>
        <v>2038</v>
      </c>
      <c r="AG46" s="8">
        <f t="shared" ref="AG46" si="227">YEAR(AG45)</f>
        <v>2039</v>
      </c>
      <c r="AH46" s="8">
        <f t="shared" ref="AH46" si="228">YEAR(AH45)</f>
        <v>2040</v>
      </c>
      <c r="AI46" s="8">
        <f t="shared" ref="AI46" si="229">YEAR(AI45)</f>
        <v>2041</v>
      </c>
      <c r="AJ46" s="8">
        <f t="shared" ref="AJ46" si="230">YEAR(AJ45)</f>
        <v>2042</v>
      </c>
      <c r="AK46" s="8">
        <f t="shared" ref="AK46" si="231">YEAR(AK45)</f>
        <v>2043</v>
      </c>
      <c r="AL46" s="8">
        <f t="shared" ref="AL46" si="232">YEAR(AL45)</f>
        <v>2044</v>
      </c>
      <c r="AM46" s="8">
        <f t="shared" ref="AM46" si="233">YEAR(AM45)</f>
        <v>2045</v>
      </c>
      <c r="AN46" s="8">
        <f t="shared" ref="AN46" si="234">YEAR(AN45)</f>
        <v>2046</v>
      </c>
      <c r="AO46" s="8">
        <f t="shared" ref="AO46" si="235">YEAR(AO45)</f>
        <v>2047</v>
      </c>
      <c r="AP46" s="8">
        <f t="shared" ref="AP46" si="236">YEAR(AP45)</f>
        <v>2048</v>
      </c>
      <c r="AQ46" s="8">
        <f t="shared" ref="AQ46" si="237">YEAR(AQ45)</f>
        <v>2049</v>
      </c>
      <c r="AR46" s="8">
        <f t="shared" ref="AR46" si="238">YEAR(AR45)</f>
        <v>2050</v>
      </c>
      <c r="AS46" s="8">
        <f t="shared" ref="AS46" si="239">YEAR(AS45)</f>
        <v>2051</v>
      </c>
      <c r="AT46" s="8">
        <f t="shared" ref="AT46" si="240">YEAR(AT45)</f>
        <v>2052</v>
      </c>
      <c r="AU46" s="8">
        <f t="shared" ref="AU46" si="241">YEAR(AU45)</f>
        <v>2053</v>
      </c>
      <c r="AV46" s="8">
        <f t="shared" ref="AV46:AW46" si="242">YEAR(AV45)</f>
        <v>2054</v>
      </c>
      <c r="AW46" s="8">
        <f t="shared" si="242"/>
        <v>2055</v>
      </c>
      <c r="AX46" s="8">
        <f t="shared" ref="AX46" si="243">YEAR(AX45)</f>
        <v>2056</v>
      </c>
      <c r="AY46" s="8">
        <f t="shared" ref="AY46" si="244">YEAR(AY45)</f>
        <v>2057</v>
      </c>
      <c r="AZ46" s="8">
        <f t="shared" ref="AZ46" si="245">YEAR(AZ45)</f>
        <v>2058</v>
      </c>
      <c r="BA46" s="8">
        <f t="shared" ref="BA46" si="246">YEAR(BA45)</f>
        <v>2059</v>
      </c>
      <c r="BB46" s="8">
        <f t="shared" ref="BB46" si="247">YEAR(BB45)</f>
        <v>2060</v>
      </c>
      <c r="BC46" s="8">
        <f t="shared" ref="BC46" si="248">YEAR(BC45)</f>
        <v>2061</v>
      </c>
      <c r="BD46" s="8">
        <f t="shared" ref="BD46" si="249">YEAR(BD45)</f>
        <v>2062</v>
      </c>
      <c r="BE46" s="8">
        <f t="shared" ref="BE46" si="250">YEAR(BE45)</f>
        <v>2063</v>
      </c>
      <c r="BF46" s="8">
        <f t="shared" ref="BF46" si="251">YEAR(BF45)</f>
        <v>2064</v>
      </c>
      <c r="BG46" s="8">
        <f t="shared" ref="BG46" si="252">YEAR(BG45)</f>
        <v>2065</v>
      </c>
      <c r="BH46" s="8">
        <f t="shared" ref="BH46" si="253">YEAR(BH45)</f>
        <v>2066</v>
      </c>
      <c r="BI46" s="8">
        <f t="shared" ref="BI46" si="254">YEAR(BI45)</f>
        <v>2067</v>
      </c>
    </row>
    <row r="48" spans="4:61" x14ac:dyDescent="0.35">
      <c r="D48" s="1" t="s">
        <v>52</v>
      </c>
    </row>
    <row r="51" spans="4:61" x14ac:dyDescent="0.35">
      <c r="E51" t="str">
        <f>E20</f>
        <v>Frise mensuelle-fin de période</v>
      </c>
      <c r="J51" t="str">
        <f>J20</f>
        <v>date</v>
      </c>
      <c r="N51" s="3">
        <f t="shared" ref="N51:AW51" si="255">N20</f>
        <v>43861</v>
      </c>
      <c r="O51" s="3">
        <f t="shared" si="255"/>
        <v>43890</v>
      </c>
      <c r="P51" s="3">
        <f t="shared" si="255"/>
        <v>43921</v>
      </c>
      <c r="Q51" s="3">
        <f t="shared" si="255"/>
        <v>43951</v>
      </c>
      <c r="R51" s="3">
        <f t="shared" si="255"/>
        <v>43982</v>
      </c>
      <c r="S51" s="3">
        <f t="shared" si="255"/>
        <v>44012</v>
      </c>
      <c r="T51" s="3">
        <f t="shared" si="255"/>
        <v>44043</v>
      </c>
      <c r="U51" s="3">
        <f t="shared" si="255"/>
        <v>44074</v>
      </c>
      <c r="V51" s="3">
        <f t="shared" si="255"/>
        <v>44104</v>
      </c>
      <c r="W51" s="3">
        <f t="shared" si="255"/>
        <v>44135</v>
      </c>
      <c r="X51" s="3">
        <f t="shared" si="255"/>
        <v>44165</v>
      </c>
      <c r="Y51" s="3">
        <f t="shared" si="255"/>
        <v>44196</v>
      </c>
      <c r="Z51" s="3">
        <f t="shared" si="255"/>
        <v>44227</v>
      </c>
      <c r="AA51" s="3">
        <f t="shared" si="255"/>
        <v>44255</v>
      </c>
      <c r="AB51" s="3">
        <f t="shared" si="255"/>
        <v>44286</v>
      </c>
      <c r="AC51" s="3">
        <f t="shared" si="255"/>
        <v>44316</v>
      </c>
      <c r="AD51" s="3">
        <f t="shared" si="255"/>
        <v>44347</v>
      </c>
      <c r="AE51" s="3">
        <f t="shared" si="255"/>
        <v>44377</v>
      </c>
      <c r="AF51" s="3">
        <f t="shared" si="255"/>
        <v>44408</v>
      </c>
      <c r="AG51" s="3">
        <f t="shared" si="255"/>
        <v>44439</v>
      </c>
      <c r="AH51" s="3">
        <f t="shared" si="255"/>
        <v>44469</v>
      </c>
      <c r="AI51" s="3">
        <f t="shared" si="255"/>
        <v>44500</v>
      </c>
      <c r="AJ51" s="3">
        <f t="shared" si="255"/>
        <v>44530</v>
      </c>
      <c r="AK51" s="3">
        <f t="shared" si="255"/>
        <v>44561</v>
      </c>
      <c r="AL51" s="3">
        <f t="shared" si="255"/>
        <v>44592</v>
      </c>
      <c r="AM51" s="3">
        <f t="shared" si="255"/>
        <v>44620</v>
      </c>
      <c r="AN51" s="3">
        <f t="shared" si="255"/>
        <v>44651</v>
      </c>
      <c r="AO51" s="3">
        <f t="shared" si="255"/>
        <v>44681</v>
      </c>
      <c r="AP51" s="3">
        <f t="shared" si="255"/>
        <v>44712</v>
      </c>
      <c r="AQ51" s="3">
        <f t="shared" si="255"/>
        <v>44742</v>
      </c>
      <c r="AR51" s="3">
        <f t="shared" si="255"/>
        <v>44773</v>
      </c>
      <c r="AS51" s="3">
        <f t="shared" si="255"/>
        <v>44804</v>
      </c>
      <c r="AT51" s="3">
        <f t="shared" si="255"/>
        <v>44834</v>
      </c>
      <c r="AU51" s="3">
        <f t="shared" si="255"/>
        <v>44865</v>
      </c>
      <c r="AV51" s="3">
        <f t="shared" si="255"/>
        <v>44895</v>
      </c>
      <c r="AW51" s="3">
        <f t="shared" si="255"/>
        <v>44926</v>
      </c>
      <c r="AX51" s="3">
        <f t="shared" ref="AX51:BI51" si="256">AX20</f>
        <v>44957</v>
      </c>
      <c r="AY51" s="3">
        <f t="shared" si="256"/>
        <v>44985</v>
      </c>
      <c r="AZ51" s="3">
        <f t="shared" si="256"/>
        <v>45016</v>
      </c>
      <c r="BA51" s="3">
        <f t="shared" si="256"/>
        <v>45046</v>
      </c>
      <c r="BB51" s="3">
        <f t="shared" si="256"/>
        <v>45077</v>
      </c>
      <c r="BC51" s="3">
        <f t="shared" si="256"/>
        <v>45107</v>
      </c>
      <c r="BD51" s="3">
        <f t="shared" si="256"/>
        <v>45138</v>
      </c>
      <c r="BE51" s="3">
        <f t="shared" si="256"/>
        <v>45169</v>
      </c>
      <c r="BF51" s="3">
        <f t="shared" si="256"/>
        <v>45199</v>
      </c>
      <c r="BG51" s="3">
        <f t="shared" si="256"/>
        <v>45230</v>
      </c>
      <c r="BH51" s="3">
        <f t="shared" si="256"/>
        <v>45260</v>
      </c>
      <c r="BI51" s="3">
        <f t="shared" si="256"/>
        <v>45291</v>
      </c>
    </row>
    <row r="52" spans="4:61" x14ac:dyDescent="0.35">
      <c r="E52" t="str">
        <f>E24</f>
        <v>Fin d'année</v>
      </c>
      <c r="J52" t="str">
        <f>J24</f>
        <v>booléen</v>
      </c>
      <c r="N52" s="79">
        <f t="shared" ref="N52:AW52" si="257">N24</f>
        <v>0</v>
      </c>
      <c r="O52" s="79">
        <f t="shared" si="257"/>
        <v>0</v>
      </c>
      <c r="P52" s="79">
        <f t="shared" si="257"/>
        <v>0</v>
      </c>
      <c r="Q52" s="79">
        <f t="shared" si="257"/>
        <v>0</v>
      </c>
      <c r="R52" s="79">
        <f t="shared" si="257"/>
        <v>0</v>
      </c>
      <c r="S52" s="79">
        <f t="shared" si="257"/>
        <v>0</v>
      </c>
      <c r="T52" s="79">
        <f t="shared" si="257"/>
        <v>0</v>
      </c>
      <c r="U52" s="79">
        <f t="shared" si="257"/>
        <v>0</v>
      </c>
      <c r="V52" s="79">
        <f t="shared" si="257"/>
        <v>0</v>
      </c>
      <c r="W52" s="79">
        <f t="shared" si="257"/>
        <v>0</v>
      </c>
      <c r="X52" s="79">
        <f t="shared" si="257"/>
        <v>0</v>
      </c>
      <c r="Y52" s="79">
        <f t="shared" si="257"/>
        <v>1</v>
      </c>
      <c r="Z52" s="79">
        <f t="shared" si="257"/>
        <v>0</v>
      </c>
      <c r="AA52" s="79">
        <f t="shared" si="257"/>
        <v>0</v>
      </c>
      <c r="AB52" s="79">
        <f t="shared" si="257"/>
        <v>0</v>
      </c>
      <c r="AC52" s="79">
        <f t="shared" si="257"/>
        <v>0</v>
      </c>
      <c r="AD52" s="79">
        <f t="shared" si="257"/>
        <v>0</v>
      </c>
      <c r="AE52" s="79">
        <f t="shared" si="257"/>
        <v>0</v>
      </c>
      <c r="AF52" s="79">
        <f t="shared" si="257"/>
        <v>0</v>
      </c>
      <c r="AG52" s="79">
        <f t="shared" si="257"/>
        <v>0</v>
      </c>
      <c r="AH52" s="79">
        <f t="shared" si="257"/>
        <v>0</v>
      </c>
      <c r="AI52" s="79">
        <f t="shared" si="257"/>
        <v>0</v>
      </c>
      <c r="AJ52" s="79">
        <f t="shared" si="257"/>
        <v>0</v>
      </c>
      <c r="AK52" s="79">
        <f t="shared" si="257"/>
        <v>1</v>
      </c>
      <c r="AL52" s="79">
        <f t="shared" si="257"/>
        <v>0</v>
      </c>
      <c r="AM52" s="79">
        <f t="shared" si="257"/>
        <v>0</v>
      </c>
      <c r="AN52" s="79">
        <f t="shared" si="257"/>
        <v>0</v>
      </c>
      <c r="AO52" s="79">
        <f t="shared" si="257"/>
        <v>0</v>
      </c>
      <c r="AP52" s="79">
        <f t="shared" si="257"/>
        <v>0</v>
      </c>
      <c r="AQ52" s="79">
        <f t="shared" si="257"/>
        <v>0</v>
      </c>
      <c r="AR52" s="79">
        <f t="shared" si="257"/>
        <v>0</v>
      </c>
      <c r="AS52" s="79">
        <f t="shared" si="257"/>
        <v>0</v>
      </c>
      <c r="AT52" s="79">
        <f t="shared" si="257"/>
        <v>0</v>
      </c>
      <c r="AU52" s="79">
        <f t="shared" si="257"/>
        <v>0</v>
      </c>
      <c r="AV52" s="79">
        <f t="shared" si="257"/>
        <v>0</v>
      </c>
      <c r="AW52" s="79">
        <f t="shared" si="257"/>
        <v>1</v>
      </c>
      <c r="AX52" s="79">
        <f t="shared" ref="AX52:BI52" si="258">AX24</f>
        <v>0</v>
      </c>
      <c r="AY52" s="79">
        <f t="shared" si="258"/>
        <v>0</v>
      </c>
      <c r="AZ52" s="79">
        <f t="shared" si="258"/>
        <v>0</v>
      </c>
      <c r="BA52" s="79">
        <f t="shared" si="258"/>
        <v>0</v>
      </c>
      <c r="BB52" s="79">
        <f t="shared" si="258"/>
        <v>0</v>
      </c>
      <c r="BC52" s="79">
        <f t="shared" si="258"/>
        <v>0</v>
      </c>
      <c r="BD52" s="79">
        <f t="shared" si="258"/>
        <v>0</v>
      </c>
      <c r="BE52" s="79">
        <f t="shared" si="258"/>
        <v>0</v>
      </c>
      <c r="BF52" s="79">
        <f t="shared" si="258"/>
        <v>0</v>
      </c>
      <c r="BG52" s="79">
        <f t="shared" si="258"/>
        <v>0</v>
      </c>
      <c r="BH52" s="79">
        <f t="shared" si="258"/>
        <v>0</v>
      </c>
      <c r="BI52" s="79">
        <f t="shared" si="258"/>
        <v>1</v>
      </c>
    </row>
    <row r="54" spans="4:61" s="8" customFormat="1" x14ac:dyDescent="0.35">
      <c r="E54" s="8" t="s">
        <v>53</v>
      </c>
      <c r="J54" s="8" t="s">
        <v>6</v>
      </c>
      <c r="N54" s="10">
        <f>IF(N52=1,N51,O54)</f>
        <v>44196</v>
      </c>
      <c r="O54" s="10">
        <f t="shared" ref="O54:AW54" si="259">IF(O52=1,O51,P54)</f>
        <v>44196</v>
      </c>
      <c r="P54" s="10">
        <f t="shared" si="259"/>
        <v>44196</v>
      </c>
      <c r="Q54" s="10">
        <f t="shared" si="259"/>
        <v>44196</v>
      </c>
      <c r="R54" s="10">
        <f t="shared" si="259"/>
        <v>44196</v>
      </c>
      <c r="S54" s="10">
        <f t="shared" si="259"/>
        <v>44196</v>
      </c>
      <c r="T54" s="10">
        <f t="shared" si="259"/>
        <v>44196</v>
      </c>
      <c r="U54" s="10">
        <f t="shared" si="259"/>
        <v>44196</v>
      </c>
      <c r="V54" s="10">
        <f t="shared" si="259"/>
        <v>44196</v>
      </c>
      <c r="W54" s="10">
        <f t="shared" si="259"/>
        <v>44196</v>
      </c>
      <c r="X54" s="10">
        <f t="shared" si="259"/>
        <v>44196</v>
      </c>
      <c r="Y54" s="10">
        <f t="shared" si="259"/>
        <v>44196</v>
      </c>
      <c r="Z54" s="10">
        <f t="shared" si="259"/>
        <v>44561</v>
      </c>
      <c r="AA54" s="10">
        <f t="shared" si="259"/>
        <v>44561</v>
      </c>
      <c r="AB54" s="10">
        <f t="shared" si="259"/>
        <v>44561</v>
      </c>
      <c r="AC54" s="10">
        <f t="shared" si="259"/>
        <v>44561</v>
      </c>
      <c r="AD54" s="10">
        <f t="shared" si="259"/>
        <v>44561</v>
      </c>
      <c r="AE54" s="10">
        <f t="shared" si="259"/>
        <v>44561</v>
      </c>
      <c r="AF54" s="10">
        <f t="shared" si="259"/>
        <v>44561</v>
      </c>
      <c r="AG54" s="10">
        <f t="shared" si="259"/>
        <v>44561</v>
      </c>
      <c r="AH54" s="10">
        <f t="shared" si="259"/>
        <v>44561</v>
      </c>
      <c r="AI54" s="10">
        <f t="shared" si="259"/>
        <v>44561</v>
      </c>
      <c r="AJ54" s="10">
        <f t="shared" si="259"/>
        <v>44561</v>
      </c>
      <c r="AK54" s="10">
        <f t="shared" si="259"/>
        <v>44561</v>
      </c>
      <c r="AL54" s="10">
        <f t="shared" si="259"/>
        <v>44926</v>
      </c>
      <c r="AM54" s="10">
        <f t="shared" si="259"/>
        <v>44926</v>
      </c>
      <c r="AN54" s="10">
        <f t="shared" si="259"/>
        <v>44926</v>
      </c>
      <c r="AO54" s="10">
        <f t="shared" si="259"/>
        <v>44926</v>
      </c>
      <c r="AP54" s="10">
        <f t="shared" si="259"/>
        <v>44926</v>
      </c>
      <c r="AQ54" s="10">
        <f t="shared" si="259"/>
        <v>44926</v>
      </c>
      <c r="AR54" s="10">
        <f t="shared" si="259"/>
        <v>44926</v>
      </c>
      <c r="AS54" s="10">
        <f t="shared" si="259"/>
        <v>44926</v>
      </c>
      <c r="AT54" s="10">
        <f t="shared" si="259"/>
        <v>44926</v>
      </c>
      <c r="AU54" s="10">
        <f t="shared" si="259"/>
        <v>44926</v>
      </c>
      <c r="AV54" s="10">
        <f t="shared" si="259"/>
        <v>44926</v>
      </c>
      <c r="AW54" s="10">
        <f t="shared" si="259"/>
        <v>44926</v>
      </c>
      <c r="AX54" s="10">
        <f t="shared" ref="AX54:BI54" si="260">IF(AX52=1,AX51,AY54)</f>
        <v>45291</v>
      </c>
      <c r="AY54" s="10">
        <f t="shared" si="260"/>
        <v>45291</v>
      </c>
      <c r="AZ54" s="10">
        <f t="shared" si="260"/>
        <v>45291</v>
      </c>
      <c r="BA54" s="10">
        <f t="shared" si="260"/>
        <v>45291</v>
      </c>
      <c r="BB54" s="10">
        <f t="shared" si="260"/>
        <v>45291</v>
      </c>
      <c r="BC54" s="10">
        <f t="shared" si="260"/>
        <v>45291</v>
      </c>
      <c r="BD54" s="10">
        <f t="shared" si="260"/>
        <v>45291</v>
      </c>
      <c r="BE54" s="10">
        <f t="shared" si="260"/>
        <v>45291</v>
      </c>
      <c r="BF54" s="10">
        <f t="shared" si="260"/>
        <v>45291</v>
      </c>
      <c r="BG54" s="10">
        <f t="shared" si="260"/>
        <v>45291</v>
      </c>
      <c r="BH54" s="10">
        <f t="shared" si="260"/>
        <v>45291</v>
      </c>
      <c r="BI54" s="10">
        <f t="shared" si="260"/>
        <v>45291</v>
      </c>
    </row>
    <row r="56" spans="4:61" x14ac:dyDescent="0.35">
      <c r="D56" s="1" t="s">
        <v>151</v>
      </c>
    </row>
    <row r="58" spans="4:61" s="4" customFormat="1" x14ac:dyDescent="0.35">
      <c r="E58" s="4" t="str">
        <f>Paramétrage_général!E11</f>
        <v>Date de début de projection</v>
      </c>
      <c r="I58" s="5">
        <f>Paramétrage_général!I11</f>
        <v>44562</v>
      </c>
      <c r="J58" s="4" t="str">
        <f>Paramétrage_général!J11</f>
        <v>date</v>
      </c>
    </row>
    <row r="59" spans="4:61" s="4" customFormat="1" x14ac:dyDescent="0.35">
      <c r="E59" s="4" t="str">
        <f>Paramétrage_général!E15</f>
        <v>Mois dans une année</v>
      </c>
      <c r="I59" s="15">
        <f>Paramétrage_général!I15</f>
        <v>12</v>
      </c>
      <c r="J59" s="4" t="str">
        <f>Paramétrage_général!J15</f>
        <v>Nb de mois</v>
      </c>
    </row>
    <row r="60" spans="4:61" x14ac:dyDescent="0.35">
      <c r="E60" t="s">
        <v>154</v>
      </c>
      <c r="I60" s="11">
        <f>YEAR(I58)</f>
        <v>2022</v>
      </c>
      <c r="J60" t="s">
        <v>44</v>
      </c>
    </row>
    <row r="61" spans="4:61" x14ac:dyDescent="0.35">
      <c r="E61" t="s">
        <v>54</v>
      </c>
      <c r="I61" s="3">
        <f>INDEX($N$45:$BI$45,1,MATCH($I$60,$N$46:$BI$46,0))</f>
        <v>44926</v>
      </c>
      <c r="J61" t="s">
        <v>6</v>
      </c>
    </row>
    <row r="62" spans="4:61" x14ac:dyDescent="0.35">
      <c r="E62" t="str">
        <f>E21</f>
        <v>N° de mois</v>
      </c>
      <c r="I62" s="3"/>
      <c r="J62" t="str">
        <f>J21</f>
        <v>N° mois</v>
      </c>
      <c r="N62">
        <f t="shared" ref="N62:Y62" si="261">N21</f>
        <v>1</v>
      </c>
      <c r="O62">
        <f t="shared" si="261"/>
        <v>2</v>
      </c>
      <c r="P62">
        <f t="shared" si="261"/>
        <v>3</v>
      </c>
      <c r="Q62">
        <f t="shared" si="261"/>
        <v>4</v>
      </c>
      <c r="R62">
        <f t="shared" si="261"/>
        <v>5</v>
      </c>
      <c r="S62">
        <f t="shared" si="261"/>
        <v>6</v>
      </c>
      <c r="T62">
        <f t="shared" si="261"/>
        <v>7</v>
      </c>
      <c r="U62">
        <f t="shared" si="261"/>
        <v>8</v>
      </c>
      <c r="V62">
        <f t="shared" si="261"/>
        <v>9</v>
      </c>
      <c r="W62">
        <f t="shared" si="261"/>
        <v>10</v>
      </c>
      <c r="X62">
        <f t="shared" si="261"/>
        <v>11</v>
      </c>
      <c r="Y62">
        <f t="shared" si="261"/>
        <v>12</v>
      </c>
    </row>
    <row r="63" spans="4:61" s="8" customFormat="1" x14ac:dyDescent="0.35">
      <c r="E63" s="8" t="s">
        <v>152</v>
      </c>
      <c r="I63" s="10"/>
      <c r="J63" s="8" t="s">
        <v>6</v>
      </c>
      <c r="N63" s="10">
        <f>EOMONTH($I$61,-1*$I59+N62-1)+1</f>
        <v>44562</v>
      </c>
      <c r="O63" s="10">
        <f t="shared" ref="O63:Y63" si="262">EOMONTH($I$61,-1*$I59+O62-1)+1</f>
        <v>44593</v>
      </c>
      <c r="P63" s="10">
        <f t="shared" si="262"/>
        <v>44621</v>
      </c>
      <c r="Q63" s="10">
        <f t="shared" si="262"/>
        <v>44652</v>
      </c>
      <c r="R63" s="10">
        <f t="shared" si="262"/>
        <v>44682</v>
      </c>
      <c r="S63" s="10">
        <f t="shared" si="262"/>
        <v>44713</v>
      </c>
      <c r="T63" s="10">
        <f t="shared" si="262"/>
        <v>44743</v>
      </c>
      <c r="U63" s="10">
        <f t="shared" si="262"/>
        <v>44774</v>
      </c>
      <c r="V63" s="10">
        <f t="shared" si="262"/>
        <v>44805</v>
      </c>
      <c r="W63" s="10">
        <f t="shared" si="262"/>
        <v>44835</v>
      </c>
      <c r="X63" s="10">
        <f t="shared" si="262"/>
        <v>44866</v>
      </c>
      <c r="Y63" s="10">
        <f t="shared" si="262"/>
        <v>44896</v>
      </c>
    </row>
    <row r="64" spans="4:61" s="8" customFormat="1" x14ac:dyDescent="0.35">
      <c r="E64" s="8" t="s">
        <v>153</v>
      </c>
      <c r="J64" s="8" t="s">
        <v>6</v>
      </c>
      <c r="N64" s="10">
        <f>EOMONTH(N63,0)</f>
        <v>44592</v>
      </c>
      <c r="O64" s="10">
        <f t="shared" ref="O64:Y64" si="263">EOMONTH(O63,0)</f>
        <v>44620</v>
      </c>
      <c r="P64" s="10">
        <f t="shared" si="263"/>
        <v>44651</v>
      </c>
      <c r="Q64" s="10">
        <f t="shared" si="263"/>
        <v>44681</v>
      </c>
      <c r="R64" s="10">
        <f t="shared" si="263"/>
        <v>44712</v>
      </c>
      <c r="S64" s="10">
        <f t="shared" si="263"/>
        <v>44742</v>
      </c>
      <c r="T64" s="10">
        <f t="shared" si="263"/>
        <v>44773</v>
      </c>
      <c r="U64" s="10">
        <f t="shared" si="263"/>
        <v>44804</v>
      </c>
      <c r="V64" s="10">
        <f t="shared" si="263"/>
        <v>44834</v>
      </c>
      <c r="W64" s="10">
        <f t="shared" si="263"/>
        <v>44865</v>
      </c>
      <c r="X64" s="10">
        <f t="shared" si="263"/>
        <v>44895</v>
      </c>
      <c r="Y64" s="10">
        <f t="shared" si="263"/>
        <v>44926</v>
      </c>
    </row>
    <row r="66" spans="4:4" x14ac:dyDescent="0.35">
      <c r="D66" s="1" t="s">
        <v>25</v>
      </c>
    </row>
  </sheetData>
  <sheetProtection algorithmName="SHA-512" hashValue="23VVczMp1lhkeknV9/CDj6OISI4cJcYNpoQH8VBjxG9TdPut+2NsgnNzJbsPWGZa78JIWlZOebLIFm3UFnHNyQ==" saltValue="hG9D3rbPTEwtsLUTEkZOfA==" spinCount="100000" sheet="1" objects="1" scenarios="1"/>
  <conditionalFormatting sqref="G2">
    <cfRule type="cellIs" dxfId="51" priority="3" operator="greaterThan">
      <formula>0</formula>
    </cfRule>
    <cfRule type="cellIs" dxfId="50" priority="4" operator="equal">
      <formula>0</formula>
    </cfRule>
  </conditionalFormatting>
  <conditionalFormatting sqref="G1">
    <cfRule type="cellIs" dxfId="49" priority="1" operator="greaterThan">
      <formula>0</formula>
    </cfRule>
    <cfRule type="cellIs" dxfId="48" priority="2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BFBFBF"/>
  </sheetPr>
  <dimension ref="B1:BI70"/>
  <sheetViews>
    <sheetView zoomScale="71" zoomScaleNormal="71" workbookViewId="0">
      <pane xSplit="10" ySplit="6" topLeftCell="K32" activePane="bottomRight" state="frozen"/>
      <selection activeCell="I37" sqref="I37"/>
      <selection pane="topRight" activeCell="I37" sqref="I37"/>
      <selection pane="bottomLeft" activeCell="I37" sqref="I37"/>
      <selection pane="bottomRight" activeCell="N4" sqref="N4:BI4"/>
    </sheetView>
  </sheetViews>
  <sheetFormatPr baseColWidth="10" defaultRowHeight="14.5" x14ac:dyDescent="0.35"/>
  <cols>
    <col min="1" max="4" width="2.6328125" customWidth="1"/>
    <col min="14" max="36" width="13.6328125" bestFit="1" customWidth="1"/>
    <col min="37" max="38" width="15.1796875" bestFit="1" customWidth="1"/>
    <col min="39" max="61" width="13.6328125" bestFit="1" customWidth="1"/>
  </cols>
  <sheetData>
    <row r="1" spans="2:61" s="6" customFormat="1" x14ac:dyDescent="0.35">
      <c r="B1" s="9" t="str">
        <f ca="1">RIGHT(CELL("nomfichier",A1),LEN(CELL("nomfichier",A1))-FIND("]",CELL("nomfichier",A1),1))</f>
        <v>Dépôts</v>
      </c>
      <c r="F1" s="54" t="str">
        <f>Controles!F1</f>
        <v>Erreurs</v>
      </c>
      <c r="G1">
        <f>Controles!G1</f>
        <v>0</v>
      </c>
    </row>
    <row r="2" spans="2:61" x14ac:dyDescent="0.35">
      <c r="F2" s="55" t="str">
        <f>Controles!F2</f>
        <v>Alertes</v>
      </c>
      <c r="G2">
        <f>Controles!G2</f>
        <v>0</v>
      </c>
    </row>
    <row r="3" spans="2:61" x14ac:dyDescent="0.35">
      <c r="N3" s="3">
        <f>Time!N20</f>
        <v>43861</v>
      </c>
      <c r="O3" s="3">
        <f>Time!O20</f>
        <v>43890</v>
      </c>
      <c r="P3" s="3">
        <f>Time!P20</f>
        <v>43921</v>
      </c>
      <c r="Q3" s="3">
        <f>Time!Q20</f>
        <v>43951</v>
      </c>
      <c r="R3" s="3">
        <f>Time!R20</f>
        <v>43982</v>
      </c>
      <c r="S3" s="3">
        <f>Time!S20</f>
        <v>44012</v>
      </c>
      <c r="T3" s="3">
        <f>Time!T20</f>
        <v>44043</v>
      </c>
      <c r="U3" s="3">
        <f>Time!U20</f>
        <v>44074</v>
      </c>
      <c r="V3" s="3">
        <f>Time!V20</f>
        <v>44104</v>
      </c>
      <c r="W3" s="3">
        <f>Time!W20</f>
        <v>44135</v>
      </c>
      <c r="X3" s="3">
        <f>Time!X20</f>
        <v>44165</v>
      </c>
      <c r="Y3" s="3">
        <f>Time!Y20</f>
        <v>44196</v>
      </c>
      <c r="Z3" s="3">
        <f>Time!Z20</f>
        <v>44227</v>
      </c>
      <c r="AA3" s="3">
        <f>Time!AA20</f>
        <v>44255</v>
      </c>
      <c r="AB3" s="3">
        <f>Time!AB20</f>
        <v>44286</v>
      </c>
      <c r="AC3" s="3">
        <f>Time!AC20</f>
        <v>44316</v>
      </c>
      <c r="AD3" s="3">
        <f>Time!AD20</f>
        <v>44347</v>
      </c>
      <c r="AE3" s="3">
        <f>Time!AE20</f>
        <v>44377</v>
      </c>
      <c r="AF3" s="3">
        <f>Time!AF20</f>
        <v>44408</v>
      </c>
      <c r="AG3" s="3">
        <f>Time!AG20</f>
        <v>44439</v>
      </c>
      <c r="AH3" s="3">
        <f>Time!AH20</f>
        <v>44469</v>
      </c>
      <c r="AI3" s="3">
        <f>Time!AI20</f>
        <v>44500</v>
      </c>
      <c r="AJ3" s="3">
        <f>Time!AJ20</f>
        <v>44530</v>
      </c>
      <c r="AK3" s="3">
        <f>Time!AK20</f>
        <v>44561</v>
      </c>
      <c r="AL3" s="3">
        <f>Time!AL20</f>
        <v>44592</v>
      </c>
      <c r="AM3" s="3">
        <f>Time!AM20</f>
        <v>44620</v>
      </c>
      <c r="AN3" s="3">
        <f>Time!AN20</f>
        <v>44651</v>
      </c>
      <c r="AO3" s="3">
        <f>Time!AO20</f>
        <v>44681</v>
      </c>
      <c r="AP3" s="3">
        <f>Time!AP20</f>
        <v>44712</v>
      </c>
      <c r="AQ3" s="3">
        <f>Time!AQ20</f>
        <v>44742</v>
      </c>
      <c r="AR3" s="3">
        <f>Time!AR20</f>
        <v>44773</v>
      </c>
      <c r="AS3" s="3">
        <f>Time!AS20</f>
        <v>44804</v>
      </c>
      <c r="AT3" s="3">
        <f>Time!AT20</f>
        <v>44834</v>
      </c>
      <c r="AU3" s="3">
        <f>Time!AU20</f>
        <v>44865</v>
      </c>
      <c r="AV3" s="3">
        <f>Time!AV20</f>
        <v>44895</v>
      </c>
      <c r="AW3" s="3">
        <f>Time!AW20</f>
        <v>44926</v>
      </c>
      <c r="AX3" s="3">
        <f>Time!AX20</f>
        <v>44957</v>
      </c>
      <c r="AY3" s="3">
        <f>Time!AY20</f>
        <v>44985</v>
      </c>
      <c r="AZ3" s="3">
        <f>Time!AZ20</f>
        <v>45016</v>
      </c>
      <c r="BA3" s="3">
        <f>Time!BA20</f>
        <v>45046</v>
      </c>
      <c r="BB3" s="3">
        <f>Time!BB20</f>
        <v>45077</v>
      </c>
      <c r="BC3" s="3">
        <f>Time!BC20</f>
        <v>45107</v>
      </c>
      <c r="BD3" s="3">
        <f>Time!BD20</f>
        <v>45138</v>
      </c>
      <c r="BE3" s="3">
        <f>Time!BE20</f>
        <v>45169</v>
      </c>
      <c r="BF3" s="3">
        <f>Time!BF20</f>
        <v>45199</v>
      </c>
      <c r="BG3" s="3">
        <f>Time!BG20</f>
        <v>45230</v>
      </c>
      <c r="BH3" s="3">
        <f>Time!BH20</f>
        <v>45260</v>
      </c>
      <c r="BI3" s="3">
        <f>Time!BI20</f>
        <v>45291</v>
      </c>
    </row>
    <row r="4" spans="2:61" x14ac:dyDescent="0.35">
      <c r="N4" t="str">
        <f>Time!N41</f>
        <v>Exécution</v>
      </c>
      <c r="O4" t="str">
        <f>Time!O41</f>
        <v>Exécution</v>
      </c>
      <c r="P4" t="str">
        <f>Time!P41</f>
        <v>Exécution</v>
      </c>
      <c r="Q4" t="str">
        <f>Time!Q41</f>
        <v>Exécution</v>
      </c>
      <c r="R4" t="str">
        <f>Time!R41</f>
        <v>Exécution</v>
      </c>
      <c r="S4" s="11" t="str">
        <f>Time!S41</f>
        <v>Exécution</v>
      </c>
      <c r="T4" s="11" t="str">
        <f>Time!T41</f>
        <v>Exécution</v>
      </c>
      <c r="U4" s="11" t="str">
        <f>Time!U41</f>
        <v>Exécution</v>
      </c>
      <c r="V4" s="11" t="str">
        <f>Time!V41</f>
        <v>Exécution</v>
      </c>
      <c r="W4" s="11" t="str">
        <f>Time!W41</f>
        <v>Exécution</v>
      </c>
      <c r="X4" s="11" t="str">
        <f>Time!X41</f>
        <v>Exécution</v>
      </c>
      <c r="Y4" s="11" t="str">
        <f>Time!Y41</f>
        <v>Exécution</v>
      </c>
      <c r="Z4" s="11" t="str">
        <f>Time!Z41</f>
        <v>Exécution</v>
      </c>
      <c r="AA4" s="11" t="str">
        <f>Time!AA41</f>
        <v>Exécution</v>
      </c>
      <c r="AB4" s="11" t="str">
        <f>Time!AB41</f>
        <v>Exécution</v>
      </c>
      <c r="AC4" s="11" t="str">
        <f>Time!AC41</f>
        <v>Exécution</v>
      </c>
      <c r="AD4" s="11" t="str">
        <f>Time!AD41</f>
        <v>Exécution</v>
      </c>
      <c r="AE4" s="11" t="str">
        <f>Time!AE41</f>
        <v>Exécution</v>
      </c>
      <c r="AF4" s="11" t="str">
        <f>Time!AF41</f>
        <v>Exécution</v>
      </c>
      <c r="AG4" s="11" t="str">
        <f>Time!AG41</f>
        <v>Exécution</v>
      </c>
      <c r="AH4" s="11" t="str">
        <f>Time!AH41</f>
        <v>Exécution</v>
      </c>
      <c r="AI4" s="11" t="str">
        <f>Time!AI41</f>
        <v>Exécution</v>
      </c>
      <c r="AJ4" s="11" t="str">
        <f>Time!AJ41</f>
        <v>Exécution</v>
      </c>
      <c r="AK4" s="11" t="str">
        <f>Time!AK41</f>
        <v>Exécution</v>
      </c>
      <c r="AL4" s="11" t="str">
        <f>Time!AL41</f>
        <v>Trajectoire</v>
      </c>
      <c r="AM4" s="11" t="str">
        <f>Time!AM41</f>
        <v>Trajectoire</v>
      </c>
      <c r="AN4" s="11" t="str">
        <f>Time!AN41</f>
        <v>Trajectoire</v>
      </c>
      <c r="AO4" s="11" t="str">
        <f>Time!AO41</f>
        <v>Trajectoire</v>
      </c>
      <c r="AP4" s="11" t="str">
        <f>Time!AP41</f>
        <v>Trajectoire</v>
      </c>
      <c r="AQ4" s="11" t="str">
        <f>Time!AQ41</f>
        <v>Trajectoire</v>
      </c>
      <c r="AR4" s="11" t="str">
        <f>Time!AR41</f>
        <v>Trajectoire</v>
      </c>
      <c r="AS4" s="11" t="str">
        <f>Time!AS41</f>
        <v>Trajectoire</v>
      </c>
      <c r="AT4" s="11" t="str">
        <f>Time!AT41</f>
        <v>Trajectoire</v>
      </c>
      <c r="AU4" s="11" t="str">
        <f>Time!AU41</f>
        <v>Trajectoire</v>
      </c>
      <c r="AV4" s="11" t="str">
        <f>Time!AV41</f>
        <v>Trajectoire</v>
      </c>
      <c r="AW4" s="11" t="str">
        <f>Time!AW41</f>
        <v>Trajectoire</v>
      </c>
      <c r="AX4" s="11" t="str">
        <f>Time!AX41</f>
        <v>Trajectoire</v>
      </c>
      <c r="AY4" s="11" t="str">
        <f>Time!AY41</f>
        <v>Trajectoire</v>
      </c>
      <c r="AZ4" s="11" t="str">
        <f>Time!AZ41</f>
        <v>Trajectoire</v>
      </c>
      <c r="BA4" s="11" t="str">
        <f>Time!BA41</f>
        <v>Trajectoire</v>
      </c>
      <c r="BB4" s="11" t="str">
        <f>Time!BB41</f>
        <v>Trajectoire</v>
      </c>
      <c r="BC4" s="11" t="str">
        <f>Time!BC41</f>
        <v>Trajectoire</v>
      </c>
      <c r="BD4" s="11" t="str">
        <f>Time!BD41</f>
        <v>Trajectoire</v>
      </c>
      <c r="BE4" s="11" t="str">
        <f>Time!BE41</f>
        <v>Trajectoire</v>
      </c>
      <c r="BF4" s="11" t="str">
        <f>Time!BF41</f>
        <v>Trajectoire</v>
      </c>
      <c r="BG4" s="11" t="str">
        <f>Time!BG41</f>
        <v>Trajectoire</v>
      </c>
      <c r="BH4" s="11" t="str">
        <f>Time!BH41</f>
        <v>Trajectoire</v>
      </c>
      <c r="BI4" s="11" t="str">
        <f>Time!BI41</f>
        <v>Trajectoire</v>
      </c>
    </row>
    <row r="5" spans="2:61" x14ac:dyDescent="0.35">
      <c r="N5" s="3">
        <f>Time!N54</f>
        <v>44196</v>
      </c>
      <c r="O5" s="3">
        <f>Time!O54</f>
        <v>44196</v>
      </c>
      <c r="P5" s="3">
        <f>Time!P54</f>
        <v>44196</v>
      </c>
      <c r="Q5" s="3">
        <f>Time!Q54</f>
        <v>44196</v>
      </c>
      <c r="R5" s="3">
        <f>Time!R54</f>
        <v>44196</v>
      </c>
      <c r="S5" s="3">
        <f>Time!S54</f>
        <v>44196</v>
      </c>
      <c r="T5" s="3">
        <f>Time!T54</f>
        <v>44196</v>
      </c>
      <c r="U5" s="3">
        <f>Time!U54</f>
        <v>44196</v>
      </c>
      <c r="V5" s="3">
        <f>Time!V54</f>
        <v>44196</v>
      </c>
      <c r="W5" s="3">
        <f>Time!W54</f>
        <v>44196</v>
      </c>
      <c r="X5" s="3">
        <f>Time!X54</f>
        <v>44196</v>
      </c>
      <c r="Y5" s="3">
        <f>Time!Y54</f>
        <v>44196</v>
      </c>
      <c r="Z5" s="3">
        <f>Time!Z54</f>
        <v>44561</v>
      </c>
      <c r="AA5" s="3">
        <f>Time!AA54</f>
        <v>44561</v>
      </c>
      <c r="AB5" s="3">
        <f>Time!AB54</f>
        <v>44561</v>
      </c>
      <c r="AC5" s="3">
        <f>Time!AC54</f>
        <v>44561</v>
      </c>
      <c r="AD5" s="3">
        <f>Time!AD54</f>
        <v>44561</v>
      </c>
      <c r="AE5" s="3">
        <f>Time!AE54</f>
        <v>44561</v>
      </c>
      <c r="AF5" s="3">
        <f>Time!AF54</f>
        <v>44561</v>
      </c>
      <c r="AG5" s="3">
        <f>Time!AG54</f>
        <v>44561</v>
      </c>
      <c r="AH5" s="3">
        <f>Time!AH54</f>
        <v>44561</v>
      </c>
      <c r="AI5" s="3">
        <f>Time!AI54</f>
        <v>44561</v>
      </c>
      <c r="AJ5" s="3">
        <f>Time!AJ54</f>
        <v>44561</v>
      </c>
      <c r="AK5" s="3">
        <f>Time!AK54</f>
        <v>44561</v>
      </c>
      <c r="AL5" s="3">
        <f>Time!AL54</f>
        <v>44926</v>
      </c>
      <c r="AM5" s="3">
        <f>Time!AM54</f>
        <v>44926</v>
      </c>
      <c r="AN5" s="3">
        <f>Time!AN54</f>
        <v>44926</v>
      </c>
      <c r="AO5" s="3">
        <f>Time!AO54</f>
        <v>44926</v>
      </c>
      <c r="AP5" s="3">
        <f>Time!AP54</f>
        <v>44926</v>
      </c>
      <c r="AQ5" s="3">
        <f>Time!AQ54</f>
        <v>44926</v>
      </c>
      <c r="AR5" s="3">
        <f>Time!AR54</f>
        <v>44926</v>
      </c>
      <c r="AS5" s="3">
        <f>Time!AS54</f>
        <v>44926</v>
      </c>
      <c r="AT5" s="3">
        <f>Time!AT54</f>
        <v>44926</v>
      </c>
      <c r="AU5" s="3">
        <f>Time!AU54</f>
        <v>44926</v>
      </c>
      <c r="AV5" s="3">
        <f>Time!AV54</f>
        <v>44926</v>
      </c>
      <c r="AW5" s="3">
        <f>Time!AW54</f>
        <v>44926</v>
      </c>
      <c r="AX5" s="3">
        <f>Time!AX54</f>
        <v>45291</v>
      </c>
      <c r="AY5" s="3">
        <f>Time!AY54</f>
        <v>45291</v>
      </c>
      <c r="AZ5" s="3">
        <f>Time!AZ54</f>
        <v>45291</v>
      </c>
      <c r="BA5" s="3">
        <f>Time!BA54</f>
        <v>45291</v>
      </c>
      <c r="BB5" s="3">
        <f>Time!BB54</f>
        <v>45291</v>
      </c>
      <c r="BC5" s="3">
        <f>Time!BC54</f>
        <v>45291</v>
      </c>
      <c r="BD5" s="3">
        <f>Time!BD54</f>
        <v>45291</v>
      </c>
      <c r="BE5" s="3">
        <f>Time!BE54</f>
        <v>45291</v>
      </c>
      <c r="BF5" s="3">
        <f>Time!BF54</f>
        <v>45291</v>
      </c>
      <c r="BG5" s="3">
        <f>Time!BG54</f>
        <v>45291</v>
      </c>
      <c r="BH5" s="3">
        <f>Time!BH54</f>
        <v>45291</v>
      </c>
      <c r="BI5" s="3">
        <f>Time!BI54</f>
        <v>45291</v>
      </c>
    </row>
    <row r="6" spans="2:61" s="2" customFormat="1" x14ac:dyDescent="0.35">
      <c r="I6" s="2" t="s">
        <v>0</v>
      </c>
      <c r="J6" s="2" t="s">
        <v>1</v>
      </c>
      <c r="K6" s="2" t="s">
        <v>2</v>
      </c>
    </row>
    <row r="8" spans="2:61" x14ac:dyDescent="0.35">
      <c r="D8" s="1" t="s">
        <v>62</v>
      </c>
    </row>
    <row r="10" spans="2:61" s="4" customFormat="1" x14ac:dyDescent="0.35">
      <c r="E10" s="4" t="str">
        <f>Hypothèses_trajectoire!E22</f>
        <v>Croissance des dépôts</v>
      </c>
      <c r="I10" s="14">
        <f>Hypothèses_trajectoire!I22</f>
        <v>0.1</v>
      </c>
      <c r="J10" s="4" t="str">
        <f>Hypothèses_trajectoire!J22</f>
        <v>% p.a</v>
      </c>
    </row>
    <row r="11" spans="2:61" s="4" customFormat="1" x14ac:dyDescent="0.35">
      <c r="E11" s="4" t="str">
        <f>Hypothèses_trajectoire!E10</f>
        <v>Date de référence-Volumes-Dépôt</v>
      </c>
      <c r="I11" s="5">
        <f>Hypothèses_trajectoire!I10</f>
        <v>44377</v>
      </c>
      <c r="J11" s="4" t="str">
        <f>Hypothèses_trajectoire!J10</f>
        <v>date</v>
      </c>
    </row>
    <row r="12" spans="2:61" s="4" customFormat="1" x14ac:dyDescent="0.35">
      <c r="E12" s="4" t="str">
        <f>Paramétrage_général!E16</f>
        <v>Jours dans une année</v>
      </c>
      <c r="I12" s="85">
        <f>Paramétrage_général!I16</f>
        <v>365</v>
      </c>
      <c r="J12" s="4" t="str">
        <f>Paramétrage_général!J16</f>
        <v>jours calendaires</v>
      </c>
    </row>
    <row r="13" spans="2:61" x14ac:dyDescent="0.35">
      <c r="E13" t="s">
        <v>63</v>
      </c>
      <c r="J13" t="s">
        <v>64</v>
      </c>
      <c r="N13">
        <f>N5-$I11</f>
        <v>-181</v>
      </c>
      <c r="O13">
        <f t="shared" ref="O13:AW13" si="0">O5-$I11</f>
        <v>-181</v>
      </c>
      <c r="P13">
        <f t="shared" si="0"/>
        <v>-181</v>
      </c>
      <c r="Q13">
        <f t="shared" si="0"/>
        <v>-181</v>
      </c>
      <c r="R13">
        <f t="shared" si="0"/>
        <v>-181</v>
      </c>
      <c r="S13">
        <f t="shared" si="0"/>
        <v>-181</v>
      </c>
      <c r="T13">
        <f t="shared" si="0"/>
        <v>-181</v>
      </c>
      <c r="U13">
        <f t="shared" si="0"/>
        <v>-181</v>
      </c>
      <c r="V13">
        <f t="shared" si="0"/>
        <v>-181</v>
      </c>
      <c r="W13">
        <f t="shared" si="0"/>
        <v>-181</v>
      </c>
      <c r="X13">
        <f t="shared" si="0"/>
        <v>-181</v>
      </c>
      <c r="Y13">
        <f t="shared" si="0"/>
        <v>-181</v>
      </c>
      <c r="Z13">
        <f t="shared" si="0"/>
        <v>184</v>
      </c>
      <c r="AA13">
        <f t="shared" si="0"/>
        <v>184</v>
      </c>
      <c r="AB13">
        <f t="shared" si="0"/>
        <v>184</v>
      </c>
      <c r="AC13">
        <f t="shared" si="0"/>
        <v>184</v>
      </c>
      <c r="AD13">
        <f t="shared" si="0"/>
        <v>184</v>
      </c>
      <c r="AE13">
        <f t="shared" si="0"/>
        <v>184</v>
      </c>
      <c r="AF13">
        <f t="shared" si="0"/>
        <v>184</v>
      </c>
      <c r="AG13">
        <f t="shared" si="0"/>
        <v>184</v>
      </c>
      <c r="AH13">
        <f t="shared" si="0"/>
        <v>184</v>
      </c>
      <c r="AI13">
        <f t="shared" si="0"/>
        <v>184</v>
      </c>
      <c r="AJ13">
        <f t="shared" si="0"/>
        <v>184</v>
      </c>
      <c r="AK13">
        <f t="shared" si="0"/>
        <v>184</v>
      </c>
      <c r="AL13">
        <f t="shared" si="0"/>
        <v>549</v>
      </c>
      <c r="AM13">
        <f t="shared" si="0"/>
        <v>549</v>
      </c>
      <c r="AN13">
        <f t="shared" si="0"/>
        <v>549</v>
      </c>
      <c r="AO13">
        <f t="shared" si="0"/>
        <v>549</v>
      </c>
      <c r="AP13">
        <f t="shared" si="0"/>
        <v>549</v>
      </c>
      <c r="AQ13">
        <f t="shared" si="0"/>
        <v>549</v>
      </c>
      <c r="AR13">
        <f t="shared" si="0"/>
        <v>549</v>
      </c>
      <c r="AS13">
        <f t="shared" si="0"/>
        <v>549</v>
      </c>
      <c r="AT13">
        <f t="shared" si="0"/>
        <v>549</v>
      </c>
      <c r="AU13">
        <f t="shared" si="0"/>
        <v>549</v>
      </c>
      <c r="AV13">
        <f t="shared" si="0"/>
        <v>549</v>
      </c>
      <c r="AW13">
        <f t="shared" si="0"/>
        <v>549</v>
      </c>
      <c r="AX13">
        <f t="shared" ref="AX13:BA13" si="1">AX5-$I11</f>
        <v>914</v>
      </c>
      <c r="AY13">
        <f t="shared" si="1"/>
        <v>914</v>
      </c>
      <c r="AZ13">
        <f t="shared" si="1"/>
        <v>914</v>
      </c>
      <c r="BA13">
        <f t="shared" si="1"/>
        <v>914</v>
      </c>
      <c r="BB13">
        <f t="shared" ref="BB13:BI13" si="2">BB5-$I11</f>
        <v>914</v>
      </c>
      <c r="BC13">
        <f t="shared" si="2"/>
        <v>914</v>
      </c>
      <c r="BD13">
        <f t="shared" si="2"/>
        <v>914</v>
      </c>
      <c r="BE13">
        <f t="shared" si="2"/>
        <v>914</v>
      </c>
      <c r="BF13">
        <f t="shared" si="2"/>
        <v>914</v>
      </c>
      <c r="BG13">
        <f t="shared" si="2"/>
        <v>914</v>
      </c>
      <c r="BH13">
        <f t="shared" si="2"/>
        <v>914</v>
      </c>
      <c r="BI13">
        <f t="shared" si="2"/>
        <v>914</v>
      </c>
    </row>
    <row r="15" spans="2:61" x14ac:dyDescent="0.35">
      <c r="E15" t="s">
        <v>65</v>
      </c>
      <c r="J15" t="s">
        <v>69</v>
      </c>
      <c r="N15" s="16">
        <f>(1+$I$10)^(N13/$I$12)</f>
        <v>0.95383612002764162</v>
      </c>
      <c r="O15" s="16">
        <f t="shared" ref="O15:AW15" si="3">(1+$I$10)^(O13/$I$12)</f>
        <v>0.95383612002764162</v>
      </c>
      <c r="P15" s="16">
        <f t="shared" si="3"/>
        <v>0.95383612002764162</v>
      </c>
      <c r="Q15" s="16">
        <f t="shared" si="3"/>
        <v>0.95383612002764162</v>
      </c>
      <c r="R15" s="16">
        <f t="shared" si="3"/>
        <v>0.95383612002764162</v>
      </c>
      <c r="S15" s="16">
        <f t="shared" si="3"/>
        <v>0.95383612002764162</v>
      </c>
      <c r="T15" s="16">
        <f t="shared" si="3"/>
        <v>0.95383612002764162</v>
      </c>
      <c r="U15" s="16">
        <f t="shared" si="3"/>
        <v>0.95383612002764162</v>
      </c>
      <c r="V15" s="16">
        <f t="shared" si="3"/>
        <v>0.95383612002764162</v>
      </c>
      <c r="W15" s="16">
        <f t="shared" si="3"/>
        <v>0.95383612002764162</v>
      </c>
      <c r="X15" s="16">
        <f t="shared" si="3"/>
        <v>0.95383612002764162</v>
      </c>
      <c r="Y15" s="16">
        <f t="shared" si="3"/>
        <v>0.95383612002764162</v>
      </c>
      <c r="Z15" s="16">
        <f t="shared" si="3"/>
        <v>1.0492197320304057</v>
      </c>
      <c r="AA15" s="16">
        <f t="shared" si="3"/>
        <v>1.0492197320304057</v>
      </c>
      <c r="AB15" s="16">
        <f t="shared" si="3"/>
        <v>1.0492197320304057</v>
      </c>
      <c r="AC15" s="16">
        <f t="shared" si="3"/>
        <v>1.0492197320304057</v>
      </c>
      <c r="AD15" s="16">
        <f t="shared" si="3"/>
        <v>1.0492197320304057</v>
      </c>
      <c r="AE15" s="16">
        <f t="shared" si="3"/>
        <v>1.0492197320304057</v>
      </c>
      <c r="AF15" s="16">
        <f t="shared" si="3"/>
        <v>1.0492197320304057</v>
      </c>
      <c r="AG15" s="16">
        <f t="shared" si="3"/>
        <v>1.0492197320304057</v>
      </c>
      <c r="AH15" s="16">
        <f t="shared" si="3"/>
        <v>1.0492197320304057</v>
      </c>
      <c r="AI15" s="16">
        <f t="shared" si="3"/>
        <v>1.0492197320304057</v>
      </c>
      <c r="AJ15" s="16">
        <f t="shared" si="3"/>
        <v>1.0492197320304057</v>
      </c>
      <c r="AK15" s="16">
        <f t="shared" si="3"/>
        <v>1.0492197320304057</v>
      </c>
      <c r="AL15" s="16">
        <f t="shared" si="3"/>
        <v>1.1541417052334464</v>
      </c>
      <c r="AM15" s="16">
        <f t="shared" si="3"/>
        <v>1.1541417052334464</v>
      </c>
      <c r="AN15" s="16">
        <f t="shared" si="3"/>
        <v>1.1541417052334464</v>
      </c>
      <c r="AO15" s="16">
        <f t="shared" si="3"/>
        <v>1.1541417052334464</v>
      </c>
      <c r="AP15" s="16">
        <f t="shared" si="3"/>
        <v>1.1541417052334464</v>
      </c>
      <c r="AQ15" s="16">
        <f t="shared" si="3"/>
        <v>1.1541417052334464</v>
      </c>
      <c r="AR15" s="16">
        <f t="shared" si="3"/>
        <v>1.1541417052334464</v>
      </c>
      <c r="AS15" s="16">
        <f t="shared" si="3"/>
        <v>1.1541417052334464</v>
      </c>
      <c r="AT15" s="16">
        <f t="shared" si="3"/>
        <v>1.1541417052334464</v>
      </c>
      <c r="AU15" s="16">
        <f t="shared" si="3"/>
        <v>1.1541417052334464</v>
      </c>
      <c r="AV15" s="16">
        <f t="shared" si="3"/>
        <v>1.1541417052334464</v>
      </c>
      <c r="AW15" s="16">
        <f t="shared" si="3"/>
        <v>1.1541417052334464</v>
      </c>
      <c r="AX15" s="16">
        <f t="shared" ref="AX15:BA15" si="4">(1+$I$10)^(AX13/$I$12)</f>
        <v>1.2695558757567911</v>
      </c>
      <c r="AY15" s="16">
        <f t="shared" si="4"/>
        <v>1.2695558757567911</v>
      </c>
      <c r="AZ15" s="16">
        <f t="shared" si="4"/>
        <v>1.2695558757567911</v>
      </c>
      <c r="BA15" s="16">
        <f t="shared" si="4"/>
        <v>1.2695558757567911</v>
      </c>
      <c r="BB15" s="16">
        <f t="shared" ref="BB15:BI15" si="5">(1+$I$10)^(BB13/$I$12)</f>
        <v>1.2695558757567911</v>
      </c>
      <c r="BC15" s="16">
        <f t="shared" si="5"/>
        <v>1.2695558757567911</v>
      </c>
      <c r="BD15" s="16">
        <f t="shared" si="5"/>
        <v>1.2695558757567911</v>
      </c>
      <c r="BE15" s="16">
        <f t="shared" si="5"/>
        <v>1.2695558757567911</v>
      </c>
      <c r="BF15" s="16">
        <f t="shared" si="5"/>
        <v>1.2695558757567911</v>
      </c>
      <c r="BG15" s="16">
        <f t="shared" si="5"/>
        <v>1.2695558757567911</v>
      </c>
      <c r="BH15" s="16">
        <f t="shared" si="5"/>
        <v>1.2695558757567911</v>
      </c>
      <c r="BI15" s="16">
        <f t="shared" si="5"/>
        <v>1.2695558757567911</v>
      </c>
    </row>
    <row r="17" spans="4:61" x14ac:dyDescent="0.35">
      <c r="D17" s="1" t="s">
        <v>68</v>
      </c>
    </row>
    <row r="19" spans="4:61" s="4" customFormat="1" x14ac:dyDescent="0.35">
      <c r="E19" s="4" t="str">
        <f>Time!E13</f>
        <v>Mois</v>
      </c>
      <c r="J19" s="4" t="str">
        <f>Time!J13</f>
        <v>N° mois</v>
      </c>
      <c r="N19" s="4">
        <f>Time!N13</f>
        <v>1</v>
      </c>
      <c r="O19" s="4">
        <f>Time!O13</f>
        <v>2</v>
      </c>
      <c r="P19" s="4">
        <f>Time!P13</f>
        <v>3</v>
      </c>
      <c r="Q19" s="4">
        <f>Time!Q13</f>
        <v>4</v>
      </c>
      <c r="R19" s="4">
        <f>Time!R13</f>
        <v>5</v>
      </c>
      <c r="S19" s="4">
        <f>Time!S13</f>
        <v>6</v>
      </c>
      <c r="T19" s="4">
        <f>Time!T13</f>
        <v>7</v>
      </c>
      <c r="U19" s="4">
        <f>Time!U13</f>
        <v>8</v>
      </c>
      <c r="V19" s="4">
        <f>Time!V13</f>
        <v>9</v>
      </c>
      <c r="W19" s="4">
        <f>Time!W13</f>
        <v>10</v>
      </c>
      <c r="X19" s="4">
        <f>Time!X13</f>
        <v>11</v>
      </c>
      <c r="Y19" s="4">
        <f>Time!Y13</f>
        <v>12</v>
      </c>
    </row>
    <row r="20" spans="4:61" s="4" customFormat="1" x14ac:dyDescent="0.35">
      <c r="E20" s="4" t="str">
        <f>Hypothèses_trajectoire!E26</f>
        <v>Saisonnalité-Dépôt</v>
      </c>
      <c r="J20" s="4" t="str">
        <f>Hypothèses_trajectoire!J26</f>
        <v>%</v>
      </c>
      <c r="N20" s="14">
        <f>Hypothèses_trajectoire!N26</f>
        <v>0.85</v>
      </c>
      <c r="O20" s="14">
        <f>Hypothèses_trajectoire!O26</f>
        <v>0.95</v>
      </c>
      <c r="P20" s="14">
        <f>Hypothèses_trajectoire!P26</f>
        <v>1</v>
      </c>
      <c r="Q20" s="14">
        <f>Hypothèses_trajectoire!Q26</f>
        <v>1</v>
      </c>
      <c r="R20" s="14">
        <f>Hypothèses_trajectoire!R26</f>
        <v>1</v>
      </c>
      <c r="S20" s="14">
        <f>Hypothèses_trajectoire!S26</f>
        <v>0.95</v>
      </c>
      <c r="T20" s="14">
        <f>Hypothèses_trajectoire!T26</f>
        <v>0.8</v>
      </c>
      <c r="U20" s="14">
        <f>Hypothèses_trajectoire!U26</f>
        <v>0.6</v>
      </c>
      <c r="V20" s="14">
        <f>Hypothèses_trajectoire!V26</f>
        <v>0.9</v>
      </c>
      <c r="W20" s="14">
        <f>Hypothèses_trajectoire!W26</f>
        <v>1</v>
      </c>
      <c r="X20" s="14">
        <f>Hypothèses_trajectoire!X26</f>
        <v>1</v>
      </c>
      <c r="Y20" s="14">
        <f>Hypothèses_trajectoire!Y26</f>
        <v>1.1000000000000001</v>
      </c>
    </row>
    <row r="21" spans="4:61" s="4" customFormat="1" x14ac:dyDescent="0.35">
      <c r="E21" s="4" t="str">
        <f>Time!E21</f>
        <v>N° de mois</v>
      </c>
      <c r="J21" s="4" t="str">
        <f>Time!J21</f>
        <v>N° mois</v>
      </c>
      <c r="N21" s="4">
        <f>Time!N21</f>
        <v>1</v>
      </c>
      <c r="O21" s="4">
        <f>Time!O21</f>
        <v>2</v>
      </c>
      <c r="P21" s="4">
        <f>Time!P21</f>
        <v>3</v>
      </c>
      <c r="Q21" s="4">
        <f>Time!Q21</f>
        <v>4</v>
      </c>
      <c r="R21" s="4">
        <f>Time!R21</f>
        <v>5</v>
      </c>
      <c r="S21" s="4">
        <f>Time!S21</f>
        <v>6</v>
      </c>
      <c r="T21" s="4">
        <f>Time!T21</f>
        <v>7</v>
      </c>
      <c r="U21" s="4">
        <f>Time!U21</f>
        <v>8</v>
      </c>
      <c r="V21" s="4">
        <f>Time!V21</f>
        <v>9</v>
      </c>
      <c r="W21" s="4">
        <f>Time!W21</f>
        <v>10</v>
      </c>
      <c r="X21" s="4">
        <f>Time!X21</f>
        <v>11</v>
      </c>
      <c r="Y21" s="4">
        <f>Time!Y21</f>
        <v>12</v>
      </c>
      <c r="Z21" s="4">
        <f>Time!Z21</f>
        <v>1</v>
      </c>
      <c r="AA21" s="4">
        <f>Time!AA21</f>
        <v>2</v>
      </c>
      <c r="AB21" s="4">
        <f>Time!AB21</f>
        <v>3</v>
      </c>
      <c r="AC21" s="4">
        <f>Time!AC21</f>
        <v>4</v>
      </c>
      <c r="AD21" s="4">
        <f>Time!AD21</f>
        <v>5</v>
      </c>
      <c r="AE21" s="4">
        <f>Time!AE21</f>
        <v>6</v>
      </c>
      <c r="AF21" s="4">
        <f>Time!AF21</f>
        <v>7</v>
      </c>
      <c r="AG21" s="4">
        <f>Time!AG21</f>
        <v>8</v>
      </c>
      <c r="AH21" s="4">
        <f>Time!AH21</f>
        <v>9</v>
      </c>
      <c r="AI21" s="4">
        <f>Time!AI21</f>
        <v>10</v>
      </c>
      <c r="AJ21" s="4">
        <f>Time!AJ21</f>
        <v>11</v>
      </c>
      <c r="AK21" s="4">
        <f>Time!AK21</f>
        <v>12</v>
      </c>
      <c r="AL21" s="4">
        <f>Time!AL21</f>
        <v>1</v>
      </c>
      <c r="AM21" s="4">
        <f>Time!AM21</f>
        <v>2</v>
      </c>
      <c r="AN21" s="4">
        <f>Time!AN21</f>
        <v>3</v>
      </c>
      <c r="AO21" s="4">
        <f>Time!AO21</f>
        <v>4</v>
      </c>
      <c r="AP21" s="4">
        <f>Time!AP21</f>
        <v>5</v>
      </c>
      <c r="AQ21" s="4">
        <f>Time!AQ21</f>
        <v>6</v>
      </c>
      <c r="AR21" s="4">
        <f>Time!AR21</f>
        <v>7</v>
      </c>
      <c r="AS21" s="4">
        <f>Time!AS21</f>
        <v>8</v>
      </c>
      <c r="AT21" s="4">
        <f>Time!AT21</f>
        <v>9</v>
      </c>
      <c r="AU21" s="4">
        <f>Time!AU21</f>
        <v>10</v>
      </c>
      <c r="AV21" s="4">
        <f>Time!AV21</f>
        <v>11</v>
      </c>
      <c r="AW21" s="4">
        <f>Time!AW21</f>
        <v>12</v>
      </c>
      <c r="AX21" s="4">
        <f>Time!AX21</f>
        <v>1</v>
      </c>
      <c r="AY21" s="4">
        <f>Time!AY21</f>
        <v>2</v>
      </c>
      <c r="AZ21" s="4">
        <f>Time!AZ21</f>
        <v>3</v>
      </c>
      <c r="BA21" s="4">
        <f>Time!BA21</f>
        <v>4</v>
      </c>
      <c r="BB21" s="4">
        <f>Time!BB21</f>
        <v>5</v>
      </c>
      <c r="BC21" s="4">
        <f>Time!BC21</f>
        <v>6</v>
      </c>
      <c r="BD21" s="4">
        <f>Time!BD21</f>
        <v>7</v>
      </c>
      <c r="BE21" s="4">
        <f>Time!BE21</f>
        <v>8</v>
      </c>
      <c r="BF21" s="4">
        <f>Time!BF21</f>
        <v>9</v>
      </c>
      <c r="BG21" s="4">
        <f>Time!BG21</f>
        <v>10</v>
      </c>
      <c r="BH21" s="4">
        <f>Time!BH21</f>
        <v>11</v>
      </c>
      <c r="BI21" s="4">
        <f>Time!BI21</f>
        <v>12</v>
      </c>
    </row>
    <row r="22" spans="4:61" s="4" customFormat="1" x14ac:dyDescent="0.35"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4:61" s="6" customFormat="1" x14ac:dyDescent="0.35">
      <c r="E23" s="6" t="s">
        <v>77</v>
      </c>
      <c r="J23" s="6" t="s">
        <v>66</v>
      </c>
      <c r="N23" s="23">
        <f>INDEX($N$20:$Y$20,1,MATCH(N21,$N$19:$Y$19,0))</f>
        <v>0.85</v>
      </c>
      <c r="O23" s="23">
        <f t="shared" ref="O23:AW23" si="6">INDEX($N$20:$Y$20,1,MATCH(O21,$N$19:$Y$19,0))</f>
        <v>0.95</v>
      </c>
      <c r="P23" s="23">
        <f t="shared" si="6"/>
        <v>1</v>
      </c>
      <c r="Q23" s="23">
        <f t="shared" si="6"/>
        <v>1</v>
      </c>
      <c r="R23" s="23">
        <f t="shared" si="6"/>
        <v>1</v>
      </c>
      <c r="S23" s="23">
        <f t="shared" si="6"/>
        <v>0.95</v>
      </c>
      <c r="T23" s="23">
        <f t="shared" si="6"/>
        <v>0.8</v>
      </c>
      <c r="U23" s="23">
        <f t="shared" si="6"/>
        <v>0.6</v>
      </c>
      <c r="V23" s="23">
        <f t="shared" si="6"/>
        <v>0.9</v>
      </c>
      <c r="W23" s="23">
        <f t="shared" si="6"/>
        <v>1</v>
      </c>
      <c r="X23" s="23">
        <f t="shared" si="6"/>
        <v>1</v>
      </c>
      <c r="Y23" s="23">
        <f t="shared" si="6"/>
        <v>1.1000000000000001</v>
      </c>
      <c r="Z23" s="23">
        <f t="shared" si="6"/>
        <v>0.85</v>
      </c>
      <c r="AA23" s="23">
        <f t="shared" si="6"/>
        <v>0.95</v>
      </c>
      <c r="AB23" s="23">
        <f t="shared" si="6"/>
        <v>1</v>
      </c>
      <c r="AC23" s="23">
        <f t="shared" si="6"/>
        <v>1</v>
      </c>
      <c r="AD23" s="23">
        <f t="shared" si="6"/>
        <v>1</v>
      </c>
      <c r="AE23" s="23">
        <f t="shared" si="6"/>
        <v>0.95</v>
      </c>
      <c r="AF23" s="23">
        <f t="shared" si="6"/>
        <v>0.8</v>
      </c>
      <c r="AG23" s="23">
        <f t="shared" si="6"/>
        <v>0.6</v>
      </c>
      <c r="AH23" s="23">
        <f t="shared" si="6"/>
        <v>0.9</v>
      </c>
      <c r="AI23" s="23">
        <f t="shared" si="6"/>
        <v>1</v>
      </c>
      <c r="AJ23" s="23">
        <f t="shared" si="6"/>
        <v>1</v>
      </c>
      <c r="AK23" s="23">
        <f t="shared" si="6"/>
        <v>1.1000000000000001</v>
      </c>
      <c r="AL23" s="23">
        <f t="shared" si="6"/>
        <v>0.85</v>
      </c>
      <c r="AM23" s="23">
        <f t="shared" si="6"/>
        <v>0.95</v>
      </c>
      <c r="AN23" s="23">
        <f t="shared" si="6"/>
        <v>1</v>
      </c>
      <c r="AO23" s="23">
        <f t="shared" si="6"/>
        <v>1</v>
      </c>
      <c r="AP23" s="23">
        <f t="shared" si="6"/>
        <v>1</v>
      </c>
      <c r="AQ23" s="23">
        <f t="shared" si="6"/>
        <v>0.95</v>
      </c>
      <c r="AR23" s="23">
        <f t="shared" si="6"/>
        <v>0.8</v>
      </c>
      <c r="AS23" s="23">
        <f t="shared" si="6"/>
        <v>0.6</v>
      </c>
      <c r="AT23" s="23">
        <f t="shared" si="6"/>
        <v>0.9</v>
      </c>
      <c r="AU23" s="23">
        <f t="shared" si="6"/>
        <v>1</v>
      </c>
      <c r="AV23" s="23">
        <f t="shared" si="6"/>
        <v>1</v>
      </c>
      <c r="AW23" s="23">
        <f t="shared" si="6"/>
        <v>1.1000000000000001</v>
      </c>
      <c r="AX23" s="23">
        <f t="shared" ref="AX23:BA23" si="7">INDEX($N$20:$Y$20,1,MATCH(AX21,$N$19:$Y$19,0))</f>
        <v>0.85</v>
      </c>
      <c r="AY23" s="23">
        <f t="shared" si="7"/>
        <v>0.95</v>
      </c>
      <c r="AZ23" s="23">
        <f t="shared" si="7"/>
        <v>1</v>
      </c>
      <c r="BA23" s="23">
        <f t="shared" si="7"/>
        <v>1</v>
      </c>
      <c r="BB23" s="23">
        <f t="shared" ref="BB23:BI23" si="8">INDEX($N$20:$Y$20,1,MATCH(BB21,$N$19:$Y$19,0))</f>
        <v>1</v>
      </c>
      <c r="BC23" s="23">
        <f t="shared" si="8"/>
        <v>0.95</v>
      </c>
      <c r="BD23" s="23">
        <f t="shared" si="8"/>
        <v>0.8</v>
      </c>
      <c r="BE23" s="23">
        <f t="shared" si="8"/>
        <v>0.6</v>
      </c>
      <c r="BF23" s="23">
        <f t="shared" si="8"/>
        <v>0.9</v>
      </c>
      <c r="BG23" s="23">
        <f t="shared" si="8"/>
        <v>1</v>
      </c>
      <c r="BH23" s="23">
        <f t="shared" si="8"/>
        <v>1</v>
      </c>
      <c r="BI23" s="23">
        <f t="shared" si="8"/>
        <v>1.1000000000000001</v>
      </c>
    </row>
    <row r="25" spans="4:61" s="4" customFormat="1" x14ac:dyDescent="0.35">
      <c r="E25" s="4" t="str">
        <f>Hypothèses_trajectoire!E11</f>
        <v>Volume de référence-Dépôt</v>
      </c>
      <c r="I25" s="85">
        <f>Hypothèses_trajectoire!I11</f>
        <v>70423</v>
      </c>
      <c r="J25" s="4" t="str">
        <f>Hypothèses_trajectoire!J11</f>
        <v>Volume</v>
      </c>
    </row>
    <row r="26" spans="4:61" x14ac:dyDescent="0.35">
      <c r="E26" t="str">
        <f>E15</f>
        <v>Croissance des volumes au dépôt</v>
      </c>
      <c r="J26" t="str">
        <f>J15</f>
        <v>facteur</v>
      </c>
      <c r="N26" s="16">
        <f t="shared" ref="N26:AW26" si="9">N15</f>
        <v>0.95383612002764162</v>
      </c>
      <c r="O26" s="16">
        <f t="shared" si="9"/>
        <v>0.95383612002764162</v>
      </c>
      <c r="P26" s="16">
        <f t="shared" si="9"/>
        <v>0.95383612002764162</v>
      </c>
      <c r="Q26" s="16">
        <f t="shared" si="9"/>
        <v>0.95383612002764162</v>
      </c>
      <c r="R26" s="16">
        <f t="shared" si="9"/>
        <v>0.95383612002764162</v>
      </c>
      <c r="S26" s="16">
        <f t="shared" si="9"/>
        <v>0.95383612002764162</v>
      </c>
      <c r="T26" s="16">
        <f t="shared" si="9"/>
        <v>0.95383612002764162</v>
      </c>
      <c r="U26" s="16">
        <f t="shared" si="9"/>
        <v>0.95383612002764162</v>
      </c>
      <c r="V26" s="16">
        <f t="shared" si="9"/>
        <v>0.95383612002764162</v>
      </c>
      <c r="W26" s="16">
        <f t="shared" si="9"/>
        <v>0.95383612002764162</v>
      </c>
      <c r="X26" s="16">
        <f t="shared" si="9"/>
        <v>0.95383612002764162</v>
      </c>
      <c r="Y26" s="16">
        <f t="shared" si="9"/>
        <v>0.95383612002764162</v>
      </c>
      <c r="Z26" s="16">
        <f t="shared" si="9"/>
        <v>1.0492197320304057</v>
      </c>
      <c r="AA26" s="16">
        <f t="shared" si="9"/>
        <v>1.0492197320304057</v>
      </c>
      <c r="AB26" s="16">
        <f t="shared" si="9"/>
        <v>1.0492197320304057</v>
      </c>
      <c r="AC26" s="16">
        <f t="shared" si="9"/>
        <v>1.0492197320304057</v>
      </c>
      <c r="AD26" s="16">
        <f t="shared" si="9"/>
        <v>1.0492197320304057</v>
      </c>
      <c r="AE26" s="16">
        <f t="shared" si="9"/>
        <v>1.0492197320304057</v>
      </c>
      <c r="AF26" s="16">
        <f t="shared" si="9"/>
        <v>1.0492197320304057</v>
      </c>
      <c r="AG26" s="16">
        <f t="shared" si="9"/>
        <v>1.0492197320304057</v>
      </c>
      <c r="AH26" s="16">
        <f t="shared" si="9"/>
        <v>1.0492197320304057</v>
      </c>
      <c r="AI26" s="16">
        <f t="shared" si="9"/>
        <v>1.0492197320304057</v>
      </c>
      <c r="AJ26" s="16">
        <f t="shared" si="9"/>
        <v>1.0492197320304057</v>
      </c>
      <c r="AK26" s="16">
        <f t="shared" si="9"/>
        <v>1.0492197320304057</v>
      </c>
      <c r="AL26" s="16">
        <f t="shared" si="9"/>
        <v>1.1541417052334464</v>
      </c>
      <c r="AM26" s="16">
        <f t="shared" si="9"/>
        <v>1.1541417052334464</v>
      </c>
      <c r="AN26" s="16">
        <f t="shared" si="9"/>
        <v>1.1541417052334464</v>
      </c>
      <c r="AO26" s="16">
        <f t="shared" si="9"/>
        <v>1.1541417052334464</v>
      </c>
      <c r="AP26" s="16">
        <f t="shared" si="9"/>
        <v>1.1541417052334464</v>
      </c>
      <c r="AQ26" s="16">
        <f t="shared" si="9"/>
        <v>1.1541417052334464</v>
      </c>
      <c r="AR26" s="16">
        <f t="shared" si="9"/>
        <v>1.1541417052334464</v>
      </c>
      <c r="AS26" s="16">
        <f t="shared" si="9"/>
        <v>1.1541417052334464</v>
      </c>
      <c r="AT26" s="16">
        <f t="shared" si="9"/>
        <v>1.1541417052334464</v>
      </c>
      <c r="AU26" s="16">
        <f t="shared" si="9"/>
        <v>1.1541417052334464</v>
      </c>
      <c r="AV26" s="16">
        <f t="shared" si="9"/>
        <v>1.1541417052334464</v>
      </c>
      <c r="AW26" s="16">
        <f t="shared" si="9"/>
        <v>1.1541417052334464</v>
      </c>
      <c r="AX26" s="16">
        <f t="shared" ref="AX26:BA26" si="10">AX15</f>
        <v>1.2695558757567911</v>
      </c>
      <c r="AY26" s="16">
        <f t="shared" si="10"/>
        <v>1.2695558757567911</v>
      </c>
      <c r="AZ26" s="16">
        <f t="shared" si="10"/>
        <v>1.2695558757567911</v>
      </c>
      <c r="BA26" s="16">
        <f t="shared" si="10"/>
        <v>1.2695558757567911</v>
      </c>
      <c r="BB26" s="16">
        <f t="shared" ref="BB26:BI26" si="11">BB15</f>
        <v>1.2695558757567911</v>
      </c>
      <c r="BC26" s="16">
        <f t="shared" si="11"/>
        <v>1.2695558757567911</v>
      </c>
      <c r="BD26" s="16">
        <f t="shared" si="11"/>
        <v>1.2695558757567911</v>
      </c>
      <c r="BE26" s="16">
        <f t="shared" si="11"/>
        <v>1.2695558757567911</v>
      </c>
      <c r="BF26" s="16">
        <f t="shared" si="11"/>
        <v>1.2695558757567911</v>
      </c>
      <c r="BG26" s="16">
        <f t="shared" si="11"/>
        <v>1.2695558757567911</v>
      </c>
      <c r="BH26" s="16">
        <f t="shared" si="11"/>
        <v>1.2695558757567911</v>
      </c>
      <c r="BI26" s="16">
        <f t="shared" si="11"/>
        <v>1.2695558757567911</v>
      </c>
    </row>
    <row r="28" spans="4:61" s="6" customFormat="1" x14ac:dyDescent="0.35">
      <c r="E28" s="6" t="str">
        <f>"Trajectoire-Volumes-"&amp;Paramétrage_général!I$25</f>
        <v>Trajectoire-Volumes-Dépôt</v>
      </c>
      <c r="J28" s="6" t="s">
        <v>50</v>
      </c>
      <c r="N28" s="87">
        <f>$I$25*N26*N23</f>
        <v>57096.200918600611</v>
      </c>
      <c r="O28" s="87">
        <f t="shared" ref="O28:AW28" si="12">$I$25*O26*O23</f>
        <v>63813.401026671265</v>
      </c>
      <c r="P28" s="87">
        <f t="shared" si="12"/>
        <v>67172.001080706599</v>
      </c>
      <c r="Q28" s="87">
        <f t="shared" si="12"/>
        <v>67172.001080706599</v>
      </c>
      <c r="R28" s="87">
        <f t="shared" si="12"/>
        <v>67172.001080706599</v>
      </c>
      <c r="S28" s="87">
        <f t="shared" si="12"/>
        <v>63813.401026671265</v>
      </c>
      <c r="T28" s="87">
        <f t="shared" si="12"/>
        <v>53737.600864565284</v>
      </c>
      <c r="U28" s="87">
        <f t="shared" si="12"/>
        <v>40303.200648423961</v>
      </c>
      <c r="V28" s="87">
        <f t="shared" si="12"/>
        <v>60454.800972635938</v>
      </c>
      <c r="W28" s="87">
        <f t="shared" si="12"/>
        <v>67172.001080706599</v>
      </c>
      <c r="X28" s="87">
        <f t="shared" si="12"/>
        <v>67172.001080706599</v>
      </c>
      <c r="Y28" s="87">
        <f t="shared" si="12"/>
        <v>73889.201188777268</v>
      </c>
      <c r="Z28" s="87">
        <f t="shared" si="12"/>
        <v>62805.821010460677</v>
      </c>
      <c r="AA28" s="87">
        <f t="shared" si="12"/>
        <v>70194.741129338407</v>
      </c>
      <c r="AB28" s="87">
        <f t="shared" si="12"/>
        <v>73889.201188777268</v>
      </c>
      <c r="AC28" s="87">
        <f t="shared" si="12"/>
        <v>73889.201188777268</v>
      </c>
      <c r="AD28" s="87">
        <f t="shared" si="12"/>
        <v>73889.201188777268</v>
      </c>
      <c r="AE28" s="87">
        <f t="shared" si="12"/>
        <v>70194.741129338407</v>
      </c>
      <c r="AF28" s="87">
        <f t="shared" si="12"/>
        <v>59111.360951021816</v>
      </c>
      <c r="AG28" s="87">
        <f t="shared" si="12"/>
        <v>44333.520713266356</v>
      </c>
      <c r="AH28" s="87">
        <f t="shared" si="12"/>
        <v>66500.281069899545</v>
      </c>
      <c r="AI28" s="87">
        <f t="shared" si="12"/>
        <v>73889.201188777268</v>
      </c>
      <c r="AJ28" s="87">
        <f t="shared" si="12"/>
        <v>73889.201188777268</v>
      </c>
      <c r="AK28" s="87">
        <f t="shared" si="12"/>
        <v>81278.121307655005</v>
      </c>
      <c r="AL28" s="87">
        <f t="shared" si="12"/>
        <v>69086.403111506734</v>
      </c>
      <c r="AM28" s="87">
        <f t="shared" si="12"/>
        <v>77214.215242272243</v>
      </c>
      <c r="AN28" s="87">
        <f t="shared" si="12"/>
        <v>81278.12130765499</v>
      </c>
      <c r="AO28" s="87">
        <f t="shared" si="12"/>
        <v>81278.12130765499</v>
      </c>
      <c r="AP28" s="87">
        <f t="shared" si="12"/>
        <v>81278.12130765499</v>
      </c>
      <c r="AQ28" s="87">
        <f t="shared" si="12"/>
        <v>77214.215242272243</v>
      </c>
      <c r="AR28" s="87">
        <f t="shared" si="12"/>
        <v>65022.497046123994</v>
      </c>
      <c r="AS28" s="87">
        <f t="shared" si="12"/>
        <v>48766.87278459299</v>
      </c>
      <c r="AT28" s="87">
        <f t="shared" si="12"/>
        <v>73150.309176889496</v>
      </c>
      <c r="AU28" s="87">
        <f t="shared" si="12"/>
        <v>81278.12130765499</v>
      </c>
      <c r="AV28" s="87">
        <f t="shared" si="12"/>
        <v>81278.12130765499</v>
      </c>
      <c r="AW28" s="87">
        <f t="shared" si="12"/>
        <v>89405.933438420499</v>
      </c>
      <c r="AX28" s="87">
        <f t="shared" ref="AX28:BA28" si="13">$I$25*AX26*AX23</f>
        <v>75995.043422657429</v>
      </c>
      <c r="AY28" s="87">
        <f t="shared" si="13"/>
        <v>84935.636766499476</v>
      </c>
      <c r="AZ28" s="87">
        <f t="shared" si="13"/>
        <v>89405.933438420499</v>
      </c>
      <c r="BA28" s="87">
        <f t="shared" si="13"/>
        <v>89405.933438420499</v>
      </c>
      <c r="BB28" s="87">
        <f t="shared" ref="BB28:BI28" si="14">$I$25*BB26*BB23</f>
        <v>89405.933438420499</v>
      </c>
      <c r="BC28" s="87">
        <f t="shared" si="14"/>
        <v>84935.636766499476</v>
      </c>
      <c r="BD28" s="87">
        <f t="shared" si="14"/>
        <v>71524.746750736405</v>
      </c>
      <c r="BE28" s="87">
        <f t="shared" si="14"/>
        <v>53643.560063052297</v>
      </c>
      <c r="BF28" s="87">
        <f t="shared" si="14"/>
        <v>80465.340094578452</v>
      </c>
      <c r="BG28" s="87">
        <f t="shared" si="14"/>
        <v>89405.933438420499</v>
      </c>
      <c r="BH28" s="87">
        <f t="shared" si="14"/>
        <v>89405.933438420499</v>
      </c>
      <c r="BI28" s="87">
        <f t="shared" si="14"/>
        <v>98346.526782262561</v>
      </c>
    </row>
    <row r="30" spans="4:61" x14ac:dyDescent="0.35">
      <c r="D30" s="1" t="s">
        <v>70</v>
      </c>
    </row>
    <row r="32" spans="4:61" s="4" customFormat="1" x14ac:dyDescent="0.35">
      <c r="E32" s="4" t="str">
        <f>Données_historiques!E$10</f>
        <v>Dépôt-Exécution</v>
      </c>
      <c r="J32" s="4" t="str">
        <f>Données_historiques!J$10</f>
        <v>Volume</v>
      </c>
      <c r="N32" s="85">
        <f>Données_historiques!N$10</f>
        <v>6320</v>
      </c>
      <c r="O32" s="85">
        <f>Données_historiques!O$10</f>
        <v>11443</v>
      </c>
      <c r="P32" s="85">
        <f>Données_historiques!P$10</f>
        <v>9961</v>
      </c>
      <c r="Q32" s="85">
        <f>Données_historiques!Q$10</f>
        <v>5157</v>
      </c>
      <c r="R32" s="85">
        <f>Données_historiques!R$10</f>
        <v>7758</v>
      </c>
      <c r="S32" s="85">
        <f>Données_historiques!S$10</f>
        <v>19366</v>
      </c>
      <c r="T32" s="85">
        <f>Données_historiques!T$10</f>
        <v>17473</v>
      </c>
      <c r="U32" s="85">
        <f>Données_historiques!U$10</f>
        <v>10690</v>
      </c>
      <c r="V32" s="85">
        <f>Données_historiques!V$10</f>
        <v>19315</v>
      </c>
      <c r="W32" s="85">
        <f>Données_historiques!W$10</f>
        <v>28065</v>
      </c>
      <c r="X32" s="85">
        <f>Données_historiques!X$10</f>
        <v>30651</v>
      </c>
      <c r="Y32" s="85">
        <f>Données_historiques!Y$10</f>
        <v>27939</v>
      </c>
      <c r="Z32" s="85">
        <f>Données_historiques!Z$10</f>
        <v>52269</v>
      </c>
      <c r="AA32" s="85">
        <f>Données_historiques!AA$10</f>
        <v>57486</v>
      </c>
      <c r="AB32" s="85">
        <f>Données_historiques!AB$10</f>
        <v>67267</v>
      </c>
      <c r="AC32" s="85">
        <f>Données_historiques!AC$10</f>
        <v>68625</v>
      </c>
      <c r="AD32" s="85">
        <f>Données_historiques!AD$10</f>
        <v>60334</v>
      </c>
      <c r="AE32" s="85">
        <f>Données_historiques!AE$10</f>
        <v>70423</v>
      </c>
      <c r="AF32" s="85">
        <f>Données_historiques!AF$10</f>
        <v>55455</v>
      </c>
      <c r="AG32" s="85">
        <f>Données_historiques!AG$10</f>
        <v>40687</v>
      </c>
      <c r="AH32" s="85">
        <f>Données_historiques!AH$10</f>
        <v>62423</v>
      </c>
      <c r="AI32" s="85">
        <f>Données_historiques!AI$10</f>
        <v>77015</v>
      </c>
      <c r="AJ32" s="85">
        <f>Données_historiques!AJ$10</f>
        <v>68409</v>
      </c>
      <c r="AK32" s="85">
        <f>Données_historiques!AK$10</f>
        <v>80621</v>
      </c>
      <c r="AL32" s="85">
        <f>Données_historiques!AL$10</f>
        <v>0</v>
      </c>
      <c r="AM32" s="85">
        <f>Données_historiques!AM$10</f>
        <v>0</v>
      </c>
      <c r="AN32" s="85">
        <f>Données_historiques!AN$10</f>
        <v>0</v>
      </c>
      <c r="AO32" s="85">
        <f>Données_historiques!AO$10</f>
        <v>0</v>
      </c>
      <c r="AP32" s="85">
        <f>Données_historiques!AP$10</f>
        <v>0</v>
      </c>
      <c r="AQ32" s="85">
        <f>Données_historiques!AQ$10</f>
        <v>0</v>
      </c>
      <c r="AR32" s="85">
        <f>Données_historiques!AR$10</f>
        <v>0</v>
      </c>
      <c r="AS32" s="85">
        <f>Données_historiques!AS$10</f>
        <v>0</v>
      </c>
      <c r="AT32" s="85">
        <f>Données_historiques!AT$10</f>
        <v>0</v>
      </c>
      <c r="AU32" s="85">
        <f>Données_historiques!AU$10</f>
        <v>0</v>
      </c>
      <c r="AV32" s="85">
        <f>Données_historiques!AV$10</f>
        <v>0</v>
      </c>
      <c r="AW32" s="85">
        <f>Données_historiques!AW$10</f>
        <v>0</v>
      </c>
      <c r="AX32" s="85">
        <f>Données_historiques!AX$10</f>
        <v>0</v>
      </c>
      <c r="AY32" s="85">
        <f>Données_historiques!AY$10</f>
        <v>0</v>
      </c>
      <c r="AZ32" s="85">
        <f>Données_historiques!AZ$10</f>
        <v>0</v>
      </c>
      <c r="BA32" s="85">
        <f>Données_historiques!BA$10</f>
        <v>0</v>
      </c>
      <c r="BB32" s="85">
        <f>Données_historiques!BB$10</f>
        <v>0</v>
      </c>
      <c r="BC32" s="85">
        <f>Données_historiques!BC$10</f>
        <v>0</v>
      </c>
      <c r="BD32" s="85">
        <f>Données_historiques!BD$10</f>
        <v>0</v>
      </c>
      <c r="BE32" s="85">
        <f>Données_historiques!BE$10</f>
        <v>0</v>
      </c>
      <c r="BF32" s="85">
        <f>Données_historiques!BF$10</f>
        <v>0</v>
      </c>
      <c r="BG32" s="85">
        <f>Données_historiques!BG$10</f>
        <v>0</v>
      </c>
      <c r="BH32" s="85">
        <f>Données_historiques!BH$10</f>
        <v>0</v>
      </c>
      <c r="BI32" s="85">
        <f>Données_historiques!BI$10</f>
        <v>0</v>
      </c>
    </row>
    <row r="33" spans="4:61" s="4" customFormat="1" x14ac:dyDescent="0.35">
      <c r="E33" s="4" t="str">
        <f>Time!E$38</f>
        <v>Bool-Projeté</v>
      </c>
      <c r="J33" s="4" t="str">
        <f>Time!J$38</f>
        <v>booléen</v>
      </c>
      <c r="N33" s="83">
        <f>Time!N$38</f>
        <v>0</v>
      </c>
      <c r="O33" s="83">
        <f>Time!O$38</f>
        <v>0</v>
      </c>
      <c r="P33" s="83">
        <f>Time!P$38</f>
        <v>0</v>
      </c>
      <c r="Q33" s="83">
        <f>Time!Q$38</f>
        <v>0</v>
      </c>
      <c r="R33" s="83">
        <f>Time!R$38</f>
        <v>0</v>
      </c>
      <c r="S33" s="83">
        <f>Time!S$38</f>
        <v>0</v>
      </c>
      <c r="T33" s="83">
        <f>Time!T$38</f>
        <v>0</v>
      </c>
      <c r="U33" s="83">
        <f>Time!U$38</f>
        <v>0</v>
      </c>
      <c r="V33" s="83">
        <f>Time!V$38</f>
        <v>0</v>
      </c>
      <c r="W33" s="83">
        <f>Time!W$38</f>
        <v>0</v>
      </c>
      <c r="X33" s="83">
        <f>Time!X$38</f>
        <v>0</v>
      </c>
      <c r="Y33" s="83">
        <f>Time!Y$38</f>
        <v>0</v>
      </c>
      <c r="Z33" s="83">
        <f>Time!Z$38</f>
        <v>0</v>
      </c>
      <c r="AA33" s="83">
        <f>Time!AA$38</f>
        <v>0</v>
      </c>
      <c r="AB33" s="83">
        <f>Time!AB$38</f>
        <v>0</v>
      </c>
      <c r="AC33" s="83">
        <f>Time!AC$38</f>
        <v>0</v>
      </c>
      <c r="AD33" s="83">
        <f>Time!AD$38</f>
        <v>0</v>
      </c>
      <c r="AE33" s="83">
        <f>Time!AE$38</f>
        <v>0</v>
      </c>
      <c r="AF33" s="83">
        <f>Time!AF$38</f>
        <v>0</v>
      </c>
      <c r="AG33" s="83">
        <f>Time!AG$38</f>
        <v>0</v>
      </c>
      <c r="AH33" s="83">
        <f>Time!AH$38</f>
        <v>0</v>
      </c>
      <c r="AI33" s="83">
        <f>Time!AI$38</f>
        <v>0</v>
      </c>
      <c r="AJ33" s="83">
        <f>Time!AJ$38</f>
        <v>0</v>
      </c>
      <c r="AK33" s="83">
        <f>Time!AK$38</f>
        <v>0</v>
      </c>
      <c r="AL33" s="83">
        <f>Time!AL$38</f>
        <v>1</v>
      </c>
      <c r="AM33" s="83">
        <f>Time!AM$38</f>
        <v>1</v>
      </c>
      <c r="AN33" s="83">
        <f>Time!AN$38</f>
        <v>1</v>
      </c>
      <c r="AO33" s="83">
        <f>Time!AO$38</f>
        <v>1</v>
      </c>
      <c r="AP33" s="83">
        <f>Time!AP$38</f>
        <v>1</v>
      </c>
      <c r="AQ33" s="83">
        <f>Time!AQ$38</f>
        <v>1</v>
      </c>
      <c r="AR33" s="83">
        <f>Time!AR$38</f>
        <v>1</v>
      </c>
      <c r="AS33" s="83">
        <f>Time!AS$38</f>
        <v>1</v>
      </c>
      <c r="AT33" s="83">
        <f>Time!AT$38</f>
        <v>1</v>
      </c>
      <c r="AU33" s="83">
        <f>Time!AU$38</f>
        <v>1</v>
      </c>
      <c r="AV33" s="83">
        <f>Time!AV$38</f>
        <v>1</v>
      </c>
      <c r="AW33" s="83">
        <f>Time!AW$38</f>
        <v>1</v>
      </c>
      <c r="AX33" s="83">
        <f>Time!AX$38</f>
        <v>1</v>
      </c>
      <c r="AY33" s="83">
        <f>Time!AY$38</f>
        <v>1</v>
      </c>
      <c r="AZ33" s="83">
        <f>Time!AZ$38</f>
        <v>1</v>
      </c>
      <c r="BA33" s="83">
        <f>Time!BA$38</f>
        <v>1</v>
      </c>
      <c r="BB33" s="83">
        <f>Time!BB$38</f>
        <v>1</v>
      </c>
      <c r="BC33" s="83">
        <f>Time!BC$38</f>
        <v>1</v>
      </c>
      <c r="BD33" s="83">
        <f>Time!BD$38</f>
        <v>1</v>
      </c>
      <c r="BE33" s="83">
        <f>Time!BE$38</f>
        <v>1</v>
      </c>
      <c r="BF33" s="83">
        <f>Time!BF$38</f>
        <v>1</v>
      </c>
      <c r="BG33" s="83">
        <f>Time!BG$38</f>
        <v>1</v>
      </c>
      <c r="BH33" s="83">
        <f>Time!BH$38</f>
        <v>1</v>
      </c>
      <c r="BI33" s="83">
        <f>Time!BI$38</f>
        <v>1</v>
      </c>
    </row>
    <row r="34" spans="4:61" x14ac:dyDescent="0.35">
      <c r="E34" t="str">
        <f>E$28</f>
        <v>Trajectoire-Volumes-Dépôt</v>
      </c>
      <c r="J34" t="str">
        <f>J$28</f>
        <v>Volume</v>
      </c>
      <c r="N34" s="41">
        <f t="shared" ref="N34:BI34" si="15">N$28</f>
        <v>57096.200918600611</v>
      </c>
      <c r="O34" s="41">
        <f t="shared" si="15"/>
        <v>63813.401026671265</v>
      </c>
      <c r="P34" s="41">
        <f t="shared" si="15"/>
        <v>67172.001080706599</v>
      </c>
      <c r="Q34" s="41">
        <f t="shared" si="15"/>
        <v>67172.001080706599</v>
      </c>
      <c r="R34" s="41">
        <f t="shared" si="15"/>
        <v>67172.001080706599</v>
      </c>
      <c r="S34" s="41">
        <f t="shared" si="15"/>
        <v>63813.401026671265</v>
      </c>
      <c r="T34" s="41">
        <f t="shared" si="15"/>
        <v>53737.600864565284</v>
      </c>
      <c r="U34" s="41">
        <f t="shared" si="15"/>
        <v>40303.200648423961</v>
      </c>
      <c r="V34" s="41">
        <f t="shared" si="15"/>
        <v>60454.800972635938</v>
      </c>
      <c r="W34" s="41">
        <f t="shared" si="15"/>
        <v>67172.001080706599</v>
      </c>
      <c r="X34" s="41">
        <f t="shared" si="15"/>
        <v>67172.001080706599</v>
      </c>
      <c r="Y34" s="41">
        <f t="shared" si="15"/>
        <v>73889.201188777268</v>
      </c>
      <c r="Z34" s="41">
        <f t="shared" si="15"/>
        <v>62805.821010460677</v>
      </c>
      <c r="AA34" s="41">
        <f t="shared" si="15"/>
        <v>70194.741129338407</v>
      </c>
      <c r="AB34" s="41">
        <f t="shared" si="15"/>
        <v>73889.201188777268</v>
      </c>
      <c r="AC34" s="41">
        <f t="shared" si="15"/>
        <v>73889.201188777268</v>
      </c>
      <c r="AD34" s="41">
        <f t="shared" si="15"/>
        <v>73889.201188777268</v>
      </c>
      <c r="AE34" s="41">
        <f t="shared" si="15"/>
        <v>70194.741129338407</v>
      </c>
      <c r="AF34" s="41">
        <f t="shared" si="15"/>
        <v>59111.360951021816</v>
      </c>
      <c r="AG34" s="41">
        <f t="shared" si="15"/>
        <v>44333.520713266356</v>
      </c>
      <c r="AH34" s="41">
        <f t="shared" si="15"/>
        <v>66500.281069899545</v>
      </c>
      <c r="AI34" s="41">
        <f t="shared" si="15"/>
        <v>73889.201188777268</v>
      </c>
      <c r="AJ34" s="41">
        <f t="shared" si="15"/>
        <v>73889.201188777268</v>
      </c>
      <c r="AK34" s="41">
        <f t="shared" si="15"/>
        <v>81278.121307655005</v>
      </c>
      <c r="AL34" s="41">
        <f t="shared" si="15"/>
        <v>69086.403111506734</v>
      </c>
      <c r="AM34" s="41">
        <f t="shared" si="15"/>
        <v>77214.215242272243</v>
      </c>
      <c r="AN34" s="41">
        <f t="shared" si="15"/>
        <v>81278.12130765499</v>
      </c>
      <c r="AO34" s="41">
        <f t="shared" si="15"/>
        <v>81278.12130765499</v>
      </c>
      <c r="AP34" s="41">
        <f t="shared" si="15"/>
        <v>81278.12130765499</v>
      </c>
      <c r="AQ34" s="41">
        <f t="shared" si="15"/>
        <v>77214.215242272243</v>
      </c>
      <c r="AR34" s="41">
        <f t="shared" si="15"/>
        <v>65022.497046123994</v>
      </c>
      <c r="AS34" s="41">
        <f t="shared" si="15"/>
        <v>48766.87278459299</v>
      </c>
      <c r="AT34" s="41">
        <f t="shared" si="15"/>
        <v>73150.309176889496</v>
      </c>
      <c r="AU34" s="41">
        <f t="shared" si="15"/>
        <v>81278.12130765499</v>
      </c>
      <c r="AV34" s="41">
        <f t="shared" si="15"/>
        <v>81278.12130765499</v>
      </c>
      <c r="AW34" s="41">
        <f t="shared" si="15"/>
        <v>89405.933438420499</v>
      </c>
      <c r="AX34" s="41">
        <f t="shared" si="15"/>
        <v>75995.043422657429</v>
      </c>
      <c r="AY34" s="41">
        <f t="shared" si="15"/>
        <v>84935.636766499476</v>
      </c>
      <c r="AZ34" s="41">
        <f t="shared" si="15"/>
        <v>89405.933438420499</v>
      </c>
      <c r="BA34" s="41">
        <f t="shared" si="15"/>
        <v>89405.933438420499</v>
      </c>
      <c r="BB34" s="41">
        <f t="shared" si="15"/>
        <v>89405.933438420499</v>
      </c>
      <c r="BC34" s="41">
        <f t="shared" si="15"/>
        <v>84935.636766499476</v>
      </c>
      <c r="BD34" s="41">
        <f t="shared" si="15"/>
        <v>71524.746750736405</v>
      </c>
      <c r="BE34" s="41">
        <f t="shared" si="15"/>
        <v>53643.560063052297</v>
      </c>
      <c r="BF34" s="41">
        <f t="shared" si="15"/>
        <v>80465.340094578452</v>
      </c>
      <c r="BG34" s="41">
        <f t="shared" si="15"/>
        <v>89405.933438420499</v>
      </c>
      <c r="BH34" s="41">
        <f t="shared" si="15"/>
        <v>89405.933438420499</v>
      </c>
      <c r="BI34" s="41">
        <f t="shared" si="15"/>
        <v>98346.526782262561</v>
      </c>
    </row>
    <row r="36" spans="4:61" s="8" customFormat="1" x14ac:dyDescent="0.35">
      <c r="E36" s="19" t="str">
        <f>"Volumes-"&amp;Paramétrage_général!I$25</f>
        <v>Volumes-Dépôt</v>
      </c>
      <c r="F36" s="19"/>
      <c r="G36" s="19"/>
      <c r="H36" s="19"/>
      <c r="I36" s="19"/>
      <c r="J36" s="19" t="s">
        <v>50</v>
      </c>
      <c r="K36" s="19"/>
      <c r="L36" s="19"/>
      <c r="M36" s="19"/>
      <c r="N36" s="86">
        <f>(1-N33)*N32+N33*N34</f>
        <v>6320</v>
      </c>
      <c r="O36" s="86">
        <f t="shared" ref="O36:AW36" si="16">(1-O33)*O32+O33*O34</f>
        <v>11443</v>
      </c>
      <c r="P36" s="86">
        <f t="shared" si="16"/>
        <v>9961</v>
      </c>
      <c r="Q36" s="86">
        <f t="shared" si="16"/>
        <v>5157</v>
      </c>
      <c r="R36" s="86">
        <f t="shared" si="16"/>
        <v>7758</v>
      </c>
      <c r="S36" s="86">
        <f t="shared" si="16"/>
        <v>19366</v>
      </c>
      <c r="T36" s="86">
        <f t="shared" si="16"/>
        <v>17473</v>
      </c>
      <c r="U36" s="86">
        <f t="shared" si="16"/>
        <v>10690</v>
      </c>
      <c r="V36" s="86">
        <f t="shared" si="16"/>
        <v>19315</v>
      </c>
      <c r="W36" s="86">
        <f t="shared" si="16"/>
        <v>28065</v>
      </c>
      <c r="X36" s="86">
        <f t="shared" si="16"/>
        <v>30651</v>
      </c>
      <c r="Y36" s="86">
        <f t="shared" si="16"/>
        <v>27939</v>
      </c>
      <c r="Z36" s="86">
        <f t="shared" si="16"/>
        <v>52269</v>
      </c>
      <c r="AA36" s="86">
        <f t="shared" si="16"/>
        <v>57486</v>
      </c>
      <c r="AB36" s="86">
        <f t="shared" si="16"/>
        <v>67267</v>
      </c>
      <c r="AC36" s="86">
        <f t="shared" si="16"/>
        <v>68625</v>
      </c>
      <c r="AD36" s="86">
        <f t="shared" si="16"/>
        <v>60334</v>
      </c>
      <c r="AE36" s="86">
        <f t="shared" si="16"/>
        <v>70423</v>
      </c>
      <c r="AF36" s="86">
        <f t="shared" si="16"/>
        <v>55455</v>
      </c>
      <c r="AG36" s="86">
        <f t="shared" si="16"/>
        <v>40687</v>
      </c>
      <c r="AH36" s="86">
        <f t="shared" si="16"/>
        <v>62423</v>
      </c>
      <c r="AI36" s="86">
        <f t="shared" si="16"/>
        <v>77015</v>
      </c>
      <c r="AJ36" s="86">
        <f t="shared" si="16"/>
        <v>68409</v>
      </c>
      <c r="AK36" s="86">
        <f t="shared" si="16"/>
        <v>80621</v>
      </c>
      <c r="AL36" s="86">
        <f t="shared" si="16"/>
        <v>69086.403111506734</v>
      </c>
      <c r="AM36" s="86">
        <f t="shared" si="16"/>
        <v>77214.215242272243</v>
      </c>
      <c r="AN36" s="86">
        <f t="shared" si="16"/>
        <v>81278.12130765499</v>
      </c>
      <c r="AO36" s="86">
        <f t="shared" si="16"/>
        <v>81278.12130765499</v>
      </c>
      <c r="AP36" s="86">
        <f t="shared" si="16"/>
        <v>81278.12130765499</v>
      </c>
      <c r="AQ36" s="86">
        <f t="shared" si="16"/>
        <v>77214.215242272243</v>
      </c>
      <c r="AR36" s="86">
        <f t="shared" si="16"/>
        <v>65022.497046123994</v>
      </c>
      <c r="AS36" s="86">
        <f t="shared" si="16"/>
        <v>48766.87278459299</v>
      </c>
      <c r="AT36" s="86">
        <f t="shared" si="16"/>
        <v>73150.309176889496</v>
      </c>
      <c r="AU36" s="86">
        <f t="shared" si="16"/>
        <v>81278.12130765499</v>
      </c>
      <c r="AV36" s="86">
        <f t="shared" si="16"/>
        <v>81278.12130765499</v>
      </c>
      <c r="AW36" s="86">
        <f t="shared" si="16"/>
        <v>89405.933438420499</v>
      </c>
      <c r="AX36" s="86">
        <f t="shared" ref="AX36:BA36" si="17">(1-AX33)*AX32+AX33*AX34</f>
        <v>75995.043422657429</v>
      </c>
      <c r="AY36" s="86">
        <f t="shared" si="17"/>
        <v>84935.636766499476</v>
      </c>
      <c r="AZ36" s="86">
        <f t="shared" si="17"/>
        <v>89405.933438420499</v>
      </c>
      <c r="BA36" s="86">
        <f t="shared" si="17"/>
        <v>89405.933438420499</v>
      </c>
      <c r="BB36" s="86">
        <f t="shared" ref="BB36:BI36" si="18">(1-BB33)*BB32+BB33*BB34</f>
        <v>89405.933438420499</v>
      </c>
      <c r="BC36" s="86">
        <f t="shared" si="18"/>
        <v>84935.636766499476</v>
      </c>
      <c r="BD36" s="86">
        <f t="shared" si="18"/>
        <v>71524.746750736405</v>
      </c>
      <c r="BE36" s="86">
        <f t="shared" si="18"/>
        <v>53643.560063052297</v>
      </c>
      <c r="BF36" s="86">
        <f t="shared" si="18"/>
        <v>80465.340094578452</v>
      </c>
      <c r="BG36" s="86">
        <f t="shared" si="18"/>
        <v>89405.933438420499</v>
      </c>
      <c r="BH36" s="86">
        <f t="shared" si="18"/>
        <v>89405.933438420499</v>
      </c>
      <c r="BI36" s="86">
        <f t="shared" si="18"/>
        <v>98346.526782262561</v>
      </c>
    </row>
    <row r="37" spans="4:61" x14ac:dyDescent="0.35">
      <c r="AK37" s="16"/>
    </row>
    <row r="38" spans="4:61" x14ac:dyDescent="0.35">
      <c r="D38" s="1" t="s">
        <v>71</v>
      </c>
      <c r="AL38" s="16"/>
    </row>
    <row r="39" spans="4:61" x14ac:dyDescent="0.35">
      <c r="AK39" s="16"/>
    </row>
    <row r="40" spans="4:61" s="4" customFormat="1" x14ac:dyDescent="0.35">
      <c r="E40" s="4" t="str">
        <f>Hypothèses_trajectoire!E23</f>
        <v>Croissance du coût moyen</v>
      </c>
      <c r="I40" s="14">
        <f>Hypothèses_trajectoire!I23</f>
        <v>0.03</v>
      </c>
      <c r="J40" s="4" t="str">
        <f>Hypothèses_trajectoire!J23</f>
        <v>% p.a</v>
      </c>
    </row>
    <row r="41" spans="4:61" s="4" customFormat="1" x14ac:dyDescent="0.35">
      <c r="E41" s="4" t="str">
        <f>Paramétrage_général!E16</f>
        <v>Jours dans une année</v>
      </c>
      <c r="I41" s="85">
        <f>Paramétrage_général!I16</f>
        <v>365</v>
      </c>
      <c r="J41" s="4" t="str">
        <f>Paramétrage_général!J16</f>
        <v>jours calendaires</v>
      </c>
    </row>
    <row r="42" spans="4:61" s="4" customFormat="1" x14ac:dyDescent="0.35">
      <c r="E42" s="4" t="str">
        <f>Hypothèses_trajectoire!E13</f>
        <v>Date de référence-Coût moyen-Dépôt</v>
      </c>
      <c r="I42" s="5">
        <f>Hypothèses_trajectoire!I13</f>
        <v>44742</v>
      </c>
      <c r="J42" s="4" t="str">
        <f>Hypothèses_trajectoire!J13</f>
        <v>date</v>
      </c>
    </row>
    <row r="43" spans="4:61" x14ac:dyDescent="0.35">
      <c r="E43" t="str">
        <f>E13</f>
        <v>Ecart à la date de référence</v>
      </c>
      <c r="J43" t="str">
        <f>J13</f>
        <v>jours calendaires</v>
      </c>
      <c r="N43">
        <f>N5-$I$42</f>
        <v>-546</v>
      </c>
      <c r="O43">
        <f t="shared" ref="O43:BI43" si="19">O5-$I$42</f>
        <v>-546</v>
      </c>
      <c r="P43">
        <f t="shared" si="19"/>
        <v>-546</v>
      </c>
      <c r="Q43">
        <f t="shared" si="19"/>
        <v>-546</v>
      </c>
      <c r="R43">
        <f t="shared" si="19"/>
        <v>-546</v>
      </c>
      <c r="S43">
        <f t="shared" si="19"/>
        <v>-546</v>
      </c>
      <c r="T43">
        <f t="shared" si="19"/>
        <v>-546</v>
      </c>
      <c r="U43">
        <f t="shared" si="19"/>
        <v>-546</v>
      </c>
      <c r="V43">
        <f t="shared" si="19"/>
        <v>-546</v>
      </c>
      <c r="W43">
        <f t="shared" si="19"/>
        <v>-546</v>
      </c>
      <c r="X43">
        <f t="shared" si="19"/>
        <v>-546</v>
      </c>
      <c r="Y43">
        <f t="shared" si="19"/>
        <v>-546</v>
      </c>
      <c r="Z43">
        <f t="shared" si="19"/>
        <v>-181</v>
      </c>
      <c r="AA43">
        <f t="shared" si="19"/>
        <v>-181</v>
      </c>
      <c r="AB43">
        <f t="shared" si="19"/>
        <v>-181</v>
      </c>
      <c r="AC43">
        <f t="shared" si="19"/>
        <v>-181</v>
      </c>
      <c r="AD43">
        <f t="shared" si="19"/>
        <v>-181</v>
      </c>
      <c r="AE43">
        <f t="shared" si="19"/>
        <v>-181</v>
      </c>
      <c r="AF43">
        <f t="shared" si="19"/>
        <v>-181</v>
      </c>
      <c r="AG43">
        <f t="shared" si="19"/>
        <v>-181</v>
      </c>
      <c r="AH43">
        <f t="shared" si="19"/>
        <v>-181</v>
      </c>
      <c r="AI43">
        <f t="shared" si="19"/>
        <v>-181</v>
      </c>
      <c r="AJ43">
        <f t="shared" si="19"/>
        <v>-181</v>
      </c>
      <c r="AK43">
        <f t="shared" si="19"/>
        <v>-181</v>
      </c>
      <c r="AL43">
        <f t="shared" si="19"/>
        <v>184</v>
      </c>
      <c r="AM43">
        <f t="shared" si="19"/>
        <v>184</v>
      </c>
      <c r="AN43">
        <f t="shared" si="19"/>
        <v>184</v>
      </c>
      <c r="AO43">
        <f t="shared" si="19"/>
        <v>184</v>
      </c>
      <c r="AP43">
        <f t="shared" si="19"/>
        <v>184</v>
      </c>
      <c r="AQ43">
        <f t="shared" si="19"/>
        <v>184</v>
      </c>
      <c r="AR43">
        <f t="shared" si="19"/>
        <v>184</v>
      </c>
      <c r="AS43">
        <f t="shared" si="19"/>
        <v>184</v>
      </c>
      <c r="AT43">
        <f t="shared" si="19"/>
        <v>184</v>
      </c>
      <c r="AU43">
        <f t="shared" si="19"/>
        <v>184</v>
      </c>
      <c r="AV43">
        <f t="shared" si="19"/>
        <v>184</v>
      </c>
      <c r="AW43">
        <f t="shared" si="19"/>
        <v>184</v>
      </c>
      <c r="AX43">
        <f t="shared" si="19"/>
        <v>549</v>
      </c>
      <c r="AY43">
        <f t="shared" si="19"/>
        <v>549</v>
      </c>
      <c r="AZ43">
        <f t="shared" si="19"/>
        <v>549</v>
      </c>
      <c r="BA43">
        <f t="shared" si="19"/>
        <v>549</v>
      </c>
      <c r="BB43">
        <f t="shared" si="19"/>
        <v>549</v>
      </c>
      <c r="BC43">
        <f t="shared" si="19"/>
        <v>549</v>
      </c>
      <c r="BD43">
        <f t="shared" si="19"/>
        <v>549</v>
      </c>
      <c r="BE43">
        <f t="shared" si="19"/>
        <v>549</v>
      </c>
      <c r="BF43">
        <f t="shared" si="19"/>
        <v>549</v>
      </c>
      <c r="BG43">
        <f t="shared" si="19"/>
        <v>549</v>
      </c>
      <c r="BH43">
        <f t="shared" si="19"/>
        <v>549</v>
      </c>
      <c r="BI43">
        <f t="shared" si="19"/>
        <v>549</v>
      </c>
    </row>
    <row r="45" spans="4:61" x14ac:dyDescent="0.35">
      <c r="E45" t="s">
        <v>72</v>
      </c>
      <c r="J45" t="s">
        <v>69</v>
      </c>
      <c r="N45" s="16">
        <f>(1+$I$40)^(N43/$I$41)</f>
        <v>0.95674658043213645</v>
      </c>
      <c r="O45" s="16">
        <f t="shared" ref="O45:AW45" si="20">(1+$I$40)^(O43/$I$41)</f>
        <v>0.95674658043213645</v>
      </c>
      <c r="P45" s="16">
        <f t="shared" si="20"/>
        <v>0.95674658043213645</v>
      </c>
      <c r="Q45" s="16">
        <f t="shared" si="20"/>
        <v>0.95674658043213645</v>
      </c>
      <c r="R45" s="16">
        <f t="shared" si="20"/>
        <v>0.95674658043213645</v>
      </c>
      <c r="S45" s="16">
        <f t="shared" si="20"/>
        <v>0.95674658043213645</v>
      </c>
      <c r="T45" s="16">
        <f t="shared" si="20"/>
        <v>0.95674658043213645</v>
      </c>
      <c r="U45" s="16">
        <f t="shared" si="20"/>
        <v>0.95674658043213645</v>
      </c>
      <c r="V45" s="16">
        <f t="shared" si="20"/>
        <v>0.95674658043213645</v>
      </c>
      <c r="W45" s="16">
        <f t="shared" si="20"/>
        <v>0.95674658043213645</v>
      </c>
      <c r="X45" s="16">
        <f t="shared" si="20"/>
        <v>0.95674658043213645</v>
      </c>
      <c r="Y45" s="16">
        <f t="shared" si="20"/>
        <v>0.95674658043213645</v>
      </c>
      <c r="Z45" s="16">
        <f t="shared" si="20"/>
        <v>0.98544897784510066</v>
      </c>
      <c r="AA45" s="16">
        <f t="shared" si="20"/>
        <v>0.98544897784510066</v>
      </c>
      <c r="AB45" s="16">
        <f t="shared" si="20"/>
        <v>0.98544897784510066</v>
      </c>
      <c r="AC45" s="16">
        <f t="shared" si="20"/>
        <v>0.98544897784510066</v>
      </c>
      <c r="AD45" s="16">
        <f t="shared" si="20"/>
        <v>0.98544897784510066</v>
      </c>
      <c r="AE45" s="16">
        <f t="shared" si="20"/>
        <v>0.98544897784510066</v>
      </c>
      <c r="AF45" s="16">
        <f t="shared" si="20"/>
        <v>0.98544897784510066</v>
      </c>
      <c r="AG45" s="16">
        <f t="shared" si="20"/>
        <v>0.98544897784510066</v>
      </c>
      <c r="AH45" s="16">
        <f t="shared" si="20"/>
        <v>0.98544897784510066</v>
      </c>
      <c r="AI45" s="16">
        <f t="shared" si="20"/>
        <v>0.98544897784510066</v>
      </c>
      <c r="AJ45" s="16">
        <f t="shared" si="20"/>
        <v>0.98544897784510066</v>
      </c>
      <c r="AK45" s="16">
        <f t="shared" si="20"/>
        <v>0.98544897784510066</v>
      </c>
      <c r="AL45" s="16">
        <f t="shared" si="20"/>
        <v>1.0150124471804538</v>
      </c>
      <c r="AM45" s="16">
        <f t="shared" si="20"/>
        <v>1.0150124471804538</v>
      </c>
      <c r="AN45" s="16">
        <f t="shared" si="20"/>
        <v>1.0150124471804538</v>
      </c>
      <c r="AO45" s="16">
        <f t="shared" si="20"/>
        <v>1.0150124471804538</v>
      </c>
      <c r="AP45" s="16">
        <f t="shared" si="20"/>
        <v>1.0150124471804538</v>
      </c>
      <c r="AQ45" s="16">
        <f t="shared" si="20"/>
        <v>1.0150124471804538</v>
      </c>
      <c r="AR45" s="16">
        <f t="shared" si="20"/>
        <v>1.0150124471804538</v>
      </c>
      <c r="AS45" s="16">
        <f t="shared" si="20"/>
        <v>1.0150124471804538</v>
      </c>
      <c r="AT45" s="16">
        <f t="shared" si="20"/>
        <v>1.0150124471804538</v>
      </c>
      <c r="AU45" s="16">
        <f t="shared" si="20"/>
        <v>1.0150124471804538</v>
      </c>
      <c r="AV45" s="16">
        <f t="shared" si="20"/>
        <v>1.0150124471804538</v>
      </c>
      <c r="AW45" s="16">
        <f t="shared" si="20"/>
        <v>1.0150124471804538</v>
      </c>
      <c r="AX45" s="16">
        <f t="shared" ref="AX45:BA45" si="21">(1+$I$40)^(AX43/$I$41)</f>
        <v>1.0454628205958674</v>
      </c>
      <c r="AY45" s="16">
        <f t="shared" si="21"/>
        <v>1.0454628205958674</v>
      </c>
      <c r="AZ45" s="16">
        <f t="shared" si="21"/>
        <v>1.0454628205958674</v>
      </c>
      <c r="BA45" s="16">
        <f t="shared" si="21"/>
        <v>1.0454628205958674</v>
      </c>
      <c r="BB45" s="16">
        <f t="shared" ref="BB45:BI45" si="22">(1+$I$40)^(BB43/$I$41)</f>
        <v>1.0454628205958674</v>
      </c>
      <c r="BC45" s="16">
        <f t="shared" si="22"/>
        <v>1.0454628205958674</v>
      </c>
      <c r="BD45" s="16">
        <f t="shared" si="22"/>
        <v>1.0454628205958674</v>
      </c>
      <c r="BE45" s="16">
        <f t="shared" si="22"/>
        <v>1.0454628205958674</v>
      </c>
      <c r="BF45" s="16">
        <f t="shared" si="22"/>
        <v>1.0454628205958674</v>
      </c>
      <c r="BG45" s="16">
        <f t="shared" si="22"/>
        <v>1.0454628205958674</v>
      </c>
      <c r="BH45" s="16">
        <f t="shared" si="22"/>
        <v>1.0454628205958674</v>
      </c>
      <c r="BI45" s="16">
        <f t="shared" si="22"/>
        <v>1.0454628205958674</v>
      </c>
    </row>
    <row r="47" spans="4:61" x14ac:dyDescent="0.35">
      <c r="D47" s="1" t="s">
        <v>73</v>
      </c>
    </row>
    <row r="49" spans="4:61" s="4" customFormat="1" x14ac:dyDescent="0.35">
      <c r="E49" s="4" t="str">
        <f>Hypothèses_trajectoire!E14</f>
        <v>Coût moyen de référence-Dépôt</v>
      </c>
      <c r="I49" s="85">
        <f>Hypothèses_trajectoire!I14</f>
        <v>3196.6461024097239</v>
      </c>
      <c r="J49" s="4" t="str">
        <f>Hypothèses_trajectoire!J14</f>
        <v>EUR</v>
      </c>
    </row>
    <row r="50" spans="4:61" x14ac:dyDescent="0.35">
      <c r="E50" t="str">
        <f>E45</f>
        <v>Croissance du coût moyen au dépôt</v>
      </c>
      <c r="J50" t="str">
        <f>J45</f>
        <v>facteur</v>
      </c>
      <c r="N50" s="16">
        <f t="shared" ref="N50:AW50" si="23">N45</f>
        <v>0.95674658043213645</v>
      </c>
      <c r="O50" s="16">
        <f t="shared" si="23"/>
        <v>0.95674658043213645</v>
      </c>
      <c r="P50" s="16">
        <f t="shared" si="23"/>
        <v>0.95674658043213645</v>
      </c>
      <c r="Q50" s="16">
        <f t="shared" si="23"/>
        <v>0.95674658043213645</v>
      </c>
      <c r="R50" s="16">
        <f t="shared" si="23"/>
        <v>0.95674658043213645</v>
      </c>
      <c r="S50" s="16">
        <f t="shared" si="23"/>
        <v>0.95674658043213645</v>
      </c>
      <c r="T50" s="16">
        <f t="shared" si="23"/>
        <v>0.95674658043213645</v>
      </c>
      <c r="U50" s="16">
        <f t="shared" si="23"/>
        <v>0.95674658043213645</v>
      </c>
      <c r="V50" s="16">
        <f t="shared" si="23"/>
        <v>0.95674658043213645</v>
      </c>
      <c r="W50" s="16">
        <f t="shared" si="23"/>
        <v>0.95674658043213645</v>
      </c>
      <c r="X50" s="16">
        <f t="shared" si="23"/>
        <v>0.95674658043213645</v>
      </c>
      <c r="Y50" s="16">
        <f t="shared" si="23"/>
        <v>0.95674658043213645</v>
      </c>
      <c r="Z50" s="16">
        <f t="shared" si="23"/>
        <v>0.98544897784510066</v>
      </c>
      <c r="AA50" s="16">
        <f t="shared" si="23"/>
        <v>0.98544897784510066</v>
      </c>
      <c r="AB50" s="16">
        <f t="shared" si="23"/>
        <v>0.98544897784510066</v>
      </c>
      <c r="AC50" s="16">
        <f t="shared" si="23"/>
        <v>0.98544897784510066</v>
      </c>
      <c r="AD50" s="16">
        <f t="shared" si="23"/>
        <v>0.98544897784510066</v>
      </c>
      <c r="AE50" s="16">
        <f t="shared" si="23"/>
        <v>0.98544897784510066</v>
      </c>
      <c r="AF50" s="16">
        <f t="shared" si="23"/>
        <v>0.98544897784510066</v>
      </c>
      <c r="AG50" s="16">
        <f t="shared" si="23"/>
        <v>0.98544897784510066</v>
      </c>
      <c r="AH50" s="16">
        <f t="shared" si="23"/>
        <v>0.98544897784510066</v>
      </c>
      <c r="AI50" s="16">
        <f t="shared" si="23"/>
        <v>0.98544897784510066</v>
      </c>
      <c r="AJ50" s="16">
        <f t="shared" si="23"/>
        <v>0.98544897784510066</v>
      </c>
      <c r="AK50" s="16">
        <f t="shared" si="23"/>
        <v>0.98544897784510066</v>
      </c>
      <c r="AL50" s="16">
        <f t="shared" si="23"/>
        <v>1.0150124471804538</v>
      </c>
      <c r="AM50" s="16">
        <f t="shared" si="23"/>
        <v>1.0150124471804538</v>
      </c>
      <c r="AN50" s="16">
        <f t="shared" si="23"/>
        <v>1.0150124471804538</v>
      </c>
      <c r="AO50" s="16">
        <f t="shared" si="23"/>
        <v>1.0150124471804538</v>
      </c>
      <c r="AP50" s="16">
        <f t="shared" si="23"/>
        <v>1.0150124471804538</v>
      </c>
      <c r="AQ50" s="16">
        <f t="shared" si="23"/>
        <v>1.0150124471804538</v>
      </c>
      <c r="AR50" s="16">
        <f t="shared" si="23"/>
        <v>1.0150124471804538</v>
      </c>
      <c r="AS50" s="16">
        <f t="shared" si="23"/>
        <v>1.0150124471804538</v>
      </c>
      <c r="AT50" s="16">
        <f t="shared" si="23"/>
        <v>1.0150124471804538</v>
      </c>
      <c r="AU50" s="16">
        <f t="shared" si="23"/>
        <v>1.0150124471804538</v>
      </c>
      <c r="AV50" s="16">
        <f t="shared" si="23"/>
        <v>1.0150124471804538</v>
      </c>
      <c r="AW50" s="16">
        <f t="shared" si="23"/>
        <v>1.0150124471804538</v>
      </c>
      <c r="AX50" s="16">
        <f t="shared" ref="AX50:BA50" si="24">AX45</f>
        <v>1.0454628205958674</v>
      </c>
      <c r="AY50" s="16">
        <f t="shared" si="24"/>
        <v>1.0454628205958674</v>
      </c>
      <c r="AZ50" s="16">
        <f t="shared" si="24"/>
        <v>1.0454628205958674</v>
      </c>
      <c r="BA50" s="16">
        <f t="shared" si="24"/>
        <v>1.0454628205958674</v>
      </c>
      <c r="BB50" s="16">
        <f t="shared" ref="BB50:BI50" si="25">BB45</f>
        <v>1.0454628205958674</v>
      </c>
      <c r="BC50" s="16">
        <f t="shared" si="25"/>
        <v>1.0454628205958674</v>
      </c>
      <c r="BD50" s="16">
        <f t="shared" si="25"/>
        <v>1.0454628205958674</v>
      </c>
      <c r="BE50" s="16">
        <f t="shared" si="25"/>
        <v>1.0454628205958674</v>
      </c>
      <c r="BF50" s="16">
        <f t="shared" si="25"/>
        <v>1.0454628205958674</v>
      </c>
      <c r="BG50" s="16">
        <f t="shared" si="25"/>
        <v>1.0454628205958674</v>
      </c>
      <c r="BH50" s="16">
        <f t="shared" si="25"/>
        <v>1.0454628205958674</v>
      </c>
      <c r="BI50" s="16">
        <f t="shared" si="25"/>
        <v>1.0454628205958674</v>
      </c>
    </row>
    <row r="52" spans="4:61" x14ac:dyDescent="0.35">
      <c r="E52" t="str">
        <f>"Trajectoire-Coût moyen-"&amp;Paramétrage_général!I25</f>
        <v>Trajectoire-Coût moyen-Dépôt</v>
      </c>
      <c r="J52" t="s">
        <v>51</v>
      </c>
      <c r="N52" s="41">
        <f>$I$49*N50</f>
        <v>3058.3802273322203</v>
      </c>
      <c r="O52" s="41">
        <f t="shared" ref="O52:AW52" si="26">$I$49*O50</f>
        <v>3058.3802273322203</v>
      </c>
      <c r="P52" s="41">
        <f t="shared" si="26"/>
        <v>3058.3802273322203</v>
      </c>
      <c r="Q52" s="41">
        <f t="shared" si="26"/>
        <v>3058.3802273322203</v>
      </c>
      <c r="R52" s="41">
        <f t="shared" si="26"/>
        <v>3058.3802273322203</v>
      </c>
      <c r="S52" s="41">
        <f t="shared" si="26"/>
        <v>3058.3802273322203</v>
      </c>
      <c r="T52" s="41">
        <f t="shared" si="26"/>
        <v>3058.3802273322203</v>
      </c>
      <c r="U52" s="41">
        <f t="shared" si="26"/>
        <v>3058.3802273322203</v>
      </c>
      <c r="V52" s="41">
        <f t="shared" si="26"/>
        <v>3058.3802273322203</v>
      </c>
      <c r="W52" s="41">
        <f t="shared" si="26"/>
        <v>3058.3802273322203</v>
      </c>
      <c r="X52" s="41">
        <f t="shared" si="26"/>
        <v>3058.3802273322203</v>
      </c>
      <c r="Y52" s="41">
        <f t="shared" si="26"/>
        <v>3058.3802273322203</v>
      </c>
      <c r="Z52" s="41">
        <f t="shared" si="26"/>
        <v>3150.1316341521874</v>
      </c>
      <c r="AA52" s="41">
        <f t="shared" si="26"/>
        <v>3150.1316341521874</v>
      </c>
      <c r="AB52" s="41">
        <f t="shared" si="26"/>
        <v>3150.1316341521874</v>
      </c>
      <c r="AC52" s="41">
        <f t="shared" si="26"/>
        <v>3150.1316341521874</v>
      </c>
      <c r="AD52" s="41">
        <f t="shared" si="26"/>
        <v>3150.1316341521874</v>
      </c>
      <c r="AE52" s="41">
        <f t="shared" si="26"/>
        <v>3150.1316341521874</v>
      </c>
      <c r="AF52" s="41">
        <f t="shared" si="26"/>
        <v>3150.1316341521874</v>
      </c>
      <c r="AG52" s="41">
        <f t="shared" si="26"/>
        <v>3150.1316341521874</v>
      </c>
      <c r="AH52" s="41">
        <f t="shared" si="26"/>
        <v>3150.1316341521874</v>
      </c>
      <c r="AI52" s="41">
        <f t="shared" si="26"/>
        <v>3150.1316341521874</v>
      </c>
      <c r="AJ52" s="41">
        <f t="shared" si="26"/>
        <v>3150.1316341521874</v>
      </c>
      <c r="AK52" s="41">
        <f t="shared" si="26"/>
        <v>3150.1316341521874</v>
      </c>
      <c r="AL52" s="41">
        <f t="shared" si="26"/>
        <v>3244.6355831767532</v>
      </c>
      <c r="AM52" s="41">
        <f t="shared" si="26"/>
        <v>3244.6355831767532</v>
      </c>
      <c r="AN52" s="41">
        <f t="shared" si="26"/>
        <v>3244.6355831767532</v>
      </c>
      <c r="AO52" s="41">
        <f t="shared" si="26"/>
        <v>3244.6355831767532</v>
      </c>
      <c r="AP52" s="41">
        <f t="shared" si="26"/>
        <v>3244.6355831767532</v>
      </c>
      <c r="AQ52" s="41">
        <f t="shared" si="26"/>
        <v>3244.6355831767532</v>
      </c>
      <c r="AR52" s="41">
        <f t="shared" si="26"/>
        <v>3244.6355831767532</v>
      </c>
      <c r="AS52" s="41">
        <f t="shared" si="26"/>
        <v>3244.6355831767532</v>
      </c>
      <c r="AT52" s="41">
        <f t="shared" si="26"/>
        <v>3244.6355831767532</v>
      </c>
      <c r="AU52" s="41">
        <f t="shared" si="26"/>
        <v>3244.6355831767532</v>
      </c>
      <c r="AV52" s="41">
        <f t="shared" si="26"/>
        <v>3244.6355831767532</v>
      </c>
      <c r="AW52" s="41">
        <f t="shared" si="26"/>
        <v>3244.6355831767532</v>
      </c>
      <c r="AX52" s="41">
        <f t="shared" ref="AX52:BA52" si="27">$I$49*AX50</f>
        <v>3341.9746506720558</v>
      </c>
      <c r="AY52" s="41">
        <f t="shared" si="27"/>
        <v>3341.9746506720558</v>
      </c>
      <c r="AZ52" s="41">
        <f t="shared" si="27"/>
        <v>3341.9746506720558</v>
      </c>
      <c r="BA52" s="41">
        <f t="shared" si="27"/>
        <v>3341.9746506720558</v>
      </c>
      <c r="BB52" s="41">
        <f t="shared" ref="BB52:BI52" si="28">$I$49*BB50</f>
        <v>3341.9746506720558</v>
      </c>
      <c r="BC52" s="41">
        <f t="shared" si="28"/>
        <v>3341.9746506720558</v>
      </c>
      <c r="BD52" s="41">
        <f t="shared" si="28"/>
        <v>3341.9746506720558</v>
      </c>
      <c r="BE52" s="41">
        <f t="shared" si="28"/>
        <v>3341.9746506720558</v>
      </c>
      <c r="BF52" s="41">
        <f t="shared" si="28"/>
        <v>3341.9746506720558</v>
      </c>
      <c r="BG52" s="41">
        <f t="shared" si="28"/>
        <v>3341.9746506720558</v>
      </c>
      <c r="BH52" s="41">
        <f t="shared" si="28"/>
        <v>3341.9746506720558</v>
      </c>
      <c r="BI52" s="41">
        <f t="shared" si="28"/>
        <v>3341.9746506720558</v>
      </c>
    </row>
    <row r="54" spans="4:61" x14ac:dyDescent="0.35">
      <c r="D54" s="1" t="s">
        <v>74</v>
      </c>
    </row>
    <row r="56" spans="4:61" x14ac:dyDescent="0.35">
      <c r="E56" t="str">
        <f>E28</f>
        <v>Trajectoire-Volumes-Dépôt</v>
      </c>
      <c r="J56" t="str">
        <f>J28</f>
        <v>Volume</v>
      </c>
      <c r="N56" s="41">
        <f t="shared" ref="N56:AW56" si="29">N28</f>
        <v>57096.200918600611</v>
      </c>
      <c r="O56" s="41">
        <f t="shared" si="29"/>
        <v>63813.401026671265</v>
      </c>
      <c r="P56" s="41">
        <f t="shared" si="29"/>
        <v>67172.001080706599</v>
      </c>
      <c r="Q56" s="41">
        <f t="shared" si="29"/>
        <v>67172.001080706599</v>
      </c>
      <c r="R56" s="41">
        <f t="shared" si="29"/>
        <v>67172.001080706599</v>
      </c>
      <c r="S56" s="41">
        <f t="shared" si="29"/>
        <v>63813.401026671265</v>
      </c>
      <c r="T56" s="41">
        <f t="shared" si="29"/>
        <v>53737.600864565284</v>
      </c>
      <c r="U56" s="41">
        <f t="shared" si="29"/>
        <v>40303.200648423961</v>
      </c>
      <c r="V56" s="41">
        <f t="shared" si="29"/>
        <v>60454.800972635938</v>
      </c>
      <c r="W56" s="41">
        <f t="shared" si="29"/>
        <v>67172.001080706599</v>
      </c>
      <c r="X56" s="41">
        <f t="shared" si="29"/>
        <v>67172.001080706599</v>
      </c>
      <c r="Y56" s="41">
        <f t="shared" si="29"/>
        <v>73889.201188777268</v>
      </c>
      <c r="Z56" s="41">
        <f t="shared" si="29"/>
        <v>62805.821010460677</v>
      </c>
      <c r="AA56" s="41">
        <f t="shared" si="29"/>
        <v>70194.741129338407</v>
      </c>
      <c r="AB56" s="41">
        <f t="shared" si="29"/>
        <v>73889.201188777268</v>
      </c>
      <c r="AC56" s="41">
        <f t="shared" si="29"/>
        <v>73889.201188777268</v>
      </c>
      <c r="AD56" s="41">
        <f t="shared" si="29"/>
        <v>73889.201188777268</v>
      </c>
      <c r="AE56" s="41">
        <f t="shared" si="29"/>
        <v>70194.741129338407</v>
      </c>
      <c r="AF56" s="41">
        <f t="shared" si="29"/>
        <v>59111.360951021816</v>
      </c>
      <c r="AG56" s="41">
        <f t="shared" si="29"/>
        <v>44333.520713266356</v>
      </c>
      <c r="AH56" s="41">
        <f t="shared" si="29"/>
        <v>66500.281069899545</v>
      </c>
      <c r="AI56" s="41">
        <f t="shared" si="29"/>
        <v>73889.201188777268</v>
      </c>
      <c r="AJ56" s="41">
        <f t="shared" si="29"/>
        <v>73889.201188777268</v>
      </c>
      <c r="AK56" s="41">
        <f t="shared" si="29"/>
        <v>81278.121307655005</v>
      </c>
      <c r="AL56" s="41">
        <f t="shared" si="29"/>
        <v>69086.403111506734</v>
      </c>
      <c r="AM56" s="41">
        <f t="shared" si="29"/>
        <v>77214.215242272243</v>
      </c>
      <c r="AN56" s="41">
        <f t="shared" si="29"/>
        <v>81278.12130765499</v>
      </c>
      <c r="AO56" s="41">
        <f t="shared" si="29"/>
        <v>81278.12130765499</v>
      </c>
      <c r="AP56" s="41">
        <f t="shared" si="29"/>
        <v>81278.12130765499</v>
      </c>
      <c r="AQ56" s="41">
        <f t="shared" si="29"/>
        <v>77214.215242272243</v>
      </c>
      <c r="AR56" s="41">
        <f t="shared" si="29"/>
        <v>65022.497046123994</v>
      </c>
      <c r="AS56" s="41">
        <f t="shared" si="29"/>
        <v>48766.87278459299</v>
      </c>
      <c r="AT56" s="41">
        <f t="shared" si="29"/>
        <v>73150.309176889496</v>
      </c>
      <c r="AU56" s="41">
        <f t="shared" si="29"/>
        <v>81278.12130765499</v>
      </c>
      <c r="AV56" s="41">
        <f t="shared" si="29"/>
        <v>81278.12130765499</v>
      </c>
      <c r="AW56" s="41">
        <f t="shared" si="29"/>
        <v>89405.933438420499</v>
      </c>
      <c r="AX56" s="41">
        <f t="shared" ref="AX56:BA56" si="30">AX28</f>
        <v>75995.043422657429</v>
      </c>
      <c r="AY56" s="41">
        <f t="shared" si="30"/>
        <v>84935.636766499476</v>
      </c>
      <c r="AZ56" s="41">
        <f t="shared" si="30"/>
        <v>89405.933438420499</v>
      </c>
      <c r="BA56" s="41">
        <f t="shared" si="30"/>
        <v>89405.933438420499</v>
      </c>
      <c r="BB56" s="41">
        <f t="shared" ref="BB56:BI56" si="31">BB28</f>
        <v>89405.933438420499</v>
      </c>
      <c r="BC56" s="41">
        <f t="shared" si="31"/>
        <v>84935.636766499476</v>
      </c>
      <c r="BD56" s="41">
        <f t="shared" si="31"/>
        <v>71524.746750736405</v>
      </c>
      <c r="BE56" s="41">
        <f t="shared" si="31"/>
        <v>53643.560063052297</v>
      </c>
      <c r="BF56" s="41">
        <f t="shared" si="31"/>
        <v>80465.340094578452</v>
      </c>
      <c r="BG56" s="41">
        <f t="shared" si="31"/>
        <v>89405.933438420499</v>
      </c>
      <c r="BH56" s="41">
        <f t="shared" si="31"/>
        <v>89405.933438420499</v>
      </c>
      <c r="BI56" s="41">
        <f t="shared" si="31"/>
        <v>98346.526782262561</v>
      </c>
    </row>
    <row r="57" spans="4:61" x14ac:dyDescent="0.35">
      <c r="E57" t="str">
        <f>E52</f>
        <v>Trajectoire-Coût moyen-Dépôt</v>
      </c>
      <c r="J57" t="str">
        <f>J52</f>
        <v>EUR</v>
      </c>
      <c r="N57" s="41">
        <f t="shared" ref="N57:AW57" si="32">N52</f>
        <v>3058.3802273322203</v>
      </c>
      <c r="O57" s="41">
        <f t="shared" si="32"/>
        <v>3058.3802273322203</v>
      </c>
      <c r="P57" s="41">
        <f t="shared" si="32"/>
        <v>3058.3802273322203</v>
      </c>
      <c r="Q57" s="41">
        <f t="shared" si="32"/>
        <v>3058.3802273322203</v>
      </c>
      <c r="R57" s="41">
        <f t="shared" si="32"/>
        <v>3058.3802273322203</v>
      </c>
      <c r="S57" s="41">
        <f t="shared" si="32"/>
        <v>3058.3802273322203</v>
      </c>
      <c r="T57" s="41">
        <f t="shared" si="32"/>
        <v>3058.3802273322203</v>
      </c>
      <c r="U57" s="41">
        <f t="shared" si="32"/>
        <v>3058.3802273322203</v>
      </c>
      <c r="V57" s="41">
        <f t="shared" si="32"/>
        <v>3058.3802273322203</v>
      </c>
      <c r="W57" s="41">
        <f t="shared" si="32"/>
        <v>3058.3802273322203</v>
      </c>
      <c r="X57" s="41">
        <f t="shared" si="32"/>
        <v>3058.3802273322203</v>
      </c>
      <c r="Y57" s="41">
        <f t="shared" si="32"/>
        <v>3058.3802273322203</v>
      </c>
      <c r="Z57" s="41">
        <f t="shared" si="32"/>
        <v>3150.1316341521874</v>
      </c>
      <c r="AA57" s="41">
        <f t="shared" si="32"/>
        <v>3150.1316341521874</v>
      </c>
      <c r="AB57" s="41">
        <f t="shared" si="32"/>
        <v>3150.1316341521874</v>
      </c>
      <c r="AC57" s="41">
        <f t="shared" si="32"/>
        <v>3150.1316341521874</v>
      </c>
      <c r="AD57" s="41">
        <f t="shared" si="32"/>
        <v>3150.1316341521874</v>
      </c>
      <c r="AE57" s="41">
        <f t="shared" si="32"/>
        <v>3150.1316341521874</v>
      </c>
      <c r="AF57" s="41">
        <f t="shared" si="32"/>
        <v>3150.1316341521874</v>
      </c>
      <c r="AG57" s="41">
        <f t="shared" si="32"/>
        <v>3150.1316341521874</v>
      </c>
      <c r="AH57" s="41">
        <f t="shared" si="32"/>
        <v>3150.1316341521874</v>
      </c>
      <c r="AI57" s="41">
        <f t="shared" si="32"/>
        <v>3150.1316341521874</v>
      </c>
      <c r="AJ57" s="41">
        <f t="shared" si="32"/>
        <v>3150.1316341521874</v>
      </c>
      <c r="AK57" s="41">
        <f t="shared" si="32"/>
        <v>3150.1316341521874</v>
      </c>
      <c r="AL57" s="41">
        <f t="shared" si="32"/>
        <v>3244.6355831767532</v>
      </c>
      <c r="AM57" s="41">
        <f t="shared" si="32"/>
        <v>3244.6355831767532</v>
      </c>
      <c r="AN57" s="41">
        <f t="shared" si="32"/>
        <v>3244.6355831767532</v>
      </c>
      <c r="AO57" s="41">
        <f t="shared" si="32"/>
        <v>3244.6355831767532</v>
      </c>
      <c r="AP57" s="41">
        <f t="shared" si="32"/>
        <v>3244.6355831767532</v>
      </c>
      <c r="AQ57" s="41">
        <f t="shared" si="32"/>
        <v>3244.6355831767532</v>
      </c>
      <c r="AR57" s="41">
        <f t="shared" si="32"/>
        <v>3244.6355831767532</v>
      </c>
      <c r="AS57" s="41">
        <f t="shared" si="32"/>
        <v>3244.6355831767532</v>
      </c>
      <c r="AT57" s="41">
        <f t="shared" si="32"/>
        <v>3244.6355831767532</v>
      </c>
      <c r="AU57" s="41">
        <f t="shared" si="32"/>
        <v>3244.6355831767532</v>
      </c>
      <c r="AV57" s="41">
        <f t="shared" si="32"/>
        <v>3244.6355831767532</v>
      </c>
      <c r="AW57" s="41">
        <f t="shared" si="32"/>
        <v>3244.6355831767532</v>
      </c>
      <c r="AX57" s="41">
        <f t="shared" ref="AX57:BA57" si="33">AX52</f>
        <v>3341.9746506720558</v>
      </c>
      <c r="AY57" s="41">
        <f t="shared" si="33"/>
        <v>3341.9746506720558</v>
      </c>
      <c r="AZ57" s="41">
        <f t="shared" si="33"/>
        <v>3341.9746506720558</v>
      </c>
      <c r="BA57" s="41">
        <f t="shared" si="33"/>
        <v>3341.9746506720558</v>
      </c>
      <c r="BB57" s="41">
        <f t="shared" ref="BB57:BI57" si="34">BB52</f>
        <v>3341.9746506720558</v>
      </c>
      <c r="BC57" s="41">
        <f t="shared" si="34"/>
        <v>3341.9746506720558</v>
      </c>
      <c r="BD57" s="41">
        <f t="shared" si="34"/>
        <v>3341.9746506720558</v>
      </c>
      <c r="BE57" s="41">
        <f t="shared" si="34"/>
        <v>3341.9746506720558</v>
      </c>
      <c r="BF57" s="41">
        <f t="shared" si="34"/>
        <v>3341.9746506720558</v>
      </c>
      <c r="BG57" s="41">
        <f t="shared" si="34"/>
        <v>3341.9746506720558</v>
      </c>
      <c r="BH57" s="41">
        <f t="shared" si="34"/>
        <v>3341.9746506720558</v>
      </c>
      <c r="BI57" s="41">
        <f t="shared" si="34"/>
        <v>3341.9746506720558</v>
      </c>
    </row>
    <row r="58" spans="4:61" x14ac:dyDescent="0.35"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</row>
    <row r="59" spans="4:61" x14ac:dyDescent="0.35">
      <c r="E59" t="str">
        <f>"Trajectoire-Montant-"&amp;Paramétrage_général!I25</f>
        <v>Trajectoire-Montant-Dépôt</v>
      </c>
      <c r="J59" t="s">
        <v>51</v>
      </c>
      <c r="N59" s="41">
        <f>N56*N57</f>
        <v>174621891.94523585</v>
      </c>
      <c r="O59" s="41">
        <f t="shared" ref="O59:AW59" si="35">O56*O57</f>
        <v>195165643.938793</v>
      </c>
      <c r="P59" s="41">
        <f t="shared" si="35"/>
        <v>205437519.93557161</v>
      </c>
      <c r="Q59" s="41">
        <f t="shared" si="35"/>
        <v>205437519.93557161</v>
      </c>
      <c r="R59" s="41">
        <f t="shared" si="35"/>
        <v>205437519.93557161</v>
      </c>
      <c r="S59" s="41">
        <f t="shared" si="35"/>
        <v>195165643.938793</v>
      </c>
      <c r="T59" s="41">
        <f t="shared" si="35"/>
        <v>164350015.9484573</v>
      </c>
      <c r="U59" s="41">
        <f t="shared" si="35"/>
        <v>123262511.96134296</v>
      </c>
      <c r="V59" s="41">
        <f t="shared" si="35"/>
        <v>184893767.94201443</v>
      </c>
      <c r="W59" s="41">
        <f t="shared" si="35"/>
        <v>205437519.93557161</v>
      </c>
      <c r="X59" s="41">
        <f t="shared" si="35"/>
        <v>205437519.93557161</v>
      </c>
      <c r="Y59" s="41">
        <f t="shared" si="35"/>
        <v>225981271.9291288</v>
      </c>
      <c r="Z59" s="41">
        <f t="shared" si="35"/>
        <v>197846603.57395229</v>
      </c>
      <c r="AA59" s="41">
        <f t="shared" si="35"/>
        <v>221122674.58265257</v>
      </c>
      <c r="AB59" s="41">
        <f t="shared" si="35"/>
        <v>232760710.08700269</v>
      </c>
      <c r="AC59" s="41">
        <f t="shared" si="35"/>
        <v>232760710.08700269</v>
      </c>
      <c r="AD59" s="41">
        <f t="shared" si="35"/>
        <v>232760710.08700269</v>
      </c>
      <c r="AE59" s="41">
        <f t="shared" si="35"/>
        <v>221122674.58265257</v>
      </c>
      <c r="AF59" s="41">
        <f t="shared" si="35"/>
        <v>186208568.06960216</v>
      </c>
      <c r="AG59" s="41">
        <f t="shared" si="35"/>
        <v>139656426.0522016</v>
      </c>
      <c r="AH59" s="41">
        <f t="shared" si="35"/>
        <v>209484639.07830244</v>
      </c>
      <c r="AI59" s="41">
        <f t="shared" si="35"/>
        <v>232760710.08700269</v>
      </c>
      <c r="AJ59" s="41">
        <f t="shared" si="35"/>
        <v>232760710.08700269</v>
      </c>
      <c r="AK59" s="41">
        <f t="shared" si="35"/>
        <v>256036781.09570298</v>
      </c>
      <c r="AL59" s="41">
        <f t="shared" si="35"/>
        <v>224160201.8492879</v>
      </c>
      <c r="AM59" s="41">
        <f t="shared" si="35"/>
        <v>250531990.30214536</v>
      </c>
      <c r="AN59" s="41">
        <f t="shared" si="35"/>
        <v>263717884.52857405</v>
      </c>
      <c r="AO59" s="41">
        <f t="shared" si="35"/>
        <v>263717884.52857405</v>
      </c>
      <c r="AP59" s="41">
        <f t="shared" si="35"/>
        <v>263717884.52857405</v>
      </c>
      <c r="AQ59" s="41">
        <f t="shared" si="35"/>
        <v>250531990.30214536</v>
      </c>
      <c r="AR59" s="41">
        <f t="shared" si="35"/>
        <v>210974307.62285924</v>
      </c>
      <c r="AS59" s="41">
        <f t="shared" si="35"/>
        <v>158230730.7171444</v>
      </c>
      <c r="AT59" s="41">
        <f t="shared" si="35"/>
        <v>237346096.07571664</v>
      </c>
      <c r="AU59" s="41">
        <f t="shared" si="35"/>
        <v>263717884.52857405</v>
      </c>
      <c r="AV59" s="41">
        <f t="shared" si="35"/>
        <v>263717884.52857405</v>
      </c>
      <c r="AW59" s="41">
        <f t="shared" si="35"/>
        <v>290089672.98143148</v>
      </c>
      <c r="AX59" s="41">
        <f t="shared" ref="AX59:BA59" si="36">AX56*AX57</f>
        <v>253973508.69524327</v>
      </c>
      <c r="AY59" s="41">
        <f t="shared" si="36"/>
        <v>283852745.01233071</v>
      </c>
      <c r="AZ59" s="41">
        <f t="shared" si="36"/>
        <v>298792363.17087442</v>
      </c>
      <c r="BA59" s="41">
        <f t="shared" si="36"/>
        <v>298792363.17087442</v>
      </c>
      <c r="BB59" s="41">
        <f t="shared" ref="BB59:BI59" si="37">BB56*BB57</f>
        <v>298792363.17087442</v>
      </c>
      <c r="BC59" s="41">
        <f t="shared" si="37"/>
        <v>283852745.01233071</v>
      </c>
      <c r="BD59" s="41">
        <f t="shared" si="37"/>
        <v>239033890.53669956</v>
      </c>
      <c r="BE59" s="41">
        <f t="shared" si="37"/>
        <v>179275417.90252465</v>
      </c>
      <c r="BF59" s="41">
        <f t="shared" si="37"/>
        <v>268913126.853787</v>
      </c>
      <c r="BG59" s="41">
        <f t="shared" si="37"/>
        <v>298792363.17087442</v>
      </c>
      <c r="BH59" s="41">
        <f t="shared" si="37"/>
        <v>298792363.17087442</v>
      </c>
      <c r="BI59" s="41">
        <f t="shared" si="37"/>
        <v>328671599.48796189</v>
      </c>
    </row>
    <row r="60" spans="4:61" x14ac:dyDescent="0.35"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</row>
    <row r="61" spans="4:61" x14ac:dyDescent="0.35">
      <c r="D61" s="1" t="s">
        <v>70</v>
      </c>
    </row>
    <row r="63" spans="4:61" s="4" customFormat="1" x14ac:dyDescent="0.35">
      <c r="E63" s="4" t="str">
        <f>Données_historiques!E$24</f>
        <v>Dépôt-Exécution</v>
      </c>
      <c r="J63" s="4" t="str">
        <f>Données_historiques!J$24</f>
        <v>EUR</v>
      </c>
      <c r="N63" s="85">
        <f>Données_historiques!N$24</f>
        <v>23130610.18</v>
      </c>
      <c r="O63" s="85">
        <f>Données_historiques!O$24</f>
        <v>44398500.210000001</v>
      </c>
      <c r="P63" s="85">
        <f>Données_historiques!P$24</f>
        <v>40714392.460000001</v>
      </c>
      <c r="Q63" s="85">
        <f>Données_historiques!Q$24</f>
        <v>25367062.789999999</v>
      </c>
      <c r="R63" s="85">
        <f>Données_historiques!R$24</f>
        <v>47650754.68</v>
      </c>
      <c r="S63" s="85">
        <f>Données_historiques!S$24</f>
        <v>117340642.18000001</v>
      </c>
      <c r="T63" s="85">
        <f>Données_historiques!T$24</f>
        <v>99551541.700000003</v>
      </c>
      <c r="U63" s="85">
        <f>Données_historiques!U$24</f>
        <v>29948583.800000001</v>
      </c>
      <c r="V63" s="85">
        <f>Données_historiques!V$24</f>
        <v>63069254.049999997</v>
      </c>
      <c r="W63" s="85">
        <f>Données_historiques!W$24</f>
        <v>92588493.819999993</v>
      </c>
      <c r="X63" s="85">
        <f>Données_historiques!X$24</f>
        <v>86151157.519999996</v>
      </c>
      <c r="Y63" s="85">
        <f>Données_historiques!Y$24</f>
        <v>84977786.239999995</v>
      </c>
      <c r="Z63" s="85">
        <f>Données_historiques!Z$24</f>
        <v>128670424.92</v>
      </c>
      <c r="AA63" s="85">
        <f>Données_historiques!AA$24</f>
        <v>149748412.93000001</v>
      </c>
      <c r="AB63" s="85">
        <f>Données_historiques!AB$24</f>
        <v>201825331.86000001</v>
      </c>
      <c r="AC63" s="85">
        <f>Données_historiques!AC$24</f>
        <v>198412672.91</v>
      </c>
      <c r="AD63" s="85">
        <f>Données_historiques!AD$24</f>
        <v>187398985.25</v>
      </c>
      <c r="AE63" s="85">
        <f>Données_historiques!AE$24</f>
        <v>225117408.47</v>
      </c>
      <c r="AF63" s="85">
        <f>Données_historiques!AF$24</f>
        <v>192520092.06</v>
      </c>
      <c r="AG63" s="85">
        <f>Données_historiques!AG$24</f>
        <v>128542065.67</v>
      </c>
      <c r="AH63" s="85">
        <f>Données_historiques!AH$24</f>
        <v>199918671.38</v>
      </c>
      <c r="AI63" s="85">
        <f>Données_historiques!AI$24</f>
        <v>255096073.02000001</v>
      </c>
      <c r="AJ63" s="85">
        <f>Données_historiques!AJ$24</f>
        <v>249452947.46000001</v>
      </c>
      <c r="AK63" s="85">
        <f>Données_historiques!AK$24</f>
        <v>293575405.31999999</v>
      </c>
      <c r="AL63" s="85">
        <f>Données_historiques!AL$24</f>
        <v>0</v>
      </c>
      <c r="AM63" s="85">
        <f>Données_historiques!AM$24</f>
        <v>0</v>
      </c>
      <c r="AN63" s="85">
        <f>Données_historiques!AN$24</f>
        <v>0</v>
      </c>
      <c r="AO63" s="85">
        <f>Données_historiques!AO$24</f>
        <v>0</v>
      </c>
      <c r="AP63" s="85">
        <f>Données_historiques!AP$24</f>
        <v>0</v>
      </c>
      <c r="AQ63" s="85">
        <f>Données_historiques!AQ$24</f>
        <v>0</v>
      </c>
      <c r="AR63" s="85">
        <f>Données_historiques!AR$24</f>
        <v>0</v>
      </c>
      <c r="AS63" s="85">
        <f>Données_historiques!AS$24</f>
        <v>0</v>
      </c>
      <c r="AT63" s="85">
        <f>Données_historiques!AT$24</f>
        <v>0</v>
      </c>
      <c r="AU63" s="85">
        <f>Données_historiques!AU$24</f>
        <v>0</v>
      </c>
      <c r="AV63" s="85">
        <f>Données_historiques!AV$24</f>
        <v>0</v>
      </c>
      <c r="AW63" s="85">
        <f>Données_historiques!AW$24</f>
        <v>0</v>
      </c>
      <c r="AX63" s="85">
        <f>Données_historiques!AX$24</f>
        <v>0</v>
      </c>
      <c r="AY63" s="85">
        <f>Données_historiques!AY$24</f>
        <v>0</v>
      </c>
      <c r="AZ63" s="85">
        <f>Données_historiques!AZ$24</f>
        <v>0</v>
      </c>
      <c r="BA63" s="85">
        <f>Données_historiques!BA$24</f>
        <v>0</v>
      </c>
      <c r="BB63" s="85">
        <f>Données_historiques!BB$24</f>
        <v>0</v>
      </c>
      <c r="BC63" s="85">
        <f>Données_historiques!BC$24</f>
        <v>0</v>
      </c>
      <c r="BD63" s="85">
        <f>Données_historiques!BD$24</f>
        <v>0</v>
      </c>
      <c r="BE63" s="85">
        <f>Données_historiques!BE$24</f>
        <v>0</v>
      </c>
      <c r="BF63" s="85">
        <f>Données_historiques!BF$24</f>
        <v>0</v>
      </c>
      <c r="BG63" s="85">
        <f>Données_historiques!BG$24</f>
        <v>0</v>
      </c>
      <c r="BH63" s="85">
        <f>Données_historiques!BH$24</f>
        <v>0</v>
      </c>
      <c r="BI63" s="85">
        <f>Données_historiques!BI$24</f>
        <v>0</v>
      </c>
    </row>
    <row r="64" spans="4:61" s="4" customFormat="1" x14ac:dyDescent="0.35">
      <c r="E64" s="4" t="str">
        <f>Time!E$38</f>
        <v>Bool-Projeté</v>
      </c>
      <c r="J64" s="4" t="str">
        <f>Time!J$38</f>
        <v>booléen</v>
      </c>
      <c r="N64" s="83">
        <f>Time!N$38</f>
        <v>0</v>
      </c>
      <c r="O64" s="83">
        <f>Time!O$38</f>
        <v>0</v>
      </c>
      <c r="P64" s="83">
        <f>Time!P$38</f>
        <v>0</v>
      </c>
      <c r="Q64" s="83">
        <f>Time!Q$38</f>
        <v>0</v>
      </c>
      <c r="R64" s="83">
        <f>Time!R$38</f>
        <v>0</v>
      </c>
      <c r="S64" s="83">
        <f>Time!S$38</f>
        <v>0</v>
      </c>
      <c r="T64" s="83">
        <f>Time!T$38</f>
        <v>0</v>
      </c>
      <c r="U64" s="83">
        <f>Time!U$38</f>
        <v>0</v>
      </c>
      <c r="V64" s="83">
        <f>Time!V$38</f>
        <v>0</v>
      </c>
      <c r="W64" s="83">
        <f>Time!W$38</f>
        <v>0</v>
      </c>
      <c r="X64" s="83">
        <f>Time!X$38</f>
        <v>0</v>
      </c>
      <c r="Y64" s="83">
        <f>Time!Y$38</f>
        <v>0</v>
      </c>
      <c r="Z64" s="83">
        <f>Time!Z$38</f>
        <v>0</v>
      </c>
      <c r="AA64" s="83">
        <f>Time!AA$38</f>
        <v>0</v>
      </c>
      <c r="AB64" s="83">
        <f>Time!AB$38</f>
        <v>0</v>
      </c>
      <c r="AC64" s="83">
        <f>Time!AC$38</f>
        <v>0</v>
      </c>
      <c r="AD64" s="83">
        <f>Time!AD$38</f>
        <v>0</v>
      </c>
      <c r="AE64" s="83">
        <f>Time!AE$38</f>
        <v>0</v>
      </c>
      <c r="AF64" s="83">
        <f>Time!AF$38</f>
        <v>0</v>
      </c>
      <c r="AG64" s="83">
        <f>Time!AG$38</f>
        <v>0</v>
      </c>
      <c r="AH64" s="83">
        <f>Time!AH$38</f>
        <v>0</v>
      </c>
      <c r="AI64" s="83">
        <f>Time!AI$38</f>
        <v>0</v>
      </c>
      <c r="AJ64" s="83">
        <f>Time!AJ$38</f>
        <v>0</v>
      </c>
      <c r="AK64" s="83">
        <f>Time!AK$38</f>
        <v>0</v>
      </c>
      <c r="AL64" s="83">
        <f>Time!AL$38</f>
        <v>1</v>
      </c>
      <c r="AM64" s="83">
        <f>Time!AM$38</f>
        <v>1</v>
      </c>
      <c r="AN64" s="83">
        <f>Time!AN$38</f>
        <v>1</v>
      </c>
      <c r="AO64" s="83">
        <f>Time!AO$38</f>
        <v>1</v>
      </c>
      <c r="AP64" s="83">
        <f>Time!AP$38</f>
        <v>1</v>
      </c>
      <c r="AQ64" s="83">
        <f>Time!AQ$38</f>
        <v>1</v>
      </c>
      <c r="AR64" s="83">
        <f>Time!AR$38</f>
        <v>1</v>
      </c>
      <c r="AS64" s="83">
        <f>Time!AS$38</f>
        <v>1</v>
      </c>
      <c r="AT64" s="83">
        <f>Time!AT$38</f>
        <v>1</v>
      </c>
      <c r="AU64" s="83">
        <f>Time!AU$38</f>
        <v>1</v>
      </c>
      <c r="AV64" s="83">
        <f>Time!AV$38</f>
        <v>1</v>
      </c>
      <c r="AW64" s="83">
        <f>Time!AW$38</f>
        <v>1</v>
      </c>
      <c r="AX64" s="83">
        <f>Time!AX$38</f>
        <v>1</v>
      </c>
      <c r="AY64" s="83">
        <f>Time!AY$38</f>
        <v>1</v>
      </c>
      <c r="AZ64" s="83">
        <f>Time!AZ$38</f>
        <v>1</v>
      </c>
      <c r="BA64" s="83">
        <f>Time!BA$38</f>
        <v>1</v>
      </c>
      <c r="BB64" s="83">
        <f>Time!BB$38</f>
        <v>1</v>
      </c>
      <c r="BC64" s="83">
        <f>Time!BC$38</f>
        <v>1</v>
      </c>
      <c r="BD64" s="83">
        <f>Time!BD$38</f>
        <v>1</v>
      </c>
      <c r="BE64" s="83">
        <f>Time!BE$38</f>
        <v>1</v>
      </c>
      <c r="BF64" s="83">
        <f>Time!BF$38</f>
        <v>1</v>
      </c>
      <c r="BG64" s="83">
        <f>Time!BG$38</f>
        <v>1</v>
      </c>
      <c r="BH64" s="83">
        <f>Time!BH$38</f>
        <v>1</v>
      </c>
      <c r="BI64" s="83">
        <f>Time!BI$38</f>
        <v>1</v>
      </c>
    </row>
    <row r="65" spans="4:61" x14ac:dyDescent="0.35">
      <c r="E65" t="str">
        <f>E$59</f>
        <v>Trajectoire-Montant-Dépôt</v>
      </c>
      <c r="J65" t="str">
        <f>J$59</f>
        <v>EUR</v>
      </c>
      <c r="N65" s="41">
        <f t="shared" ref="N65:BI65" si="38">N$59</f>
        <v>174621891.94523585</v>
      </c>
      <c r="O65" s="41">
        <f t="shared" si="38"/>
        <v>195165643.938793</v>
      </c>
      <c r="P65" s="41">
        <f t="shared" si="38"/>
        <v>205437519.93557161</v>
      </c>
      <c r="Q65" s="41">
        <f t="shared" si="38"/>
        <v>205437519.93557161</v>
      </c>
      <c r="R65" s="41">
        <f t="shared" si="38"/>
        <v>205437519.93557161</v>
      </c>
      <c r="S65" s="41">
        <f t="shared" si="38"/>
        <v>195165643.938793</v>
      </c>
      <c r="T65" s="41">
        <f t="shared" si="38"/>
        <v>164350015.9484573</v>
      </c>
      <c r="U65" s="41">
        <f t="shared" si="38"/>
        <v>123262511.96134296</v>
      </c>
      <c r="V65" s="41">
        <f t="shared" si="38"/>
        <v>184893767.94201443</v>
      </c>
      <c r="W65" s="41">
        <f t="shared" si="38"/>
        <v>205437519.93557161</v>
      </c>
      <c r="X65" s="41">
        <f t="shared" si="38"/>
        <v>205437519.93557161</v>
      </c>
      <c r="Y65" s="41">
        <f t="shared" si="38"/>
        <v>225981271.9291288</v>
      </c>
      <c r="Z65" s="41">
        <f t="shared" si="38"/>
        <v>197846603.57395229</v>
      </c>
      <c r="AA65" s="41">
        <f t="shared" si="38"/>
        <v>221122674.58265257</v>
      </c>
      <c r="AB65" s="41">
        <f t="shared" si="38"/>
        <v>232760710.08700269</v>
      </c>
      <c r="AC65" s="41">
        <f t="shared" si="38"/>
        <v>232760710.08700269</v>
      </c>
      <c r="AD65" s="41">
        <f t="shared" si="38"/>
        <v>232760710.08700269</v>
      </c>
      <c r="AE65" s="41">
        <f t="shared" si="38"/>
        <v>221122674.58265257</v>
      </c>
      <c r="AF65" s="41">
        <f t="shared" si="38"/>
        <v>186208568.06960216</v>
      </c>
      <c r="AG65" s="41">
        <f t="shared" si="38"/>
        <v>139656426.0522016</v>
      </c>
      <c r="AH65" s="41">
        <f t="shared" si="38"/>
        <v>209484639.07830244</v>
      </c>
      <c r="AI65" s="41">
        <f t="shared" si="38"/>
        <v>232760710.08700269</v>
      </c>
      <c r="AJ65" s="41">
        <f t="shared" si="38"/>
        <v>232760710.08700269</v>
      </c>
      <c r="AK65" s="41">
        <f t="shared" si="38"/>
        <v>256036781.09570298</v>
      </c>
      <c r="AL65" s="41">
        <f t="shared" si="38"/>
        <v>224160201.8492879</v>
      </c>
      <c r="AM65" s="41">
        <f t="shared" si="38"/>
        <v>250531990.30214536</v>
      </c>
      <c r="AN65" s="41">
        <f t="shared" si="38"/>
        <v>263717884.52857405</v>
      </c>
      <c r="AO65" s="41">
        <f t="shared" si="38"/>
        <v>263717884.52857405</v>
      </c>
      <c r="AP65" s="41">
        <f t="shared" si="38"/>
        <v>263717884.52857405</v>
      </c>
      <c r="AQ65" s="41">
        <f t="shared" si="38"/>
        <v>250531990.30214536</v>
      </c>
      <c r="AR65" s="41">
        <f t="shared" si="38"/>
        <v>210974307.62285924</v>
      </c>
      <c r="AS65" s="41">
        <f t="shared" si="38"/>
        <v>158230730.7171444</v>
      </c>
      <c r="AT65" s="41">
        <f t="shared" si="38"/>
        <v>237346096.07571664</v>
      </c>
      <c r="AU65" s="41">
        <f t="shared" si="38"/>
        <v>263717884.52857405</v>
      </c>
      <c r="AV65" s="41">
        <f t="shared" si="38"/>
        <v>263717884.52857405</v>
      </c>
      <c r="AW65" s="41">
        <f t="shared" si="38"/>
        <v>290089672.98143148</v>
      </c>
      <c r="AX65" s="41">
        <f t="shared" si="38"/>
        <v>253973508.69524327</v>
      </c>
      <c r="AY65" s="41">
        <f t="shared" si="38"/>
        <v>283852745.01233071</v>
      </c>
      <c r="AZ65" s="41">
        <f t="shared" si="38"/>
        <v>298792363.17087442</v>
      </c>
      <c r="BA65" s="41">
        <f t="shared" si="38"/>
        <v>298792363.17087442</v>
      </c>
      <c r="BB65" s="41">
        <f t="shared" si="38"/>
        <v>298792363.17087442</v>
      </c>
      <c r="BC65" s="41">
        <f t="shared" si="38"/>
        <v>283852745.01233071</v>
      </c>
      <c r="BD65" s="41">
        <f t="shared" si="38"/>
        <v>239033890.53669956</v>
      </c>
      <c r="BE65" s="41">
        <f t="shared" si="38"/>
        <v>179275417.90252465</v>
      </c>
      <c r="BF65" s="41">
        <f t="shared" si="38"/>
        <v>268913126.853787</v>
      </c>
      <c r="BG65" s="41">
        <f t="shared" si="38"/>
        <v>298792363.17087442</v>
      </c>
      <c r="BH65" s="41">
        <f t="shared" si="38"/>
        <v>298792363.17087442</v>
      </c>
      <c r="BI65" s="41">
        <f t="shared" si="38"/>
        <v>328671599.48796189</v>
      </c>
    </row>
    <row r="67" spans="4:61" s="8" customFormat="1" x14ac:dyDescent="0.35">
      <c r="E67" s="19" t="str">
        <f>"Montant-"&amp;Paramétrage_général!I$25</f>
        <v>Montant-Dépôt</v>
      </c>
      <c r="F67" s="19"/>
      <c r="G67" s="19"/>
      <c r="H67" s="19"/>
      <c r="I67" s="19"/>
      <c r="J67" s="19" t="s">
        <v>51</v>
      </c>
      <c r="K67" s="19"/>
      <c r="L67" s="19"/>
      <c r="M67" s="19"/>
      <c r="N67" s="86">
        <f>(1-N64)*N63+N64*N65</f>
        <v>23130610.18</v>
      </c>
      <c r="O67" s="86">
        <f t="shared" ref="O67:AW67" si="39">(1-O64)*O63+O64*O65</f>
        <v>44398500.210000001</v>
      </c>
      <c r="P67" s="86">
        <f t="shared" si="39"/>
        <v>40714392.460000001</v>
      </c>
      <c r="Q67" s="86">
        <f t="shared" si="39"/>
        <v>25367062.789999999</v>
      </c>
      <c r="R67" s="86">
        <f t="shared" si="39"/>
        <v>47650754.68</v>
      </c>
      <c r="S67" s="86">
        <f t="shared" si="39"/>
        <v>117340642.18000001</v>
      </c>
      <c r="T67" s="86">
        <f t="shared" si="39"/>
        <v>99551541.700000003</v>
      </c>
      <c r="U67" s="86">
        <f t="shared" si="39"/>
        <v>29948583.800000001</v>
      </c>
      <c r="V67" s="86">
        <f t="shared" si="39"/>
        <v>63069254.049999997</v>
      </c>
      <c r="W67" s="86">
        <f t="shared" si="39"/>
        <v>92588493.819999993</v>
      </c>
      <c r="X67" s="86">
        <f t="shared" si="39"/>
        <v>86151157.519999996</v>
      </c>
      <c r="Y67" s="86">
        <f t="shared" si="39"/>
        <v>84977786.239999995</v>
      </c>
      <c r="Z67" s="86">
        <f t="shared" si="39"/>
        <v>128670424.92</v>
      </c>
      <c r="AA67" s="86">
        <f t="shared" si="39"/>
        <v>149748412.93000001</v>
      </c>
      <c r="AB67" s="86">
        <f t="shared" si="39"/>
        <v>201825331.86000001</v>
      </c>
      <c r="AC67" s="86">
        <f t="shared" si="39"/>
        <v>198412672.91</v>
      </c>
      <c r="AD67" s="86">
        <f t="shared" si="39"/>
        <v>187398985.25</v>
      </c>
      <c r="AE67" s="86">
        <f t="shared" si="39"/>
        <v>225117408.47</v>
      </c>
      <c r="AF67" s="86">
        <f t="shared" si="39"/>
        <v>192520092.06</v>
      </c>
      <c r="AG67" s="86">
        <f t="shared" si="39"/>
        <v>128542065.67</v>
      </c>
      <c r="AH67" s="86">
        <f t="shared" si="39"/>
        <v>199918671.38</v>
      </c>
      <c r="AI67" s="86">
        <f t="shared" si="39"/>
        <v>255096073.02000001</v>
      </c>
      <c r="AJ67" s="86">
        <f t="shared" si="39"/>
        <v>249452947.46000001</v>
      </c>
      <c r="AK67" s="86">
        <f t="shared" si="39"/>
        <v>293575405.31999999</v>
      </c>
      <c r="AL67" s="86">
        <f t="shared" si="39"/>
        <v>224160201.8492879</v>
      </c>
      <c r="AM67" s="86">
        <f t="shared" si="39"/>
        <v>250531990.30214536</v>
      </c>
      <c r="AN67" s="86">
        <f t="shared" si="39"/>
        <v>263717884.52857405</v>
      </c>
      <c r="AO67" s="86">
        <f t="shared" si="39"/>
        <v>263717884.52857405</v>
      </c>
      <c r="AP67" s="86">
        <f t="shared" si="39"/>
        <v>263717884.52857405</v>
      </c>
      <c r="AQ67" s="86">
        <f t="shared" si="39"/>
        <v>250531990.30214536</v>
      </c>
      <c r="AR67" s="86">
        <f t="shared" si="39"/>
        <v>210974307.62285924</v>
      </c>
      <c r="AS67" s="86">
        <f t="shared" si="39"/>
        <v>158230730.7171444</v>
      </c>
      <c r="AT67" s="86">
        <f t="shared" si="39"/>
        <v>237346096.07571664</v>
      </c>
      <c r="AU67" s="86">
        <f t="shared" si="39"/>
        <v>263717884.52857405</v>
      </c>
      <c r="AV67" s="86">
        <f t="shared" si="39"/>
        <v>263717884.52857405</v>
      </c>
      <c r="AW67" s="86">
        <f t="shared" si="39"/>
        <v>290089672.98143148</v>
      </c>
      <c r="AX67" s="86">
        <f t="shared" ref="AX67:BA67" si="40">(1-AX64)*AX63+AX64*AX65</f>
        <v>253973508.69524327</v>
      </c>
      <c r="AY67" s="86">
        <f t="shared" si="40"/>
        <v>283852745.01233071</v>
      </c>
      <c r="AZ67" s="86">
        <f t="shared" si="40"/>
        <v>298792363.17087442</v>
      </c>
      <c r="BA67" s="86">
        <f t="shared" si="40"/>
        <v>298792363.17087442</v>
      </c>
      <c r="BB67" s="86">
        <f t="shared" ref="BB67:BI67" si="41">(1-BB64)*BB63+BB64*BB65</f>
        <v>298792363.17087442</v>
      </c>
      <c r="BC67" s="86">
        <f t="shared" si="41"/>
        <v>283852745.01233071</v>
      </c>
      <c r="BD67" s="86">
        <f t="shared" si="41"/>
        <v>239033890.53669956</v>
      </c>
      <c r="BE67" s="86">
        <f t="shared" si="41"/>
        <v>179275417.90252465</v>
      </c>
      <c r="BF67" s="86">
        <f t="shared" si="41"/>
        <v>268913126.853787</v>
      </c>
      <c r="BG67" s="86">
        <f t="shared" si="41"/>
        <v>298792363.17087442</v>
      </c>
      <c r="BH67" s="86">
        <f t="shared" si="41"/>
        <v>298792363.17087442</v>
      </c>
      <c r="BI67" s="86">
        <f t="shared" si="41"/>
        <v>328671599.48796189</v>
      </c>
    </row>
    <row r="68" spans="4:61" x14ac:dyDescent="0.35">
      <c r="AK68" s="16"/>
    </row>
    <row r="69" spans="4:61" x14ac:dyDescent="0.35">
      <c r="D69" s="1" t="s">
        <v>25</v>
      </c>
      <c r="AL69" s="16"/>
    </row>
    <row r="70" spans="4:61" x14ac:dyDescent="0.35">
      <c r="AK70" s="16"/>
    </row>
  </sheetData>
  <sheetProtection algorithmName="SHA-512" hashValue="q3UVKoQJgddgLvj0uq47QGPFnQeFenUG5dSSEWf9BP0z/8VD7XxE4pFud2q4GQGAtIGf5Uez6/SeLwpEiWmvsg==" saltValue="H+RiZVYHYZ/DBiVD+rXAhw==" spinCount="100000" sheet="1" objects="1" scenarios="1"/>
  <conditionalFormatting sqref="G2">
    <cfRule type="cellIs" dxfId="47" priority="4" operator="greaterThan">
      <formula>0</formula>
    </cfRule>
    <cfRule type="cellIs" dxfId="46" priority="5" operator="equal">
      <formula>0</formula>
    </cfRule>
  </conditionalFormatting>
  <conditionalFormatting sqref="G1">
    <cfRule type="cellIs" dxfId="45" priority="2" operator="greaterThan">
      <formula>0</formula>
    </cfRule>
    <cfRule type="cellIs" dxfId="44" priority="3" operator="equal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61EB4DA5-61B2-4FFF-9559-3E85A2B3FBDC}">
            <xm:f>Paramétrage_général!$I$20</xm:f>
            <x14:dxf>
              <font>
                <b/>
                <i val="0"/>
                <color theme="0"/>
              </font>
              <fill>
                <patternFill>
                  <bgColor rgb="FF002060"/>
                </patternFill>
              </fill>
            </x14:dxf>
          </x14:cfRule>
          <xm:sqref>N4:BI4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BFBFBF"/>
  </sheetPr>
  <dimension ref="B1:BJ226"/>
  <sheetViews>
    <sheetView zoomScale="70" zoomScaleNormal="70" workbookViewId="0">
      <pane xSplit="10" ySplit="6" topLeftCell="N7" activePane="bottomRight" state="frozen"/>
      <selection activeCell="I37" sqref="I37"/>
      <selection pane="topRight" activeCell="I37" sqref="I37"/>
      <selection pane="bottomLeft" activeCell="I37" sqref="I37"/>
      <selection pane="bottomRight" activeCell="N4" sqref="N4:BI4"/>
    </sheetView>
  </sheetViews>
  <sheetFormatPr baseColWidth="10" defaultRowHeight="14.5" x14ac:dyDescent="0.35"/>
  <cols>
    <col min="1" max="4" width="2.6328125" customWidth="1"/>
    <col min="14" max="14" width="14.6328125" bestFit="1" customWidth="1"/>
    <col min="15" max="45" width="13.1796875" bestFit="1" customWidth="1"/>
    <col min="46" max="46" width="14.6328125" bestFit="1" customWidth="1"/>
    <col min="47" max="61" width="13.1796875" bestFit="1" customWidth="1"/>
  </cols>
  <sheetData>
    <row r="1" spans="2:61" s="6" customFormat="1" x14ac:dyDescent="0.35">
      <c r="B1" s="9" t="str">
        <f ca="1">RIGHT(CELL("nomfichier",A1),LEN(CELL("nomfichier",A1))-FIND("]",CELL("nomfichier",A1),1))</f>
        <v>Engagements</v>
      </c>
      <c r="F1" s="54" t="str">
        <f>Controles!F1</f>
        <v>Erreurs</v>
      </c>
      <c r="G1">
        <f>Controles!G1</f>
        <v>0</v>
      </c>
    </row>
    <row r="2" spans="2:61" x14ac:dyDescent="0.35">
      <c r="F2" s="55" t="str">
        <f>Controles!F2</f>
        <v>Alertes</v>
      </c>
      <c r="G2">
        <f>Controles!G2</f>
        <v>0</v>
      </c>
    </row>
    <row r="3" spans="2:61" x14ac:dyDescent="0.35">
      <c r="N3" s="3">
        <f>Time!N20</f>
        <v>43861</v>
      </c>
      <c r="O3" s="3">
        <f>Time!O20</f>
        <v>43890</v>
      </c>
      <c r="P3" s="3">
        <f>Time!P20</f>
        <v>43921</v>
      </c>
      <c r="Q3" s="3">
        <f>Time!Q20</f>
        <v>43951</v>
      </c>
      <c r="R3" s="3">
        <f>Time!R20</f>
        <v>43982</v>
      </c>
      <c r="S3" s="3">
        <f>Time!S20</f>
        <v>44012</v>
      </c>
      <c r="T3" s="3">
        <f>Time!T20</f>
        <v>44043</v>
      </c>
      <c r="U3" s="3">
        <f>Time!U20</f>
        <v>44074</v>
      </c>
      <c r="V3" s="3">
        <f>Time!V20</f>
        <v>44104</v>
      </c>
      <c r="W3" s="3">
        <f>Time!W20</f>
        <v>44135</v>
      </c>
      <c r="X3" s="3">
        <f>Time!X20</f>
        <v>44165</v>
      </c>
      <c r="Y3" s="3">
        <f>Time!Y20</f>
        <v>44196</v>
      </c>
      <c r="Z3" s="3">
        <f>Time!Z20</f>
        <v>44227</v>
      </c>
      <c r="AA3" s="3">
        <f>Time!AA20</f>
        <v>44255</v>
      </c>
      <c r="AB3" s="3">
        <f>Time!AB20</f>
        <v>44286</v>
      </c>
      <c r="AC3" s="3">
        <f>Time!AC20</f>
        <v>44316</v>
      </c>
      <c r="AD3" s="3">
        <f>Time!AD20</f>
        <v>44347</v>
      </c>
      <c r="AE3" s="3">
        <f>Time!AE20</f>
        <v>44377</v>
      </c>
      <c r="AF3" s="3">
        <f>Time!AF20</f>
        <v>44408</v>
      </c>
      <c r="AG3" s="3">
        <f>Time!AG20</f>
        <v>44439</v>
      </c>
      <c r="AH3" s="3">
        <f>Time!AH20</f>
        <v>44469</v>
      </c>
      <c r="AI3" s="3">
        <f>Time!AI20</f>
        <v>44500</v>
      </c>
      <c r="AJ3" s="3">
        <f>Time!AJ20</f>
        <v>44530</v>
      </c>
      <c r="AK3" s="3">
        <f>Time!AK20</f>
        <v>44561</v>
      </c>
      <c r="AL3" s="3">
        <f>Time!AL20</f>
        <v>44592</v>
      </c>
      <c r="AM3" s="3">
        <f>Time!AM20</f>
        <v>44620</v>
      </c>
      <c r="AN3" s="3">
        <f>Time!AN20</f>
        <v>44651</v>
      </c>
      <c r="AO3" s="3">
        <f>Time!AO20</f>
        <v>44681</v>
      </c>
      <c r="AP3" s="3">
        <f>Time!AP20</f>
        <v>44712</v>
      </c>
      <c r="AQ3" s="3">
        <f>Time!AQ20</f>
        <v>44742</v>
      </c>
      <c r="AR3" s="3">
        <f>Time!AR20</f>
        <v>44773</v>
      </c>
      <c r="AS3" s="3">
        <f>Time!AS20</f>
        <v>44804</v>
      </c>
      <c r="AT3" s="3">
        <f>Time!AT20</f>
        <v>44834</v>
      </c>
      <c r="AU3" s="3">
        <f>Time!AU20</f>
        <v>44865</v>
      </c>
      <c r="AV3" s="3">
        <f>Time!AV20</f>
        <v>44895</v>
      </c>
      <c r="AW3" s="3">
        <f>Time!AW20</f>
        <v>44926</v>
      </c>
      <c r="AX3" s="3">
        <f>Time!AX20</f>
        <v>44957</v>
      </c>
      <c r="AY3" s="3">
        <f>Time!AY20</f>
        <v>44985</v>
      </c>
      <c r="AZ3" s="3">
        <f>Time!AZ20</f>
        <v>45016</v>
      </c>
      <c r="BA3" s="3">
        <f>Time!BA20</f>
        <v>45046</v>
      </c>
      <c r="BB3" s="3">
        <f>Time!BB20</f>
        <v>45077</v>
      </c>
      <c r="BC3" s="3">
        <f>Time!BC20</f>
        <v>45107</v>
      </c>
      <c r="BD3" s="3">
        <f>Time!BD20</f>
        <v>45138</v>
      </c>
      <c r="BE3" s="3">
        <f>Time!BE20</f>
        <v>45169</v>
      </c>
      <c r="BF3" s="3">
        <f>Time!BF20</f>
        <v>45199</v>
      </c>
      <c r="BG3" s="3">
        <f>Time!BG20</f>
        <v>45230</v>
      </c>
      <c r="BH3" s="3">
        <f>Time!BH20</f>
        <v>45260</v>
      </c>
      <c r="BI3" s="3">
        <f>Time!BI20</f>
        <v>45291</v>
      </c>
    </row>
    <row r="4" spans="2:61" x14ac:dyDescent="0.35">
      <c r="N4" t="str">
        <f>Time!N41</f>
        <v>Exécution</v>
      </c>
      <c r="O4" t="str">
        <f>Time!O41</f>
        <v>Exécution</v>
      </c>
      <c r="P4" t="str">
        <f>Time!P41</f>
        <v>Exécution</v>
      </c>
      <c r="Q4" t="str">
        <f>Time!Q41</f>
        <v>Exécution</v>
      </c>
      <c r="R4" t="str">
        <f>Time!R41</f>
        <v>Exécution</v>
      </c>
      <c r="S4" s="11" t="str">
        <f>Time!S41</f>
        <v>Exécution</v>
      </c>
      <c r="T4" s="11" t="str">
        <f>Time!T41</f>
        <v>Exécution</v>
      </c>
      <c r="U4" s="11" t="str">
        <f>Time!U41</f>
        <v>Exécution</v>
      </c>
      <c r="V4" s="11" t="str">
        <f>Time!V41</f>
        <v>Exécution</v>
      </c>
      <c r="W4" s="11" t="str">
        <f>Time!W41</f>
        <v>Exécution</v>
      </c>
      <c r="X4" s="11" t="str">
        <f>Time!X41</f>
        <v>Exécution</v>
      </c>
      <c r="Y4" s="11" t="str">
        <f>Time!Y41</f>
        <v>Exécution</v>
      </c>
      <c r="Z4" s="11" t="str">
        <f>Time!Z41</f>
        <v>Exécution</v>
      </c>
      <c r="AA4" s="11" t="str">
        <f>Time!AA41</f>
        <v>Exécution</v>
      </c>
      <c r="AB4" s="11" t="str">
        <f>Time!AB41</f>
        <v>Exécution</v>
      </c>
      <c r="AC4" s="11" t="str">
        <f>Time!AC41</f>
        <v>Exécution</v>
      </c>
      <c r="AD4" s="11" t="str">
        <f>Time!AD41</f>
        <v>Exécution</v>
      </c>
      <c r="AE4" s="11" t="str">
        <f>Time!AE41</f>
        <v>Exécution</v>
      </c>
      <c r="AF4" s="11" t="str">
        <f>Time!AF41</f>
        <v>Exécution</v>
      </c>
      <c r="AG4" s="11" t="str">
        <f>Time!AG41</f>
        <v>Exécution</v>
      </c>
      <c r="AH4" s="11" t="str">
        <f>Time!AH41</f>
        <v>Exécution</v>
      </c>
      <c r="AI4" s="11" t="str">
        <f>Time!AI41</f>
        <v>Exécution</v>
      </c>
      <c r="AJ4" s="11" t="str">
        <f>Time!AJ41</f>
        <v>Exécution</v>
      </c>
      <c r="AK4" s="11" t="str">
        <f>Time!AK41</f>
        <v>Exécution</v>
      </c>
      <c r="AL4" s="11" t="str">
        <f>Time!AL41</f>
        <v>Trajectoire</v>
      </c>
      <c r="AM4" s="11" t="str">
        <f>Time!AM41</f>
        <v>Trajectoire</v>
      </c>
      <c r="AN4" s="11" t="str">
        <f>Time!AN41</f>
        <v>Trajectoire</v>
      </c>
      <c r="AO4" s="11" t="str">
        <f>Time!AO41</f>
        <v>Trajectoire</v>
      </c>
      <c r="AP4" s="11" t="str">
        <f>Time!AP41</f>
        <v>Trajectoire</v>
      </c>
      <c r="AQ4" s="11" t="str">
        <f>Time!AQ41</f>
        <v>Trajectoire</v>
      </c>
      <c r="AR4" s="11" t="str">
        <f>Time!AR41</f>
        <v>Trajectoire</v>
      </c>
      <c r="AS4" s="11" t="str">
        <f>Time!AS41</f>
        <v>Trajectoire</v>
      </c>
      <c r="AT4" s="11" t="str">
        <f>Time!AT41</f>
        <v>Trajectoire</v>
      </c>
      <c r="AU4" s="11" t="str">
        <f>Time!AU41</f>
        <v>Trajectoire</v>
      </c>
      <c r="AV4" s="11" t="str">
        <f>Time!AV41</f>
        <v>Trajectoire</v>
      </c>
      <c r="AW4" s="11" t="str">
        <f>Time!AW41</f>
        <v>Trajectoire</v>
      </c>
      <c r="AX4" s="11" t="str">
        <f>Time!AX41</f>
        <v>Trajectoire</v>
      </c>
      <c r="AY4" s="11" t="str">
        <f>Time!AY41</f>
        <v>Trajectoire</v>
      </c>
      <c r="AZ4" s="11" t="str">
        <f>Time!AZ41</f>
        <v>Trajectoire</v>
      </c>
      <c r="BA4" s="11" t="str">
        <f>Time!BA41</f>
        <v>Trajectoire</v>
      </c>
      <c r="BB4" s="11" t="str">
        <f>Time!BB41</f>
        <v>Trajectoire</v>
      </c>
      <c r="BC4" s="11" t="str">
        <f>Time!BC41</f>
        <v>Trajectoire</v>
      </c>
      <c r="BD4" s="11" t="str">
        <f>Time!BD41</f>
        <v>Trajectoire</v>
      </c>
      <c r="BE4" s="11" t="str">
        <f>Time!BE41</f>
        <v>Trajectoire</v>
      </c>
      <c r="BF4" s="11" t="str">
        <f>Time!BF41</f>
        <v>Trajectoire</v>
      </c>
      <c r="BG4" s="11" t="str">
        <f>Time!BG41</f>
        <v>Trajectoire</v>
      </c>
      <c r="BH4" s="11" t="str">
        <f>Time!BH41</f>
        <v>Trajectoire</v>
      </c>
      <c r="BI4" s="11" t="str">
        <f>Time!BI41</f>
        <v>Trajectoire</v>
      </c>
    </row>
    <row r="5" spans="2:61" x14ac:dyDescent="0.35">
      <c r="N5" s="3">
        <f>Time!N54</f>
        <v>44196</v>
      </c>
      <c r="O5" s="3">
        <f>Time!O54</f>
        <v>44196</v>
      </c>
      <c r="P5" s="3">
        <f>Time!P54</f>
        <v>44196</v>
      </c>
      <c r="Q5" s="3">
        <f>Time!Q54</f>
        <v>44196</v>
      </c>
      <c r="R5" s="3">
        <f>Time!R54</f>
        <v>44196</v>
      </c>
      <c r="S5" s="3">
        <f>Time!S54</f>
        <v>44196</v>
      </c>
      <c r="T5" s="3">
        <f>Time!T54</f>
        <v>44196</v>
      </c>
      <c r="U5" s="3">
        <f>Time!U54</f>
        <v>44196</v>
      </c>
      <c r="V5" s="3">
        <f>Time!V54</f>
        <v>44196</v>
      </c>
      <c r="W5" s="3">
        <f>Time!W54</f>
        <v>44196</v>
      </c>
      <c r="X5" s="3">
        <f>Time!X54</f>
        <v>44196</v>
      </c>
      <c r="Y5" s="3">
        <f>Time!Y54</f>
        <v>44196</v>
      </c>
      <c r="Z5" s="3">
        <f>Time!Z54</f>
        <v>44561</v>
      </c>
      <c r="AA5" s="3">
        <f>Time!AA54</f>
        <v>44561</v>
      </c>
      <c r="AB5" s="3">
        <f>Time!AB54</f>
        <v>44561</v>
      </c>
      <c r="AC5" s="3">
        <f>Time!AC54</f>
        <v>44561</v>
      </c>
      <c r="AD5" s="3">
        <f>Time!AD54</f>
        <v>44561</v>
      </c>
      <c r="AE5" s="3">
        <f>Time!AE54</f>
        <v>44561</v>
      </c>
      <c r="AF5" s="3">
        <f>Time!AF54</f>
        <v>44561</v>
      </c>
      <c r="AG5" s="3">
        <f>Time!AG54</f>
        <v>44561</v>
      </c>
      <c r="AH5" s="3">
        <f>Time!AH54</f>
        <v>44561</v>
      </c>
      <c r="AI5" s="3">
        <f>Time!AI54</f>
        <v>44561</v>
      </c>
      <c r="AJ5" s="3">
        <f>Time!AJ54</f>
        <v>44561</v>
      </c>
      <c r="AK5" s="3">
        <f>Time!AK54</f>
        <v>44561</v>
      </c>
      <c r="AL5" s="3">
        <f>Time!AL54</f>
        <v>44926</v>
      </c>
      <c r="AM5" s="3">
        <f>Time!AM54</f>
        <v>44926</v>
      </c>
      <c r="AN5" s="3">
        <f>Time!AN54</f>
        <v>44926</v>
      </c>
      <c r="AO5" s="3">
        <f>Time!AO54</f>
        <v>44926</v>
      </c>
      <c r="AP5" s="3">
        <f>Time!AP54</f>
        <v>44926</v>
      </c>
      <c r="AQ5" s="3">
        <f>Time!AQ54</f>
        <v>44926</v>
      </c>
      <c r="AR5" s="3">
        <f>Time!AR54</f>
        <v>44926</v>
      </c>
      <c r="AS5" s="3">
        <f>Time!AS54</f>
        <v>44926</v>
      </c>
      <c r="AT5" s="3">
        <f>Time!AT54</f>
        <v>44926</v>
      </c>
      <c r="AU5" s="3">
        <f>Time!AU54</f>
        <v>44926</v>
      </c>
      <c r="AV5" s="3">
        <f>Time!AV54</f>
        <v>44926</v>
      </c>
      <c r="AW5" s="3">
        <f>Time!AW54</f>
        <v>44926</v>
      </c>
      <c r="AX5" s="3">
        <f>Time!AX54</f>
        <v>45291</v>
      </c>
      <c r="AY5" s="3">
        <f>Time!AY54</f>
        <v>45291</v>
      </c>
      <c r="AZ5" s="3">
        <f>Time!AZ54</f>
        <v>45291</v>
      </c>
      <c r="BA5" s="3">
        <f>Time!BA54</f>
        <v>45291</v>
      </c>
      <c r="BB5" s="3">
        <f>Time!BB54</f>
        <v>45291</v>
      </c>
      <c r="BC5" s="3">
        <f>Time!BC54</f>
        <v>45291</v>
      </c>
      <c r="BD5" s="3">
        <f>Time!BD54</f>
        <v>45291</v>
      </c>
      <c r="BE5" s="3">
        <f>Time!BE54</f>
        <v>45291</v>
      </c>
      <c r="BF5" s="3">
        <f>Time!BF54</f>
        <v>45291</v>
      </c>
      <c r="BG5" s="3">
        <f>Time!BG54</f>
        <v>45291</v>
      </c>
      <c r="BH5" s="3">
        <f>Time!BH54</f>
        <v>45291</v>
      </c>
      <c r="BI5" s="3">
        <f>Time!BI54</f>
        <v>45291</v>
      </c>
    </row>
    <row r="6" spans="2:61" s="2" customFormat="1" x14ac:dyDescent="0.35">
      <c r="I6" s="2" t="s">
        <v>0</v>
      </c>
      <c r="J6" s="2" t="s">
        <v>1</v>
      </c>
      <c r="K6" s="2" t="s">
        <v>2</v>
      </c>
    </row>
    <row r="8" spans="2:61" x14ac:dyDescent="0.35">
      <c r="D8" s="1" t="s">
        <v>81</v>
      </c>
    </row>
    <row r="9" spans="2:61" s="4" customFormat="1" x14ac:dyDescent="0.35"/>
    <row r="10" spans="2:61" s="4" customFormat="1" x14ac:dyDescent="0.35">
      <c r="E10" s="4" t="str">
        <f>Time!E19</f>
        <v>Frise mensuelle-début de période</v>
      </c>
      <c r="I10" s="14"/>
      <c r="J10" s="4" t="str">
        <f>Time!J19</f>
        <v>date</v>
      </c>
      <c r="N10" s="5">
        <f>Time!N19</f>
        <v>43831</v>
      </c>
      <c r="O10" s="5">
        <f>Time!O19</f>
        <v>43862</v>
      </c>
      <c r="P10" s="5">
        <f>Time!P19</f>
        <v>43891</v>
      </c>
      <c r="Q10" s="5">
        <f>Time!Q19</f>
        <v>43922</v>
      </c>
      <c r="R10" s="5">
        <f>Time!R19</f>
        <v>43952</v>
      </c>
      <c r="S10" s="5">
        <f>Time!S19</f>
        <v>43983</v>
      </c>
      <c r="T10" s="5">
        <f>Time!T19</f>
        <v>44013</v>
      </c>
      <c r="U10" s="5">
        <f>Time!U19</f>
        <v>44044</v>
      </c>
      <c r="V10" s="5">
        <f>Time!V19</f>
        <v>44075</v>
      </c>
      <c r="W10" s="5">
        <f>Time!W19</f>
        <v>44105</v>
      </c>
      <c r="X10" s="5">
        <f>Time!X19</f>
        <v>44136</v>
      </c>
      <c r="Y10" s="5">
        <f>Time!Y19</f>
        <v>44166</v>
      </c>
      <c r="Z10" s="5">
        <f>Time!Z19</f>
        <v>44197</v>
      </c>
      <c r="AA10" s="5">
        <f>Time!AA19</f>
        <v>44228</v>
      </c>
      <c r="AB10" s="5">
        <f>Time!AB19</f>
        <v>44256</v>
      </c>
      <c r="AC10" s="5">
        <f>Time!AC19</f>
        <v>44287</v>
      </c>
      <c r="AD10" s="5">
        <f>Time!AD19</f>
        <v>44317</v>
      </c>
      <c r="AE10" s="5">
        <f>Time!AE19</f>
        <v>44348</v>
      </c>
      <c r="AF10" s="5">
        <f>Time!AF19</f>
        <v>44378</v>
      </c>
      <c r="AG10" s="5">
        <f>Time!AG19</f>
        <v>44409</v>
      </c>
      <c r="AH10" s="5">
        <f>Time!AH19</f>
        <v>44440</v>
      </c>
      <c r="AI10" s="5">
        <f>Time!AI19</f>
        <v>44470</v>
      </c>
      <c r="AJ10" s="5">
        <f>Time!AJ19</f>
        <v>44501</v>
      </c>
      <c r="AK10" s="5">
        <f>Time!AK19</f>
        <v>44531</v>
      </c>
      <c r="AL10" s="5">
        <f>Time!AL19</f>
        <v>44562</v>
      </c>
      <c r="AM10" s="5">
        <f>Time!AM19</f>
        <v>44593</v>
      </c>
      <c r="AN10" s="5">
        <f>Time!AN19</f>
        <v>44621</v>
      </c>
      <c r="AO10" s="5">
        <f>Time!AO19</f>
        <v>44652</v>
      </c>
      <c r="AP10" s="5">
        <f>Time!AP19</f>
        <v>44682</v>
      </c>
      <c r="AQ10" s="5">
        <f>Time!AQ19</f>
        <v>44713</v>
      </c>
      <c r="AR10" s="5">
        <f>Time!AR19</f>
        <v>44743</v>
      </c>
      <c r="AS10" s="5">
        <f>Time!AS19</f>
        <v>44774</v>
      </c>
      <c r="AT10" s="5">
        <f>Time!AT19</f>
        <v>44805</v>
      </c>
      <c r="AU10" s="5">
        <f>Time!AU19</f>
        <v>44835</v>
      </c>
      <c r="AV10" s="5">
        <f>Time!AV19</f>
        <v>44866</v>
      </c>
      <c r="AW10" s="5">
        <f>Time!AW19</f>
        <v>44896</v>
      </c>
      <c r="AX10" s="5">
        <f>Time!AX19</f>
        <v>44927</v>
      </c>
      <c r="AY10" s="5">
        <f>Time!AY19</f>
        <v>44958</v>
      </c>
      <c r="AZ10" s="5">
        <f>Time!AZ19</f>
        <v>44986</v>
      </c>
      <c r="BA10" s="5">
        <f>Time!BA19</f>
        <v>45017</v>
      </c>
      <c r="BB10" s="5">
        <f>Time!BB19</f>
        <v>45047</v>
      </c>
      <c r="BC10" s="5">
        <f>Time!BC19</f>
        <v>45078</v>
      </c>
      <c r="BD10" s="5">
        <f>Time!BD19</f>
        <v>45108</v>
      </c>
      <c r="BE10" s="5">
        <f>Time!BE19</f>
        <v>45139</v>
      </c>
      <c r="BF10" s="5">
        <f>Time!BF19</f>
        <v>45170</v>
      </c>
      <c r="BG10" s="5">
        <f>Time!BG19</f>
        <v>45200</v>
      </c>
      <c r="BH10" s="5">
        <f>Time!BH19</f>
        <v>45231</v>
      </c>
      <c r="BI10" s="5">
        <f>Time!BI19</f>
        <v>45261</v>
      </c>
    </row>
    <row r="11" spans="2:61" s="4" customFormat="1" x14ac:dyDescent="0.35">
      <c r="E11" s="4" t="str">
        <f>Time!E21</f>
        <v>N° de mois</v>
      </c>
      <c r="J11" s="4" t="str">
        <f>Time!J21</f>
        <v>N° mois</v>
      </c>
      <c r="N11" s="4">
        <f>Time!N21</f>
        <v>1</v>
      </c>
      <c r="O11" s="4">
        <f>Time!O21</f>
        <v>2</v>
      </c>
      <c r="P11" s="4">
        <f>Time!P21</f>
        <v>3</v>
      </c>
      <c r="Q11" s="4">
        <f>Time!Q21</f>
        <v>4</v>
      </c>
      <c r="R11" s="4">
        <f>Time!R21</f>
        <v>5</v>
      </c>
      <c r="S11" s="4">
        <f>Time!S21</f>
        <v>6</v>
      </c>
      <c r="T11" s="4">
        <f>Time!T21</f>
        <v>7</v>
      </c>
      <c r="U11" s="4">
        <f>Time!U21</f>
        <v>8</v>
      </c>
      <c r="V11" s="4">
        <f>Time!V21</f>
        <v>9</v>
      </c>
      <c r="W11" s="4">
        <f>Time!W21</f>
        <v>10</v>
      </c>
      <c r="X11" s="4">
        <f>Time!X21</f>
        <v>11</v>
      </c>
      <c r="Y11" s="4">
        <f>Time!Y21</f>
        <v>12</v>
      </c>
      <c r="Z11" s="4">
        <f>Time!Z21</f>
        <v>1</v>
      </c>
      <c r="AA11" s="4">
        <f>Time!AA21</f>
        <v>2</v>
      </c>
      <c r="AB11" s="4">
        <f>Time!AB21</f>
        <v>3</v>
      </c>
      <c r="AC11" s="4">
        <f>Time!AC21</f>
        <v>4</v>
      </c>
      <c r="AD11" s="4">
        <f>Time!AD21</f>
        <v>5</v>
      </c>
      <c r="AE11" s="4">
        <f>Time!AE21</f>
        <v>6</v>
      </c>
      <c r="AF11" s="4">
        <f>Time!AF21</f>
        <v>7</v>
      </c>
      <c r="AG11" s="4">
        <f>Time!AG21</f>
        <v>8</v>
      </c>
      <c r="AH11" s="4">
        <f>Time!AH21</f>
        <v>9</v>
      </c>
      <c r="AI11" s="4">
        <f>Time!AI21</f>
        <v>10</v>
      </c>
      <c r="AJ11" s="4">
        <f>Time!AJ21</f>
        <v>11</v>
      </c>
      <c r="AK11" s="4">
        <f>Time!AK21</f>
        <v>12</v>
      </c>
      <c r="AL11" s="4">
        <f>Time!AL21</f>
        <v>1</v>
      </c>
      <c r="AM11" s="4">
        <f>Time!AM21</f>
        <v>2</v>
      </c>
      <c r="AN11" s="4">
        <f>Time!AN21</f>
        <v>3</v>
      </c>
      <c r="AO11" s="4">
        <f>Time!AO21</f>
        <v>4</v>
      </c>
      <c r="AP11" s="4">
        <f>Time!AP21</f>
        <v>5</v>
      </c>
      <c r="AQ11" s="4">
        <f>Time!AQ21</f>
        <v>6</v>
      </c>
      <c r="AR11" s="4">
        <f>Time!AR21</f>
        <v>7</v>
      </c>
      <c r="AS11" s="4">
        <f>Time!AS21</f>
        <v>8</v>
      </c>
      <c r="AT11" s="4">
        <f>Time!AT21</f>
        <v>9</v>
      </c>
      <c r="AU11" s="4">
        <f>Time!AU21</f>
        <v>10</v>
      </c>
      <c r="AV11" s="4">
        <f>Time!AV21</f>
        <v>11</v>
      </c>
      <c r="AW11" s="4">
        <f>Time!AW21</f>
        <v>12</v>
      </c>
      <c r="AX11" s="4">
        <f>Time!AX21</f>
        <v>1</v>
      </c>
      <c r="AY11" s="4">
        <f>Time!AY21</f>
        <v>2</v>
      </c>
      <c r="AZ11" s="4">
        <f>Time!AZ21</f>
        <v>3</v>
      </c>
      <c r="BA11" s="4">
        <f>Time!BA21</f>
        <v>4</v>
      </c>
      <c r="BB11" s="4">
        <f>Time!BB21</f>
        <v>5</v>
      </c>
      <c r="BC11" s="4">
        <f>Time!BC21</f>
        <v>6</v>
      </c>
      <c r="BD11" s="4">
        <f>Time!BD21</f>
        <v>7</v>
      </c>
      <c r="BE11" s="4">
        <f>Time!BE21</f>
        <v>8</v>
      </c>
      <c r="BF11" s="4">
        <f>Time!BF21</f>
        <v>9</v>
      </c>
      <c r="BG11" s="4">
        <f>Time!BG21</f>
        <v>10</v>
      </c>
      <c r="BH11" s="4">
        <f>Time!BH21</f>
        <v>11</v>
      </c>
      <c r="BI11" s="4">
        <f>Time!BI21</f>
        <v>12</v>
      </c>
    </row>
    <row r="12" spans="2:61" s="4" customFormat="1" x14ac:dyDescent="0.35"/>
    <row r="13" spans="2:61" s="6" customFormat="1" x14ac:dyDescent="0.35">
      <c r="E13" s="6">
        <v>1</v>
      </c>
      <c r="J13" s="6" t="s">
        <v>6</v>
      </c>
      <c r="N13" s="7">
        <f>IF(N$11=$E13,N$10,M13)</f>
        <v>43831</v>
      </c>
      <c r="O13" s="7">
        <f t="shared" ref="O13:BI13" si="0">IF(O$11=$E13,O$10,N13)</f>
        <v>43831</v>
      </c>
      <c r="P13" s="7">
        <f t="shared" si="0"/>
        <v>43831</v>
      </c>
      <c r="Q13" s="7">
        <f t="shared" si="0"/>
        <v>43831</v>
      </c>
      <c r="R13" s="7">
        <f t="shared" si="0"/>
        <v>43831</v>
      </c>
      <c r="S13" s="7">
        <f t="shared" si="0"/>
        <v>43831</v>
      </c>
      <c r="T13" s="7">
        <f t="shared" si="0"/>
        <v>43831</v>
      </c>
      <c r="U13" s="7">
        <f t="shared" si="0"/>
        <v>43831</v>
      </c>
      <c r="V13" s="7">
        <f t="shared" si="0"/>
        <v>43831</v>
      </c>
      <c r="W13" s="7">
        <f t="shared" si="0"/>
        <v>43831</v>
      </c>
      <c r="X13" s="7">
        <f t="shared" si="0"/>
        <v>43831</v>
      </c>
      <c r="Y13" s="7">
        <f t="shared" si="0"/>
        <v>43831</v>
      </c>
      <c r="Z13" s="7">
        <f t="shared" si="0"/>
        <v>44197</v>
      </c>
      <c r="AA13" s="7">
        <f t="shared" si="0"/>
        <v>44197</v>
      </c>
      <c r="AB13" s="7">
        <f t="shared" si="0"/>
        <v>44197</v>
      </c>
      <c r="AC13" s="7">
        <f t="shared" si="0"/>
        <v>44197</v>
      </c>
      <c r="AD13" s="7">
        <f t="shared" si="0"/>
        <v>44197</v>
      </c>
      <c r="AE13" s="7">
        <f t="shared" si="0"/>
        <v>44197</v>
      </c>
      <c r="AF13" s="7">
        <f t="shared" si="0"/>
        <v>44197</v>
      </c>
      <c r="AG13" s="7">
        <f t="shared" si="0"/>
        <v>44197</v>
      </c>
      <c r="AH13" s="7">
        <f t="shared" si="0"/>
        <v>44197</v>
      </c>
      <c r="AI13" s="7">
        <f t="shared" si="0"/>
        <v>44197</v>
      </c>
      <c r="AJ13" s="7">
        <f t="shared" si="0"/>
        <v>44197</v>
      </c>
      <c r="AK13" s="7">
        <f t="shared" si="0"/>
        <v>44197</v>
      </c>
      <c r="AL13" s="7">
        <f t="shared" si="0"/>
        <v>44562</v>
      </c>
      <c r="AM13" s="7">
        <f t="shared" si="0"/>
        <v>44562</v>
      </c>
      <c r="AN13" s="7">
        <f t="shared" si="0"/>
        <v>44562</v>
      </c>
      <c r="AO13" s="7">
        <f t="shared" si="0"/>
        <v>44562</v>
      </c>
      <c r="AP13" s="7">
        <f t="shared" si="0"/>
        <v>44562</v>
      </c>
      <c r="AQ13" s="7">
        <f t="shared" si="0"/>
        <v>44562</v>
      </c>
      <c r="AR13" s="7">
        <f t="shared" si="0"/>
        <v>44562</v>
      </c>
      <c r="AS13" s="7">
        <f t="shared" si="0"/>
        <v>44562</v>
      </c>
      <c r="AT13" s="7">
        <f t="shared" si="0"/>
        <v>44562</v>
      </c>
      <c r="AU13" s="7">
        <f t="shared" si="0"/>
        <v>44562</v>
      </c>
      <c r="AV13" s="7">
        <f t="shared" si="0"/>
        <v>44562</v>
      </c>
      <c r="AW13" s="7">
        <f t="shared" si="0"/>
        <v>44562</v>
      </c>
      <c r="AX13" s="7">
        <f t="shared" si="0"/>
        <v>44927</v>
      </c>
      <c r="AY13" s="7">
        <f t="shared" si="0"/>
        <v>44927</v>
      </c>
      <c r="AZ13" s="7">
        <f t="shared" si="0"/>
        <v>44927</v>
      </c>
      <c r="BA13" s="7">
        <f t="shared" si="0"/>
        <v>44927</v>
      </c>
      <c r="BB13" s="7">
        <f t="shared" si="0"/>
        <v>44927</v>
      </c>
      <c r="BC13" s="7">
        <f t="shared" si="0"/>
        <v>44927</v>
      </c>
      <c r="BD13" s="7">
        <f t="shared" si="0"/>
        <v>44927</v>
      </c>
      <c r="BE13" s="7">
        <f t="shared" si="0"/>
        <v>44927</v>
      </c>
      <c r="BF13" s="7">
        <f t="shared" si="0"/>
        <v>44927</v>
      </c>
      <c r="BG13" s="7">
        <f t="shared" si="0"/>
        <v>44927</v>
      </c>
      <c r="BH13" s="7">
        <f t="shared" si="0"/>
        <v>44927</v>
      </c>
      <c r="BI13" s="7">
        <f t="shared" si="0"/>
        <v>44927</v>
      </c>
    </row>
    <row r="14" spans="2:61" s="6" customFormat="1" x14ac:dyDescent="0.35">
      <c r="E14" s="6">
        <v>2</v>
      </c>
      <c r="J14" s="6" t="s">
        <v>6</v>
      </c>
      <c r="M14" s="26"/>
      <c r="N14" s="78"/>
      <c r="O14" s="7">
        <f t="shared" ref="O14:BI14" si="1">IF(O$11=$E14,O$10,N14)</f>
        <v>43862</v>
      </c>
      <c r="P14" s="7">
        <f t="shared" si="1"/>
        <v>43862</v>
      </c>
      <c r="Q14" s="7">
        <f t="shared" si="1"/>
        <v>43862</v>
      </c>
      <c r="R14" s="7">
        <f t="shared" si="1"/>
        <v>43862</v>
      </c>
      <c r="S14" s="7">
        <f t="shared" si="1"/>
        <v>43862</v>
      </c>
      <c r="T14" s="7">
        <f t="shared" si="1"/>
        <v>43862</v>
      </c>
      <c r="U14" s="7">
        <f t="shared" si="1"/>
        <v>43862</v>
      </c>
      <c r="V14" s="7">
        <f t="shared" si="1"/>
        <v>43862</v>
      </c>
      <c r="W14" s="7">
        <f t="shared" si="1"/>
        <v>43862</v>
      </c>
      <c r="X14" s="7">
        <f t="shared" si="1"/>
        <v>43862</v>
      </c>
      <c r="Y14" s="7">
        <f t="shared" si="1"/>
        <v>43862</v>
      </c>
      <c r="Z14" s="7">
        <f t="shared" si="1"/>
        <v>43862</v>
      </c>
      <c r="AA14" s="7">
        <f t="shared" si="1"/>
        <v>44228</v>
      </c>
      <c r="AB14" s="7">
        <f t="shared" si="1"/>
        <v>44228</v>
      </c>
      <c r="AC14" s="7">
        <f t="shared" si="1"/>
        <v>44228</v>
      </c>
      <c r="AD14" s="7">
        <f t="shared" si="1"/>
        <v>44228</v>
      </c>
      <c r="AE14" s="7">
        <f t="shared" si="1"/>
        <v>44228</v>
      </c>
      <c r="AF14" s="7">
        <f t="shared" si="1"/>
        <v>44228</v>
      </c>
      <c r="AG14" s="7">
        <f t="shared" si="1"/>
        <v>44228</v>
      </c>
      <c r="AH14" s="7">
        <f t="shared" si="1"/>
        <v>44228</v>
      </c>
      <c r="AI14" s="7">
        <f t="shared" si="1"/>
        <v>44228</v>
      </c>
      <c r="AJ14" s="7">
        <f t="shared" si="1"/>
        <v>44228</v>
      </c>
      <c r="AK14" s="7">
        <f t="shared" si="1"/>
        <v>44228</v>
      </c>
      <c r="AL14" s="7">
        <f t="shared" si="1"/>
        <v>44228</v>
      </c>
      <c r="AM14" s="7">
        <f t="shared" si="1"/>
        <v>44593</v>
      </c>
      <c r="AN14" s="7">
        <f t="shared" si="1"/>
        <v>44593</v>
      </c>
      <c r="AO14" s="7">
        <f t="shared" si="1"/>
        <v>44593</v>
      </c>
      <c r="AP14" s="7">
        <f t="shared" si="1"/>
        <v>44593</v>
      </c>
      <c r="AQ14" s="7">
        <f t="shared" si="1"/>
        <v>44593</v>
      </c>
      <c r="AR14" s="7">
        <f t="shared" si="1"/>
        <v>44593</v>
      </c>
      <c r="AS14" s="7">
        <f t="shared" si="1"/>
        <v>44593</v>
      </c>
      <c r="AT14" s="7">
        <f t="shared" si="1"/>
        <v>44593</v>
      </c>
      <c r="AU14" s="7">
        <f t="shared" si="1"/>
        <v>44593</v>
      </c>
      <c r="AV14" s="7">
        <f t="shared" si="1"/>
        <v>44593</v>
      </c>
      <c r="AW14" s="7">
        <f t="shared" si="1"/>
        <v>44593</v>
      </c>
      <c r="AX14" s="7">
        <f t="shared" si="1"/>
        <v>44593</v>
      </c>
      <c r="AY14" s="7">
        <f t="shared" si="1"/>
        <v>44958</v>
      </c>
      <c r="AZ14" s="7">
        <f t="shared" si="1"/>
        <v>44958</v>
      </c>
      <c r="BA14" s="7">
        <f t="shared" si="1"/>
        <v>44958</v>
      </c>
      <c r="BB14" s="7">
        <f t="shared" si="1"/>
        <v>44958</v>
      </c>
      <c r="BC14" s="7">
        <f t="shared" si="1"/>
        <v>44958</v>
      </c>
      <c r="BD14" s="7">
        <f t="shared" si="1"/>
        <v>44958</v>
      </c>
      <c r="BE14" s="7">
        <f t="shared" si="1"/>
        <v>44958</v>
      </c>
      <c r="BF14" s="7">
        <f t="shared" si="1"/>
        <v>44958</v>
      </c>
      <c r="BG14" s="7">
        <f t="shared" si="1"/>
        <v>44958</v>
      </c>
      <c r="BH14" s="7">
        <f t="shared" si="1"/>
        <v>44958</v>
      </c>
      <c r="BI14" s="7">
        <f t="shared" si="1"/>
        <v>44958</v>
      </c>
    </row>
    <row r="15" spans="2:61" s="6" customFormat="1" x14ac:dyDescent="0.35">
      <c r="E15" s="6">
        <v>3</v>
      </c>
      <c r="J15" s="6" t="s">
        <v>6</v>
      </c>
      <c r="M15" s="26"/>
      <c r="N15" s="78"/>
      <c r="O15" s="78"/>
      <c r="P15" s="7">
        <f t="shared" ref="P15:BI15" si="2">IF(P$11=$E15,P$10,O15)</f>
        <v>43891</v>
      </c>
      <c r="Q15" s="7">
        <f t="shared" si="2"/>
        <v>43891</v>
      </c>
      <c r="R15" s="7">
        <f t="shared" si="2"/>
        <v>43891</v>
      </c>
      <c r="S15" s="7">
        <f t="shared" si="2"/>
        <v>43891</v>
      </c>
      <c r="T15" s="7">
        <f t="shared" si="2"/>
        <v>43891</v>
      </c>
      <c r="U15" s="7">
        <f t="shared" si="2"/>
        <v>43891</v>
      </c>
      <c r="V15" s="7">
        <f t="shared" si="2"/>
        <v>43891</v>
      </c>
      <c r="W15" s="7">
        <f t="shared" si="2"/>
        <v>43891</v>
      </c>
      <c r="X15" s="7">
        <f t="shared" si="2"/>
        <v>43891</v>
      </c>
      <c r="Y15" s="7">
        <f t="shared" si="2"/>
        <v>43891</v>
      </c>
      <c r="Z15" s="7">
        <f t="shared" si="2"/>
        <v>43891</v>
      </c>
      <c r="AA15" s="7">
        <f t="shared" si="2"/>
        <v>43891</v>
      </c>
      <c r="AB15" s="7">
        <f t="shared" si="2"/>
        <v>44256</v>
      </c>
      <c r="AC15" s="7">
        <f t="shared" si="2"/>
        <v>44256</v>
      </c>
      <c r="AD15" s="7">
        <f t="shared" si="2"/>
        <v>44256</v>
      </c>
      <c r="AE15" s="7">
        <f t="shared" si="2"/>
        <v>44256</v>
      </c>
      <c r="AF15" s="7">
        <f t="shared" si="2"/>
        <v>44256</v>
      </c>
      <c r="AG15" s="7">
        <f t="shared" si="2"/>
        <v>44256</v>
      </c>
      <c r="AH15" s="7">
        <f t="shared" si="2"/>
        <v>44256</v>
      </c>
      <c r="AI15" s="7">
        <f t="shared" si="2"/>
        <v>44256</v>
      </c>
      <c r="AJ15" s="7">
        <f t="shared" si="2"/>
        <v>44256</v>
      </c>
      <c r="AK15" s="7">
        <f t="shared" si="2"/>
        <v>44256</v>
      </c>
      <c r="AL15" s="7">
        <f t="shared" si="2"/>
        <v>44256</v>
      </c>
      <c r="AM15" s="7">
        <f t="shared" si="2"/>
        <v>44256</v>
      </c>
      <c r="AN15" s="7">
        <f t="shared" si="2"/>
        <v>44621</v>
      </c>
      <c r="AO15" s="7">
        <f t="shared" si="2"/>
        <v>44621</v>
      </c>
      <c r="AP15" s="7">
        <f t="shared" si="2"/>
        <v>44621</v>
      </c>
      <c r="AQ15" s="7">
        <f t="shared" si="2"/>
        <v>44621</v>
      </c>
      <c r="AR15" s="7">
        <f t="shared" si="2"/>
        <v>44621</v>
      </c>
      <c r="AS15" s="7">
        <f t="shared" si="2"/>
        <v>44621</v>
      </c>
      <c r="AT15" s="7">
        <f t="shared" si="2"/>
        <v>44621</v>
      </c>
      <c r="AU15" s="7">
        <f t="shared" si="2"/>
        <v>44621</v>
      </c>
      <c r="AV15" s="7">
        <f t="shared" si="2"/>
        <v>44621</v>
      </c>
      <c r="AW15" s="7">
        <f t="shared" si="2"/>
        <v>44621</v>
      </c>
      <c r="AX15" s="7">
        <f t="shared" si="2"/>
        <v>44621</v>
      </c>
      <c r="AY15" s="7">
        <f t="shared" si="2"/>
        <v>44621</v>
      </c>
      <c r="AZ15" s="7">
        <f t="shared" si="2"/>
        <v>44986</v>
      </c>
      <c r="BA15" s="7">
        <f t="shared" si="2"/>
        <v>44986</v>
      </c>
      <c r="BB15" s="7">
        <f t="shared" si="2"/>
        <v>44986</v>
      </c>
      <c r="BC15" s="7">
        <f t="shared" si="2"/>
        <v>44986</v>
      </c>
      <c r="BD15" s="7">
        <f t="shared" si="2"/>
        <v>44986</v>
      </c>
      <c r="BE15" s="7">
        <f t="shared" si="2"/>
        <v>44986</v>
      </c>
      <c r="BF15" s="7">
        <f t="shared" si="2"/>
        <v>44986</v>
      </c>
      <c r="BG15" s="7">
        <f t="shared" si="2"/>
        <v>44986</v>
      </c>
      <c r="BH15" s="7">
        <f t="shared" si="2"/>
        <v>44986</v>
      </c>
      <c r="BI15" s="7">
        <f t="shared" si="2"/>
        <v>44986</v>
      </c>
    </row>
    <row r="16" spans="2:61" s="6" customFormat="1" x14ac:dyDescent="0.35">
      <c r="E16" s="6">
        <v>4</v>
      </c>
      <c r="J16" s="6" t="s">
        <v>6</v>
      </c>
      <c r="M16" s="26"/>
      <c r="N16" s="78"/>
      <c r="O16" s="78"/>
      <c r="P16" s="78"/>
      <c r="Q16" s="7">
        <f t="shared" ref="Q16:BI16" si="3">IF(Q$11=$E16,Q$10,P16)</f>
        <v>43922</v>
      </c>
      <c r="R16" s="7">
        <f t="shared" si="3"/>
        <v>43922</v>
      </c>
      <c r="S16" s="7">
        <f t="shared" si="3"/>
        <v>43922</v>
      </c>
      <c r="T16" s="7">
        <f t="shared" si="3"/>
        <v>43922</v>
      </c>
      <c r="U16" s="7">
        <f t="shared" si="3"/>
        <v>43922</v>
      </c>
      <c r="V16" s="7">
        <f t="shared" si="3"/>
        <v>43922</v>
      </c>
      <c r="W16" s="7">
        <f t="shared" si="3"/>
        <v>43922</v>
      </c>
      <c r="X16" s="7">
        <f t="shared" si="3"/>
        <v>43922</v>
      </c>
      <c r="Y16" s="7">
        <f t="shared" si="3"/>
        <v>43922</v>
      </c>
      <c r="Z16" s="7">
        <f t="shared" si="3"/>
        <v>43922</v>
      </c>
      <c r="AA16" s="7">
        <f t="shared" si="3"/>
        <v>43922</v>
      </c>
      <c r="AB16" s="7">
        <f t="shared" si="3"/>
        <v>43922</v>
      </c>
      <c r="AC16" s="7">
        <f t="shared" si="3"/>
        <v>44287</v>
      </c>
      <c r="AD16" s="7">
        <f t="shared" si="3"/>
        <v>44287</v>
      </c>
      <c r="AE16" s="7">
        <f t="shared" si="3"/>
        <v>44287</v>
      </c>
      <c r="AF16" s="7">
        <f t="shared" si="3"/>
        <v>44287</v>
      </c>
      <c r="AG16" s="7">
        <f t="shared" si="3"/>
        <v>44287</v>
      </c>
      <c r="AH16" s="7">
        <f t="shared" si="3"/>
        <v>44287</v>
      </c>
      <c r="AI16" s="7">
        <f t="shared" si="3"/>
        <v>44287</v>
      </c>
      <c r="AJ16" s="7">
        <f t="shared" si="3"/>
        <v>44287</v>
      </c>
      <c r="AK16" s="7">
        <f t="shared" si="3"/>
        <v>44287</v>
      </c>
      <c r="AL16" s="7">
        <f t="shared" si="3"/>
        <v>44287</v>
      </c>
      <c r="AM16" s="7">
        <f t="shared" si="3"/>
        <v>44287</v>
      </c>
      <c r="AN16" s="7">
        <f t="shared" si="3"/>
        <v>44287</v>
      </c>
      <c r="AO16" s="7">
        <f t="shared" si="3"/>
        <v>44652</v>
      </c>
      <c r="AP16" s="7">
        <f t="shared" si="3"/>
        <v>44652</v>
      </c>
      <c r="AQ16" s="7">
        <f t="shared" si="3"/>
        <v>44652</v>
      </c>
      <c r="AR16" s="7">
        <f t="shared" si="3"/>
        <v>44652</v>
      </c>
      <c r="AS16" s="7">
        <f t="shared" si="3"/>
        <v>44652</v>
      </c>
      <c r="AT16" s="7">
        <f t="shared" si="3"/>
        <v>44652</v>
      </c>
      <c r="AU16" s="7">
        <f t="shared" si="3"/>
        <v>44652</v>
      </c>
      <c r="AV16" s="7">
        <f t="shared" si="3"/>
        <v>44652</v>
      </c>
      <c r="AW16" s="7">
        <f t="shared" si="3"/>
        <v>44652</v>
      </c>
      <c r="AX16" s="7">
        <f t="shared" si="3"/>
        <v>44652</v>
      </c>
      <c r="AY16" s="7">
        <f t="shared" si="3"/>
        <v>44652</v>
      </c>
      <c r="AZ16" s="7">
        <f t="shared" si="3"/>
        <v>44652</v>
      </c>
      <c r="BA16" s="7">
        <f t="shared" si="3"/>
        <v>45017</v>
      </c>
      <c r="BB16" s="7">
        <f t="shared" si="3"/>
        <v>45017</v>
      </c>
      <c r="BC16" s="7">
        <f t="shared" si="3"/>
        <v>45017</v>
      </c>
      <c r="BD16" s="7">
        <f t="shared" si="3"/>
        <v>45017</v>
      </c>
      <c r="BE16" s="7">
        <f t="shared" si="3"/>
        <v>45017</v>
      </c>
      <c r="BF16" s="7">
        <f t="shared" si="3"/>
        <v>45017</v>
      </c>
      <c r="BG16" s="7">
        <f t="shared" si="3"/>
        <v>45017</v>
      </c>
      <c r="BH16" s="7">
        <f t="shared" si="3"/>
        <v>45017</v>
      </c>
      <c r="BI16" s="7">
        <f t="shared" si="3"/>
        <v>45017</v>
      </c>
    </row>
    <row r="17" spans="4:61" s="6" customFormat="1" x14ac:dyDescent="0.35">
      <c r="E17" s="6">
        <v>5</v>
      </c>
      <c r="J17" s="6" t="s">
        <v>6</v>
      </c>
      <c r="M17" s="26"/>
      <c r="N17" s="78"/>
      <c r="O17" s="78"/>
      <c r="P17" s="78"/>
      <c r="Q17" s="78"/>
      <c r="R17" s="7">
        <f t="shared" ref="R17:BI17" si="4">IF(R$11=$E17,R$10,Q17)</f>
        <v>43952</v>
      </c>
      <c r="S17" s="7">
        <f t="shared" si="4"/>
        <v>43952</v>
      </c>
      <c r="T17" s="7">
        <f t="shared" si="4"/>
        <v>43952</v>
      </c>
      <c r="U17" s="7">
        <f t="shared" si="4"/>
        <v>43952</v>
      </c>
      <c r="V17" s="7">
        <f t="shared" si="4"/>
        <v>43952</v>
      </c>
      <c r="W17" s="7">
        <f t="shared" si="4"/>
        <v>43952</v>
      </c>
      <c r="X17" s="7">
        <f t="shared" si="4"/>
        <v>43952</v>
      </c>
      <c r="Y17" s="7">
        <f t="shared" si="4"/>
        <v>43952</v>
      </c>
      <c r="Z17" s="7">
        <f t="shared" si="4"/>
        <v>43952</v>
      </c>
      <c r="AA17" s="7">
        <f t="shared" si="4"/>
        <v>43952</v>
      </c>
      <c r="AB17" s="7">
        <f t="shared" si="4"/>
        <v>43952</v>
      </c>
      <c r="AC17" s="7">
        <f t="shared" si="4"/>
        <v>43952</v>
      </c>
      <c r="AD17" s="7">
        <f t="shared" si="4"/>
        <v>44317</v>
      </c>
      <c r="AE17" s="7">
        <f t="shared" si="4"/>
        <v>44317</v>
      </c>
      <c r="AF17" s="7">
        <f t="shared" si="4"/>
        <v>44317</v>
      </c>
      <c r="AG17" s="7">
        <f t="shared" si="4"/>
        <v>44317</v>
      </c>
      <c r="AH17" s="7">
        <f t="shared" si="4"/>
        <v>44317</v>
      </c>
      <c r="AI17" s="7">
        <f t="shared" si="4"/>
        <v>44317</v>
      </c>
      <c r="AJ17" s="7">
        <f t="shared" si="4"/>
        <v>44317</v>
      </c>
      <c r="AK17" s="7">
        <f t="shared" si="4"/>
        <v>44317</v>
      </c>
      <c r="AL17" s="7">
        <f t="shared" si="4"/>
        <v>44317</v>
      </c>
      <c r="AM17" s="7">
        <f t="shared" si="4"/>
        <v>44317</v>
      </c>
      <c r="AN17" s="7">
        <f t="shared" si="4"/>
        <v>44317</v>
      </c>
      <c r="AO17" s="7">
        <f t="shared" si="4"/>
        <v>44317</v>
      </c>
      <c r="AP17" s="7">
        <f t="shared" si="4"/>
        <v>44682</v>
      </c>
      <c r="AQ17" s="7">
        <f t="shared" si="4"/>
        <v>44682</v>
      </c>
      <c r="AR17" s="7">
        <f t="shared" si="4"/>
        <v>44682</v>
      </c>
      <c r="AS17" s="7">
        <f t="shared" si="4"/>
        <v>44682</v>
      </c>
      <c r="AT17" s="7">
        <f t="shared" si="4"/>
        <v>44682</v>
      </c>
      <c r="AU17" s="7">
        <f t="shared" si="4"/>
        <v>44682</v>
      </c>
      <c r="AV17" s="7">
        <f t="shared" si="4"/>
        <v>44682</v>
      </c>
      <c r="AW17" s="7">
        <f t="shared" si="4"/>
        <v>44682</v>
      </c>
      <c r="AX17" s="7">
        <f t="shared" si="4"/>
        <v>44682</v>
      </c>
      <c r="AY17" s="7">
        <f t="shared" si="4"/>
        <v>44682</v>
      </c>
      <c r="AZ17" s="7">
        <f t="shared" si="4"/>
        <v>44682</v>
      </c>
      <c r="BA17" s="7">
        <f t="shared" si="4"/>
        <v>44682</v>
      </c>
      <c r="BB17" s="7">
        <f t="shared" si="4"/>
        <v>45047</v>
      </c>
      <c r="BC17" s="7">
        <f t="shared" si="4"/>
        <v>45047</v>
      </c>
      <c r="BD17" s="7">
        <f t="shared" si="4"/>
        <v>45047</v>
      </c>
      <c r="BE17" s="7">
        <f t="shared" si="4"/>
        <v>45047</v>
      </c>
      <c r="BF17" s="7">
        <f t="shared" si="4"/>
        <v>45047</v>
      </c>
      <c r="BG17" s="7">
        <f t="shared" si="4"/>
        <v>45047</v>
      </c>
      <c r="BH17" s="7">
        <f t="shared" si="4"/>
        <v>45047</v>
      </c>
      <c r="BI17" s="7">
        <f t="shared" si="4"/>
        <v>45047</v>
      </c>
    </row>
    <row r="18" spans="4:61" s="6" customFormat="1" x14ac:dyDescent="0.35">
      <c r="E18" s="6">
        <v>6</v>
      </c>
      <c r="J18" s="6" t="s">
        <v>6</v>
      </c>
      <c r="M18" s="26"/>
      <c r="N18" s="78"/>
      <c r="O18" s="78"/>
      <c r="P18" s="78"/>
      <c r="Q18" s="78"/>
      <c r="R18" s="78"/>
      <c r="S18" s="7">
        <f t="shared" ref="S18:BI18" si="5">IF(S$11=$E18,S$10,R18)</f>
        <v>43983</v>
      </c>
      <c r="T18" s="7">
        <f t="shared" si="5"/>
        <v>43983</v>
      </c>
      <c r="U18" s="7">
        <f t="shared" si="5"/>
        <v>43983</v>
      </c>
      <c r="V18" s="7">
        <f t="shared" si="5"/>
        <v>43983</v>
      </c>
      <c r="W18" s="7">
        <f t="shared" si="5"/>
        <v>43983</v>
      </c>
      <c r="X18" s="7">
        <f t="shared" si="5"/>
        <v>43983</v>
      </c>
      <c r="Y18" s="7">
        <f t="shared" si="5"/>
        <v>43983</v>
      </c>
      <c r="Z18" s="7">
        <f t="shared" si="5"/>
        <v>43983</v>
      </c>
      <c r="AA18" s="7">
        <f t="shared" si="5"/>
        <v>43983</v>
      </c>
      <c r="AB18" s="7">
        <f t="shared" si="5"/>
        <v>43983</v>
      </c>
      <c r="AC18" s="7">
        <f t="shared" si="5"/>
        <v>43983</v>
      </c>
      <c r="AD18" s="7">
        <f t="shared" si="5"/>
        <v>43983</v>
      </c>
      <c r="AE18" s="7">
        <f t="shared" si="5"/>
        <v>44348</v>
      </c>
      <c r="AF18" s="7">
        <f t="shared" si="5"/>
        <v>44348</v>
      </c>
      <c r="AG18" s="7">
        <f t="shared" si="5"/>
        <v>44348</v>
      </c>
      <c r="AH18" s="7">
        <f t="shared" si="5"/>
        <v>44348</v>
      </c>
      <c r="AI18" s="7">
        <f t="shared" si="5"/>
        <v>44348</v>
      </c>
      <c r="AJ18" s="7">
        <f t="shared" si="5"/>
        <v>44348</v>
      </c>
      <c r="AK18" s="7">
        <f t="shared" si="5"/>
        <v>44348</v>
      </c>
      <c r="AL18" s="7">
        <f t="shared" si="5"/>
        <v>44348</v>
      </c>
      <c r="AM18" s="7">
        <f t="shared" si="5"/>
        <v>44348</v>
      </c>
      <c r="AN18" s="7">
        <f t="shared" si="5"/>
        <v>44348</v>
      </c>
      <c r="AO18" s="7">
        <f t="shared" si="5"/>
        <v>44348</v>
      </c>
      <c r="AP18" s="7">
        <f t="shared" si="5"/>
        <v>44348</v>
      </c>
      <c r="AQ18" s="7">
        <f t="shared" si="5"/>
        <v>44713</v>
      </c>
      <c r="AR18" s="7">
        <f t="shared" si="5"/>
        <v>44713</v>
      </c>
      <c r="AS18" s="7">
        <f t="shared" si="5"/>
        <v>44713</v>
      </c>
      <c r="AT18" s="7">
        <f t="shared" si="5"/>
        <v>44713</v>
      </c>
      <c r="AU18" s="7">
        <f t="shared" si="5"/>
        <v>44713</v>
      </c>
      <c r="AV18" s="7">
        <f t="shared" si="5"/>
        <v>44713</v>
      </c>
      <c r="AW18" s="7">
        <f t="shared" si="5"/>
        <v>44713</v>
      </c>
      <c r="AX18" s="7">
        <f t="shared" si="5"/>
        <v>44713</v>
      </c>
      <c r="AY18" s="7">
        <f t="shared" si="5"/>
        <v>44713</v>
      </c>
      <c r="AZ18" s="7">
        <f t="shared" si="5"/>
        <v>44713</v>
      </c>
      <c r="BA18" s="7">
        <f t="shared" si="5"/>
        <v>44713</v>
      </c>
      <c r="BB18" s="7">
        <f t="shared" si="5"/>
        <v>44713</v>
      </c>
      <c r="BC18" s="7">
        <f t="shared" si="5"/>
        <v>45078</v>
      </c>
      <c r="BD18" s="7">
        <f t="shared" si="5"/>
        <v>45078</v>
      </c>
      <c r="BE18" s="7">
        <f t="shared" si="5"/>
        <v>45078</v>
      </c>
      <c r="BF18" s="7">
        <f t="shared" si="5"/>
        <v>45078</v>
      </c>
      <c r="BG18" s="7">
        <f t="shared" si="5"/>
        <v>45078</v>
      </c>
      <c r="BH18" s="7">
        <f t="shared" si="5"/>
        <v>45078</v>
      </c>
      <c r="BI18" s="7">
        <f t="shared" si="5"/>
        <v>45078</v>
      </c>
    </row>
    <row r="19" spans="4:61" s="6" customFormat="1" x14ac:dyDescent="0.35">
      <c r="E19" s="6">
        <v>7</v>
      </c>
      <c r="J19" s="6" t="s">
        <v>6</v>
      </c>
      <c r="M19" s="26"/>
      <c r="N19" s="78"/>
      <c r="O19" s="78"/>
      <c r="P19" s="78"/>
      <c r="Q19" s="78"/>
      <c r="R19" s="78"/>
      <c r="S19" s="78"/>
      <c r="T19" s="7">
        <f t="shared" ref="T19:BI19" si="6">IF(T$11=$E19,T$10,S19)</f>
        <v>44013</v>
      </c>
      <c r="U19" s="7">
        <f t="shared" si="6"/>
        <v>44013</v>
      </c>
      <c r="V19" s="7">
        <f t="shared" si="6"/>
        <v>44013</v>
      </c>
      <c r="W19" s="7">
        <f t="shared" si="6"/>
        <v>44013</v>
      </c>
      <c r="X19" s="7">
        <f t="shared" si="6"/>
        <v>44013</v>
      </c>
      <c r="Y19" s="7">
        <f t="shared" si="6"/>
        <v>44013</v>
      </c>
      <c r="Z19" s="7">
        <f t="shared" si="6"/>
        <v>44013</v>
      </c>
      <c r="AA19" s="7">
        <f t="shared" si="6"/>
        <v>44013</v>
      </c>
      <c r="AB19" s="7">
        <f t="shared" si="6"/>
        <v>44013</v>
      </c>
      <c r="AC19" s="7">
        <f t="shared" si="6"/>
        <v>44013</v>
      </c>
      <c r="AD19" s="7">
        <f t="shared" si="6"/>
        <v>44013</v>
      </c>
      <c r="AE19" s="7">
        <f t="shared" si="6"/>
        <v>44013</v>
      </c>
      <c r="AF19" s="7">
        <f t="shared" si="6"/>
        <v>44378</v>
      </c>
      <c r="AG19" s="7">
        <f t="shared" si="6"/>
        <v>44378</v>
      </c>
      <c r="AH19" s="7">
        <f t="shared" si="6"/>
        <v>44378</v>
      </c>
      <c r="AI19" s="7">
        <f t="shared" si="6"/>
        <v>44378</v>
      </c>
      <c r="AJ19" s="7">
        <f t="shared" si="6"/>
        <v>44378</v>
      </c>
      <c r="AK19" s="7">
        <f t="shared" si="6"/>
        <v>44378</v>
      </c>
      <c r="AL19" s="7">
        <f t="shared" si="6"/>
        <v>44378</v>
      </c>
      <c r="AM19" s="7">
        <f t="shared" si="6"/>
        <v>44378</v>
      </c>
      <c r="AN19" s="7">
        <f t="shared" si="6"/>
        <v>44378</v>
      </c>
      <c r="AO19" s="7">
        <f t="shared" si="6"/>
        <v>44378</v>
      </c>
      <c r="AP19" s="7">
        <f t="shared" si="6"/>
        <v>44378</v>
      </c>
      <c r="AQ19" s="7">
        <f t="shared" si="6"/>
        <v>44378</v>
      </c>
      <c r="AR19" s="7">
        <f t="shared" si="6"/>
        <v>44743</v>
      </c>
      <c r="AS19" s="7">
        <f t="shared" si="6"/>
        <v>44743</v>
      </c>
      <c r="AT19" s="7">
        <f t="shared" si="6"/>
        <v>44743</v>
      </c>
      <c r="AU19" s="7">
        <f t="shared" si="6"/>
        <v>44743</v>
      </c>
      <c r="AV19" s="7">
        <f t="shared" si="6"/>
        <v>44743</v>
      </c>
      <c r="AW19" s="7">
        <f t="shared" si="6"/>
        <v>44743</v>
      </c>
      <c r="AX19" s="7">
        <f t="shared" si="6"/>
        <v>44743</v>
      </c>
      <c r="AY19" s="7">
        <f t="shared" si="6"/>
        <v>44743</v>
      </c>
      <c r="AZ19" s="7">
        <f t="shared" si="6"/>
        <v>44743</v>
      </c>
      <c r="BA19" s="7">
        <f t="shared" si="6"/>
        <v>44743</v>
      </c>
      <c r="BB19" s="7">
        <f t="shared" si="6"/>
        <v>44743</v>
      </c>
      <c r="BC19" s="7">
        <f t="shared" si="6"/>
        <v>44743</v>
      </c>
      <c r="BD19" s="7">
        <f t="shared" si="6"/>
        <v>45108</v>
      </c>
      <c r="BE19" s="7">
        <f t="shared" si="6"/>
        <v>45108</v>
      </c>
      <c r="BF19" s="7">
        <f t="shared" si="6"/>
        <v>45108</v>
      </c>
      <c r="BG19" s="7">
        <f t="shared" si="6"/>
        <v>45108</v>
      </c>
      <c r="BH19" s="7">
        <f t="shared" si="6"/>
        <v>45108</v>
      </c>
      <c r="BI19" s="7">
        <f t="shared" si="6"/>
        <v>45108</v>
      </c>
    </row>
    <row r="20" spans="4:61" s="6" customFormat="1" x14ac:dyDescent="0.35">
      <c r="E20" s="6">
        <v>8</v>
      </c>
      <c r="J20" s="6" t="s">
        <v>6</v>
      </c>
      <c r="M20" s="26"/>
      <c r="N20" s="78"/>
      <c r="O20" s="78"/>
      <c r="P20" s="78"/>
      <c r="Q20" s="78"/>
      <c r="R20" s="78"/>
      <c r="S20" s="78"/>
      <c r="T20" s="78"/>
      <c r="U20" s="7">
        <f t="shared" ref="U20:BI20" si="7">IF(U$11=$E20,U$10,T20)</f>
        <v>44044</v>
      </c>
      <c r="V20" s="7">
        <f t="shared" si="7"/>
        <v>44044</v>
      </c>
      <c r="W20" s="7">
        <f t="shared" si="7"/>
        <v>44044</v>
      </c>
      <c r="X20" s="7">
        <f t="shared" si="7"/>
        <v>44044</v>
      </c>
      <c r="Y20" s="7">
        <f t="shared" si="7"/>
        <v>44044</v>
      </c>
      <c r="Z20" s="7">
        <f t="shared" si="7"/>
        <v>44044</v>
      </c>
      <c r="AA20" s="7">
        <f t="shared" si="7"/>
        <v>44044</v>
      </c>
      <c r="AB20" s="7">
        <f t="shared" si="7"/>
        <v>44044</v>
      </c>
      <c r="AC20" s="7">
        <f t="shared" si="7"/>
        <v>44044</v>
      </c>
      <c r="AD20" s="7">
        <f t="shared" si="7"/>
        <v>44044</v>
      </c>
      <c r="AE20" s="7">
        <f t="shared" si="7"/>
        <v>44044</v>
      </c>
      <c r="AF20" s="7">
        <f t="shared" si="7"/>
        <v>44044</v>
      </c>
      <c r="AG20" s="7">
        <f t="shared" si="7"/>
        <v>44409</v>
      </c>
      <c r="AH20" s="7">
        <f t="shared" si="7"/>
        <v>44409</v>
      </c>
      <c r="AI20" s="7">
        <f t="shared" si="7"/>
        <v>44409</v>
      </c>
      <c r="AJ20" s="7">
        <f t="shared" si="7"/>
        <v>44409</v>
      </c>
      <c r="AK20" s="7">
        <f t="shared" si="7"/>
        <v>44409</v>
      </c>
      <c r="AL20" s="7">
        <f t="shared" si="7"/>
        <v>44409</v>
      </c>
      <c r="AM20" s="7">
        <f t="shared" si="7"/>
        <v>44409</v>
      </c>
      <c r="AN20" s="7">
        <f t="shared" si="7"/>
        <v>44409</v>
      </c>
      <c r="AO20" s="7">
        <f t="shared" si="7"/>
        <v>44409</v>
      </c>
      <c r="AP20" s="7">
        <f t="shared" si="7"/>
        <v>44409</v>
      </c>
      <c r="AQ20" s="7">
        <f t="shared" si="7"/>
        <v>44409</v>
      </c>
      <c r="AR20" s="7">
        <f t="shared" si="7"/>
        <v>44409</v>
      </c>
      <c r="AS20" s="7">
        <f t="shared" si="7"/>
        <v>44774</v>
      </c>
      <c r="AT20" s="7">
        <f t="shared" si="7"/>
        <v>44774</v>
      </c>
      <c r="AU20" s="7">
        <f t="shared" si="7"/>
        <v>44774</v>
      </c>
      <c r="AV20" s="7">
        <f t="shared" si="7"/>
        <v>44774</v>
      </c>
      <c r="AW20" s="7">
        <f t="shared" si="7"/>
        <v>44774</v>
      </c>
      <c r="AX20" s="7">
        <f t="shared" si="7"/>
        <v>44774</v>
      </c>
      <c r="AY20" s="7">
        <f t="shared" si="7"/>
        <v>44774</v>
      </c>
      <c r="AZ20" s="7">
        <f t="shared" si="7"/>
        <v>44774</v>
      </c>
      <c r="BA20" s="7">
        <f t="shared" si="7"/>
        <v>44774</v>
      </c>
      <c r="BB20" s="7">
        <f t="shared" si="7"/>
        <v>44774</v>
      </c>
      <c r="BC20" s="7">
        <f t="shared" si="7"/>
        <v>44774</v>
      </c>
      <c r="BD20" s="7">
        <f t="shared" si="7"/>
        <v>44774</v>
      </c>
      <c r="BE20" s="7">
        <f t="shared" si="7"/>
        <v>45139</v>
      </c>
      <c r="BF20" s="7">
        <f t="shared" si="7"/>
        <v>45139</v>
      </c>
      <c r="BG20" s="7">
        <f t="shared" si="7"/>
        <v>45139</v>
      </c>
      <c r="BH20" s="7">
        <f t="shared" si="7"/>
        <v>45139</v>
      </c>
      <c r="BI20" s="7">
        <f t="shared" si="7"/>
        <v>45139</v>
      </c>
    </row>
    <row r="21" spans="4:61" s="6" customFormat="1" x14ac:dyDescent="0.35">
      <c r="E21" s="6">
        <v>9</v>
      </c>
      <c r="J21" s="6" t="s">
        <v>6</v>
      </c>
      <c r="M21" s="26"/>
      <c r="N21" s="78"/>
      <c r="O21" s="78"/>
      <c r="P21" s="78"/>
      <c r="Q21" s="78"/>
      <c r="R21" s="78"/>
      <c r="S21" s="78"/>
      <c r="T21" s="78"/>
      <c r="U21" s="78"/>
      <c r="V21" s="7">
        <f t="shared" ref="V21:BI21" si="8">IF(V$11=$E21,V$10,U21)</f>
        <v>44075</v>
      </c>
      <c r="W21" s="7">
        <f t="shared" si="8"/>
        <v>44075</v>
      </c>
      <c r="X21" s="7">
        <f t="shared" si="8"/>
        <v>44075</v>
      </c>
      <c r="Y21" s="7">
        <f t="shared" si="8"/>
        <v>44075</v>
      </c>
      <c r="Z21" s="7">
        <f t="shared" si="8"/>
        <v>44075</v>
      </c>
      <c r="AA21" s="7">
        <f t="shared" si="8"/>
        <v>44075</v>
      </c>
      <c r="AB21" s="7">
        <f t="shared" si="8"/>
        <v>44075</v>
      </c>
      <c r="AC21" s="7">
        <f t="shared" si="8"/>
        <v>44075</v>
      </c>
      <c r="AD21" s="7">
        <f t="shared" si="8"/>
        <v>44075</v>
      </c>
      <c r="AE21" s="7">
        <f t="shared" si="8"/>
        <v>44075</v>
      </c>
      <c r="AF21" s="7">
        <f t="shared" si="8"/>
        <v>44075</v>
      </c>
      <c r="AG21" s="7">
        <f t="shared" si="8"/>
        <v>44075</v>
      </c>
      <c r="AH21" s="7">
        <f t="shared" si="8"/>
        <v>44440</v>
      </c>
      <c r="AI21" s="7">
        <f t="shared" si="8"/>
        <v>44440</v>
      </c>
      <c r="AJ21" s="7">
        <f t="shared" si="8"/>
        <v>44440</v>
      </c>
      <c r="AK21" s="7">
        <f t="shared" si="8"/>
        <v>44440</v>
      </c>
      <c r="AL21" s="7">
        <f t="shared" si="8"/>
        <v>44440</v>
      </c>
      <c r="AM21" s="7">
        <f t="shared" si="8"/>
        <v>44440</v>
      </c>
      <c r="AN21" s="7">
        <f t="shared" si="8"/>
        <v>44440</v>
      </c>
      <c r="AO21" s="7">
        <f t="shared" si="8"/>
        <v>44440</v>
      </c>
      <c r="AP21" s="7">
        <f t="shared" si="8"/>
        <v>44440</v>
      </c>
      <c r="AQ21" s="7">
        <f t="shared" si="8"/>
        <v>44440</v>
      </c>
      <c r="AR21" s="7">
        <f t="shared" si="8"/>
        <v>44440</v>
      </c>
      <c r="AS21" s="7">
        <f t="shared" si="8"/>
        <v>44440</v>
      </c>
      <c r="AT21" s="7">
        <f t="shared" si="8"/>
        <v>44805</v>
      </c>
      <c r="AU21" s="7">
        <f t="shared" si="8"/>
        <v>44805</v>
      </c>
      <c r="AV21" s="7">
        <f t="shared" si="8"/>
        <v>44805</v>
      </c>
      <c r="AW21" s="7">
        <f t="shared" si="8"/>
        <v>44805</v>
      </c>
      <c r="AX21" s="7">
        <f t="shared" si="8"/>
        <v>44805</v>
      </c>
      <c r="AY21" s="7">
        <f t="shared" si="8"/>
        <v>44805</v>
      </c>
      <c r="AZ21" s="7">
        <f t="shared" si="8"/>
        <v>44805</v>
      </c>
      <c r="BA21" s="7">
        <f t="shared" si="8"/>
        <v>44805</v>
      </c>
      <c r="BB21" s="7">
        <f t="shared" si="8"/>
        <v>44805</v>
      </c>
      <c r="BC21" s="7">
        <f t="shared" si="8"/>
        <v>44805</v>
      </c>
      <c r="BD21" s="7">
        <f t="shared" si="8"/>
        <v>44805</v>
      </c>
      <c r="BE21" s="7">
        <f t="shared" si="8"/>
        <v>44805</v>
      </c>
      <c r="BF21" s="7">
        <f t="shared" si="8"/>
        <v>45170</v>
      </c>
      <c r="BG21" s="7">
        <f t="shared" si="8"/>
        <v>45170</v>
      </c>
      <c r="BH21" s="7">
        <f t="shared" si="8"/>
        <v>45170</v>
      </c>
      <c r="BI21" s="7">
        <f t="shared" si="8"/>
        <v>45170</v>
      </c>
    </row>
    <row r="22" spans="4:61" s="6" customFormat="1" x14ac:dyDescent="0.35">
      <c r="E22" s="6">
        <v>10</v>
      </c>
      <c r="J22" s="6" t="s">
        <v>6</v>
      </c>
      <c r="M22" s="26"/>
      <c r="N22" s="78"/>
      <c r="O22" s="78"/>
      <c r="P22" s="78"/>
      <c r="Q22" s="78"/>
      <c r="R22" s="78"/>
      <c r="S22" s="78"/>
      <c r="T22" s="78"/>
      <c r="U22" s="78"/>
      <c r="V22" s="78"/>
      <c r="W22" s="7">
        <f t="shared" ref="W22:BI22" si="9">IF(W$11=$E22,W$10,V22)</f>
        <v>44105</v>
      </c>
      <c r="X22" s="7">
        <f t="shared" si="9"/>
        <v>44105</v>
      </c>
      <c r="Y22" s="7">
        <f t="shared" si="9"/>
        <v>44105</v>
      </c>
      <c r="Z22" s="7">
        <f t="shared" si="9"/>
        <v>44105</v>
      </c>
      <c r="AA22" s="7">
        <f t="shared" si="9"/>
        <v>44105</v>
      </c>
      <c r="AB22" s="7">
        <f t="shared" si="9"/>
        <v>44105</v>
      </c>
      <c r="AC22" s="7">
        <f t="shared" si="9"/>
        <v>44105</v>
      </c>
      <c r="AD22" s="7">
        <f t="shared" si="9"/>
        <v>44105</v>
      </c>
      <c r="AE22" s="7">
        <f t="shared" si="9"/>
        <v>44105</v>
      </c>
      <c r="AF22" s="7">
        <f t="shared" si="9"/>
        <v>44105</v>
      </c>
      <c r="AG22" s="7">
        <f t="shared" si="9"/>
        <v>44105</v>
      </c>
      <c r="AH22" s="7">
        <f t="shared" si="9"/>
        <v>44105</v>
      </c>
      <c r="AI22" s="7">
        <f t="shared" si="9"/>
        <v>44470</v>
      </c>
      <c r="AJ22" s="7">
        <f t="shared" si="9"/>
        <v>44470</v>
      </c>
      <c r="AK22" s="7">
        <f t="shared" si="9"/>
        <v>44470</v>
      </c>
      <c r="AL22" s="7">
        <f t="shared" si="9"/>
        <v>44470</v>
      </c>
      <c r="AM22" s="7">
        <f t="shared" si="9"/>
        <v>44470</v>
      </c>
      <c r="AN22" s="7">
        <f t="shared" si="9"/>
        <v>44470</v>
      </c>
      <c r="AO22" s="7">
        <f t="shared" si="9"/>
        <v>44470</v>
      </c>
      <c r="AP22" s="7">
        <f t="shared" si="9"/>
        <v>44470</v>
      </c>
      <c r="AQ22" s="7">
        <f t="shared" si="9"/>
        <v>44470</v>
      </c>
      <c r="AR22" s="7">
        <f t="shared" si="9"/>
        <v>44470</v>
      </c>
      <c r="AS22" s="7">
        <f t="shared" si="9"/>
        <v>44470</v>
      </c>
      <c r="AT22" s="7">
        <f t="shared" si="9"/>
        <v>44470</v>
      </c>
      <c r="AU22" s="7">
        <f t="shared" si="9"/>
        <v>44835</v>
      </c>
      <c r="AV22" s="7">
        <f t="shared" si="9"/>
        <v>44835</v>
      </c>
      <c r="AW22" s="7">
        <f t="shared" si="9"/>
        <v>44835</v>
      </c>
      <c r="AX22" s="7">
        <f t="shared" si="9"/>
        <v>44835</v>
      </c>
      <c r="AY22" s="7">
        <f t="shared" si="9"/>
        <v>44835</v>
      </c>
      <c r="AZ22" s="7">
        <f t="shared" si="9"/>
        <v>44835</v>
      </c>
      <c r="BA22" s="7">
        <f t="shared" si="9"/>
        <v>44835</v>
      </c>
      <c r="BB22" s="7">
        <f t="shared" si="9"/>
        <v>44835</v>
      </c>
      <c r="BC22" s="7">
        <f t="shared" si="9"/>
        <v>44835</v>
      </c>
      <c r="BD22" s="7">
        <f t="shared" si="9"/>
        <v>44835</v>
      </c>
      <c r="BE22" s="7">
        <f t="shared" si="9"/>
        <v>44835</v>
      </c>
      <c r="BF22" s="7">
        <f t="shared" si="9"/>
        <v>44835</v>
      </c>
      <c r="BG22" s="7">
        <f t="shared" si="9"/>
        <v>45200</v>
      </c>
      <c r="BH22" s="7">
        <f t="shared" si="9"/>
        <v>45200</v>
      </c>
      <c r="BI22" s="7">
        <f t="shared" si="9"/>
        <v>45200</v>
      </c>
    </row>
    <row r="23" spans="4:61" s="6" customFormat="1" x14ac:dyDescent="0.35">
      <c r="E23" s="6">
        <v>11</v>
      </c>
      <c r="J23" s="6" t="s">
        <v>6</v>
      </c>
      <c r="M23" s="26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">
        <f t="shared" ref="X23:BI23" si="10">IF(X$11=$E23,X$10,W23)</f>
        <v>44136</v>
      </c>
      <c r="Y23" s="7">
        <f t="shared" si="10"/>
        <v>44136</v>
      </c>
      <c r="Z23" s="7">
        <f t="shared" si="10"/>
        <v>44136</v>
      </c>
      <c r="AA23" s="7">
        <f t="shared" si="10"/>
        <v>44136</v>
      </c>
      <c r="AB23" s="7">
        <f t="shared" si="10"/>
        <v>44136</v>
      </c>
      <c r="AC23" s="7">
        <f t="shared" si="10"/>
        <v>44136</v>
      </c>
      <c r="AD23" s="7">
        <f t="shared" si="10"/>
        <v>44136</v>
      </c>
      <c r="AE23" s="7">
        <f t="shared" si="10"/>
        <v>44136</v>
      </c>
      <c r="AF23" s="7">
        <f t="shared" si="10"/>
        <v>44136</v>
      </c>
      <c r="AG23" s="7">
        <f t="shared" si="10"/>
        <v>44136</v>
      </c>
      <c r="AH23" s="7">
        <f t="shared" si="10"/>
        <v>44136</v>
      </c>
      <c r="AI23" s="7">
        <f t="shared" si="10"/>
        <v>44136</v>
      </c>
      <c r="AJ23" s="7">
        <f t="shared" si="10"/>
        <v>44501</v>
      </c>
      <c r="AK23" s="7">
        <f t="shared" si="10"/>
        <v>44501</v>
      </c>
      <c r="AL23" s="7">
        <f t="shared" si="10"/>
        <v>44501</v>
      </c>
      <c r="AM23" s="7">
        <f t="shared" si="10"/>
        <v>44501</v>
      </c>
      <c r="AN23" s="7">
        <f t="shared" si="10"/>
        <v>44501</v>
      </c>
      <c r="AO23" s="7">
        <f t="shared" si="10"/>
        <v>44501</v>
      </c>
      <c r="AP23" s="7">
        <f t="shared" si="10"/>
        <v>44501</v>
      </c>
      <c r="AQ23" s="7">
        <f t="shared" si="10"/>
        <v>44501</v>
      </c>
      <c r="AR23" s="7">
        <f t="shared" si="10"/>
        <v>44501</v>
      </c>
      <c r="AS23" s="7">
        <f t="shared" si="10"/>
        <v>44501</v>
      </c>
      <c r="AT23" s="7">
        <f t="shared" si="10"/>
        <v>44501</v>
      </c>
      <c r="AU23" s="7">
        <f t="shared" si="10"/>
        <v>44501</v>
      </c>
      <c r="AV23" s="7">
        <f t="shared" si="10"/>
        <v>44866</v>
      </c>
      <c r="AW23" s="7">
        <f t="shared" si="10"/>
        <v>44866</v>
      </c>
      <c r="AX23" s="7">
        <f t="shared" si="10"/>
        <v>44866</v>
      </c>
      <c r="AY23" s="7">
        <f t="shared" si="10"/>
        <v>44866</v>
      </c>
      <c r="AZ23" s="7">
        <f t="shared" si="10"/>
        <v>44866</v>
      </c>
      <c r="BA23" s="7">
        <f t="shared" si="10"/>
        <v>44866</v>
      </c>
      <c r="BB23" s="7">
        <f t="shared" si="10"/>
        <v>44866</v>
      </c>
      <c r="BC23" s="7">
        <f t="shared" si="10"/>
        <v>44866</v>
      </c>
      <c r="BD23" s="7">
        <f t="shared" si="10"/>
        <v>44866</v>
      </c>
      <c r="BE23" s="7">
        <f t="shared" si="10"/>
        <v>44866</v>
      </c>
      <c r="BF23" s="7">
        <f t="shared" si="10"/>
        <v>44866</v>
      </c>
      <c r="BG23" s="7">
        <f t="shared" si="10"/>
        <v>44866</v>
      </c>
      <c r="BH23" s="7">
        <f t="shared" si="10"/>
        <v>45231</v>
      </c>
      <c r="BI23" s="7">
        <f t="shared" si="10"/>
        <v>45231</v>
      </c>
    </row>
    <row r="24" spans="4:61" s="6" customFormat="1" x14ac:dyDescent="0.35">
      <c r="E24" s="6">
        <v>12</v>
      </c>
      <c r="J24" s="6" t="s">
        <v>6</v>
      </c>
      <c r="M24" s="26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">
        <f t="shared" ref="Y24:BI24" si="11">IF(Y$11=$E24,Y$10,X24)</f>
        <v>44166</v>
      </c>
      <c r="Z24" s="7">
        <f t="shared" si="11"/>
        <v>44166</v>
      </c>
      <c r="AA24" s="7">
        <f t="shared" si="11"/>
        <v>44166</v>
      </c>
      <c r="AB24" s="7">
        <f t="shared" si="11"/>
        <v>44166</v>
      </c>
      <c r="AC24" s="7">
        <f t="shared" si="11"/>
        <v>44166</v>
      </c>
      <c r="AD24" s="7">
        <f t="shared" si="11"/>
        <v>44166</v>
      </c>
      <c r="AE24" s="7">
        <f t="shared" si="11"/>
        <v>44166</v>
      </c>
      <c r="AF24" s="7">
        <f t="shared" si="11"/>
        <v>44166</v>
      </c>
      <c r="AG24" s="7">
        <f t="shared" si="11"/>
        <v>44166</v>
      </c>
      <c r="AH24" s="7">
        <f t="shared" si="11"/>
        <v>44166</v>
      </c>
      <c r="AI24" s="7">
        <f t="shared" si="11"/>
        <v>44166</v>
      </c>
      <c r="AJ24" s="7">
        <f t="shared" si="11"/>
        <v>44166</v>
      </c>
      <c r="AK24" s="7">
        <f t="shared" si="11"/>
        <v>44531</v>
      </c>
      <c r="AL24" s="7">
        <f t="shared" si="11"/>
        <v>44531</v>
      </c>
      <c r="AM24" s="7">
        <f t="shared" si="11"/>
        <v>44531</v>
      </c>
      <c r="AN24" s="7">
        <f t="shared" si="11"/>
        <v>44531</v>
      </c>
      <c r="AO24" s="7">
        <f t="shared" si="11"/>
        <v>44531</v>
      </c>
      <c r="AP24" s="7">
        <f t="shared" si="11"/>
        <v>44531</v>
      </c>
      <c r="AQ24" s="7">
        <f t="shared" si="11"/>
        <v>44531</v>
      </c>
      <c r="AR24" s="7">
        <f t="shared" si="11"/>
        <v>44531</v>
      </c>
      <c r="AS24" s="7">
        <f t="shared" si="11"/>
        <v>44531</v>
      </c>
      <c r="AT24" s="7">
        <f t="shared" si="11"/>
        <v>44531</v>
      </c>
      <c r="AU24" s="7">
        <f t="shared" si="11"/>
        <v>44531</v>
      </c>
      <c r="AV24" s="7">
        <f t="shared" si="11"/>
        <v>44531</v>
      </c>
      <c r="AW24" s="7">
        <f t="shared" si="11"/>
        <v>44896</v>
      </c>
      <c r="AX24" s="7">
        <f t="shared" si="11"/>
        <v>44896</v>
      </c>
      <c r="AY24" s="7">
        <f t="shared" si="11"/>
        <v>44896</v>
      </c>
      <c r="AZ24" s="7">
        <f t="shared" si="11"/>
        <v>44896</v>
      </c>
      <c r="BA24" s="7">
        <f t="shared" si="11"/>
        <v>44896</v>
      </c>
      <c r="BB24" s="7">
        <f t="shared" si="11"/>
        <v>44896</v>
      </c>
      <c r="BC24" s="7">
        <f t="shared" si="11"/>
        <v>44896</v>
      </c>
      <c r="BD24" s="7">
        <f t="shared" si="11"/>
        <v>44896</v>
      </c>
      <c r="BE24" s="7">
        <f t="shared" si="11"/>
        <v>44896</v>
      </c>
      <c r="BF24" s="7">
        <f t="shared" si="11"/>
        <v>44896</v>
      </c>
      <c r="BG24" s="7">
        <f t="shared" si="11"/>
        <v>44896</v>
      </c>
      <c r="BH24" s="7">
        <f t="shared" si="11"/>
        <v>44896</v>
      </c>
      <c r="BI24" s="7">
        <f t="shared" si="11"/>
        <v>45261</v>
      </c>
    </row>
    <row r="25" spans="4:61" s="4" customFormat="1" x14ac:dyDescent="0.35"/>
    <row r="26" spans="4:61" x14ac:dyDescent="0.35">
      <c r="D26" s="1" t="s">
        <v>82</v>
      </c>
    </row>
    <row r="28" spans="4:61" s="4" customFormat="1" x14ac:dyDescent="0.35">
      <c r="E28" s="4">
        <f>Hypothèses_trajectoire!E48</f>
        <v>1</v>
      </c>
      <c r="I28" s="4">
        <f>Hypothèses_trajectoire!I48</f>
        <v>20</v>
      </c>
      <c r="J28" s="4" t="str">
        <f>Hypothèses_trajectoire!J48</f>
        <v>jours calendaires</v>
      </c>
    </row>
    <row r="29" spans="4:61" s="4" customFormat="1" x14ac:dyDescent="0.35">
      <c r="E29" s="4">
        <f>Hypothèses_trajectoire!E49</f>
        <v>2</v>
      </c>
      <c r="I29" s="4">
        <f>Hypothèses_trajectoire!I49</f>
        <v>20</v>
      </c>
      <c r="J29" s="4" t="str">
        <f>Hypothèses_trajectoire!J49</f>
        <v>jours calendaires</v>
      </c>
    </row>
    <row r="30" spans="4:61" s="4" customFormat="1" x14ac:dyDescent="0.35">
      <c r="E30" s="4">
        <f>Hypothèses_trajectoire!E50</f>
        <v>3</v>
      </c>
      <c r="I30" s="4">
        <f>Hypothèses_trajectoire!I50</f>
        <v>20</v>
      </c>
      <c r="J30" s="4" t="str">
        <f>Hypothèses_trajectoire!J50</f>
        <v>jours calendaires</v>
      </c>
    </row>
    <row r="31" spans="4:61" s="4" customFormat="1" x14ac:dyDescent="0.35">
      <c r="E31" s="4">
        <f>Hypothèses_trajectoire!E51</f>
        <v>4</v>
      </c>
      <c r="I31" s="4">
        <f>Hypothèses_trajectoire!I51</f>
        <v>20</v>
      </c>
      <c r="J31" s="4" t="str">
        <f>Hypothèses_trajectoire!J51</f>
        <v>jours calendaires</v>
      </c>
    </row>
    <row r="32" spans="4:61" s="4" customFormat="1" x14ac:dyDescent="0.35">
      <c r="E32" s="4">
        <f>Hypothèses_trajectoire!E52</f>
        <v>5</v>
      </c>
      <c r="H32" s="4">
        <v>990</v>
      </c>
      <c r="I32" s="4">
        <f>Hypothèses_trajectoire!I52</f>
        <v>20</v>
      </c>
      <c r="J32" s="4" t="str">
        <f>Hypothèses_trajectoire!J52</f>
        <v>jours calendaires</v>
      </c>
    </row>
    <row r="33" spans="5:62" s="4" customFormat="1" x14ac:dyDescent="0.35">
      <c r="E33" s="4">
        <f>Hypothèses_trajectoire!E53</f>
        <v>6</v>
      </c>
      <c r="I33" s="4">
        <f>Hypothèses_trajectoire!I53</f>
        <v>20</v>
      </c>
      <c r="J33" s="4" t="str">
        <f>Hypothèses_trajectoire!J53</f>
        <v>jours calendaires</v>
      </c>
    </row>
    <row r="34" spans="5:62" s="4" customFormat="1" x14ac:dyDescent="0.35">
      <c r="E34" s="4">
        <f>Hypothèses_trajectoire!E54</f>
        <v>7</v>
      </c>
      <c r="I34" s="4">
        <f>Hypothèses_trajectoire!I54</f>
        <v>20</v>
      </c>
      <c r="J34" s="4" t="str">
        <f>Hypothèses_trajectoire!J54</f>
        <v>jours calendaires</v>
      </c>
    </row>
    <row r="35" spans="5:62" s="4" customFormat="1" x14ac:dyDescent="0.35">
      <c r="E35" s="4">
        <f>Hypothèses_trajectoire!E55</f>
        <v>8</v>
      </c>
      <c r="I35" s="4">
        <f>Hypothèses_trajectoire!I55</f>
        <v>20</v>
      </c>
      <c r="J35" s="4" t="str">
        <f>Hypothèses_trajectoire!J55</f>
        <v>jours calendaires</v>
      </c>
    </row>
    <row r="36" spans="5:62" s="4" customFormat="1" x14ac:dyDescent="0.35">
      <c r="E36" s="4">
        <f>Hypothèses_trajectoire!E56</f>
        <v>9</v>
      </c>
      <c r="I36" s="4">
        <f>Hypothèses_trajectoire!I56</f>
        <v>20</v>
      </c>
      <c r="J36" s="4" t="str">
        <f>Hypothèses_trajectoire!J56</f>
        <v>jours calendaires</v>
      </c>
    </row>
    <row r="37" spans="5:62" s="4" customFormat="1" x14ac:dyDescent="0.35">
      <c r="E37" s="4">
        <f>Hypothèses_trajectoire!E57</f>
        <v>10</v>
      </c>
      <c r="I37" s="4">
        <f>Hypothèses_trajectoire!I57</f>
        <v>20</v>
      </c>
      <c r="J37" s="4" t="str">
        <f>Hypothèses_trajectoire!J57</f>
        <v>jours calendaires</v>
      </c>
    </row>
    <row r="38" spans="5:62" s="4" customFormat="1" x14ac:dyDescent="0.35">
      <c r="E38" s="4">
        <f>Hypothèses_trajectoire!E58</f>
        <v>11</v>
      </c>
      <c r="I38" s="4">
        <f>Hypothèses_trajectoire!I58</f>
        <v>20</v>
      </c>
      <c r="J38" s="4" t="str">
        <f>Hypothèses_trajectoire!J58</f>
        <v>jours calendaires</v>
      </c>
    </row>
    <row r="39" spans="5:62" s="4" customFormat="1" x14ac:dyDescent="0.35">
      <c r="E39" s="4">
        <f>Hypothèses_trajectoire!E59</f>
        <v>12</v>
      </c>
      <c r="I39" s="4">
        <f>Hypothèses_trajectoire!I59</f>
        <v>20</v>
      </c>
      <c r="J39" s="4" t="str">
        <f>Hypothèses_trajectoire!J59</f>
        <v>jours calendaires</v>
      </c>
    </row>
    <row r="40" spans="5:62" s="4" customFormat="1" x14ac:dyDescent="0.35"/>
    <row r="41" spans="5:62" s="4" customFormat="1" x14ac:dyDescent="0.35">
      <c r="E41" s="4" t="str">
        <f>Hypothèses_trajectoire!E61</f>
        <v>Etalements autour de la moyenne</v>
      </c>
      <c r="I41" s="4">
        <f>Hypothèses_trajectoire!I61</f>
        <v>30</v>
      </c>
      <c r="J41" s="4" t="str">
        <f>Hypothèses_trajectoire!J61</f>
        <v>jours calendaires</v>
      </c>
    </row>
    <row r="43" spans="5:62" x14ac:dyDescent="0.35">
      <c r="E43">
        <f t="shared" ref="E43:E54" si="12">E13</f>
        <v>1</v>
      </c>
      <c r="J43" t="str">
        <f t="shared" ref="J43:J54" si="13">J13</f>
        <v>date</v>
      </c>
      <c r="N43" s="7">
        <f t="shared" ref="N43:BI43" si="14">N13</f>
        <v>43831</v>
      </c>
      <c r="O43" s="7">
        <f t="shared" si="14"/>
        <v>43831</v>
      </c>
      <c r="P43" s="7">
        <f t="shared" si="14"/>
        <v>43831</v>
      </c>
      <c r="Q43" s="7">
        <f t="shared" si="14"/>
        <v>43831</v>
      </c>
      <c r="R43" s="7">
        <f t="shared" si="14"/>
        <v>43831</v>
      </c>
      <c r="S43" s="7">
        <f t="shared" si="14"/>
        <v>43831</v>
      </c>
      <c r="T43" s="7">
        <f t="shared" si="14"/>
        <v>43831</v>
      </c>
      <c r="U43" s="7">
        <f t="shared" si="14"/>
        <v>43831</v>
      </c>
      <c r="V43" s="7">
        <f t="shared" si="14"/>
        <v>43831</v>
      </c>
      <c r="W43" s="7">
        <f t="shared" si="14"/>
        <v>43831</v>
      </c>
      <c r="X43" s="7">
        <f t="shared" si="14"/>
        <v>43831</v>
      </c>
      <c r="Y43" s="7">
        <f t="shared" si="14"/>
        <v>43831</v>
      </c>
      <c r="Z43" s="7">
        <f t="shared" si="14"/>
        <v>44197</v>
      </c>
      <c r="AA43" s="7">
        <f t="shared" si="14"/>
        <v>44197</v>
      </c>
      <c r="AB43" s="7">
        <f t="shared" si="14"/>
        <v>44197</v>
      </c>
      <c r="AC43" s="7">
        <f t="shared" si="14"/>
        <v>44197</v>
      </c>
      <c r="AD43" s="7">
        <f t="shared" si="14"/>
        <v>44197</v>
      </c>
      <c r="AE43" s="7">
        <f t="shared" si="14"/>
        <v>44197</v>
      </c>
      <c r="AF43" s="7">
        <f t="shared" si="14"/>
        <v>44197</v>
      </c>
      <c r="AG43" s="7">
        <f t="shared" si="14"/>
        <v>44197</v>
      </c>
      <c r="AH43" s="7">
        <f t="shared" si="14"/>
        <v>44197</v>
      </c>
      <c r="AI43" s="7">
        <f t="shared" si="14"/>
        <v>44197</v>
      </c>
      <c r="AJ43" s="7">
        <f t="shared" si="14"/>
        <v>44197</v>
      </c>
      <c r="AK43" s="7">
        <f t="shared" si="14"/>
        <v>44197</v>
      </c>
      <c r="AL43" s="7">
        <f t="shared" si="14"/>
        <v>44562</v>
      </c>
      <c r="AM43" s="7">
        <f t="shared" si="14"/>
        <v>44562</v>
      </c>
      <c r="AN43" s="7">
        <f t="shared" si="14"/>
        <v>44562</v>
      </c>
      <c r="AO43" s="7">
        <f t="shared" si="14"/>
        <v>44562</v>
      </c>
      <c r="AP43" s="7">
        <f t="shared" si="14"/>
        <v>44562</v>
      </c>
      <c r="AQ43" s="7">
        <f t="shared" si="14"/>
        <v>44562</v>
      </c>
      <c r="AR43" s="7">
        <f t="shared" si="14"/>
        <v>44562</v>
      </c>
      <c r="AS43" s="7">
        <f t="shared" si="14"/>
        <v>44562</v>
      </c>
      <c r="AT43" s="7">
        <f t="shared" si="14"/>
        <v>44562</v>
      </c>
      <c r="AU43" s="7">
        <f t="shared" si="14"/>
        <v>44562</v>
      </c>
      <c r="AV43" s="7">
        <f t="shared" si="14"/>
        <v>44562</v>
      </c>
      <c r="AW43" s="7">
        <f t="shared" si="14"/>
        <v>44562</v>
      </c>
      <c r="AX43" s="7">
        <f t="shared" si="14"/>
        <v>44927</v>
      </c>
      <c r="AY43" s="7">
        <f t="shared" si="14"/>
        <v>44927</v>
      </c>
      <c r="AZ43" s="7">
        <f t="shared" si="14"/>
        <v>44927</v>
      </c>
      <c r="BA43" s="7">
        <f t="shared" si="14"/>
        <v>44927</v>
      </c>
      <c r="BB43" s="7">
        <f t="shared" si="14"/>
        <v>44927</v>
      </c>
      <c r="BC43" s="7">
        <f t="shared" si="14"/>
        <v>44927</v>
      </c>
      <c r="BD43" s="7">
        <f t="shared" si="14"/>
        <v>44927</v>
      </c>
      <c r="BE43" s="7">
        <f t="shared" si="14"/>
        <v>44927</v>
      </c>
      <c r="BF43" s="7">
        <f t="shared" si="14"/>
        <v>44927</v>
      </c>
      <c r="BG43" s="7">
        <f t="shared" si="14"/>
        <v>44927</v>
      </c>
      <c r="BH43" s="7">
        <f t="shared" si="14"/>
        <v>44927</v>
      </c>
      <c r="BI43" s="7">
        <f t="shared" si="14"/>
        <v>44927</v>
      </c>
      <c r="BJ43" s="3"/>
    </row>
    <row r="44" spans="5:62" x14ac:dyDescent="0.35">
      <c r="E44">
        <f t="shared" si="12"/>
        <v>2</v>
      </c>
      <c r="J44" t="str">
        <f t="shared" si="13"/>
        <v>date</v>
      </c>
      <c r="N44" s="78"/>
      <c r="O44" s="7">
        <f t="shared" ref="O44:BI44" si="15">O14</f>
        <v>43862</v>
      </c>
      <c r="P44" s="7">
        <f t="shared" si="15"/>
        <v>43862</v>
      </c>
      <c r="Q44" s="7">
        <f t="shared" si="15"/>
        <v>43862</v>
      </c>
      <c r="R44" s="7">
        <f t="shared" si="15"/>
        <v>43862</v>
      </c>
      <c r="S44" s="7">
        <f t="shared" si="15"/>
        <v>43862</v>
      </c>
      <c r="T44" s="7">
        <f t="shared" si="15"/>
        <v>43862</v>
      </c>
      <c r="U44" s="7">
        <f t="shared" si="15"/>
        <v>43862</v>
      </c>
      <c r="V44" s="7">
        <f t="shared" si="15"/>
        <v>43862</v>
      </c>
      <c r="W44" s="7">
        <f t="shared" si="15"/>
        <v>43862</v>
      </c>
      <c r="X44" s="7">
        <f t="shared" si="15"/>
        <v>43862</v>
      </c>
      <c r="Y44" s="7">
        <f t="shared" si="15"/>
        <v>43862</v>
      </c>
      <c r="Z44" s="7">
        <f t="shared" si="15"/>
        <v>43862</v>
      </c>
      <c r="AA44" s="7">
        <f t="shared" si="15"/>
        <v>44228</v>
      </c>
      <c r="AB44" s="7">
        <f t="shared" si="15"/>
        <v>44228</v>
      </c>
      <c r="AC44" s="7">
        <f t="shared" si="15"/>
        <v>44228</v>
      </c>
      <c r="AD44" s="7">
        <f t="shared" si="15"/>
        <v>44228</v>
      </c>
      <c r="AE44" s="7">
        <f t="shared" si="15"/>
        <v>44228</v>
      </c>
      <c r="AF44" s="7">
        <f t="shared" si="15"/>
        <v>44228</v>
      </c>
      <c r="AG44" s="7">
        <f t="shared" si="15"/>
        <v>44228</v>
      </c>
      <c r="AH44" s="7">
        <f t="shared" si="15"/>
        <v>44228</v>
      </c>
      <c r="AI44" s="7">
        <f t="shared" si="15"/>
        <v>44228</v>
      </c>
      <c r="AJ44" s="7">
        <f t="shared" si="15"/>
        <v>44228</v>
      </c>
      <c r="AK44" s="7">
        <f t="shared" si="15"/>
        <v>44228</v>
      </c>
      <c r="AL44" s="7">
        <f t="shared" si="15"/>
        <v>44228</v>
      </c>
      <c r="AM44" s="7">
        <f t="shared" si="15"/>
        <v>44593</v>
      </c>
      <c r="AN44" s="7">
        <f t="shared" si="15"/>
        <v>44593</v>
      </c>
      <c r="AO44" s="7">
        <f t="shared" si="15"/>
        <v>44593</v>
      </c>
      <c r="AP44" s="7">
        <f t="shared" si="15"/>
        <v>44593</v>
      </c>
      <c r="AQ44" s="7">
        <f t="shared" si="15"/>
        <v>44593</v>
      </c>
      <c r="AR44" s="7">
        <f t="shared" si="15"/>
        <v>44593</v>
      </c>
      <c r="AS44" s="7">
        <f t="shared" si="15"/>
        <v>44593</v>
      </c>
      <c r="AT44" s="7">
        <f t="shared" si="15"/>
        <v>44593</v>
      </c>
      <c r="AU44" s="7">
        <f t="shared" si="15"/>
        <v>44593</v>
      </c>
      <c r="AV44" s="7">
        <f t="shared" si="15"/>
        <v>44593</v>
      </c>
      <c r="AW44" s="7">
        <f t="shared" si="15"/>
        <v>44593</v>
      </c>
      <c r="AX44" s="7">
        <f t="shared" si="15"/>
        <v>44593</v>
      </c>
      <c r="AY44" s="7">
        <f t="shared" si="15"/>
        <v>44958</v>
      </c>
      <c r="AZ44" s="7">
        <f t="shared" si="15"/>
        <v>44958</v>
      </c>
      <c r="BA44" s="7">
        <f t="shared" si="15"/>
        <v>44958</v>
      </c>
      <c r="BB44" s="7">
        <f t="shared" si="15"/>
        <v>44958</v>
      </c>
      <c r="BC44" s="7">
        <f t="shared" si="15"/>
        <v>44958</v>
      </c>
      <c r="BD44" s="7">
        <f t="shared" si="15"/>
        <v>44958</v>
      </c>
      <c r="BE44" s="7">
        <f t="shared" si="15"/>
        <v>44958</v>
      </c>
      <c r="BF44" s="7">
        <f t="shared" si="15"/>
        <v>44958</v>
      </c>
      <c r="BG44" s="7">
        <f t="shared" si="15"/>
        <v>44958</v>
      </c>
      <c r="BH44" s="7">
        <f t="shared" si="15"/>
        <v>44958</v>
      </c>
      <c r="BI44" s="7">
        <f t="shared" si="15"/>
        <v>44958</v>
      </c>
      <c r="BJ44" s="3"/>
    </row>
    <row r="45" spans="5:62" x14ac:dyDescent="0.35">
      <c r="E45">
        <f t="shared" si="12"/>
        <v>3</v>
      </c>
      <c r="J45" t="str">
        <f t="shared" si="13"/>
        <v>date</v>
      </c>
      <c r="N45" s="78"/>
      <c r="O45" s="78"/>
      <c r="P45" s="7">
        <f t="shared" ref="P45:BI45" si="16">P15</f>
        <v>43891</v>
      </c>
      <c r="Q45" s="7">
        <f t="shared" si="16"/>
        <v>43891</v>
      </c>
      <c r="R45" s="7">
        <f t="shared" si="16"/>
        <v>43891</v>
      </c>
      <c r="S45" s="7">
        <f t="shared" si="16"/>
        <v>43891</v>
      </c>
      <c r="T45" s="7">
        <f t="shared" si="16"/>
        <v>43891</v>
      </c>
      <c r="U45" s="7">
        <f t="shared" si="16"/>
        <v>43891</v>
      </c>
      <c r="V45" s="7">
        <f t="shared" si="16"/>
        <v>43891</v>
      </c>
      <c r="W45" s="7">
        <f t="shared" si="16"/>
        <v>43891</v>
      </c>
      <c r="X45" s="7">
        <f t="shared" si="16"/>
        <v>43891</v>
      </c>
      <c r="Y45" s="7">
        <f t="shared" si="16"/>
        <v>43891</v>
      </c>
      <c r="Z45" s="7">
        <f t="shared" si="16"/>
        <v>43891</v>
      </c>
      <c r="AA45" s="7">
        <f t="shared" si="16"/>
        <v>43891</v>
      </c>
      <c r="AB45" s="7">
        <f t="shared" si="16"/>
        <v>44256</v>
      </c>
      <c r="AC45" s="7">
        <f t="shared" si="16"/>
        <v>44256</v>
      </c>
      <c r="AD45" s="7">
        <f t="shared" si="16"/>
        <v>44256</v>
      </c>
      <c r="AE45" s="7">
        <f t="shared" si="16"/>
        <v>44256</v>
      </c>
      <c r="AF45" s="7">
        <f t="shared" si="16"/>
        <v>44256</v>
      </c>
      <c r="AG45" s="7">
        <f t="shared" si="16"/>
        <v>44256</v>
      </c>
      <c r="AH45" s="7">
        <f t="shared" si="16"/>
        <v>44256</v>
      </c>
      <c r="AI45" s="7">
        <f t="shared" si="16"/>
        <v>44256</v>
      </c>
      <c r="AJ45" s="7">
        <f t="shared" si="16"/>
        <v>44256</v>
      </c>
      <c r="AK45" s="7">
        <f t="shared" si="16"/>
        <v>44256</v>
      </c>
      <c r="AL45" s="7">
        <f t="shared" si="16"/>
        <v>44256</v>
      </c>
      <c r="AM45" s="7">
        <f t="shared" si="16"/>
        <v>44256</v>
      </c>
      <c r="AN45" s="7">
        <f t="shared" si="16"/>
        <v>44621</v>
      </c>
      <c r="AO45" s="7">
        <f t="shared" si="16"/>
        <v>44621</v>
      </c>
      <c r="AP45" s="7">
        <f t="shared" si="16"/>
        <v>44621</v>
      </c>
      <c r="AQ45" s="7">
        <f t="shared" si="16"/>
        <v>44621</v>
      </c>
      <c r="AR45" s="7">
        <f t="shared" si="16"/>
        <v>44621</v>
      </c>
      <c r="AS45" s="7">
        <f t="shared" si="16"/>
        <v>44621</v>
      </c>
      <c r="AT45" s="7">
        <f t="shared" si="16"/>
        <v>44621</v>
      </c>
      <c r="AU45" s="7">
        <f t="shared" si="16"/>
        <v>44621</v>
      </c>
      <c r="AV45" s="7">
        <f t="shared" si="16"/>
        <v>44621</v>
      </c>
      <c r="AW45" s="7">
        <f t="shared" si="16"/>
        <v>44621</v>
      </c>
      <c r="AX45" s="7">
        <f t="shared" si="16"/>
        <v>44621</v>
      </c>
      <c r="AY45" s="7">
        <f t="shared" si="16"/>
        <v>44621</v>
      </c>
      <c r="AZ45" s="7">
        <f t="shared" si="16"/>
        <v>44986</v>
      </c>
      <c r="BA45" s="7">
        <f t="shared" si="16"/>
        <v>44986</v>
      </c>
      <c r="BB45" s="7">
        <f t="shared" si="16"/>
        <v>44986</v>
      </c>
      <c r="BC45" s="7">
        <f t="shared" si="16"/>
        <v>44986</v>
      </c>
      <c r="BD45" s="7">
        <f t="shared" si="16"/>
        <v>44986</v>
      </c>
      <c r="BE45" s="7">
        <f t="shared" si="16"/>
        <v>44986</v>
      </c>
      <c r="BF45" s="7">
        <f t="shared" si="16"/>
        <v>44986</v>
      </c>
      <c r="BG45" s="7">
        <f t="shared" si="16"/>
        <v>44986</v>
      </c>
      <c r="BH45" s="7">
        <f t="shared" si="16"/>
        <v>44986</v>
      </c>
      <c r="BI45" s="7">
        <f t="shared" si="16"/>
        <v>44986</v>
      </c>
      <c r="BJ45" s="3"/>
    </row>
    <row r="46" spans="5:62" x14ac:dyDescent="0.35">
      <c r="E46">
        <f t="shared" si="12"/>
        <v>4</v>
      </c>
      <c r="J46" t="str">
        <f t="shared" si="13"/>
        <v>date</v>
      </c>
      <c r="N46" s="78"/>
      <c r="O46" s="78"/>
      <c r="P46" s="78"/>
      <c r="Q46" s="7">
        <f t="shared" ref="Q46:BI46" si="17">Q16</f>
        <v>43922</v>
      </c>
      <c r="R46" s="7">
        <f t="shared" si="17"/>
        <v>43922</v>
      </c>
      <c r="S46" s="7">
        <f t="shared" si="17"/>
        <v>43922</v>
      </c>
      <c r="T46" s="7">
        <f t="shared" si="17"/>
        <v>43922</v>
      </c>
      <c r="U46" s="7">
        <f t="shared" si="17"/>
        <v>43922</v>
      </c>
      <c r="V46" s="7">
        <f t="shared" si="17"/>
        <v>43922</v>
      </c>
      <c r="W46" s="7">
        <f t="shared" si="17"/>
        <v>43922</v>
      </c>
      <c r="X46" s="7">
        <f t="shared" si="17"/>
        <v>43922</v>
      </c>
      <c r="Y46" s="7">
        <f t="shared" si="17"/>
        <v>43922</v>
      </c>
      <c r="Z46" s="7">
        <f t="shared" si="17"/>
        <v>43922</v>
      </c>
      <c r="AA46" s="7">
        <f t="shared" si="17"/>
        <v>43922</v>
      </c>
      <c r="AB46" s="7">
        <f t="shared" si="17"/>
        <v>43922</v>
      </c>
      <c r="AC46" s="7">
        <f t="shared" si="17"/>
        <v>44287</v>
      </c>
      <c r="AD46" s="7">
        <f t="shared" si="17"/>
        <v>44287</v>
      </c>
      <c r="AE46" s="7">
        <f t="shared" si="17"/>
        <v>44287</v>
      </c>
      <c r="AF46" s="7">
        <f t="shared" si="17"/>
        <v>44287</v>
      </c>
      <c r="AG46" s="7">
        <f t="shared" si="17"/>
        <v>44287</v>
      </c>
      <c r="AH46" s="7">
        <f t="shared" si="17"/>
        <v>44287</v>
      </c>
      <c r="AI46" s="7">
        <f t="shared" si="17"/>
        <v>44287</v>
      </c>
      <c r="AJ46" s="7">
        <f t="shared" si="17"/>
        <v>44287</v>
      </c>
      <c r="AK46" s="7">
        <f t="shared" si="17"/>
        <v>44287</v>
      </c>
      <c r="AL46" s="7">
        <f t="shared" si="17"/>
        <v>44287</v>
      </c>
      <c r="AM46" s="7">
        <f t="shared" si="17"/>
        <v>44287</v>
      </c>
      <c r="AN46" s="7">
        <f t="shared" si="17"/>
        <v>44287</v>
      </c>
      <c r="AO46" s="7">
        <f t="shared" si="17"/>
        <v>44652</v>
      </c>
      <c r="AP46" s="7">
        <f t="shared" si="17"/>
        <v>44652</v>
      </c>
      <c r="AQ46" s="7">
        <f t="shared" si="17"/>
        <v>44652</v>
      </c>
      <c r="AR46" s="7">
        <f t="shared" si="17"/>
        <v>44652</v>
      </c>
      <c r="AS46" s="7">
        <f t="shared" si="17"/>
        <v>44652</v>
      </c>
      <c r="AT46" s="7">
        <f t="shared" si="17"/>
        <v>44652</v>
      </c>
      <c r="AU46" s="7">
        <f t="shared" si="17"/>
        <v>44652</v>
      </c>
      <c r="AV46" s="7">
        <f t="shared" si="17"/>
        <v>44652</v>
      </c>
      <c r="AW46" s="7">
        <f t="shared" si="17"/>
        <v>44652</v>
      </c>
      <c r="AX46" s="7">
        <f t="shared" si="17"/>
        <v>44652</v>
      </c>
      <c r="AY46" s="7">
        <f t="shared" si="17"/>
        <v>44652</v>
      </c>
      <c r="AZ46" s="7">
        <f t="shared" si="17"/>
        <v>44652</v>
      </c>
      <c r="BA46" s="7">
        <f t="shared" si="17"/>
        <v>45017</v>
      </c>
      <c r="BB46" s="7">
        <f t="shared" si="17"/>
        <v>45017</v>
      </c>
      <c r="BC46" s="7">
        <f t="shared" si="17"/>
        <v>45017</v>
      </c>
      <c r="BD46" s="7">
        <f t="shared" si="17"/>
        <v>45017</v>
      </c>
      <c r="BE46" s="7">
        <f t="shared" si="17"/>
        <v>45017</v>
      </c>
      <c r="BF46" s="7">
        <f t="shared" si="17"/>
        <v>45017</v>
      </c>
      <c r="BG46" s="7">
        <f t="shared" si="17"/>
        <v>45017</v>
      </c>
      <c r="BH46" s="7">
        <f t="shared" si="17"/>
        <v>45017</v>
      </c>
      <c r="BI46" s="7">
        <f t="shared" si="17"/>
        <v>45017</v>
      </c>
      <c r="BJ46" s="3"/>
    </row>
    <row r="47" spans="5:62" x14ac:dyDescent="0.35">
      <c r="E47">
        <f t="shared" si="12"/>
        <v>5</v>
      </c>
      <c r="J47" t="str">
        <f t="shared" si="13"/>
        <v>date</v>
      </c>
      <c r="N47" s="78"/>
      <c r="O47" s="78"/>
      <c r="P47" s="78"/>
      <c r="Q47" s="78"/>
      <c r="R47" s="7">
        <f t="shared" ref="R47:BI47" si="18">R17</f>
        <v>43952</v>
      </c>
      <c r="S47" s="7">
        <f t="shared" si="18"/>
        <v>43952</v>
      </c>
      <c r="T47" s="7">
        <f t="shared" si="18"/>
        <v>43952</v>
      </c>
      <c r="U47" s="7">
        <f t="shared" si="18"/>
        <v>43952</v>
      </c>
      <c r="V47" s="7">
        <f t="shared" si="18"/>
        <v>43952</v>
      </c>
      <c r="W47" s="7">
        <f t="shared" si="18"/>
        <v>43952</v>
      </c>
      <c r="X47" s="7">
        <f t="shared" si="18"/>
        <v>43952</v>
      </c>
      <c r="Y47" s="7">
        <f t="shared" si="18"/>
        <v>43952</v>
      </c>
      <c r="Z47" s="7">
        <f t="shared" si="18"/>
        <v>43952</v>
      </c>
      <c r="AA47" s="7">
        <f t="shared" si="18"/>
        <v>43952</v>
      </c>
      <c r="AB47" s="7">
        <f t="shared" si="18"/>
        <v>43952</v>
      </c>
      <c r="AC47" s="7">
        <f t="shared" si="18"/>
        <v>43952</v>
      </c>
      <c r="AD47" s="7">
        <f t="shared" si="18"/>
        <v>44317</v>
      </c>
      <c r="AE47" s="7">
        <f t="shared" si="18"/>
        <v>44317</v>
      </c>
      <c r="AF47" s="7">
        <f t="shared" si="18"/>
        <v>44317</v>
      </c>
      <c r="AG47" s="7">
        <f t="shared" si="18"/>
        <v>44317</v>
      </c>
      <c r="AH47" s="7">
        <f t="shared" si="18"/>
        <v>44317</v>
      </c>
      <c r="AI47" s="7">
        <f t="shared" si="18"/>
        <v>44317</v>
      </c>
      <c r="AJ47" s="7">
        <f t="shared" si="18"/>
        <v>44317</v>
      </c>
      <c r="AK47" s="7">
        <f t="shared" si="18"/>
        <v>44317</v>
      </c>
      <c r="AL47" s="7">
        <f t="shared" si="18"/>
        <v>44317</v>
      </c>
      <c r="AM47" s="7">
        <f t="shared" si="18"/>
        <v>44317</v>
      </c>
      <c r="AN47" s="7">
        <f t="shared" si="18"/>
        <v>44317</v>
      </c>
      <c r="AO47" s="7">
        <f t="shared" si="18"/>
        <v>44317</v>
      </c>
      <c r="AP47" s="7">
        <f t="shared" si="18"/>
        <v>44682</v>
      </c>
      <c r="AQ47" s="7">
        <f t="shared" si="18"/>
        <v>44682</v>
      </c>
      <c r="AR47" s="7">
        <f t="shared" si="18"/>
        <v>44682</v>
      </c>
      <c r="AS47" s="7">
        <f t="shared" si="18"/>
        <v>44682</v>
      </c>
      <c r="AT47" s="7">
        <f t="shared" si="18"/>
        <v>44682</v>
      </c>
      <c r="AU47" s="7">
        <f t="shared" si="18"/>
        <v>44682</v>
      </c>
      <c r="AV47" s="7">
        <f t="shared" si="18"/>
        <v>44682</v>
      </c>
      <c r="AW47" s="7">
        <f t="shared" si="18"/>
        <v>44682</v>
      </c>
      <c r="AX47" s="7">
        <f t="shared" si="18"/>
        <v>44682</v>
      </c>
      <c r="AY47" s="7">
        <f t="shared" si="18"/>
        <v>44682</v>
      </c>
      <c r="AZ47" s="7">
        <f t="shared" si="18"/>
        <v>44682</v>
      </c>
      <c r="BA47" s="7">
        <f t="shared" si="18"/>
        <v>44682</v>
      </c>
      <c r="BB47" s="7">
        <f t="shared" si="18"/>
        <v>45047</v>
      </c>
      <c r="BC47" s="7">
        <f t="shared" si="18"/>
        <v>45047</v>
      </c>
      <c r="BD47" s="7">
        <f t="shared" si="18"/>
        <v>45047</v>
      </c>
      <c r="BE47" s="7">
        <f t="shared" si="18"/>
        <v>45047</v>
      </c>
      <c r="BF47" s="7">
        <f t="shared" si="18"/>
        <v>45047</v>
      </c>
      <c r="BG47" s="7">
        <f t="shared" si="18"/>
        <v>45047</v>
      </c>
      <c r="BH47" s="7">
        <f t="shared" si="18"/>
        <v>45047</v>
      </c>
      <c r="BI47" s="7">
        <f t="shared" si="18"/>
        <v>45047</v>
      </c>
      <c r="BJ47" s="3"/>
    </row>
    <row r="48" spans="5:62" x14ac:dyDescent="0.35">
      <c r="E48">
        <f t="shared" si="12"/>
        <v>6</v>
      </c>
      <c r="J48" t="str">
        <f t="shared" si="13"/>
        <v>date</v>
      </c>
      <c r="N48" s="78"/>
      <c r="O48" s="78"/>
      <c r="P48" s="78"/>
      <c r="Q48" s="78"/>
      <c r="R48" s="78"/>
      <c r="S48" s="7">
        <f t="shared" ref="S48:BI48" si="19">S18</f>
        <v>43983</v>
      </c>
      <c r="T48" s="7">
        <f t="shared" si="19"/>
        <v>43983</v>
      </c>
      <c r="U48" s="7">
        <f t="shared" si="19"/>
        <v>43983</v>
      </c>
      <c r="V48" s="7">
        <f t="shared" si="19"/>
        <v>43983</v>
      </c>
      <c r="W48" s="7">
        <f t="shared" si="19"/>
        <v>43983</v>
      </c>
      <c r="X48" s="7">
        <f t="shared" si="19"/>
        <v>43983</v>
      </c>
      <c r="Y48" s="7">
        <f t="shared" si="19"/>
        <v>43983</v>
      </c>
      <c r="Z48" s="7">
        <f t="shared" si="19"/>
        <v>43983</v>
      </c>
      <c r="AA48" s="7">
        <f t="shared" si="19"/>
        <v>43983</v>
      </c>
      <c r="AB48" s="7">
        <f t="shared" si="19"/>
        <v>43983</v>
      </c>
      <c r="AC48" s="7">
        <f t="shared" si="19"/>
        <v>43983</v>
      </c>
      <c r="AD48" s="7">
        <f t="shared" si="19"/>
        <v>43983</v>
      </c>
      <c r="AE48" s="7">
        <f t="shared" si="19"/>
        <v>44348</v>
      </c>
      <c r="AF48" s="7">
        <f t="shared" si="19"/>
        <v>44348</v>
      </c>
      <c r="AG48" s="7">
        <f t="shared" si="19"/>
        <v>44348</v>
      </c>
      <c r="AH48" s="7">
        <f t="shared" si="19"/>
        <v>44348</v>
      </c>
      <c r="AI48" s="7">
        <f t="shared" si="19"/>
        <v>44348</v>
      </c>
      <c r="AJ48" s="7">
        <f t="shared" si="19"/>
        <v>44348</v>
      </c>
      <c r="AK48" s="7">
        <f t="shared" si="19"/>
        <v>44348</v>
      </c>
      <c r="AL48" s="7">
        <f t="shared" si="19"/>
        <v>44348</v>
      </c>
      <c r="AM48" s="7">
        <f t="shared" si="19"/>
        <v>44348</v>
      </c>
      <c r="AN48" s="7">
        <f t="shared" si="19"/>
        <v>44348</v>
      </c>
      <c r="AO48" s="7">
        <f t="shared" si="19"/>
        <v>44348</v>
      </c>
      <c r="AP48" s="7">
        <f t="shared" si="19"/>
        <v>44348</v>
      </c>
      <c r="AQ48" s="7">
        <f t="shared" si="19"/>
        <v>44713</v>
      </c>
      <c r="AR48" s="7">
        <f t="shared" si="19"/>
        <v>44713</v>
      </c>
      <c r="AS48" s="7">
        <f t="shared" si="19"/>
        <v>44713</v>
      </c>
      <c r="AT48" s="7">
        <f t="shared" si="19"/>
        <v>44713</v>
      </c>
      <c r="AU48" s="7">
        <f t="shared" si="19"/>
        <v>44713</v>
      </c>
      <c r="AV48" s="7">
        <f t="shared" si="19"/>
        <v>44713</v>
      </c>
      <c r="AW48" s="7">
        <f t="shared" si="19"/>
        <v>44713</v>
      </c>
      <c r="AX48" s="7">
        <f t="shared" si="19"/>
        <v>44713</v>
      </c>
      <c r="AY48" s="7">
        <f t="shared" si="19"/>
        <v>44713</v>
      </c>
      <c r="AZ48" s="7">
        <f t="shared" si="19"/>
        <v>44713</v>
      </c>
      <c r="BA48" s="7">
        <f t="shared" si="19"/>
        <v>44713</v>
      </c>
      <c r="BB48" s="7">
        <f t="shared" si="19"/>
        <v>44713</v>
      </c>
      <c r="BC48" s="7">
        <f t="shared" si="19"/>
        <v>45078</v>
      </c>
      <c r="BD48" s="7">
        <f t="shared" si="19"/>
        <v>45078</v>
      </c>
      <c r="BE48" s="7">
        <f t="shared" si="19"/>
        <v>45078</v>
      </c>
      <c r="BF48" s="7">
        <f t="shared" si="19"/>
        <v>45078</v>
      </c>
      <c r="BG48" s="7">
        <f t="shared" si="19"/>
        <v>45078</v>
      </c>
      <c r="BH48" s="7">
        <f t="shared" si="19"/>
        <v>45078</v>
      </c>
      <c r="BI48" s="7">
        <f t="shared" si="19"/>
        <v>45078</v>
      </c>
      <c r="BJ48" s="3"/>
    </row>
    <row r="49" spans="5:62" x14ac:dyDescent="0.35">
      <c r="E49">
        <f t="shared" si="12"/>
        <v>7</v>
      </c>
      <c r="J49" t="str">
        <f t="shared" si="13"/>
        <v>date</v>
      </c>
      <c r="N49" s="78"/>
      <c r="O49" s="78"/>
      <c r="P49" s="78"/>
      <c r="Q49" s="78"/>
      <c r="R49" s="78"/>
      <c r="S49" s="78"/>
      <c r="T49" s="7">
        <f t="shared" ref="T49:BI49" si="20">T19</f>
        <v>44013</v>
      </c>
      <c r="U49" s="7">
        <f t="shared" si="20"/>
        <v>44013</v>
      </c>
      <c r="V49" s="7">
        <f t="shared" si="20"/>
        <v>44013</v>
      </c>
      <c r="W49" s="7">
        <f t="shared" si="20"/>
        <v>44013</v>
      </c>
      <c r="X49" s="7">
        <f t="shared" si="20"/>
        <v>44013</v>
      </c>
      <c r="Y49" s="7">
        <f t="shared" si="20"/>
        <v>44013</v>
      </c>
      <c r="Z49" s="7">
        <f t="shared" si="20"/>
        <v>44013</v>
      </c>
      <c r="AA49" s="7">
        <f t="shared" si="20"/>
        <v>44013</v>
      </c>
      <c r="AB49" s="7">
        <f t="shared" si="20"/>
        <v>44013</v>
      </c>
      <c r="AC49" s="7">
        <f t="shared" si="20"/>
        <v>44013</v>
      </c>
      <c r="AD49" s="7">
        <f t="shared" si="20"/>
        <v>44013</v>
      </c>
      <c r="AE49" s="7">
        <f t="shared" si="20"/>
        <v>44013</v>
      </c>
      <c r="AF49" s="7">
        <f t="shared" si="20"/>
        <v>44378</v>
      </c>
      <c r="AG49" s="7">
        <f t="shared" si="20"/>
        <v>44378</v>
      </c>
      <c r="AH49" s="7">
        <f t="shared" si="20"/>
        <v>44378</v>
      </c>
      <c r="AI49" s="7">
        <f t="shared" si="20"/>
        <v>44378</v>
      </c>
      <c r="AJ49" s="7">
        <f t="shared" si="20"/>
        <v>44378</v>
      </c>
      <c r="AK49" s="7">
        <f t="shared" si="20"/>
        <v>44378</v>
      </c>
      <c r="AL49" s="7">
        <f t="shared" si="20"/>
        <v>44378</v>
      </c>
      <c r="AM49" s="7">
        <f t="shared" si="20"/>
        <v>44378</v>
      </c>
      <c r="AN49" s="7">
        <f t="shared" si="20"/>
        <v>44378</v>
      </c>
      <c r="AO49" s="7">
        <f t="shared" si="20"/>
        <v>44378</v>
      </c>
      <c r="AP49" s="7">
        <f t="shared" si="20"/>
        <v>44378</v>
      </c>
      <c r="AQ49" s="7">
        <f t="shared" si="20"/>
        <v>44378</v>
      </c>
      <c r="AR49" s="7">
        <f t="shared" si="20"/>
        <v>44743</v>
      </c>
      <c r="AS49" s="7">
        <f t="shared" si="20"/>
        <v>44743</v>
      </c>
      <c r="AT49" s="7">
        <f t="shared" si="20"/>
        <v>44743</v>
      </c>
      <c r="AU49" s="7">
        <f t="shared" si="20"/>
        <v>44743</v>
      </c>
      <c r="AV49" s="7">
        <f t="shared" si="20"/>
        <v>44743</v>
      </c>
      <c r="AW49" s="7">
        <f t="shared" si="20"/>
        <v>44743</v>
      </c>
      <c r="AX49" s="7">
        <f t="shared" si="20"/>
        <v>44743</v>
      </c>
      <c r="AY49" s="7">
        <f t="shared" si="20"/>
        <v>44743</v>
      </c>
      <c r="AZ49" s="7">
        <f t="shared" si="20"/>
        <v>44743</v>
      </c>
      <c r="BA49" s="7">
        <f t="shared" si="20"/>
        <v>44743</v>
      </c>
      <c r="BB49" s="7">
        <f t="shared" si="20"/>
        <v>44743</v>
      </c>
      <c r="BC49" s="7">
        <f t="shared" si="20"/>
        <v>44743</v>
      </c>
      <c r="BD49" s="7">
        <f t="shared" si="20"/>
        <v>45108</v>
      </c>
      <c r="BE49" s="7">
        <f t="shared" si="20"/>
        <v>45108</v>
      </c>
      <c r="BF49" s="7">
        <f t="shared" si="20"/>
        <v>45108</v>
      </c>
      <c r="BG49" s="7">
        <f t="shared" si="20"/>
        <v>45108</v>
      </c>
      <c r="BH49" s="7">
        <f t="shared" si="20"/>
        <v>45108</v>
      </c>
      <c r="BI49" s="7">
        <f t="shared" si="20"/>
        <v>45108</v>
      </c>
      <c r="BJ49" s="3"/>
    </row>
    <row r="50" spans="5:62" x14ac:dyDescent="0.35">
      <c r="E50">
        <f t="shared" si="12"/>
        <v>8</v>
      </c>
      <c r="J50" t="str">
        <f t="shared" si="13"/>
        <v>date</v>
      </c>
      <c r="N50" s="78"/>
      <c r="O50" s="78"/>
      <c r="P50" s="78"/>
      <c r="Q50" s="78"/>
      <c r="R50" s="78"/>
      <c r="S50" s="78"/>
      <c r="T50" s="78"/>
      <c r="U50" s="7">
        <f t="shared" ref="U50:BI50" si="21">U20</f>
        <v>44044</v>
      </c>
      <c r="V50" s="7">
        <f t="shared" si="21"/>
        <v>44044</v>
      </c>
      <c r="W50" s="7">
        <f t="shared" si="21"/>
        <v>44044</v>
      </c>
      <c r="X50" s="7">
        <f t="shared" si="21"/>
        <v>44044</v>
      </c>
      <c r="Y50" s="7">
        <f t="shared" si="21"/>
        <v>44044</v>
      </c>
      <c r="Z50" s="7">
        <f t="shared" si="21"/>
        <v>44044</v>
      </c>
      <c r="AA50" s="7">
        <f t="shared" si="21"/>
        <v>44044</v>
      </c>
      <c r="AB50" s="7">
        <f t="shared" si="21"/>
        <v>44044</v>
      </c>
      <c r="AC50" s="7">
        <f t="shared" si="21"/>
        <v>44044</v>
      </c>
      <c r="AD50" s="7">
        <f t="shared" si="21"/>
        <v>44044</v>
      </c>
      <c r="AE50" s="7">
        <f t="shared" si="21"/>
        <v>44044</v>
      </c>
      <c r="AF50" s="7">
        <f t="shared" si="21"/>
        <v>44044</v>
      </c>
      <c r="AG50" s="7">
        <f t="shared" si="21"/>
        <v>44409</v>
      </c>
      <c r="AH50" s="7">
        <f t="shared" si="21"/>
        <v>44409</v>
      </c>
      <c r="AI50" s="7">
        <f t="shared" si="21"/>
        <v>44409</v>
      </c>
      <c r="AJ50" s="7">
        <f t="shared" si="21"/>
        <v>44409</v>
      </c>
      <c r="AK50" s="7">
        <f t="shared" si="21"/>
        <v>44409</v>
      </c>
      <c r="AL50" s="7">
        <f t="shared" si="21"/>
        <v>44409</v>
      </c>
      <c r="AM50" s="7">
        <f t="shared" si="21"/>
        <v>44409</v>
      </c>
      <c r="AN50" s="7">
        <f t="shared" si="21"/>
        <v>44409</v>
      </c>
      <c r="AO50" s="7">
        <f t="shared" si="21"/>
        <v>44409</v>
      </c>
      <c r="AP50" s="7">
        <f t="shared" si="21"/>
        <v>44409</v>
      </c>
      <c r="AQ50" s="7">
        <f t="shared" si="21"/>
        <v>44409</v>
      </c>
      <c r="AR50" s="7">
        <f t="shared" si="21"/>
        <v>44409</v>
      </c>
      <c r="AS50" s="7">
        <f t="shared" si="21"/>
        <v>44774</v>
      </c>
      <c r="AT50" s="7">
        <f t="shared" si="21"/>
        <v>44774</v>
      </c>
      <c r="AU50" s="7">
        <f t="shared" si="21"/>
        <v>44774</v>
      </c>
      <c r="AV50" s="7">
        <f t="shared" si="21"/>
        <v>44774</v>
      </c>
      <c r="AW50" s="7">
        <f t="shared" si="21"/>
        <v>44774</v>
      </c>
      <c r="AX50" s="7">
        <f t="shared" si="21"/>
        <v>44774</v>
      </c>
      <c r="AY50" s="7">
        <f t="shared" si="21"/>
        <v>44774</v>
      </c>
      <c r="AZ50" s="7">
        <f t="shared" si="21"/>
        <v>44774</v>
      </c>
      <c r="BA50" s="7">
        <f t="shared" si="21"/>
        <v>44774</v>
      </c>
      <c r="BB50" s="7">
        <f t="shared" si="21"/>
        <v>44774</v>
      </c>
      <c r="BC50" s="7">
        <f t="shared" si="21"/>
        <v>44774</v>
      </c>
      <c r="BD50" s="7">
        <f t="shared" si="21"/>
        <v>44774</v>
      </c>
      <c r="BE50" s="7">
        <f t="shared" si="21"/>
        <v>45139</v>
      </c>
      <c r="BF50" s="7">
        <f t="shared" si="21"/>
        <v>45139</v>
      </c>
      <c r="BG50" s="7">
        <f t="shared" si="21"/>
        <v>45139</v>
      </c>
      <c r="BH50" s="7">
        <f t="shared" si="21"/>
        <v>45139</v>
      </c>
      <c r="BI50" s="7">
        <f t="shared" si="21"/>
        <v>45139</v>
      </c>
      <c r="BJ50" s="3"/>
    </row>
    <row r="51" spans="5:62" x14ac:dyDescent="0.35">
      <c r="E51">
        <f t="shared" si="12"/>
        <v>9</v>
      </c>
      <c r="J51" t="str">
        <f t="shared" si="13"/>
        <v>date</v>
      </c>
      <c r="N51" s="78"/>
      <c r="O51" s="78"/>
      <c r="P51" s="78"/>
      <c r="Q51" s="78"/>
      <c r="R51" s="78"/>
      <c r="S51" s="78"/>
      <c r="T51" s="78"/>
      <c r="U51" s="78"/>
      <c r="V51" s="7">
        <f t="shared" ref="V51:BI51" si="22">V21</f>
        <v>44075</v>
      </c>
      <c r="W51" s="7">
        <f t="shared" si="22"/>
        <v>44075</v>
      </c>
      <c r="X51" s="7">
        <f t="shared" si="22"/>
        <v>44075</v>
      </c>
      <c r="Y51" s="7">
        <f t="shared" si="22"/>
        <v>44075</v>
      </c>
      <c r="Z51" s="7">
        <f t="shared" si="22"/>
        <v>44075</v>
      </c>
      <c r="AA51" s="7">
        <f t="shared" si="22"/>
        <v>44075</v>
      </c>
      <c r="AB51" s="7">
        <f t="shared" si="22"/>
        <v>44075</v>
      </c>
      <c r="AC51" s="7">
        <f t="shared" si="22"/>
        <v>44075</v>
      </c>
      <c r="AD51" s="7">
        <f t="shared" si="22"/>
        <v>44075</v>
      </c>
      <c r="AE51" s="7">
        <f t="shared" si="22"/>
        <v>44075</v>
      </c>
      <c r="AF51" s="7">
        <f t="shared" si="22"/>
        <v>44075</v>
      </c>
      <c r="AG51" s="7">
        <f t="shared" si="22"/>
        <v>44075</v>
      </c>
      <c r="AH51" s="7">
        <f t="shared" si="22"/>
        <v>44440</v>
      </c>
      <c r="AI51" s="7">
        <f t="shared" si="22"/>
        <v>44440</v>
      </c>
      <c r="AJ51" s="7">
        <f t="shared" si="22"/>
        <v>44440</v>
      </c>
      <c r="AK51" s="7">
        <f t="shared" si="22"/>
        <v>44440</v>
      </c>
      <c r="AL51" s="7">
        <f t="shared" si="22"/>
        <v>44440</v>
      </c>
      <c r="AM51" s="7">
        <f t="shared" si="22"/>
        <v>44440</v>
      </c>
      <c r="AN51" s="7">
        <f t="shared" si="22"/>
        <v>44440</v>
      </c>
      <c r="AO51" s="7">
        <f t="shared" si="22"/>
        <v>44440</v>
      </c>
      <c r="AP51" s="7">
        <f t="shared" si="22"/>
        <v>44440</v>
      </c>
      <c r="AQ51" s="7">
        <f t="shared" si="22"/>
        <v>44440</v>
      </c>
      <c r="AR51" s="7">
        <f t="shared" si="22"/>
        <v>44440</v>
      </c>
      <c r="AS51" s="7">
        <f t="shared" si="22"/>
        <v>44440</v>
      </c>
      <c r="AT51" s="7">
        <f t="shared" si="22"/>
        <v>44805</v>
      </c>
      <c r="AU51" s="7">
        <f t="shared" si="22"/>
        <v>44805</v>
      </c>
      <c r="AV51" s="7">
        <f t="shared" si="22"/>
        <v>44805</v>
      </c>
      <c r="AW51" s="7">
        <f t="shared" si="22"/>
        <v>44805</v>
      </c>
      <c r="AX51" s="7">
        <f t="shared" si="22"/>
        <v>44805</v>
      </c>
      <c r="AY51" s="7">
        <f t="shared" si="22"/>
        <v>44805</v>
      </c>
      <c r="AZ51" s="7">
        <f t="shared" si="22"/>
        <v>44805</v>
      </c>
      <c r="BA51" s="7">
        <f t="shared" si="22"/>
        <v>44805</v>
      </c>
      <c r="BB51" s="7">
        <f t="shared" si="22"/>
        <v>44805</v>
      </c>
      <c r="BC51" s="7">
        <f t="shared" si="22"/>
        <v>44805</v>
      </c>
      <c r="BD51" s="7">
        <f t="shared" si="22"/>
        <v>44805</v>
      </c>
      <c r="BE51" s="7">
        <f t="shared" si="22"/>
        <v>44805</v>
      </c>
      <c r="BF51" s="7">
        <f t="shared" si="22"/>
        <v>45170</v>
      </c>
      <c r="BG51" s="7">
        <f t="shared" si="22"/>
        <v>45170</v>
      </c>
      <c r="BH51" s="7">
        <f t="shared" si="22"/>
        <v>45170</v>
      </c>
      <c r="BI51" s="7">
        <f t="shared" si="22"/>
        <v>45170</v>
      </c>
      <c r="BJ51" s="3"/>
    </row>
    <row r="52" spans="5:62" x14ac:dyDescent="0.35">
      <c r="E52">
        <f t="shared" si="12"/>
        <v>10</v>
      </c>
      <c r="J52" t="str">
        <f t="shared" si="13"/>
        <v>date</v>
      </c>
      <c r="N52" s="78"/>
      <c r="O52" s="78"/>
      <c r="P52" s="78"/>
      <c r="Q52" s="78"/>
      <c r="R52" s="78"/>
      <c r="S52" s="78"/>
      <c r="T52" s="78"/>
      <c r="U52" s="78"/>
      <c r="V52" s="78"/>
      <c r="W52" s="7">
        <f t="shared" ref="W52:BI52" si="23">W22</f>
        <v>44105</v>
      </c>
      <c r="X52" s="7">
        <f t="shared" si="23"/>
        <v>44105</v>
      </c>
      <c r="Y52" s="7">
        <f t="shared" si="23"/>
        <v>44105</v>
      </c>
      <c r="Z52" s="7">
        <f t="shared" si="23"/>
        <v>44105</v>
      </c>
      <c r="AA52" s="7">
        <f t="shared" si="23"/>
        <v>44105</v>
      </c>
      <c r="AB52" s="7">
        <f t="shared" si="23"/>
        <v>44105</v>
      </c>
      <c r="AC52" s="7">
        <f t="shared" si="23"/>
        <v>44105</v>
      </c>
      <c r="AD52" s="7">
        <f t="shared" si="23"/>
        <v>44105</v>
      </c>
      <c r="AE52" s="7">
        <f t="shared" si="23"/>
        <v>44105</v>
      </c>
      <c r="AF52" s="7">
        <f t="shared" si="23"/>
        <v>44105</v>
      </c>
      <c r="AG52" s="7">
        <f t="shared" si="23"/>
        <v>44105</v>
      </c>
      <c r="AH52" s="7">
        <f t="shared" si="23"/>
        <v>44105</v>
      </c>
      <c r="AI52" s="7">
        <f t="shared" si="23"/>
        <v>44470</v>
      </c>
      <c r="AJ52" s="7">
        <f t="shared" si="23"/>
        <v>44470</v>
      </c>
      <c r="AK52" s="7">
        <f t="shared" si="23"/>
        <v>44470</v>
      </c>
      <c r="AL52" s="7">
        <f t="shared" si="23"/>
        <v>44470</v>
      </c>
      <c r="AM52" s="7">
        <f t="shared" si="23"/>
        <v>44470</v>
      </c>
      <c r="AN52" s="7">
        <f t="shared" si="23"/>
        <v>44470</v>
      </c>
      <c r="AO52" s="7">
        <f t="shared" si="23"/>
        <v>44470</v>
      </c>
      <c r="AP52" s="7">
        <f t="shared" si="23"/>
        <v>44470</v>
      </c>
      <c r="AQ52" s="7">
        <f t="shared" si="23"/>
        <v>44470</v>
      </c>
      <c r="AR52" s="7">
        <f t="shared" si="23"/>
        <v>44470</v>
      </c>
      <c r="AS52" s="7">
        <f t="shared" si="23"/>
        <v>44470</v>
      </c>
      <c r="AT52" s="7">
        <f t="shared" si="23"/>
        <v>44470</v>
      </c>
      <c r="AU52" s="7">
        <f t="shared" si="23"/>
        <v>44835</v>
      </c>
      <c r="AV52" s="7">
        <f t="shared" si="23"/>
        <v>44835</v>
      </c>
      <c r="AW52" s="7">
        <f t="shared" si="23"/>
        <v>44835</v>
      </c>
      <c r="AX52" s="7">
        <f t="shared" si="23"/>
        <v>44835</v>
      </c>
      <c r="AY52" s="7">
        <f t="shared" si="23"/>
        <v>44835</v>
      </c>
      <c r="AZ52" s="7">
        <f t="shared" si="23"/>
        <v>44835</v>
      </c>
      <c r="BA52" s="7">
        <f t="shared" si="23"/>
        <v>44835</v>
      </c>
      <c r="BB52" s="7">
        <f t="shared" si="23"/>
        <v>44835</v>
      </c>
      <c r="BC52" s="7">
        <f t="shared" si="23"/>
        <v>44835</v>
      </c>
      <c r="BD52" s="7">
        <f t="shared" si="23"/>
        <v>44835</v>
      </c>
      <c r="BE52" s="7">
        <f t="shared" si="23"/>
        <v>44835</v>
      </c>
      <c r="BF52" s="7">
        <f t="shared" si="23"/>
        <v>44835</v>
      </c>
      <c r="BG52" s="7">
        <f t="shared" si="23"/>
        <v>45200</v>
      </c>
      <c r="BH52" s="7">
        <f t="shared" si="23"/>
        <v>45200</v>
      </c>
      <c r="BI52" s="7">
        <f t="shared" si="23"/>
        <v>45200</v>
      </c>
      <c r="BJ52" s="3"/>
    </row>
    <row r="53" spans="5:62" x14ac:dyDescent="0.35">
      <c r="E53">
        <f t="shared" si="12"/>
        <v>11</v>
      </c>
      <c r="J53" t="str">
        <f t="shared" si="13"/>
        <v>date</v>
      </c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">
        <f t="shared" ref="X53:BI53" si="24">X23</f>
        <v>44136</v>
      </c>
      <c r="Y53" s="7">
        <f t="shared" si="24"/>
        <v>44136</v>
      </c>
      <c r="Z53" s="7">
        <f t="shared" si="24"/>
        <v>44136</v>
      </c>
      <c r="AA53" s="7">
        <f t="shared" si="24"/>
        <v>44136</v>
      </c>
      <c r="AB53" s="7">
        <f t="shared" si="24"/>
        <v>44136</v>
      </c>
      <c r="AC53" s="7">
        <f t="shared" si="24"/>
        <v>44136</v>
      </c>
      <c r="AD53" s="7">
        <f t="shared" si="24"/>
        <v>44136</v>
      </c>
      <c r="AE53" s="7">
        <f t="shared" si="24"/>
        <v>44136</v>
      </c>
      <c r="AF53" s="7">
        <f t="shared" si="24"/>
        <v>44136</v>
      </c>
      <c r="AG53" s="7">
        <f t="shared" si="24"/>
        <v>44136</v>
      </c>
      <c r="AH53" s="7">
        <f t="shared" si="24"/>
        <v>44136</v>
      </c>
      <c r="AI53" s="7">
        <f t="shared" si="24"/>
        <v>44136</v>
      </c>
      <c r="AJ53" s="7">
        <f t="shared" si="24"/>
        <v>44501</v>
      </c>
      <c r="AK53" s="7">
        <f t="shared" si="24"/>
        <v>44501</v>
      </c>
      <c r="AL53" s="7">
        <f t="shared" si="24"/>
        <v>44501</v>
      </c>
      <c r="AM53" s="7">
        <f t="shared" si="24"/>
        <v>44501</v>
      </c>
      <c r="AN53" s="7">
        <f t="shared" si="24"/>
        <v>44501</v>
      </c>
      <c r="AO53" s="7">
        <f t="shared" si="24"/>
        <v>44501</v>
      </c>
      <c r="AP53" s="7">
        <f t="shared" si="24"/>
        <v>44501</v>
      </c>
      <c r="AQ53" s="7">
        <f t="shared" si="24"/>
        <v>44501</v>
      </c>
      <c r="AR53" s="7">
        <f t="shared" si="24"/>
        <v>44501</v>
      </c>
      <c r="AS53" s="7">
        <f t="shared" si="24"/>
        <v>44501</v>
      </c>
      <c r="AT53" s="7">
        <f t="shared" si="24"/>
        <v>44501</v>
      </c>
      <c r="AU53" s="7">
        <f t="shared" si="24"/>
        <v>44501</v>
      </c>
      <c r="AV53" s="7">
        <f t="shared" si="24"/>
        <v>44866</v>
      </c>
      <c r="AW53" s="7">
        <f t="shared" si="24"/>
        <v>44866</v>
      </c>
      <c r="AX53" s="7">
        <f t="shared" si="24"/>
        <v>44866</v>
      </c>
      <c r="AY53" s="7">
        <f t="shared" si="24"/>
        <v>44866</v>
      </c>
      <c r="AZ53" s="7">
        <f t="shared" si="24"/>
        <v>44866</v>
      </c>
      <c r="BA53" s="7">
        <f t="shared" si="24"/>
        <v>44866</v>
      </c>
      <c r="BB53" s="7">
        <f t="shared" si="24"/>
        <v>44866</v>
      </c>
      <c r="BC53" s="7">
        <f t="shared" si="24"/>
        <v>44866</v>
      </c>
      <c r="BD53" s="7">
        <f t="shared" si="24"/>
        <v>44866</v>
      </c>
      <c r="BE53" s="7">
        <f t="shared" si="24"/>
        <v>44866</v>
      </c>
      <c r="BF53" s="7">
        <f t="shared" si="24"/>
        <v>44866</v>
      </c>
      <c r="BG53" s="7">
        <f t="shared" si="24"/>
        <v>44866</v>
      </c>
      <c r="BH53" s="7">
        <f t="shared" si="24"/>
        <v>45231</v>
      </c>
      <c r="BI53" s="7">
        <f t="shared" si="24"/>
        <v>45231</v>
      </c>
      <c r="BJ53" s="3"/>
    </row>
    <row r="54" spans="5:62" x14ac:dyDescent="0.35">
      <c r="E54">
        <f t="shared" si="12"/>
        <v>12</v>
      </c>
      <c r="J54" t="str">
        <f t="shared" si="13"/>
        <v>date</v>
      </c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">
        <f t="shared" ref="Y54:BI54" si="25">Y24</f>
        <v>44166</v>
      </c>
      <c r="Z54" s="7">
        <f t="shared" si="25"/>
        <v>44166</v>
      </c>
      <c r="AA54" s="7">
        <f t="shared" si="25"/>
        <v>44166</v>
      </c>
      <c r="AB54" s="7">
        <f t="shared" si="25"/>
        <v>44166</v>
      </c>
      <c r="AC54" s="7">
        <f t="shared" si="25"/>
        <v>44166</v>
      </c>
      <c r="AD54" s="7">
        <f t="shared" si="25"/>
        <v>44166</v>
      </c>
      <c r="AE54" s="7">
        <f t="shared" si="25"/>
        <v>44166</v>
      </c>
      <c r="AF54" s="7">
        <f t="shared" si="25"/>
        <v>44166</v>
      </c>
      <c r="AG54" s="7">
        <f t="shared" si="25"/>
        <v>44166</v>
      </c>
      <c r="AH54" s="7">
        <f t="shared" si="25"/>
        <v>44166</v>
      </c>
      <c r="AI54" s="7">
        <f t="shared" si="25"/>
        <v>44166</v>
      </c>
      <c r="AJ54" s="7">
        <f t="shared" si="25"/>
        <v>44166</v>
      </c>
      <c r="AK54" s="7">
        <f t="shared" si="25"/>
        <v>44531</v>
      </c>
      <c r="AL54" s="7">
        <f t="shared" si="25"/>
        <v>44531</v>
      </c>
      <c r="AM54" s="7">
        <f t="shared" si="25"/>
        <v>44531</v>
      </c>
      <c r="AN54" s="7">
        <f t="shared" si="25"/>
        <v>44531</v>
      </c>
      <c r="AO54" s="7">
        <f t="shared" si="25"/>
        <v>44531</v>
      </c>
      <c r="AP54" s="7">
        <f t="shared" si="25"/>
        <v>44531</v>
      </c>
      <c r="AQ54" s="7">
        <f t="shared" si="25"/>
        <v>44531</v>
      </c>
      <c r="AR54" s="7">
        <f t="shared" si="25"/>
        <v>44531</v>
      </c>
      <c r="AS54" s="7">
        <f t="shared" si="25"/>
        <v>44531</v>
      </c>
      <c r="AT54" s="7">
        <f t="shared" si="25"/>
        <v>44531</v>
      </c>
      <c r="AU54" s="7">
        <f t="shared" si="25"/>
        <v>44531</v>
      </c>
      <c r="AV54" s="7">
        <f t="shared" si="25"/>
        <v>44531</v>
      </c>
      <c r="AW54" s="7">
        <f t="shared" si="25"/>
        <v>44896</v>
      </c>
      <c r="AX54" s="7">
        <f t="shared" si="25"/>
        <v>44896</v>
      </c>
      <c r="AY54" s="7">
        <f t="shared" si="25"/>
        <v>44896</v>
      </c>
      <c r="AZ54" s="7">
        <f t="shared" si="25"/>
        <v>44896</v>
      </c>
      <c r="BA54" s="7">
        <f t="shared" si="25"/>
        <v>44896</v>
      </c>
      <c r="BB54" s="7">
        <f t="shared" si="25"/>
        <v>44896</v>
      </c>
      <c r="BC54" s="7">
        <f t="shared" si="25"/>
        <v>44896</v>
      </c>
      <c r="BD54" s="7">
        <f t="shared" si="25"/>
        <v>44896</v>
      </c>
      <c r="BE54" s="7">
        <f t="shared" si="25"/>
        <v>44896</v>
      </c>
      <c r="BF54" s="7">
        <f t="shared" si="25"/>
        <v>44896</v>
      </c>
      <c r="BG54" s="7">
        <f t="shared" si="25"/>
        <v>44896</v>
      </c>
      <c r="BH54" s="7">
        <f t="shared" si="25"/>
        <v>44896</v>
      </c>
      <c r="BI54" s="7">
        <f t="shared" si="25"/>
        <v>45261</v>
      </c>
      <c r="BJ54" s="3"/>
    </row>
    <row r="56" spans="5:62" x14ac:dyDescent="0.35">
      <c r="E56">
        <v>1</v>
      </c>
      <c r="J56" t="s">
        <v>64</v>
      </c>
      <c r="N56" s="41">
        <f>N$3-N43+1</f>
        <v>31</v>
      </c>
      <c r="O56" s="41">
        <f t="shared" ref="O56:BI56" si="26">O$3-O43+1</f>
        <v>60</v>
      </c>
      <c r="P56" s="41">
        <f t="shared" si="26"/>
        <v>91</v>
      </c>
      <c r="Q56" s="41">
        <f t="shared" si="26"/>
        <v>121</v>
      </c>
      <c r="R56" s="41">
        <f t="shared" si="26"/>
        <v>152</v>
      </c>
      <c r="S56" s="41">
        <f t="shared" si="26"/>
        <v>182</v>
      </c>
      <c r="T56" s="41">
        <f t="shared" si="26"/>
        <v>213</v>
      </c>
      <c r="U56" s="41">
        <f t="shared" si="26"/>
        <v>244</v>
      </c>
      <c r="V56" s="41">
        <f t="shared" si="26"/>
        <v>274</v>
      </c>
      <c r="W56" s="41">
        <f t="shared" si="26"/>
        <v>305</v>
      </c>
      <c r="X56" s="41">
        <f t="shared" si="26"/>
        <v>335</v>
      </c>
      <c r="Y56" s="41">
        <f t="shared" si="26"/>
        <v>366</v>
      </c>
      <c r="Z56" s="41">
        <f t="shared" si="26"/>
        <v>31</v>
      </c>
      <c r="AA56" s="41">
        <f t="shared" si="26"/>
        <v>59</v>
      </c>
      <c r="AB56" s="41">
        <f t="shared" si="26"/>
        <v>90</v>
      </c>
      <c r="AC56" s="41">
        <f t="shared" si="26"/>
        <v>120</v>
      </c>
      <c r="AD56" s="41">
        <f t="shared" si="26"/>
        <v>151</v>
      </c>
      <c r="AE56" s="41">
        <f t="shared" si="26"/>
        <v>181</v>
      </c>
      <c r="AF56" s="41">
        <f t="shared" si="26"/>
        <v>212</v>
      </c>
      <c r="AG56" s="41">
        <f t="shared" si="26"/>
        <v>243</v>
      </c>
      <c r="AH56" s="41">
        <f t="shared" si="26"/>
        <v>273</v>
      </c>
      <c r="AI56" s="41">
        <f t="shared" si="26"/>
        <v>304</v>
      </c>
      <c r="AJ56" s="41">
        <f t="shared" si="26"/>
        <v>334</v>
      </c>
      <c r="AK56" s="41">
        <f t="shared" si="26"/>
        <v>365</v>
      </c>
      <c r="AL56" s="41">
        <f t="shared" si="26"/>
        <v>31</v>
      </c>
      <c r="AM56" s="41">
        <f t="shared" si="26"/>
        <v>59</v>
      </c>
      <c r="AN56" s="41">
        <f t="shared" si="26"/>
        <v>90</v>
      </c>
      <c r="AO56" s="41">
        <f t="shared" si="26"/>
        <v>120</v>
      </c>
      <c r="AP56" s="41">
        <f t="shared" si="26"/>
        <v>151</v>
      </c>
      <c r="AQ56" s="41">
        <f t="shared" si="26"/>
        <v>181</v>
      </c>
      <c r="AR56" s="41">
        <f t="shared" si="26"/>
        <v>212</v>
      </c>
      <c r="AS56" s="41">
        <f t="shared" si="26"/>
        <v>243</v>
      </c>
      <c r="AT56" s="41">
        <f t="shared" si="26"/>
        <v>273</v>
      </c>
      <c r="AU56" s="41">
        <f t="shared" si="26"/>
        <v>304</v>
      </c>
      <c r="AV56" s="41">
        <f t="shared" si="26"/>
        <v>334</v>
      </c>
      <c r="AW56" s="41">
        <f t="shared" si="26"/>
        <v>365</v>
      </c>
      <c r="AX56" s="41">
        <f t="shared" si="26"/>
        <v>31</v>
      </c>
      <c r="AY56" s="41">
        <f t="shared" si="26"/>
        <v>59</v>
      </c>
      <c r="AZ56" s="41">
        <f t="shared" si="26"/>
        <v>90</v>
      </c>
      <c r="BA56" s="41">
        <f t="shared" si="26"/>
        <v>120</v>
      </c>
      <c r="BB56" s="41">
        <f t="shared" si="26"/>
        <v>151</v>
      </c>
      <c r="BC56" s="41">
        <f t="shared" si="26"/>
        <v>181</v>
      </c>
      <c r="BD56" s="41">
        <f t="shared" si="26"/>
        <v>212</v>
      </c>
      <c r="BE56" s="41">
        <f t="shared" si="26"/>
        <v>243</v>
      </c>
      <c r="BF56" s="41">
        <f t="shared" si="26"/>
        <v>273</v>
      </c>
      <c r="BG56" s="41">
        <f t="shared" si="26"/>
        <v>304</v>
      </c>
      <c r="BH56" s="41">
        <f t="shared" si="26"/>
        <v>334</v>
      </c>
      <c r="BI56" s="41">
        <f t="shared" si="26"/>
        <v>365</v>
      </c>
    </row>
    <row r="57" spans="5:62" x14ac:dyDescent="0.35">
      <c r="E57">
        <v>2</v>
      </c>
      <c r="J57" t="s">
        <v>64</v>
      </c>
      <c r="N57" s="92"/>
      <c r="O57" s="41">
        <f t="shared" ref="O57:BI57" si="27">O$3-O44+1</f>
        <v>29</v>
      </c>
      <c r="P57" s="41">
        <f t="shared" si="27"/>
        <v>60</v>
      </c>
      <c r="Q57" s="41">
        <f t="shared" si="27"/>
        <v>90</v>
      </c>
      <c r="R57" s="41">
        <f t="shared" si="27"/>
        <v>121</v>
      </c>
      <c r="S57" s="41">
        <f t="shared" si="27"/>
        <v>151</v>
      </c>
      <c r="T57" s="41">
        <f t="shared" si="27"/>
        <v>182</v>
      </c>
      <c r="U57" s="41">
        <f t="shared" si="27"/>
        <v>213</v>
      </c>
      <c r="V57" s="41">
        <f t="shared" si="27"/>
        <v>243</v>
      </c>
      <c r="W57" s="41">
        <f t="shared" si="27"/>
        <v>274</v>
      </c>
      <c r="X57" s="41">
        <f t="shared" si="27"/>
        <v>304</v>
      </c>
      <c r="Y57" s="41">
        <f t="shared" si="27"/>
        <v>335</v>
      </c>
      <c r="Z57" s="41">
        <f t="shared" si="27"/>
        <v>366</v>
      </c>
      <c r="AA57" s="41">
        <f t="shared" si="27"/>
        <v>28</v>
      </c>
      <c r="AB57" s="41">
        <f t="shared" si="27"/>
        <v>59</v>
      </c>
      <c r="AC57" s="41">
        <f t="shared" si="27"/>
        <v>89</v>
      </c>
      <c r="AD57" s="41">
        <f t="shared" si="27"/>
        <v>120</v>
      </c>
      <c r="AE57" s="41">
        <f t="shared" si="27"/>
        <v>150</v>
      </c>
      <c r="AF57" s="41">
        <f t="shared" si="27"/>
        <v>181</v>
      </c>
      <c r="AG57" s="41">
        <f t="shared" si="27"/>
        <v>212</v>
      </c>
      <c r="AH57" s="41">
        <f t="shared" si="27"/>
        <v>242</v>
      </c>
      <c r="AI57" s="41">
        <f t="shared" si="27"/>
        <v>273</v>
      </c>
      <c r="AJ57" s="41">
        <f t="shared" si="27"/>
        <v>303</v>
      </c>
      <c r="AK57" s="41">
        <f t="shared" si="27"/>
        <v>334</v>
      </c>
      <c r="AL57" s="41">
        <f t="shared" si="27"/>
        <v>365</v>
      </c>
      <c r="AM57" s="41">
        <f t="shared" si="27"/>
        <v>28</v>
      </c>
      <c r="AN57" s="41">
        <f t="shared" si="27"/>
        <v>59</v>
      </c>
      <c r="AO57" s="41">
        <f t="shared" si="27"/>
        <v>89</v>
      </c>
      <c r="AP57" s="41">
        <f t="shared" si="27"/>
        <v>120</v>
      </c>
      <c r="AQ57" s="41">
        <f t="shared" si="27"/>
        <v>150</v>
      </c>
      <c r="AR57" s="41">
        <f t="shared" si="27"/>
        <v>181</v>
      </c>
      <c r="AS57" s="41">
        <f t="shared" si="27"/>
        <v>212</v>
      </c>
      <c r="AT57" s="41">
        <f t="shared" si="27"/>
        <v>242</v>
      </c>
      <c r="AU57" s="41">
        <f t="shared" si="27"/>
        <v>273</v>
      </c>
      <c r="AV57" s="41">
        <f t="shared" si="27"/>
        <v>303</v>
      </c>
      <c r="AW57" s="41">
        <f t="shared" si="27"/>
        <v>334</v>
      </c>
      <c r="AX57" s="41">
        <f t="shared" si="27"/>
        <v>365</v>
      </c>
      <c r="AY57" s="41">
        <f t="shared" si="27"/>
        <v>28</v>
      </c>
      <c r="AZ57" s="41">
        <f t="shared" si="27"/>
        <v>59</v>
      </c>
      <c r="BA57" s="41">
        <f t="shared" si="27"/>
        <v>89</v>
      </c>
      <c r="BB57" s="41">
        <f t="shared" si="27"/>
        <v>120</v>
      </c>
      <c r="BC57" s="41">
        <f t="shared" si="27"/>
        <v>150</v>
      </c>
      <c r="BD57" s="41">
        <f t="shared" si="27"/>
        <v>181</v>
      </c>
      <c r="BE57" s="41">
        <f t="shared" si="27"/>
        <v>212</v>
      </c>
      <c r="BF57" s="41">
        <f t="shared" si="27"/>
        <v>242</v>
      </c>
      <c r="BG57" s="41">
        <f t="shared" si="27"/>
        <v>273</v>
      </c>
      <c r="BH57" s="41">
        <f t="shared" si="27"/>
        <v>303</v>
      </c>
      <c r="BI57" s="41">
        <f t="shared" si="27"/>
        <v>334</v>
      </c>
    </row>
    <row r="58" spans="5:62" x14ac:dyDescent="0.35">
      <c r="E58">
        <v>3</v>
      </c>
      <c r="J58" t="s">
        <v>64</v>
      </c>
      <c r="N58" s="92"/>
      <c r="O58" s="92"/>
      <c r="P58" s="41">
        <f t="shared" ref="P58:BI58" si="28">P$3-P45+1</f>
        <v>31</v>
      </c>
      <c r="Q58" s="41">
        <f t="shared" si="28"/>
        <v>61</v>
      </c>
      <c r="R58" s="41">
        <f t="shared" si="28"/>
        <v>92</v>
      </c>
      <c r="S58" s="41">
        <f t="shared" si="28"/>
        <v>122</v>
      </c>
      <c r="T58" s="41">
        <f t="shared" si="28"/>
        <v>153</v>
      </c>
      <c r="U58" s="41">
        <f t="shared" si="28"/>
        <v>184</v>
      </c>
      <c r="V58" s="41">
        <f t="shared" si="28"/>
        <v>214</v>
      </c>
      <c r="W58" s="41">
        <f t="shared" si="28"/>
        <v>245</v>
      </c>
      <c r="X58" s="41">
        <f t="shared" si="28"/>
        <v>275</v>
      </c>
      <c r="Y58" s="41">
        <f t="shared" si="28"/>
        <v>306</v>
      </c>
      <c r="Z58" s="41">
        <f t="shared" si="28"/>
        <v>337</v>
      </c>
      <c r="AA58" s="41">
        <f t="shared" si="28"/>
        <v>365</v>
      </c>
      <c r="AB58" s="41">
        <f t="shared" si="28"/>
        <v>31</v>
      </c>
      <c r="AC58" s="41">
        <f t="shared" si="28"/>
        <v>61</v>
      </c>
      <c r="AD58" s="41">
        <f t="shared" si="28"/>
        <v>92</v>
      </c>
      <c r="AE58" s="41">
        <f t="shared" si="28"/>
        <v>122</v>
      </c>
      <c r="AF58" s="41">
        <f t="shared" si="28"/>
        <v>153</v>
      </c>
      <c r="AG58" s="41">
        <f t="shared" si="28"/>
        <v>184</v>
      </c>
      <c r="AH58" s="41">
        <f t="shared" si="28"/>
        <v>214</v>
      </c>
      <c r="AI58" s="41">
        <f t="shared" si="28"/>
        <v>245</v>
      </c>
      <c r="AJ58" s="41">
        <f t="shared" si="28"/>
        <v>275</v>
      </c>
      <c r="AK58" s="41">
        <f t="shared" si="28"/>
        <v>306</v>
      </c>
      <c r="AL58" s="41">
        <f t="shared" si="28"/>
        <v>337</v>
      </c>
      <c r="AM58" s="41">
        <f t="shared" si="28"/>
        <v>365</v>
      </c>
      <c r="AN58" s="41">
        <f t="shared" si="28"/>
        <v>31</v>
      </c>
      <c r="AO58" s="41">
        <f t="shared" si="28"/>
        <v>61</v>
      </c>
      <c r="AP58" s="41">
        <f t="shared" si="28"/>
        <v>92</v>
      </c>
      <c r="AQ58" s="41">
        <f t="shared" si="28"/>
        <v>122</v>
      </c>
      <c r="AR58" s="41">
        <f t="shared" si="28"/>
        <v>153</v>
      </c>
      <c r="AS58" s="41">
        <f t="shared" si="28"/>
        <v>184</v>
      </c>
      <c r="AT58" s="41">
        <f t="shared" si="28"/>
        <v>214</v>
      </c>
      <c r="AU58" s="41">
        <f t="shared" si="28"/>
        <v>245</v>
      </c>
      <c r="AV58" s="41">
        <f t="shared" si="28"/>
        <v>275</v>
      </c>
      <c r="AW58" s="41">
        <f t="shared" si="28"/>
        <v>306</v>
      </c>
      <c r="AX58" s="41">
        <f t="shared" si="28"/>
        <v>337</v>
      </c>
      <c r="AY58" s="41">
        <f t="shared" si="28"/>
        <v>365</v>
      </c>
      <c r="AZ58" s="41">
        <f t="shared" si="28"/>
        <v>31</v>
      </c>
      <c r="BA58" s="41">
        <f t="shared" si="28"/>
        <v>61</v>
      </c>
      <c r="BB58" s="41">
        <f t="shared" si="28"/>
        <v>92</v>
      </c>
      <c r="BC58" s="41">
        <f t="shared" si="28"/>
        <v>122</v>
      </c>
      <c r="BD58" s="41">
        <f t="shared" si="28"/>
        <v>153</v>
      </c>
      <c r="BE58" s="41">
        <f t="shared" si="28"/>
        <v>184</v>
      </c>
      <c r="BF58" s="41">
        <f t="shared" si="28"/>
        <v>214</v>
      </c>
      <c r="BG58" s="41">
        <f t="shared" si="28"/>
        <v>245</v>
      </c>
      <c r="BH58" s="41">
        <f t="shared" si="28"/>
        <v>275</v>
      </c>
      <c r="BI58" s="41">
        <f t="shared" si="28"/>
        <v>306</v>
      </c>
    </row>
    <row r="59" spans="5:62" x14ac:dyDescent="0.35">
      <c r="E59">
        <v>4</v>
      </c>
      <c r="J59" t="s">
        <v>64</v>
      </c>
      <c r="N59" s="92"/>
      <c r="O59" s="92"/>
      <c r="P59" s="92"/>
      <c r="Q59" s="41">
        <f t="shared" ref="Q59:BI59" si="29">Q$3-Q46+1</f>
        <v>30</v>
      </c>
      <c r="R59" s="41">
        <f t="shared" si="29"/>
        <v>61</v>
      </c>
      <c r="S59" s="41">
        <f t="shared" si="29"/>
        <v>91</v>
      </c>
      <c r="T59" s="41">
        <f t="shared" si="29"/>
        <v>122</v>
      </c>
      <c r="U59" s="41">
        <f t="shared" si="29"/>
        <v>153</v>
      </c>
      <c r="V59" s="41">
        <f t="shared" si="29"/>
        <v>183</v>
      </c>
      <c r="W59" s="41">
        <f t="shared" si="29"/>
        <v>214</v>
      </c>
      <c r="X59" s="41">
        <f t="shared" si="29"/>
        <v>244</v>
      </c>
      <c r="Y59" s="41">
        <f t="shared" si="29"/>
        <v>275</v>
      </c>
      <c r="Z59" s="41">
        <f t="shared" si="29"/>
        <v>306</v>
      </c>
      <c r="AA59" s="41">
        <f t="shared" si="29"/>
        <v>334</v>
      </c>
      <c r="AB59" s="41">
        <f t="shared" si="29"/>
        <v>365</v>
      </c>
      <c r="AC59" s="41">
        <f t="shared" si="29"/>
        <v>30</v>
      </c>
      <c r="AD59" s="41">
        <f t="shared" si="29"/>
        <v>61</v>
      </c>
      <c r="AE59" s="41">
        <f t="shared" si="29"/>
        <v>91</v>
      </c>
      <c r="AF59" s="41">
        <f t="shared" si="29"/>
        <v>122</v>
      </c>
      <c r="AG59" s="41">
        <f t="shared" si="29"/>
        <v>153</v>
      </c>
      <c r="AH59" s="41">
        <f t="shared" si="29"/>
        <v>183</v>
      </c>
      <c r="AI59" s="41">
        <f t="shared" si="29"/>
        <v>214</v>
      </c>
      <c r="AJ59" s="41">
        <f t="shared" si="29"/>
        <v>244</v>
      </c>
      <c r="AK59" s="41">
        <f t="shared" si="29"/>
        <v>275</v>
      </c>
      <c r="AL59" s="41">
        <f t="shared" si="29"/>
        <v>306</v>
      </c>
      <c r="AM59" s="41">
        <f t="shared" si="29"/>
        <v>334</v>
      </c>
      <c r="AN59" s="41">
        <f t="shared" si="29"/>
        <v>365</v>
      </c>
      <c r="AO59" s="41">
        <f t="shared" si="29"/>
        <v>30</v>
      </c>
      <c r="AP59" s="41">
        <f t="shared" si="29"/>
        <v>61</v>
      </c>
      <c r="AQ59" s="41">
        <f t="shared" si="29"/>
        <v>91</v>
      </c>
      <c r="AR59" s="41">
        <f t="shared" si="29"/>
        <v>122</v>
      </c>
      <c r="AS59" s="41">
        <f t="shared" si="29"/>
        <v>153</v>
      </c>
      <c r="AT59" s="41">
        <f t="shared" si="29"/>
        <v>183</v>
      </c>
      <c r="AU59" s="41">
        <f t="shared" si="29"/>
        <v>214</v>
      </c>
      <c r="AV59" s="41">
        <f t="shared" si="29"/>
        <v>244</v>
      </c>
      <c r="AW59" s="41">
        <f t="shared" si="29"/>
        <v>275</v>
      </c>
      <c r="AX59" s="41">
        <f t="shared" si="29"/>
        <v>306</v>
      </c>
      <c r="AY59" s="41">
        <f t="shared" si="29"/>
        <v>334</v>
      </c>
      <c r="AZ59" s="41">
        <f t="shared" si="29"/>
        <v>365</v>
      </c>
      <c r="BA59" s="41">
        <f t="shared" si="29"/>
        <v>30</v>
      </c>
      <c r="BB59" s="41">
        <f t="shared" si="29"/>
        <v>61</v>
      </c>
      <c r="BC59" s="41">
        <f t="shared" si="29"/>
        <v>91</v>
      </c>
      <c r="BD59" s="41">
        <f t="shared" si="29"/>
        <v>122</v>
      </c>
      <c r="BE59" s="41">
        <f t="shared" si="29"/>
        <v>153</v>
      </c>
      <c r="BF59" s="41">
        <f t="shared" si="29"/>
        <v>183</v>
      </c>
      <c r="BG59" s="41">
        <f t="shared" si="29"/>
        <v>214</v>
      </c>
      <c r="BH59" s="41">
        <f t="shared" si="29"/>
        <v>244</v>
      </c>
      <c r="BI59" s="41">
        <f t="shared" si="29"/>
        <v>275</v>
      </c>
    </row>
    <row r="60" spans="5:62" x14ac:dyDescent="0.35">
      <c r="E60">
        <v>5</v>
      </c>
      <c r="J60" t="s">
        <v>64</v>
      </c>
      <c r="N60" s="92"/>
      <c r="O60" s="92"/>
      <c r="P60" s="92"/>
      <c r="Q60" s="92"/>
      <c r="R60" s="41">
        <f t="shared" ref="R60:BI60" si="30">R$3-R47+1</f>
        <v>31</v>
      </c>
      <c r="S60" s="41">
        <f t="shared" si="30"/>
        <v>61</v>
      </c>
      <c r="T60" s="41">
        <f t="shared" si="30"/>
        <v>92</v>
      </c>
      <c r="U60" s="41">
        <f t="shared" si="30"/>
        <v>123</v>
      </c>
      <c r="V60" s="41">
        <f t="shared" si="30"/>
        <v>153</v>
      </c>
      <c r="W60" s="41">
        <f t="shared" si="30"/>
        <v>184</v>
      </c>
      <c r="X60" s="41">
        <f t="shared" si="30"/>
        <v>214</v>
      </c>
      <c r="Y60" s="41">
        <f t="shared" si="30"/>
        <v>245</v>
      </c>
      <c r="Z60" s="41">
        <f t="shared" si="30"/>
        <v>276</v>
      </c>
      <c r="AA60" s="41">
        <f t="shared" si="30"/>
        <v>304</v>
      </c>
      <c r="AB60" s="41">
        <f t="shared" si="30"/>
        <v>335</v>
      </c>
      <c r="AC60" s="41">
        <f t="shared" si="30"/>
        <v>365</v>
      </c>
      <c r="AD60" s="41">
        <f t="shared" si="30"/>
        <v>31</v>
      </c>
      <c r="AE60" s="41">
        <f t="shared" si="30"/>
        <v>61</v>
      </c>
      <c r="AF60" s="41">
        <f t="shared" si="30"/>
        <v>92</v>
      </c>
      <c r="AG60" s="41">
        <f t="shared" si="30"/>
        <v>123</v>
      </c>
      <c r="AH60" s="41">
        <f t="shared" si="30"/>
        <v>153</v>
      </c>
      <c r="AI60" s="41">
        <f t="shared" si="30"/>
        <v>184</v>
      </c>
      <c r="AJ60" s="41">
        <f t="shared" si="30"/>
        <v>214</v>
      </c>
      <c r="AK60" s="41">
        <f t="shared" si="30"/>
        <v>245</v>
      </c>
      <c r="AL60" s="41">
        <f t="shared" si="30"/>
        <v>276</v>
      </c>
      <c r="AM60" s="41">
        <f t="shared" si="30"/>
        <v>304</v>
      </c>
      <c r="AN60" s="41">
        <f t="shared" si="30"/>
        <v>335</v>
      </c>
      <c r="AO60" s="41">
        <f t="shared" si="30"/>
        <v>365</v>
      </c>
      <c r="AP60" s="41">
        <f t="shared" si="30"/>
        <v>31</v>
      </c>
      <c r="AQ60" s="41">
        <f t="shared" si="30"/>
        <v>61</v>
      </c>
      <c r="AR60" s="41">
        <f t="shared" si="30"/>
        <v>92</v>
      </c>
      <c r="AS60" s="41">
        <f t="shared" si="30"/>
        <v>123</v>
      </c>
      <c r="AT60" s="41">
        <f t="shared" si="30"/>
        <v>153</v>
      </c>
      <c r="AU60" s="41">
        <f t="shared" si="30"/>
        <v>184</v>
      </c>
      <c r="AV60" s="41">
        <f t="shared" si="30"/>
        <v>214</v>
      </c>
      <c r="AW60" s="41">
        <f t="shared" si="30"/>
        <v>245</v>
      </c>
      <c r="AX60" s="41">
        <f t="shared" si="30"/>
        <v>276</v>
      </c>
      <c r="AY60" s="41">
        <f t="shared" si="30"/>
        <v>304</v>
      </c>
      <c r="AZ60" s="41">
        <f t="shared" si="30"/>
        <v>335</v>
      </c>
      <c r="BA60" s="41">
        <f t="shared" si="30"/>
        <v>365</v>
      </c>
      <c r="BB60" s="41">
        <f t="shared" si="30"/>
        <v>31</v>
      </c>
      <c r="BC60" s="41">
        <f t="shared" si="30"/>
        <v>61</v>
      </c>
      <c r="BD60" s="41">
        <f t="shared" si="30"/>
        <v>92</v>
      </c>
      <c r="BE60" s="41">
        <f t="shared" si="30"/>
        <v>123</v>
      </c>
      <c r="BF60" s="41">
        <f t="shared" si="30"/>
        <v>153</v>
      </c>
      <c r="BG60" s="41">
        <f t="shared" si="30"/>
        <v>184</v>
      </c>
      <c r="BH60" s="41">
        <f t="shared" si="30"/>
        <v>214</v>
      </c>
      <c r="BI60" s="41">
        <f t="shared" si="30"/>
        <v>245</v>
      </c>
    </row>
    <row r="61" spans="5:62" x14ac:dyDescent="0.35">
      <c r="E61">
        <v>6</v>
      </c>
      <c r="J61" t="s">
        <v>64</v>
      </c>
      <c r="N61" s="92"/>
      <c r="O61" s="92"/>
      <c r="P61" s="92"/>
      <c r="Q61" s="92"/>
      <c r="R61" s="92"/>
      <c r="S61" s="41">
        <f t="shared" ref="S61:BI61" si="31">S$3-S48+1</f>
        <v>30</v>
      </c>
      <c r="T61" s="41">
        <f t="shared" si="31"/>
        <v>61</v>
      </c>
      <c r="U61" s="41">
        <f t="shared" si="31"/>
        <v>92</v>
      </c>
      <c r="V61" s="41">
        <f t="shared" si="31"/>
        <v>122</v>
      </c>
      <c r="W61" s="41">
        <f t="shared" si="31"/>
        <v>153</v>
      </c>
      <c r="X61" s="41">
        <f t="shared" si="31"/>
        <v>183</v>
      </c>
      <c r="Y61" s="41">
        <f t="shared" si="31"/>
        <v>214</v>
      </c>
      <c r="Z61" s="41">
        <f t="shared" si="31"/>
        <v>245</v>
      </c>
      <c r="AA61" s="41">
        <f t="shared" si="31"/>
        <v>273</v>
      </c>
      <c r="AB61" s="41">
        <f t="shared" si="31"/>
        <v>304</v>
      </c>
      <c r="AC61" s="41">
        <f t="shared" si="31"/>
        <v>334</v>
      </c>
      <c r="AD61" s="41">
        <f t="shared" si="31"/>
        <v>365</v>
      </c>
      <c r="AE61" s="41">
        <f t="shared" si="31"/>
        <v>30</v>
      </c>
      <c r="AF61" s="41">
        <f t="shared" si="31"/>
        <v>61</v>
      </c>
      <c r="AG61" s="41">
        <f t="shared" si="31"/>
        <v>92</v>
      </c>
      <c r="AH61" s="41">
        <f t="shared" si="31"/>
        <v>122</v>
      </c>
      <c r="AI61" s="41">
        <f t="shared" si="31"/>
        <v>153</v>
      </c>
      <c r="AJ61" s="41">
        <f t="shared" si="31"/>
        <v>183</v>
      </c>
      <c r="AK61" s="41">
        <f t="shared" si="31"/>
        <v>214</v>
      </c>
      <c r="AL61" s="41">
        <f t="shared" si="31"/>
        <v>245</v>
      </c>
      <c r="AM61" s="41">
        <f t="shared" si="31"/>
        <v>273</v>
      </c>
      <c r="AN61" s="41">
        <f t="shared" si="31"/>
        <v>304</v>
      </c>
      <c r="AO61" s="41">
        <f t="shared" si="31"/>
        <v>334</v>
      </c>
      <c r="AP61" s="41">
        <f t="shared" si="31"/>
        <v>365</v>
      </c>
      <c r="AQ61" s="41">
        <f t="shared" si="31"/>
        <v>30</v>
      </c>
      <c r="AR61" s="41">
        <f t="shared" si="31"/>
        <v>61</v>
      </c>
      <c r="AS61" s="41">
        <f t="shared" si="31"/>
        <v>92</v>
      </c>
      <c r="AT61" s="41">
        <f t="shared" si="31"/>
        <v>122</v>
      </c>
      <c r="AU61" s="41">
        <f t="shared" si="31"/>
        <v>153</v>
      </c>
      <c r="AV61" s="41">
        <f t="shared" si="31"/>
        <v>183</v>
      </c>
      <c r="AW61" s="41">
        <f t="shared" si="31"/>
        <v>214</v>
      </c>
      <c r="AX61" s="41">
        <f t="shared" si="31"/>
        <v>245</v>
      </c>
      <c r="AY61" s="41">
        <f t="shared" si="31"/>
        <v>273</v>
      </c>
      <c r="AZ61" s="41">
        <f t="shared" si="31"/>
        <v>304</v>
      </c>
      <c r="BA61" s="41">
        <f t="shared" si="31"/>
        <v>334</v>
      </c>
      <c r="BB61" s="41">
        <f t="shared" si="31"/>
        <v>365</v>
      </c>
      <c r="BC61" s="41">
        <f t="shared" si="31"/>
        <v>30</v>
      </c>
      <c r="BD61" s="41">
        <f t="shared" si="31"/>
        <v>61</v>
      </c>
      <c r="BE61" s="41">
        <f t="shared" si="31"/>
        <v>92</v>
      </c>
      <c r="BF61" s="41">
        <f t="shared" si="31"/>
        <v>122</v>
      </c>
      <c r="BG61" s="41">
        <f t="shared" si="31"/>
        <v>153</v>
      </c>
      <c r="BH61" s="41">
        <f t="shared" si="31"/>
        <v>183</v>
      </c>
      <c r="BI61" s="41">
        <f t="shared" si="31"/>
        <v>214</v>
      </c>
    </row>
    <row r="62" spans="5:62" x14ac:dyDescent="0.35">
      <c r="E62">
        <v>7</v>
      </c>
      <c r="J62" t="s">
        <v>64</v>
      </c>
      <c r="N62" s="92"/>
      <c r="O62" s="92"/>
      <c r="P62" s="92"/>
      <c r="Q62" s="92"/>
      <c r="R62" s="92"/>
      <c r="S62" s="92"/>
      <c r="T62" s="41">
        <f t="shared" ref="T62:BI62" si="32">T$3-T49+1</f>
        <v>31</v>
      </c>
      <c r="U62" s="41">
        <f t="shared" si="32"/>
        <v>62</v>
      </c>
      <c r="V62" s="41">
        <f t="shared" si="32"/>
        <v>92</v>
      </c>
      <c r="W62" s="41">
        <f t="shared" si="32"/>
        <v>123</v>
      </c>
      <c r="X62" s="41">
        <f t="shared" si="32"/>
        <v>153</v>
      </c>
      <c r="Y62" s="41">
        <f t="shared" si="32"/>
        <v>184</v>
      </c>
      <c r="Z62" s="41">
        <f t="shared" si="32"/>
        <v>215</v>
      </c>
      <c r="AA62" s="41">
        <f t="shared" si="32"/>
        <v>243</v>
      </c>
      <c r="AB62" s="41">
        <f t="shared" si="32"/>
        <v>274</v>
      </c>
      <c r="AC62" s="41">
        <f t="shared" si="32"/>
        <v>304</v>
      </c>
      <c r="AD62" s="41">
        <f t="shared" si="32"/>
        <v>335</v>
      </c>
      <c r="AE62" s="41">
        <f t="shared" si="32"/>
        <v>365</v>
      </c>
      <c r="AF62" s="41">
        <f t="shared" si="32"/>
        <v>31</v>
      </c>
      <c r="AG62" s="41">
        <f t="shared" si="32"/>
        <v>62</v>
      </c>
      <c r="AH62" s="41">
        <f t="shared" si="32"/>
        <v>92</v>
      </c>
      <c r="AI62" s="41">
        <f t="shared" si="32"/>
        <v>123</v>
      </c>
      <c r="AJ62" s="41">
        <f t="shared" si="32"/>
        <v>153</v>
      </c>
      <c r="AK62" s="41">
        <f t="shared" si="32"/>
        <v>184</v>
      </c>
      <c r="AL62" s="41">
        <f t="shared" si="32"/>
        <v>215</v>
      </c>
      <c r="AM62" s="41">
        <f t="shared" si="32"/>
        <v>243</v>
      </c>
      <c r="AN62" s="41">
        <f t="shared" si="32"/>
        <v>274</v>
      </c>
      <c r="AO62" s="41">
        <f t="shared" si="32"/>
        <v>304</v>
      </c>
      <c r="AP62" s="41">
        <f t="shared" si="32"/>
        <v>335</v>
      </c>
      <c r="AQ62" s="41">
        <f t="shared" si="32"/>
        <v>365</v>
      </c>
      <c r="AR62" s="41">
        <f t="shared" si="32"/>
        <v>31</v>
      </c>
      <c r="AS62" s="41">
        <f t="shared" si="32"/>
        <v>62</v>
      </c>
      <c r="AT62" s="41">
        <f t="shared" si="32"/>
        <v>92</v>
      </c>
      <c r="AU62" s="41">
        <f t="shared" si="32"/>
        <v>123</v>
      </c>
      <c r="AV62" s="41">
        <f t="shared" si="32"/>
        <v>153</v>
      </c>
      <c r="AW62" s="41">
        <f t="shared" si="32"/>
        <v>184</v>
      </c>
      <c r="AX62" s="41">
        <f t="shared" si="32"/>
        <v>215</v>
      </c>
      <c r="AY62" s="41">
        <f t="shared" si="32"/>
        <v>243</v>
      </c>
      <c r="AZ62" s="41">
        <f t="shared" si="32"/>
        <v>274</v>
      </c>
      <c r="BA62" s="41">
        <f t="shared" si="32"/>
        <v>304</v>
      </c>
      <c r="BB62" s="41">
        <f t="shared" si="32"/>
        <v>335</v>
      </c>
      <c r="BC62" s="41">
        <f t="shared" si="32"/>
        <v>365</v>
      </c>
      <c r="BD62" s="41">
        <f t="shared" si="32"/>
        <v>31</v>
      </c>
      <c r="BE62" s="41">
        <f t="shared" si="32"/>
        <v>62</v>
      </c>
      <c r="BF62" s="41">
        <f t="shared" si="32"/>
        <v>92</v>
      </c>
      <c r="BG62" s="41">
        <f t="shared" si="32"/>
        <v>123</v>
      </c>
      <c r="BH62" s="41">
        <f t="shared" si="32"/>
        <v>153</v>
      </c>
      <c r="BI62" s="41">
        <f t="shared" si="32"/>
        <v>184</v>
      </c>
    </row>
    <row r="63" spans="5:62" x14ac:dyDescent="0.35">
      <c r="E63">
        <v>8</v>
      </c>
      <c r="J63" t="s">
        <v>64</v>
      </c>
      <c r="N63" s="92"/>
      <c r="O63" s="92"/>
      <c r="P63" s="92"/>
      <c r="Q63" s="92"/>
      <c r="R63" s="92"/>
      <c r="S63" s="92"/>
      <c r="T63" s="92"/>
      <c r="U63" s="41">
        <f t="shared" ref="U63:BI63" si="33">U$3-U50+1</f>
        <v>31</v>
      </c>
      <c r="V63" s="41">
        <f t="shared" si="33"/>
        <v>61</v>
      </c>
      <c r="W63" s="41">
        <f t="shared" si="33"/>
        <v>92</v>
      </c>
      <c r="X63" s="41">
        <f t="shared" si="33"/>
        <v>122</v>
      </c>
      <c r="Y63" s="41">
        <f t="shared" si="33"/>
        <v>153</v>
      </c>
      <c r="Z63" s="41">
        <f t="shared" si="33"/>
        <v>184</v>
      </c>
      <c r="AA63" s="41">
        <f t="shared" si="33"/>
        <v>212</v>
      </c>
      <c r="AB63" s="41">
        <f t="shared" si="33"/>
        <v>243</v>
      </c>
      <c r="AC63" s="41">
        <f t="shared" si="33"/>
        <v>273</v>
      </c>
      <c r="AD63" s="41">
        <f t="shared" si="33"/>
        <v>304</v>
      </c>
      <c r="AE63" s="41">
        <f t="shared" si="33"/>
        <v>334</v>
      </c>
      <c r="AF63" s="41">
        <f t="shared" si="33"/>
        <v>365</v>
      </c>
      <c r="AG63" s="41">
        <f t="shared" si="33"/>
        <v>31</v>
      </c>
      <c r="AH63" s="41">
        <f t="shared" si="33"/>
        <v>61</v>
      </c>
      <c r="AI63" s="41">
        <f t="shared" si="33"/>
        <v>92</v>
      </c>
      <c r="AJ63" s="41">
        <f t="shared" si="33"/>
        <v>122</v>
      </c>
      <c r="AK63" s="41">
        <f t="shared" si="33"/>
        <v>153</v>
      </c>
      <c r="AL63" s="41">
        <f t="shared" si="33"/>
        <v>184</v>
      </c>
      <c r="AM63" s="41">
        <f t="shared" si="33"/>
        <v>212</v>
      </c>
      <c r="AN63" s="41">
        <f t="shared" si="33"/>
        <v>243</v>
      </c>
      <c r="AO63" s="41">
        <f t="shared" si="33"/>
        <v>273</v>
      </c>
      <c r="AP63" s="41">
        <f t="shared" si="33"/>
        <v>304</v>
      </c>
      <c r="AQ63" s="41">
        <f t="shared" si="33"/>
        <v>334</v>
      </c>
      <c r="AR63" s="41">
        <f t="shared" si="33"/>
        <v>365</v>
      </c>
      <c r="AS63" s="41">
        <f t="shared" si="33"/>
        <v>31</v>
      </c>
      <c r="AT63" s="41">
        <f t="shared" si="33"/>
        <v>61</v>
      </c>
      <c r="AU63" s="41">
        <f t="shared" si="33"/>
        <v>92</v>
      </c>
      <c r="AV63" s="41">
        <f t="shared" si="33"/>
        <v>122</v>
      </c>
      <c r="AW63" s="41">
        <f t="shared" si="33"/>
        <v>153</v>
      </c>
      <c r="AX63" s="41">
        <f t="shared" si="33"/>
        <v>184</v>
      </c>
      <c r="AY63" s="41">
        <f t="shared" si="33"/>
        <v>212</v>
      </c>
      <c r="AZ63" s="41">
        <f t="shared" si="33"/>
        <v>243</v>
      </c>
      <c r="BA63" s="41">
        <f t="shared" si="33"/>
        <v>273</v>
      </c>
      <c r="BB63" s="41">
        <f t="shared" si="33"/>
        <v>304</v>
      </c>
      <c r="BC63" s="41">
        <f t="shared" si="33"/>
        <v>334</v>
      </c>
      <c r="BD63" s="41">
        <f t="shared" si="33"/>
        <v>365</v>
      </c>
      <c r="BE63" s="41">
        <f t="shared" si="33"/>
        <v>31</v>
      </c>
      <c r="BF63" s="41">
        <f t="shared" si="33"/>
        <v>61</v>
      </c>
      <c r="BG63" s="41">
        <f t="shared" si="33"/>
        <v>92</v>
      </c>
      <c r="BH63" s="41">
        <f t="shared" si="33"/>
        <v>122</v>
      </c>
      <c r="BI63" s="41">
        <f t="shared" si="33"/>
        <v>153</v>
      </c>
    </row>
    <row r="64" spans="5:62" x14ac:dyDescent="0.35">
      <c r="E64">
        <v>9</v>
      </c>
      <c r="J64" t="s">
        <v>64</v>
      </c>
      <c r="N64" s="92"/>
      <c r="O64" s="92"/>
      <c r="P64" s="92"/>
      <c r="Q64" s="92"/>
      <c r="R64" s="92"/>
      <c r="S64" s="92"/>
      <c r="T64" s="92"/>
      <c r="U64" s="92"/>
      <c r="V64" s="41">
        <f t="shared" ref="V64:BI64" si="34">V$3-V51+1</f>
        <v>30</v>
      </c>
      <c r="W64" s="41">
        <f t="shared" si="34"/>
        <v>61</v>
      </c>
      <c r="X64" s="41">
        <f t="shared" si="34"/>
        <v>91</v>
      </c>
      <c r="Y64" s="41">
        <f t="shared" si="34"/>
        <v>122</v>
      </c>
      <c r="Z64" s="41">
        <f t="shared" si="34"/>
        <v>153</v>
      </c>
      <c r="AA64" s="41">
        <f t="shared" si="34"/>
        <v>181</v>
      </c>
      <c r="AB64" s="41">
        <f t="shared" si="34"/>
        <v>212</v>
      </c>
      <c r="AC64" s="41">
        <f t="shared" si="34"/>
        <v>242</v>
      </c>
      <c r="AD64" s="41">
        <f t="shared" si="34"/>
        <v>273</v>
      </c>
      <c r="AE64" s="41">
        <f t="shared" si="34"/>
        <v>303</v>
      </c>
      <c r="AF64" s="41">
        <f t="shared" si="34"/>
        <v>334</v>
      </c>
      <c r="AG64" s="41">
        <f t="shared" si="34"/>
        <v>365</v>
      </c>
      <c r="AH64" s="41">
        <f t="shared" si="34"/>
        <v>30</v>
      </c>
      <c r="AI64" s="41">
        <f t="shared" si="34"/>
        <v>61</v>
      </c>
      <c r="AJ64" s="41">
        <f t="shared" si="34"/>
        <v>91</v>
      </c>
      <c r="AK64" s="41">
        <f t="shared" si="34"/>
        <v>122</v>
      </c>
      <c r="AL64" s="41">
        <f t="shared" si="34"/>
        <v>153</v>
      </c>
      <c r="AM64" s="41">
        <f t="shared" si="34"/>
        <v>181</v>
      </c>
      <c r="AN64" s="41">
        <f t="shared" si="34"/>
        <v>212</v>
      </c>
      <c r="AO64" s="41">
        <f t="shared" si="34"/>
        <v>242</v>
      </c>
      <c r="AP64" s="41">
        <f t="shared" si="34"/>
        <v>273</v>
      </c>
      <c r="AQ64" s="41">
        <f t="shared" si="34"/>
        <v>303</v>
      </c>
      <c r="AR64" s="41">
        <f t="shared" si="34"/>
        <v>334</v>
      </c>
      <c r="AS64" s="41">
        <f t="shared" si="34"/>
        <v>365</v>
      </c>
      <c r="AT64" s="41">
        <f t="shared" si="34"/>
        <v>30</v>
      </c>
      <c r="AU64" s="41">
        <f t="shared" si="34"/>
        <v>61</v>
      </c>
      <c r="AV64" s="41">
        <f t="shared" si="34"/>
        <v>91</v>
      </c>
      <c r="AW64" s="41">
        <f t="shared" si="34"/>
        <v>122</v>
      </c>
      <c r="AX64" s="41">
        <f t="shared" si="34"/>
        <v>153</v>
      </c>
      <c r="AY64" s="41">
        <f t="shared" si="34"/>
        <v>181</v>
      </c>
      <c r="AZ64" s="41">
        <f t="shared" si="34"/>
        <v>212</v>
      </c>
      <c r="BA64" s="41">
        <f t="shared" si="34"/>
        <v>242</v>
      </c>
      <c r="BB64" s="41">
        <f t="shared" si="34"/>
        <v>273</v>
      </c>
      <c r="BC64" s="41">
        <f t="shared" si="34"/>
        <v>303</v>
      </c>
      <c r="BD64" s="41">
        <f t="shared" si="34"/>
        <v>334</v>
      </c>
      <c r="BE64" s="41">
        <f t="shared" si="34"/>
        <v>365</v>
      </c>
      <c r="BF64" s="41">
        <f t="shared" si="34"/>
        <v>30</v>
      </c>
      <c r="BG64" s="41">
        <f t="shared" si="34"/>
        <v>61</v>
      </c>
      <c r="BH64" s="41">
        <f t="shared" si="34"/>
        <v>91</v>
      </c>
      <c r="BI64" s="41">
        <f t="shared" si="34"/>
        <v>122</v>
      </c>
    </row>
    <row r="65" spans="5:61" x14ac:dyDescent="0.35">
      <c r="E65">
        <v>10</v>
      </c>
      <c r="J65" t="s">
        <v>64</v>
      </c>
      <c r="N65" s="92"/>
      <c r="O65" s="92"/>
      <c r="P65" s="92"/>
      <c r="Q65" s="92"/>
      <c r="R65" s="92"/>
      <c r="S65" s="92"/>
      <c r="T65" s="92"/>
      <c r="U65" s="92"/>
      <c r="V65" s="92"/>
      <c r="W65" s="41">
        <f t="shared" ref="W65:BI65" si="35">W$3-W52+1</f>
        <v>31</v>
      </c>
      <c r="X65" s="41">
        <f t="shared" si="35"/>
        <v>61</v>
      </c>
      <c r="Y65" s="41">
        <f t="shared" si="35"/>
        <v>92</v>
      </c>
      <c r="Z65" s="41">
        <f t="shared" si="35"/>
        <v>123</v>
      </c>
      <c r="AA65" s="41">
        <f t="shared" si="35"/>
        <v>151</v>
      </c>
      <c r="AB65" s="41">
        <f t="shared" si="35"/>
        <v>182</v>
      </c>
      <c r="AC65" s="41">
        <f t="shared" si="35"/>
        <v>212</v>
      </c>
      <c r="AD65" s="41">
        <f t="shared" si="35"/>
        <v>243</v>
      </c>
      <c r="AE65" s="41">
        <f t="shared" si="35"/>
        <v>273</v>
      </c>
      <c r="AF65" s="41">
        <f t="shared" si="35"/>
        <v>304</v>
      </c>
      <c r="AG65" s="41">
        <f t="shared" si="35"/>
        <v>335</v>
      </c>
      <c r="AH65" s="41">
        <f t="shared" si="35"/>
        <v>365</v>
      </c>
      <c r="AI65" s="41">
        <f t="shared" si="35"/>
        <v>31</v>
      </c>
      <c r="AJ65" s="41">
        <f t="shared" si="35"/>
        <v>61</v>
      </c>
      <c r="AK65" s="41">
        <f t="shared" si="35"/>
        <v>92</v>
      </c>
      <c r="AL65" s="41">
        <f t="shared" si="35"/>
        <v>123</v>
      </c>
      <c r="AM65" s="41">
        <f t="shared" si="35"/>
        <v>151</v>
      </c>
      <c r="AN65" s="41">
        <f t="shared" si="35"/>
        <v>182</v>
      </c>
      <c r="AO65" s="41">
        <f t="shared" si="35"/>
        <v>212</v>
      </c>
      <c r="AP65" s="41">
        <f t="shared" si="35"/>
        <v>243</v>
      </c>
      <c r="AQ65" s="41">
        <f t="shared" si="35"/>
        <v>273</v>
      </c>
      <c r="AR65" s="41">
        <f t="shared" si="35"/>
        <v>304</v>
      </c>
      <c r="AS65" s="41">
        <f t="shared" si="35"/>
        <v>335</v>
      </c>
      <c r="AT65" s="41">
        <f t="shared" si="35"/>
        <v>365</v>
      </c>
      <c r="AU65" s="41">
        <f t="shared" si="35"/>
        <v>31</v>
      </c>
      <c r="AV65" s="41">
        <f t="shared" si="35"/>
        <v>61</v>
      </c>
      <c r="AW65" s="41">
        <f t="shared" si="35"/>
        <v>92</v>
      </c>
      <c r="AX65" s="41">
        <f t="shared" si="35"/>
        <v>123</v>
      </c>
      <c r="AY65" s="41">
        <f t="shared" si="35"/>
        <v>151</v>
      </c>
      <c r="AZ65" s="41">
        <f t="shared" si="35"/>
        <v>182</v>
      </c>
      <c r="BA65" s="41">
        <f t="shared" si="35"/>
        <v>212</v>
      </c>
      <c r="BB65" s="41">
        <f t="shared" si="35"/>
        <v>243</v>
      </c>
      <c r="BC65" s="41">
        <f t="shared" si="35"/>
        <v>273</v>
      </c>
      <c r="BD65" s="41">
        <f t="shared" si="35"/>
        <v>304</v>
      </c>
      <c r="BE65" s="41">
        <f t="shared" si="35"/>
        <v>335</v>
      </c>
      <c r="BF65" s="41">
        <f t="shared" si="35"/>
        <v>365</v>
      </c>
      <c r="BG65" s="41">
        <f t="shared" si="35"/>
        <v>31</v>
      </c>
      <c r="BH65" s="41">
        <f t="shared" si="35"/>
        <v>61</v>
      </c>
      <c r="BI65" s="41">
        <f t="shared" si="35"/>
        <v>92</v>
      </c>
    </row>
    <row r="66" spans="5:61" x14ac:dyDescent="0.35">
      <c r="E66">
        <v>11</v>
      </c>
      <c r="J66" t="s">
        <v>64</v>
      </c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41">
        <f t="shared" ref="X66:BI66" si="36">X$3-X53+1</f>
        <v>30</v>
      </c>
      <c r="Y66" s="41">
        <f t="shared" si="36"/>
        <v>61</v>
      </c>
      <c r="Z66" s="41">
        <f t="shared" si="36"/>
        <v>92</v>
      </c>
      <c r="AA66" s="41">
        <f t="shared" si="36"/>
        <v>120</v>
      </c>
      <c r="AB66" s="41">
        <f t="shared" si="36"/>
        <v>151</v>
      </c>
      <c r="AC66" s="41">
        <f t="shared" si="36"/>
        <v>181</v>
      </c>
      <c r="AD66" s="41">
        <f t="shared" si="36"/>
        <v>212</v>
      </c>
      <c r="AE66" s="41">
        <f t="shared" si="36"/>
        <v>242</v>
      </c>
      <c r="AF66" s="41">
        <f t="shared" si="36"/>
        <v>273</v>
      </c>
      <c r="AG66" s="41">
        <f t="shared" si="36"/>
        <v>304</v>
      </c>
      <c r="AH66" s="41">
        <f t="shared" si="36"/>
        <v>334</v>
      </c>
      <c r="AI66" s="41">
        <f t="shared" si="36"/>
        <v>365</v>
      </c>
      <c r="AJ66" s="41">
        <f t="shared" si="36"/>
        <v>30</v>
      </c>
      <c r="AK66" s="41">
        <f t="shared" si="36"/>
        <v>61</v>
      </c>
      <c r="AL66" s="41">
        <f t="shared" si="36"/>
        <v>92</v>
      </c>
      <c r="AM66" s="41">
        <f t="shared" si="36"/>
        <v>120</v>
      </c>
      <c r="AN66" s="41">
        <f t="shared" si="36"/>
        <v>151</v>
      </c>
      <c r="AO66" s="41">
        <f t="shared" si="36"/>
        <v>181</v>
      </c>
      <c r="AP66" s="41">
        <f t="shared" si="36"/>
        <v>212</v>
      </c>
      <c r="AQ66" s="41">
        <f t="shared" si="36"/>
        <v>242</v>
      </c>
      <c r="AR66" s="41">
        <f t="shared" si="36"/>
        <v>273</v>
      </c>
      <c r="AS66" s="41">
        <f t="shared" si="36"/>
        <v>304</v>
      </c>
      <c r="AT66" s="41">
        <f t="shared" si="36"/>
        <v>334</v>
      </c>
      <c r="AU66" s="41">
        <f t="shared" si="36"/>
        <v>365</v>
      </c>
      <c r="AV66" s="41">
        <f t="shared" si="36"/>
        <v>30</v>
      </c>
      <c r="AW66" s="41">
        <f t="shared" si="36"/>
        <v>61</v>
      </c>
      <c r="AX66" s="41">
        <f t="shared" si="36"/>
        <v>92</v>
      </c>
      <c r="AY66" s="41">
        <f t="shared" si="36"/>
        <v>120</v>
      </c>
      <c r="AZ66" s="41">
        <f t="shared" si="36"/>
        <v>151</v>
      </c>
      <c r="BA66" s="41">
        <f t="shared" si="36"/>
        <v>181</v>
      </c>
      <c r="BB66" s="41">
        <f t="shared" si="36"/>
        <v>212</v>
      </c>
      <c r="BC66" s="41">
        <f t="shared" si="36"/>
        <v>242</v>
      </c>
      <c r="BD66" s="41">
        <f t="shared" si="36"/>
        <v>273</v>
      </c>
      <c r="BE66" s="41">
        <f t="shared" si="36"/>
        <v>304</v>
      </c>
      <c r="BF66" s="41">
        <f t="shared" si="36"/>
        <v>334</v>
      </c>
      <c r="BG66" s="41">
        <f t="shared" si="36"/>
        <v>365</v>
      </c>
      <c r="BH66" s="41">
        <f t="shared" si="36"/>
        <v>30</v>
      </c>
      <c r="BI66" s="41">
        <f t="shared" si="36"/>
        <v>61</v>
      </c>
    </row>
    <row r="67" spans="5:61" x14ac:dyDescent="0.35">
      <c r="E67">
        <v>12</v>
      </c>
      <c r="J67" t="s">
        <v>64</v>
      </c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41">
        <f t="shared" ref="Y67:BI67" si="37">Y$3-Y54+1</f>
        <v>31</v>
      </c>
      <c r="Z67" s="41">
        <f t="shared" si="37"/>
        <v>62</v>
      </c>
      <c r="AA67" s="41">
        <f t="shared" si="37"/>
        <v>90</v>
      </c>
      <c r="AB67" s="41">
        <f t="shared" si="37"/>
        <v>121</v>
      </c>
      <c r="AC67" s="41">
        <f t="shared" si="37"/>
        <v>151</v>
      </c>
      <c r="AD67" s="41">
        <f t="shared" si="37"/>
        <v>182</v>
      </c>
      <c r="AE67" s="41">
        <f t="shared" si="37"/>
        <v>212</v>
      </c>
      <c r="AF67" s="41">
        <f t="shared" si="37"/>
        <v>243</v>
      </c>
      <c r="AG67" s="41">
        <f t="shared" si="37"/>
        <v>274</v>
      </c>
      <c r="AH67" s="41">
        <f t="shared" si="37"/>
        <v>304</v>
      </c>
      <c r="AI67" s="41">
        <f t="shared" si="37"/>
        <v>335</v>
      </c>
      <c r="AJ67" s="41">
        <f t="shared" si="37"/>
        <v>365</v>
      </c>
      <c r="AK67" s="41">
        <f t="shared" si="37"/>
        <v>31</v>
      </c>
      <c r="AL67" s="41">
        <f t="shared" si="37"/>
        <v>62</v>
      </c>
      <c r="AM67" s="41">
        <f t="shared" si="37"/>
        <v>90</v>
      </c>
      <c r="AN67" s="41">
        <f t="shared" si="37"/>
        <v>121</v>
      </c>
      <c r="AO67" s="41">
        <f t="shared" si="37"/>
        <v>151</v>
      </c>
      <c r="AP67" s="41">
        <f t="shared" si="37"/>
        <v>182</v>
      </c>
      <c r="AQ67" s="41">
        <f t="shared" si="37"/>
        <v>212</v>
      </c>
      <c r="AR67" s="41">
        <f t="shared" si="37"/>
        <v>243</v>
      </c>
      <c r="AS67" s="41">
        <f t="shared" si="37"/>
        <v>274</v>
      </c>
      <c r="AT67" s="41">
        <f t="shared" si="37"/>
        <v>304</v>
      </c>
      <c r="AU67" s="41">
        <f t="shared" si="37"/>
        <v>335</v>
      </c>
      <c r="AV67" s="41">
        <f t="shared" si="37"/>
        <v>365</v>
      </c>
      <c r="AW67" s="41">
        <f t="shared" si="37"/>
        <v>31</v>
      </c>
      <c r="AX67" s="41">
        <f t="shared" si="37"/>
        <v>62</v>
      </c>
      <c r="AY67" s="41">
        <f t="shared" si="37"/>
        <v>90</v>
      </c>
      <c r="AZ67" s="41">
        <f t="shared" si="37"/>
        <v>121</v>
      </c>
      <c r="BA67" s="41">
        <f t="shared" si="37"/>
        <v>151</v>
      </c>
      <c r="BB67" s="41">
        <f t="shared" si="37"/>
        <v>182</v>
      </c>
      <c r="BC67" s="41">
        <f t="shared" si="37"/>
        <v>212</v>
      </c>
      <c r="BD67" s="41">
        <f t="shared" si="37"/>
        <v>243</v>
      </c>
      <c r="BE67" s="41">
        <f t="shared" si="37"/>
        <v>274</v>
      </c>
      <c r="BF67" s="41">
        <f t="shared" si="37"/>
        <v>304</v>
      </c>
      <c r="BG67" s="41">
        <f t="shared" si="37"/>
        <v>335</v>
      </c>
      <c r="BH67" s="41">
        <f t="shared" si="37"/>
        <v>365</v>
      </c>
      <c r="BI67" s="41">
        <f t="shared" si="37"/>
        <v>31</v>
      </c>
    </row>
    <row r="69" spans="5:61" x14ac:dyDescent="0.35">
      <c r="E69">
        <v>1</v>
      </c>
      <c r="J69" t="s">
        <v>80</v>
      </c>
      <c r="N69" s="13">
        <f>_xlfn.NORM.DIST(N56,$I28,$I$41,TRUE)</f>
        <v>0.64306616326250143</v>
      </c>
      <c r="O69" s="13">
        <f t="shared" ref="O69:O70" si="38">_xlfn.NORM.DIST(O56,$I28,$I$41,TRUE)</f>
        <v>0.90878878027413212</v>
      </c>
      <c r="P69" s="13">
        <f t="shared" ref="P69:P71" si="39">_xlfn.NORM.DIST(P56,$I28,$I$41,TRUE)</f>
        <v>0.99102545470421699</v>
      </c>
      <c r="Q69" s="13">
        <f t="shared" ref="Q69:Q72" si="40">_xlfn.NORM.DIST(Q56,$I28,$I$41,TRUE)</f>
        <v>0.99961958704103882</v>
      </c>
      <c r="R69" s="13">
        <f t="shared" ref="R69:R73" si="41">_xlfn.NORM.DIST(R56,$I28,$I$41,TRUE)</f>
        <v>0.99999458745609227</v>
      </c>
      <c r="S69" s="13">
        <f t="shared" ref="S69:S74" si="42">_xlfn.NORM.DIST(S56,$I28,$I$41,TRUE)</f>
        <v>0.99999996667955149</v>
      </c>
      <c r="T69" s="13">
        <f t="shared" ref="T69:T75" si="43">_xlfn.NORM.DIST(T56,$I28,$I$41,TRUE)</f>
        <v>0.99999999993758226</v>
      </c>
      <c r="U69" s="13">
        <f t="shared" ref="U69:U76" si="44">_xlfn.NORM.DIST(U56,$I28,$I$41,TRUE)</f>
        <v>0.99999999999995892</v>
      </c>
      <c r="V69" s="13">
        <f t="shared" ref="V69:V77" si="45">_xlfn.NORM.DIST(V56,$I28,$I$41,TRUE)</f>
        <v>1</v>
      </c>
      <c r="W69" s="13">
        <f t="shared" ref="W69:W78" si="46">_xlfn.NORM.DIST(W56,$I28,$I$41,TRUE)</f>
        <v>1</v>
      </c>
      <c r="X69" s="13">
        <f t="shared" ref="X69:X79" si="47">_xlfn.NORM.DIST(X56,$I28,$I$41,TRUE)</f>
        <v>1</v>
      </c>
      <c r="Y69" s="13">
        <f t="shared" ref="Y69:BI69" si="48">_xlfn.NORM.DIST(Y56,$I28,$I$41,TRUE)</f>
        <v>1</v>
      </c>
      <c r="Z69" s="13">
        <f t="shared" si="48"/>
        <v>0.64306616326250143</v>
      </c>
      <c r="AA69" s="13">
        <f t="shared" si="48"/>
        <v>0.9031995154143897</v>
      </c>
      <c r="AB69" s="13">
        <f t="shared" si="48"/>
        <v>0.99018467137135469</v>
      </c>
      <c r="AC69" s="13">
        <f t="shared" si="48"/>
        <v>0.99957093966680322</v>
      </c>
      <c r="AD69" s="13">
        <f t="shared" si="48"/>
        <v>0.99999369214844513</v>
      </c>
      <c r="AE69" s="13">
        <f t="shared" si="48"/>
        <v>0.99999995989745682</v>
      </c>
      <c r="AF69" s="13">
        <f t="shared" si="48"/>
        <v>0.99999999992231148</v>
      </c>
      <c r="AG69" s="13">
        <f t="shared" si="48"/>
        <v>0.99999999999994704</v>
      </c>
      <c r="AH69" s="13">
        <f t="shared" si="48"/>
        <v>1</v>
      </c>
      <c r="AI69" s="13">
        <f t="shared" si="48"/>
        <v>1</v>
      </c>
      <c r="AJ69" s="13">
        <f t="shared" si="48"/>
        <v>1</v>
      </c>
      <c r="AK69" s="13">
        <f t="shared" si="48"/>
        <v>1</v>
      </c>
      <c r="AL69" s="13">
        <f t="shared" si="48"/>
        <v>0.64306616326250143</v>
      </c>
      <c r="AM69" s="13">
        <f t="shared" si="48"/>
        <v>0.9031995154143897</v>
      </c>
      <c r="AN69" s="13">
        <f t="shared" si="48"/>
        <v>0.99018467137135469</v>
      </c>
      <c r="AO69" s="13">
        <f t="shared" si="48"/>
        <v>0.99957093966680322</v>
      </c>
      <c r="AP69" s="13">
        <f t="shared" si="48"/>
        <v>0.99999369214844513</v>
      </c>
      <c r="AQ69" s="13">
        <f t="shared" si="48"/>
        <v>0.99999995989745682</v>
      </c>
      <c r="AR69" s="13">
        <f t="shared" si="48"/>
        <v>0.99999999992231148</v>
      </c>
      <c r="AS69" s="13">
        <f t="shared" si="48"/>
        <v>0.99999999999994704</v>
      </c>
      <c r="AT69" s="13">
        <f t="shared" si="48"/>
        <v>1</v>
      </c>
      <c r="AU69" s="13">
        <f t="shared" si="48"/>
        <v>1</v>
      </c>
      <c r="AV69" s="13">
        <f t="shared" si="48"/>
        <v>1</v>
      </c>
      <c r="AW69" s="13">
        <f t="shared" si="48"/>
        <v>1</v>
      </c>
      <c r="AX69" s="13">
        <f t="shared" si="48"/>
        <v>0.64306616326250143</v>
      </c>
      <c r="AY69" s="13">
        <f t="shared" si="48"/>
        <v>0.9031995154143897</v>
      </c>
      <c r="AZ69" s="13">
        <f t="shared" si="48"/>
        <v>0.99018467137135469</v>
      </c>
      <c r="BA69" s="13">
        <f t="shared" si="48"/>
        <v>0.99957093966680322</v>
      </c>
      <c r="BB69" s="13">
        <f t="shared" si="48"/>
        <v>0.99999369214844513</v>
      </c>
      <c r="BC69" s="13">
        <f t="shared" si="48"/>
        <v>0.99999995989745682</v>
      </c>
      <c r="BD69" s="13">
        <f t="shared" si="48"/>
        <v>0.99999999992231148</v>
      </c>
      <c r="BE69" s="13">
        <f t="shared" si="48"/>
        <v>0.99999999999994704</v>
      </c>
      <c r="BF69" s="13">
        <f t="shared" si="48"/>
        <v>1</v>
      </c>
      <c r="BG69" s="13">
        <f t="shared" si="48"/>
        <v>1</v>
      </c>
      <c r="BH69" s="13">
        <f t="shared" si="48"/>
        <v>1</v>
      </c>
      <c r="BI69" s="13">
        <f t="shared" si="48"/>
        <v>1</v>
      </c>
    </row>
    <row r="70" spans="5:61" x14ac:dyDescent="0.35">
      <c r="E70">
        <v>2</v>
      </c>
      <c r="J70" t="s">
        <v>80</v>
      </c>
      <c r="N70" s="78"/>
      <c r="O70" s="13">
        <f t="shared" si="38"/>
        <v>0.61791142218895267</v>
      </c>
      <c r="P70" s="13">
        <f t="shared" si="39"/>
        <v>0.90878878027413212</v>
      </c>
      <c r="Q70" s="13">
        <f t="shared" si="40"/>
        <v>0.99018467137135469</v>
      </c>
      <c r="R70" s="13">
        <f t="shared" si="41"/>
        <v>0.99961958704103882</v>
      </c>
      <c r="S70" s="13">
        <f t="shared" si="42"/>
        <v>0.99999369214844513</v>
      </c>
      <c r="T70" s="13">
        <f t="shared" si="43"/>
        <v>0.99999996667955149</v>
      </c>
      <c r="U70" s="13">
        <f t="shared" si="44"/>
        <v>0.99999999993758226</v>
      </c>
      <c r="V70" s="13">
        <f t="shared" si="45"/>
        <v>0.99999999999994704</v>
      </c>
      <c r="W70" s="13">
        <f t="shared" si="46"/>
        <v>1</v>
      </c>
      <c r="X70" s="13">
        <f t="shared" si="47"/>
        <v>1</v>
      </c>
      <c r="Y70" s="13">
        <f t="shared" ref="Y70:BI70" si="49">_xlfn.NORM.DIST(Y57,$I29,$I$41,TRUE)</f>
        <v>1</v>
      </c>
      <c r="Z70" s="13">
        <f t="shared" si="49"/>
        <v>1</v>
      </c>
      <c r="AA70" s="13">
        <f t="shared" si="49"/>
        <v>0.60513708953597489</v>
      </c>
      <c r="AB70" s="13">
        <f t="shared" si="49"/>
        <v>0.9031995154143897</v>
      </c>
      <c r="AC70" s="13">
        <f t="shared" si="49"/>
        <v>0.98927588997832416</v>
      </c>
      <c r="AD70" s="13">
        <f t="shared" si="49"/>
        <v>0.99957093966680322</v>
      </c>
      <c r="AE70" s="13">
        <f t="shared" si="49"/>
        <v>0.9999926565761631</v>
      </c>
      <c r="AF70" s="13">
        <f t="shared" si="49"/>
        <v>0.99999995989745682</v>
      </c>
      <c r="AG70" s="13">
        <f t="shared" si="49"/>
        <v>0.99999999992231148</v>
      </c>
      <c r="AH70" s="13">
        <f t="shared" si="49"/>
        <v>0.99999999999993194</v>
      </c>
      <c r="AI70" s="13">
        <f t="shared" si="49"/>
        <v>1</v>
      </c>
      <c r="AJ70" s="13">
        <f t="shared" si="49"/>
        <v>1</v>
      </c>
      <c r="AK70" s="13">
        <f t="shared" si="49"/>
        <v>1</v>
      </c>
      <c r="AL70" s="13">
        <f t="shared" si="49"/>
        <v>1</v>
      </c>
      <c r="AM70" s="13">
        <f t="shared" si="49"/>
        <v>0.60513708953597489</v>
      </c>
      <c r="AN70" s="13">
        <f t="shared" si="49"/>
        <v>0.9031995154143897</v>
      </c>
      <c r="AO70" s="13">
        <f t="shared" si="49"/>
        <v>0.98927588997832416</v>
      </c>
      <c r="AP70" s="13">
        <f t="shared" si="49"/>
        <v>0.99957093966680322</v>
      </c>
      <c r="AQ70" s="13">
        <f t="shared" si="49"/>
        <v>0.9999926565761631</v>
      </c>
      <c r="AR70" s="13">
        <f t="shared" si="49"/>
        <v>0.99999995989745682</v>
      </c>
      <c r="AS70" s="13">
        <f t="shared" si="49"/>
        <v>0.99999999992231148</v>
      </c>
      <c r="AT70" s="13">
        <f t="shared" si="49"/>
        <v>0.99999999999993194</v>
      </c>
      <c r="AU70" s="13">
        <f t="shared" si="49"/>
        <v>1</v>
      </c>
      <c r="AV70" s="13">
        <f t="shared" si="49"/>
        <v>1</v>
      </c>
      <c r="AW70" s="13">
        <f t="shared" si="49"/>
        <v>1</v>
      </c>
      <c r="AX70" s="13">
        <f t="shared" si="49"/>
        <v>1</v>
      </c>
      <c r="AY70" s="13">
        <f t="shared" si="49"/>
        <v>0.60513708953597489</v>
      </c>
      <c r="AZ70" s="13">
        <f t="shared" si="49"/>
        <v>0.9031995154143897</v>
      </c>
      <c r="BA70" s="13">
        <f t="shared" si="49"/>
        <v>0.98927588997832416</v>
      </c>
      <c r="BB70" s="13">
        <f t="shared" si="49"/>
        <v>0.99957093966680322</v>
      </c>
      <c r="BC70" s="13">
        <f t="shared" si="49"/>
        <v>0.9999926565761631</v>
      </c>
      <c r="BD70" s="13">
        <f t="shared" si="49"/>
        <v>0.99999995989745682</v>
      </c>
      <c r="BE70" s="13">
        <f t="shared" si="49"/>
        <v>0.99999999992231148</v>
      </c>
      <c r="BF70" s="13">
        <f t="shared" si="49"/>
        <v>0.99999999999993194</v>
      </c>
      <c r="BG70" s="13">
        <f t="shared" si="49"/>
        <v>1</v>
      </c>
      <c r="BH70" s="13">
        <f t="shared" si="49"/>
        <v>1</v>
      </c>
      <c r="BI70" s="13">
        <f t="shared" si="49"/>
        <v>1</v>
      </c>
    </row>
    <row r="71" spans="5:61" x14ac:dyDescent="0.35">
      <c r="E71">
        <v>3</v>
      </c>
      <c r="J71" t="s">
        <v>80</v>
      </c>
      <c r="N71" s="78"/>
      <c r="O71" s="78"/>
      <c r="P71" s="13">
        <f t="shared" si="39"/>
        <v>0.64306616326250143</v>
      </c>
      <c r="Q71" s="13">
        <f t="shared" si="40"/>
        <v>0.91413509474264409</v>
      </c>
      <c r="R71" s="13">
        <f t="shared" si="41"/>
        <v>0.99180246407540384</v>
      </c>
      <c r="S71" s="13">
        <f t="shared" si="42"/>
        <v>0.99966307073432314</v>
      </c>
      <c r="T71" s="13">
        <f t="shared" si="43"/>
        <v>0.99999536063796857</v>
      </c>
      <c r="U71" s="13">
        <f t="shared" si="44"/>
        <v>0.99999997707113786</v>
      </c>
      <c r="V71" s="13">
        <f t="shared" si="45"/>
        <v>0.99999999994990585</v>
      </c>
      <c r="W71" s="13">
        <f t="shared" si="46"/>
        <v>0.99999999999996814</v>
      </c>
      <c r="X71" s="13">
        <f t="shared" si="47"/>
        <v>1</v>
      </c>
      <c r="Y71" s="13">
        <f t="shared" ref="Y71:BI71" si="50">_xlfn.NORM.DIST(Y58,$I30,$I$41,TRUE)</f>
        <v>1</v>
      </c>
      <c r="Z71" s="13">
        <f t="shared" si="50"/>
        <v>1</v>
      </c>
      <c r="AA71" s="13">
        <f t="shared" si="50"/>
        <v>1</v>
      </c>
      <c r="AB71" s="13">
        <f t="shared" si="50"/>
        <v>0.64306616326250143</v>
      </c>
      <c r="AC71" s="13">
        <f t="shared" si="50"/>
        <v>0.91413509474264409</v>
      </c>
      <c r="AD71" s="13">
        <f t="shared" si="50"/>
        <v>0.99180246407540384</v>
      </c>
      <c r="AE71" s="13">
        <f t="shared" si="50"/>
        <v>0.99966307073432314</v>
      </c>
      <c r="AF71" s="13">
        <f t="shared" si="50"/>
        <v>0.99999536063796857</v>
      </c>
      <c r="AG71" s="13">
        <f t="shared" si="50"/>
        <v>0.99999997707113786</v>
      </c>
      <c r="AH71" s="13">
        <f t="shared" si="50"/>
        <v>0.99999999994990585</v>
      </c>
      <c r="AI71" s="13">
        <f t="shared" si="50"/>
        <v>0.99999999999996814</v>
      </c>
      <c r="AJ71" s="13">
        <f t="shared" si="50"/>
        <v>1</v>
      </c>
      <c r="AK71" s="13">
        <f t="shared" si="50"/>
        <v>1</v>
      </c>
      <c r="AL71" s="13">
        <f t="shared" si="50"/>
        <v>1</v>
      </c>
      <c r="AM71" s="13">
        <f t="shared" si="50"/>
        <v>1</v>
      </c>
      <c r="AN71" s="13">
        <f t="shared" si="50"/>
        <v>0.64306616326250143</v>
      </c>
      <c r="AO71" s="13">
        <f t="shared" si="50"/>
        <v>0.91413509474264409</v>
      </c>
      <c r="AP71" s="13">
        <f t="shared" si="50"/>
        <v>0.99180246407540384</v>
      </c>
      <c r="AQ71" s="13">
        <f t="shared" si="50"/>
        <v>0.99966307073432314</v>
      </c>
      <c r="AR71" s="13">
        <f t="shared" si="50"/>
        <v>0.99999536063796857</v>
      </c>
      <c r="AS71" s="13">
        <f t="shared" si="50"/>
        <v>0.99999997707113786</v>
      </c>
      <c r="AT71" s="13">
        <f t="shared" si="50"/>
        <v>0.99999999994990585</v>
      </c>
      <c r="AU71" s="13">
        <f t="shared" si="50"/>
        <v>0.99999999999996814</v>
      </c>
      <c r="AV71" s="13">
        <f t="shared" si="50"/>
        <v>1</v>
      </c>
      <c r="AW71" s="13">
        <f t="shared" si="50"/>
        <v>1</v>
      </c>
      <c r="AX71" s="13">
        <f t="shared" si="50"/>
        <v>1</v>
      </c>
      <c r="AY71" s="13">
        <f t="shared" si="50"/>
        <v>1</v>
      </c>
      <c r="AZ71" s="13">
        <f t="shared" si="50"/>
        <v>0.64306616326250143</v>
      </c>
      <c r="BA71" s="13">
        <f t="shared" si="50"/>
        <v>0.91413509474264409</v>
      </c>
      <c r="BB71" s="13">
        <f t="shared" si="50"/>
        <v>0.99180246407540384</v>
      </c>
      <c r="BC71" s="13">
        <f t="shared" si="50"/>
        <v>0.99966307073432314</v>
      </c>
      <c r="BD71" s="13">
        <f t="shared" si="50"/>
        <v>0.99999536063796857</v>
      </c>
      <c r="BE71" s="13">
        <f t="shared" si="50"/>
        <v>0.99999997707113786</v>
      </c>
      <c r="BF71" s="13">
        <f t="shared" si="50"/>
        <v>0.99999999994990585</v>
      </c>
      <c r="BG71" s="13">
        <f t="shared" si="50"/>
        <v>0.99999999999996814</v>
      </c>
      <c r="BH71" s="13">
        <f t="shared" si="50"/>
        <v>1</v>
      </c>
      <c r="BI71" s="13">
        <f t="shared" si="50"/>
        <v>1</v>
      </c>
    </row>
    <row r="72" spans="5:61" x14ac:dyDescent="0.35">
      <c r="E72">
        <v>4</v>
      </c>
      <c r="J72" t="s">
        <v>80</v>
      </c>
      <c r="N72" s="78"/>
      <c r="O72" s="78"/>
      <c r="P72" s="78"/>
      <c r="Q72" s="13">
        <f t="shared" si="40"/>
        <v>0.63055865981823644</v>
      </c>
      <c r="R72" s="13">
        <f t="shared" si="41"/>
        <v>0.91413509474264409</v>
      </c>
      <c r="S72" s="13">
        <f t="shared" si="42"/>
        <v>0.99102545470421699</v>
      </c>
      <c r="T72" s="13">
        <f t="shared" si="43"/>
        <v>0.99966307073432314</v>
      </c>
      <c r="U72" s="13">
        <f t="shared" si="44"/>
        <v>0.99999536063796857</v>
      </c>
      <c r="V72" s="13">
        <f t="shared" si="45"/>
        <v>0.99999997234452753</v>
      </c>
      <c r="W72" s="13">
        <f t="shared" si="46"/>
        <v>0.99999999994990585</v>
      </c>
      <c r="X72" s="13">
        <f t="shared" si="47"/>
        <v>0.99999999999995892</v>
      </c>
      <c r="Y72" s="13">
        <f t="shared" ref="Y72:BI72" si="51">_xlfn.NORM.DIST(Y59,$I31,$I$41,TRUE)</f>
        <v>1</v>
      </c>
      <c r="Z72" s="13">
        <f t="shared" si="51"/>
        <v>1</v>
      </c>
      <c r="AA72" s="13">
        <f t="shared" si="51"/>
        <v>1</v>
      </c>
      <c r="AB72" s="13">
        <f t="shared" si="51"/>
        <v>1</v>
      </c>
      <c r="AC72" s="13">
        <f t="shared" si="51"/>
        <v>0.63055865981823644</v>
      </c>
      <c r="AD72" s="13">
        <f t="shared" si="51"/>
        <v>0.91413509474264409</v>
      </c>
      <c r="AE72" s="13">
        <f t="shared" si="51"/>
        <v>0.99102545470421699</v>
      </c>
      <c r="AF72" s="13">
        <f t="shared" si="51"/>
        <v>0.99966307073432314</v>
      </c>
      <c r="AG72" s="13">
        <f t="shared" si="51"/>
        <v>0.99999536063796857</v>
      </c>
      <c r="AH72" s="13">
        <f t="shared" si="51"/>
        <v>0.99999997234452753</v>
      </c>
      <c r="AI72" s="13">
        <f t="shared" si="51"/>
        <v>0.99999999994990585</v>
      </c>
      <c r="AJ72" s="13">
        <f t="shared" si="51"/>
        <v>0.99999999999995892</v>
      </c>
      <c r="AK72" s="13">
        <f t="shared" si="51"/>
        <v>1</v>
      </c>
      <c r="AL72" s="13">
        <f t="shared" si="51"/>
        <v>1</v>
      </c>
      <c r="AM72" s="13">
        <f t="shared" si="51"/>
        <v>1</v>
      </c>
      <c r="AN72" s="13">
        <f t="shared" si="51"/>
        <v>1</v>
      </c>
      <c r="AO72" s="13">
        <f t="shared" si="51"/>
        <v>0.63055865981823644</v>
      </c>
      <c r="AP72" s="13">
        <f t="shared" si="51"/>
        <v>0.91413509474264409</v>
      </c>
      <c r="AQ72" s="13">
        <f t="shared" si="51"/>
        <v>0.99102545470421699</v>
      </c>
      <c r="AR72" s="13">
        <f t="shared" si="51"/>
        <v>0.99966307073432314</v>
      </c>
      <c r="AS72" s="13">
        <f t="shared" si="51"/>
        <v>0.99999536063796857</v>
      </c>
      <c r="AT72" s="13">
        <f t="shared" si="51"/>
        <v>0.99999997234452753</v>
      </c>
      <c r="AU72" s="13">
        <f t="shared" si="51"/>
        <v>0.99999999994990585</v>
      </c>
      <c r="AV72" s="13">
        <f t="shared" si="51"/>
        <v>0.99999999999995892</v>
      </c>
      <c r="AW72" s="13">
        <f t="shared" si="51"/>
        <v>1</v>
      </c>
      <c r="AX72" s="13">
        <f t="shared" si="51"/>
        <v>1</v>
      </c>
      <c r="AY72" s="13">
        <f t="shared" si="51"/>
        <v>1</v>
      </c>
      <c r="AZ72" s="13">
        <f t="shared" si="51"/>
        <v>1</v>
      </c>
      <c r="BA72" s="13">
        <f t="shared" si="51"/>
        <v>0.63055865981823644</v>
      </c>
      <c r="BB72" s="13">
        <f t="shared" si="51"/>
        <v>0.91413509474264409</v>
      </c>
      <c r="BC72" s="13">
        <f t="shared" si="51"/>
        <v>0.99102545470421699</v>
      </c>
      <c r="BD72" s="13">
        <f t="shared" si="51"/>
        <v>0.99966307073432314</v>
      </c>
      <c r="BE72" s="13">
        <f t="shared" si="51"/>
        <v>0.99999536063796857</v>
      </c>
      <c r="BF72" s="13">
        <f t="shared" si="51"/>
        <v>0.99999997234452753</v>
      </c>
      <c r="BG72" s="13">
        <f t="shared" si="51"/>
        <v>0.99999999994990585</v>
      </c>
      <c r="BH72" s="13">
        <f t="shared" si="51"/>
        <v>0.99999999999995892</v>
      </c>
      <c r="BI72" s="13">
        <f t="shared" si="51"/>
        <v>1</v>
      </c>
    </row>
    <row r="73" spans="5:61" x14ac:dyDescent="0.35">
      <c r="E73">
        <v>5</v>
      </c>
      <c r="J73" t="s">
        <v>80</v>
      </c>
      <c r="N73" s="78"/>
      <c r="O73" s="78"/>
      <c r="P73" s="78"/>
      <c r="Q73" s="78"/>
      <c r="R73" s="13">
        <f t="shared" si="41"/>
        <v>0.64306616326250143</v>
      </c>
      <c r="S73" s="13">
        <f t="shared" si="42"/>
        <v>0.91413509474264409</v>
      </c>
      <c r="T73" s="13">
        <f t="shared" si="43"/>
        <v>0.99180246407540384</v>
      </c>
      <c r="U73" s="13">
        <f t="shared" si="44"/>
        <v>0.99970189568732981</v>
      </c>
      <c r="V73" s="13">
        <f t="shared" si="45"/>
        <v>0.99999536063796857</v>
      </c>
      <c r="W73" s="13">
        <f t="shared" si="46"/>
        <v>0.99999997707113786</v>
      </c>
      <c r="X73" s="13">
        <f t="shared" si="47"/>
        <v>0.99999999994990585</v>
      </c>
      <c r="Y73" s="13">
        <f t="shared" ref="Y73:BI73" si="52">_xlfn.NORM.DIST(Y60,$I32,$I$41,TRUE)</f>
        <v>0.99999999999996814</v>
      </c>
      <c r="Z73" s="13">
        <f t="shared" si="52"/>
        <v>1</v>
      </c>
      <c r="AA73" s="13">
        <f t="shared" si="52"/>
        <v>1</v>
      </c>
      <c r="AB73" s="13">
        <f t="shared" si="52"/>
        <v>1</v>
      </c>
      <c r="AC73" s="13">
        <f t="shared" si="52"/>
        <v>1</v>
      </c>
      <c r="AD73" s="13">
        <f t="shared" si="52"/>
        <v>0.64306616326250143</v>
      </c>
      <c r="AE73" s="13">
        <f t="shared" si="52"/>
        <v>0.91413509474264409</v>
      </c>
      <c r="AF73" s="13">
        <f t="shared" si="52"/>
        <v>0.99180246407540384</v>
      </c>
      <c r="AG73" s="13">
        <f t="shared" si="52"/>
        <v>0.99970189568732981</v>
      </c>
      <c r="AH73" s="13">
        <f t="shared" si="52"/>
        <v>0.99999536063796857</v>
      </c>
      <c r="AI73" s="13">
        <f t="shared" si="52"/>
        <v>0.99999997707113786</v>
      </c>
      <c r="AJ73" s="13">
        <f t="shared" si="52"/>
        <v>0.99999999994990585</v>
      </c>
      <c r="AK73" s="13">
        <f t="shared" si="52"/>
        <v>0.99999999999996814</v>
      </c>
      <c r="AL73" s="13">
        <f t="shared" si="52"/>
        <v>1</v>
      </c>
      <c r="AM73" s="13">
        <f t="shared" si="52"/>
        <v>1</v>
      </c>
      <c r="AN73" s="13">
        <f t="shared" si="52"/>
        <v>1</v>
      </c>
      <c r="AO73" s="13">
        <f t="shared" si="52"/>
        <v>1</v>
      </c>
      <c r="AP73" s="13">
        <f t="shared" si="52"/>
        <v>0.64306616326250143</v>
      </c>
      <c r="AQ73" s="13">
        <f t="shared" si="52"/>
        <v>0.91413509474264409</v>
      </c>
      <c r="AR73" s="13">
        <f t="shared" si="52"/>
        <v>0.99180246407540384</v>
      </c>
      <c r="AS73" s="13">
        <f t="shared" si="52"/>
        <v>0.99970189568732981</v>
      </c>
      <c r="AT73" s="13">
        <f t="shared" si="52"/>
        <v>0.99999536063796857</v>
      </c>
      <c r="AU73" s="13">
        <f t="shared" si="52"/>
        <v>0.99999997707113786</v>
      </c>
      <c r="AV73" s="13">
        <f t="shared" si="52"/>
        <v>0.99999999994990585</v>
      </c>
      <c r="AW73" s="13">
        <f t="shared" si="52"/>
        <v>0.99999999999996814</v>
      </c>
      <c r="AX73" s="13">
        <f t="shared" si="52"/>
        <v>1</v>
      </c>
      <c r="AY73" s="13">
        <f t="shared" si="52"/>
        <v>1</v>
      </c>
      <c r="AZ73" s="13">
        <f t="shared" si="52"/>
        <v>1</v>
      </c>
      <c r="BA73" s="13">
        <f t="shared" si="52"/>
        <v>1</v>
      </c>
      <c r="BB73" s="13">
        <f t="shared" si="52"/>
        <v>0.64306616326250143</v>
      </c>
      <c r="BC73" s="13">
        <f t="shared" si="52"/>
        <v>0.91413509474264409</v>
      </c>
      <c r="BD73" s="13">
        <f t="shared" si="52"/>
        <v>0.99180246407540384</v>
      </c>
      <c r="BE73" s="13">
        <f t="shared" si="52"/>
        <v>0.99970189568732981</v>
      </c>
      <c r="BF73" s="13">
        <f t="shared" si="52"/>
        <v>0.99999536063796857</v>
      </c>
      <c r="BG73" s="13">
        <f t="shared" si="52"/>
        <v>0.99999997707113786</v>
      </c>
      <c r="BH73" s="13">
        <f t="shared" si="52"/>
        <v>0.99999999994990585</v>
      </c>
      <c r="BI73" s="13">
        <f t="shared" si="52"/>
        <v>0.99999999999996814</v>
      </c>
    </row>
    <row r="74" spans="5:61" x14ac:dyDescent="0.35">
      <c r="E74">
        <v>6</v>
      </c>
      <c r="J74" t="s">
        <v>80</v>
      </c>
      <c r="N74" s="78"/>
      <c r="O74" s="78"/>
      <c r="P74" s="78"/>
      <c r="Q74" s="78"/>
      <c r="R74" s="78"/>
      <c r="S74" s="13">
        <f t="shared" si="42"/>
        <v>0.63055865981823644</v>
      </c>
      <c r="T74" s="13">
        <f t="shared" si="43"/>
        <v>0.91413509474264409</v>
      </c>
      <c r="U74" s="13">
        <f t="shared" si="44"/>
        <v>0.99180246407540384</v>
      </c>
      <c r="V74" s="13">
        <f t="shared" si="45"/>
        <v>0.99966307073432314</v>
      </c>
      <c r="W74" s="13">
        <f t="shared" si="46"/>
        <v>0.99999536063796857</v>
      </c>
      <c r="X74" s="13">
        <f t="shared" si="47"/>
        <v>0.99999997234452753</v>
      </c>
      <c r="Y74" s="13">
        <f t="shared" ref="Y74:BI74" si="53">_xlfn.NORM.DIST(Y61,$I33,$I$41,TRUE)</f>
        <v>0.99999999994990585</v>
      </c>
      <c r="Z74" s="13">
        <f t="shared" si="53"/>
        <v>0.99999999999996814</v>
      </c>
      <c r="AA74" s="13">
        <f t="shared" si="53"/>
        <v>1</v>
      </c>
      <c r="AB74" s="13">
        <f t="shared" si="53"/>
        <v>1</v>
      </c>
      <c r="AC74" s="13">
        <f t="shared" si="53"/>
        <v>1</v>
      </c>
      <c r="AD74" s="13">
        <f t="shared" si="53"/>
        <v>1</v>
      </c>
      <c r="AE74" s="13">
        <f t="shared" si="53"/>
        <v>0.63055865981823644</v>
      </c>
      <c r="AF74" s="13">
        <f t="shared" si="53"/>
        <v>0.91413509474264409</v>
      </c>
      <c r="AG74" s="13">
        <f t="shared" si="53"/>
        <v>0.99180246407540384</v>
      </c>
      <c r="AH74" s="13">
        <f t="shared" si="53"/>
        <v>0.99966307073432314</v>
      </c>
      <c r="AI74" s="13">
        <f t="shared" si="53"/>
        <v>0.99999536063796857</v>
      </c>
      <c r="AJ74" s="13">
        <f t="shared" si="53"/>
        <v>0.99999997234452753</v>
      </c>
      <c r="AK74" s="13">
        <f t="shared" si="53"/>
        <v>0.99999999994990585</v>
      </c>
      <c r="AL74" s="13">
        <f t="shared" si="53"/>
        <v>0.99999999999996814</v>
      </c>
      <c r="AM74" s="13">
        <f t="shared" si="53"/>
        <v>1</v>
      </c>
      <c r="AN74" s="13">
        <f t="shared" si="53"/>
        <v>1</v>
      </c>
      <c r="AO74" s="13">
        <f t="shared" si="53"/>
        <v>1</v>
      </c>
      <c r="AP74" s="13">
        <f t="shared" si="53"/>
        <v>1</v>
      </c>
      <c r="AQ74" s="13">
        <f t="shared" si="53"/>
        <v>0.63055865981823644</v>
      </c>
      <c r="AR74" s="13">
        <f t="shared" si="53"/>
        <v>0.91413509474264409</v>
      </c>
      <c r="AS74" s="13">
        <f t="shared" si="53"/>
        <v>0.99180246407540384</v>
      </c>
      <c r="AT74" s="13">
        <f t="shared" si="53"/>
        <v>0.99966307073432314</v>
      </c>
      <c r="AU74" s="13">
        <f t="shared" si="53"/>
        <v>0.99999536063796857</v>
      </c>
      <c r="AV74" s="13">
        <f t="shared" si="53"/>
        <v>0.99999997234452753</v>
      </c>
      <c r="AW74" s="13">
        <f t="shared" si="53"/>
        <v>0.99999999994990585</v>
      </c>
      <c r="AX74" s="13">
        <f t="shared" si="53"/>
        <v>0.99999999999996814</v>
      </c>
      <c r="AY74" s="13">
        <f t="shared" si="53"/>
        <v>1</v>
      </c>
      <c r="AZ74" s="13">
        <f t="shared" si="53"/>
        <v>1</v>
      </c>
      <c r="BA74" s="13">
        <f t="shared" si="53"/>
        <v>1</v>
      </c>
      <c r="BB74" s="13">
        <f t="shared" si="53"/>
        <v>1</v>
      </c>
      <c r="BC74" s="13">
        <f t="shared" si="53"/>
        <v>0.63055865981823644</v>
      </c>
      <c r="BD74" s="13">
        <f t="shared" si="53"/>
        <v>0.91413509474264409</v>
      </c>
      <c r="BE74" s="13">
        <f t="shared" si="53"/>
        <v>0.99180246407540384</v>
      </c>
      <c r="BF74" s="13">
        <f t="shared" si="53"/>
        <v>0.99966307073432314</v>
      </c>
      <c r="BG74" s="13">
        <f t="shared" si="53"/>
        <v>0.99999536063796857</v>
      </c>
      <c r="BH74" s="13">
        <f t="shared" si="53"/>
        <v>0.99999997234452753</v>
      </c>
      <c r="BI74" s="13">
        <f t="shared" si="53"/>
        <v>0.99999999994990585</v>
      </c>
    </row>
    <row r="75" spans="5:61" x14ac:dyDescent="0.35">
      <c r="E75">
        <v>7</v>
      </c>
      <c r="J75" t="s">
        <v>80</v>
      </c>
      <c r="N75" s="78"/>
      <c r="O75" s="78"/>
      <c r="P75" s="78"/>
      <c r="Q75" s="78"/>
      <c r="R75" s="78"/>
      <c r="S75" s="78"/>
      <c r="T75" s="13">
        <f t="shared" si="43"/>
        <v>0.64306616326250143</v>
      </c>
      <c r="U75" s="13">
        <f t="shared" si="44"/>
        <v>0.91924334076622893</v>
      </c>
      <c r="V75" s="13">
        <f t="shared" si="45"/>
        <v>0.99180246407540384</v>
      </c>
      <c r="W75" s="13">
        <f t="shared" si="46"/>
        <v>0.99970189568732981</v>
      </c>
      <c r="X75" s="13">
        <f t="shared" si="47"/>
        <v>0.99999536063796857</v>
      </c>
      <c r="Y75" s="13">
        <f t="shared" ref="Y75:BI75" si="54">_xlfn.NORM.DIST(Y62,$I34,$I$41,TRUE)</f>
        <v>0.99999997707113786</v>
      </c>
      <c r="Z75" s="13">
        <f t="shared" si="54"/>
        <v>0.99999999995984001</v>
      </c>
      <c r="AA75" s="13">
        <f t="shared" si="54"/>
        <v>0.99999999999994704</v>
      </c>
      <c r="AB75" s="13">
        <f t="shared" si="54"/>
        <v>1</v>
      </c>
      <c r="AC75" s="13">
        <f t="shared" si="54"/>
        <v>1</v>
      </c>
      <c r="AD75" s="13">
        <f t="shared" si="54"/>
        <v>1</v>
      </c>
      <c r="AE75" s="13">
        <f t="shared" si="54"/>
        <v>1</v>
      </c>
      <c r="AF75" s="13">
        <f t="shared" si="54"/>
        <v>0.64306616326250143</v>
      </c>
      <c r="AG75" s="13">
        <f t="shared" si="54"/>
        <v>0.91924334076622893</v>
      </c>
      <c r="AH75" s="13">
        <f t="shared" si="54"/>
        <v>0.99180246407540384</v>
      </c>
      <c r="AI75" s="13">
        <f t="shared" si="54"/>
        <v>0.99970189568732981</v>
      </c>
      <c r="AJ75" s="13">
        <f t="shared" si="54"/>
        <v>0.99999536063796857</v>
      </c>
      <c r="AK75" s="13">
        <f t="shared" si="54"/>
        <v>0.99999997707113786</v>
      </c>
      <c r="AL75" s="13">
        <f t="shared" si="54"/>
        <v>0.99999999995984001</v>
      </c>
      <c r="AM75" s="13">
        <f t="shared" si="54"/>
        <v>0.99999999999994704</v>
      </c>
      <c r="AN75" s="13">
        <f t="shared" si="54"/>
        <v>1</v>
      </c>
      <c r="AO75" s="13">
        <f t="shared" si="54"/>
        <v>1</v>
      </c>
      <c r="AP75" s="13">
        <f t="shared" si="54"/>
        <v>1</v>
      </c>
      <c r="AQ75" s="13">
        <f t="shared" si="54"/>
        <v>1</v>
      </c>
      <c r="AR75" s="13">
        <f t="shared" si="54"/>
        <v>0.64306616326250143</v>
      </c>
      <c r="AS75" s="13">
        <f t="shared" si="54"/>
        <v>0.91924334076622893</v>
      </c>
      <c r="AT75" s="13">
        <f t="shared" si="54"/>
        <v>0.99180246407540384</v>
      </c>
      <c r="AU75" s="13">
        <f t="shared" si="54"/>
        <v>0.99970189568732981</v>
      </c>
      <c r="AV75" s="13">
        <f t="shared" si="54"/>
        <v>0.99999536063796857</v>
      </c>
      <c r="AW75" s="13">
        <f t="shared" si="54"/>
        <v>0.99999997707113786</v>
      </c>
      <c r="AX75" s="13">
        <f t="shared" si="54"/>
        <v>0.99999999995984001</v>
      </c>
      <c r="AY75" s="13">
        <f t="shared" si="54"/>
        <v>0.99999999999994704</v>
      </c>
      <c r="AZ75" s="13">
        <f t="shared" si="54"/>
        <v>1</v>
      </c>
      <c r="BA75" s="13">
        <f t="shared" si="54"/>
        <v>1</v>
      </c>
      <c r="BB75" s="13">
        <f t="shared" si="54"/>
        <v>1</v>
      </c>
      <c r="BC75" s="13">
        <f t="shared" si="54"/>
        <v>1</v>
      </c>
      <c r="BD75" s="13">
        <f t="shared" si="54"/>
        <v>0.64306616326250143</v>
      </c>
      <c r="BE75" s="13">
        <f t="shared" si="54"/>
        <v>0.91924334076622893</v>
      </c>
      <c r="BF75" s="13">
        <f t="shared" si="54"/>
        <v>0.99180246407540384</v>
      </c>
      <c r="BG75" s="13">
        <f t="shared" si="54"/>
        <v>0.99970189568732981</v>
      </c>
      <c r="BH75" s="13">
        <f t="shared" si="54"/>
        <v>0.99999536063796857</v>
      </c>
      <c r="BI75" s="13">
        <f t="shared" si="54"/>
        <v>0.99999997707113786</v>
      </c>
    </row>
    <row r="76" spans="5:61" x14ac:dyDescent="0.35">
      <c r="E76">
        <v>8</v>
      </c>
      <c r="J76" t="s">
        <v>80</v>
      </c>
      <c r="N76" s="78"/>
      <c r="O76" s="78"/>
      <c r="P76" s="78"/>
      <c r="Q76" s="78"/>
      <c r="R76" s="78"/>
      <c r="S76" s="78"/>
      <c r="T76" s="78"/>
      <c r="U76" s="13">
        <f t="shared" si="44"/>
        <v>0.64306616326250143</v>
      </c>
      <c r="V76" s="13">
        <f t="shared" si="45"/>
        <v>0.91413509474264409</v>
      </c>
      <c r="W76" s="13">
        <f t="shared" si="46"/>
        <v>0.99180246407540384</v>
      </c>
      <c r="X76" s="13">
        <f t="shared" si="47"/>
        <v>0.99966307073432314</v>
      </c>
      <c r="Y76" s="13">
        <f t="shared" ref="Y76:BI76" si="55">_xlfn.NORM.DIST(Y63,$I35,$I$41,TRUE)</f>
        <v>0.99999536063796857</v>
      </c>
      <c r="Z76" s="13">
        <f t="shared" si="55"/>
        <v>0.99999997707113786</v>
      </c>
      <c r="AA76" s="13">
        <f t="shared" si="55"/>
        <v>0.99999999992231148</v>
      </c>
      <c r="AB76" s="13">
        <f t="shared" si="55"/>
        <v>0.99999999999994704</v>
      </c>
      <c r="AC76" s="13">
        <f t="shared" si="55"/>
        <v>1</v>
      </c>
      <c r="AD76" s="13">
        <f t="shared" si="55"/>
        <v>1</v>
      </c>
      <c r="AE76" s="13">
        <f t="shared" si="55"/>
        <v>1</v>
      </c>
      <c r="AF76" s="13">
        <f t="shared" si="55"/>
        <v>1</v>
      </c>
      <c r="AG76" s="13">
        <f t="shared" si="55"/>
        <v>0.64306616326250143</v>
      </c>
      <c r="AH76" s="13">
        <f t="shared" si="55"/>
        <v>0.91413509474264409</v>
      </c>
      <c r="AI76" s="13">
        <f t="shared" si="55"/>
        <v>0.99180246407540384</v>
      </c>
      <c r="AJ76" s="13">
        <f t="shared" si="55"/>
        <v>0.99966307073432314</v>
      </c>
      <c r="AK76" s="13">
        <f t="shared" si="55"/>
        <v>0.99999536063796857</v>
      </c>
      <c r="AL76" s="13">
        <f t="shared" si="55"/>
        <v>0.99999997707113786</v>
      </c>
      <c r="AM76" s="13">
        <f t="shared" si="55"/>
        <v>0.99999999992231148</v>
      </c>
      <c r="AN76" s="13">
        <f t="shared" si="55"/>
        <v>0.99999999999994704</v>
      </c>
      <c r="AO76" s="13">
        <f t="shared" si="55"/>
        <v>1</v>
      </c>
      <c r="AP76" s="13">
        <f t="shared" si="55"/>
        <v>1</v>
      </c>
      <c r="AQ76" s="13">
        <f t="shared" si="55"/>
        <v>1</v>
      </c>
      <c r="AR76" s="13">
        <f t="shared" si="55"/>
        <v>1</v>
      </c>
      <c r="AS76" s="13">
        <f t="shared" si="55"/>
        <v>0.64306616326250143</v>
      </c>
      <c r="AT76" s="13">
        <f t="shared" si="55"/>
        <v>0.91413509474264409</v>
      </c>
      <c r="AU76" s="13">
        <f t="shared" si="55"/>
        <v>0.99180246407540384</v>
      </c>
      <c r="AV76" s="13">
        <f t="shared" si="55"/>
        <v>0.99966307073432314</v>
      </c>
      <c r="AW76" s="13">
        <f t="shared" si="55"/>
        <v>0.99999536063796857</v>
      </c>
      <c r="AX76" s="13">
        <f t="shared" si="55"/>
        <v>0.99999997707113786</v>
      </c>
      <c r="AY76" s="13">
        <f t="shared" si="55"/>
        <v>0.99999999992231148</v>
      </c>
      <c r="AZ76" s="13">
        <f t="shared" si="55"/>
        <v>0.99999999999994704</v>
      </c>
      <c r="BA76" s="13">
        <f t="shared" si="55"/>
        <v>1</v>
      </c>
      <c r="BB76" s="13">
        <f t="shared" si="55"/>
        <v>1</v>
      </c>
      <c r="BC76" s="13">
        <f t="shared" si="55"/>
        <v>1</v>
      </c>
      <c r="BD76" s="13">
        <f t="shared" si="55"/>
        <v>1</v>
      </c>
      <c r="BE76" s="13">
        <f t="shared" si="55"/>
        <v>0.64306616326250143</v>
      </c>
      <c r="BF76" s="13">
        <f t="shared" si="55"/>
        <v>0.91413509474264409</v>
      </c>
      <c r="BG76" s="13">
        <f t="shared" si="55"/>
        <v>0.99180246407540384</v>
      </c>
      <c r="BH76" s="13">
        <f t="shared" si="55"/>
        <v>0.99966307073432314</v>
      </c>
      <c r="BI76" s="13">
        <f t="shared" si="55"/>
        <v>0.99999536063796857</v>
      </c>
    </row>
    <row r="77" spans="5:61" x14ac:dyDescent="0.35">
      <c r="E77">
        <v>9</v>
      </c>
      <c r="J77" t="s">
        <v>80</v>
      </c>
      <c r="N77" s="78"/>
      <c r="O77" s="78"/>
      <c r="P77" s="78"/>
      <c r="Q77" s="78"/>
      <c r="R77" s="78"/>
      <c r="S77" s="78"/>
      <c r="T77" s="78"/>
      <c r="U77" s="78"/>
      <c r="V77" s="13">
        <f t="shared" si="45"/>
        <v>0.63055865981823644</v>
      </c>
      <c r="W77" s="13">
        <f t="shared" si="46"/>
        <v>0.91413509474264409</v>
      </c>
      <c r="X77" s="13">
        <f t="shared" si="47"/>
        <v>0.99102545470421699</v>
      </c>
      <c r="Y77" s="13">
        <f t="shared" ref="Y77:BI77" si="56">_xlfn.NORM.DIST(Y64,$I36,$I$41,TRUE)</f>
        <v>0.99966307073432314</v>
      </c>
      <c r="Z77" s="13">
        <f t="shared" si="56"/>
        <v>0.99999536063796857</v>
      </c>
      <c r="AA77" s="13">
        <f t="shared" si="56"/>
        <v>0.99999995989745682</v>
      </c>
      <c r="AB77" s="13">
        <f t="shared" si="56"/>
        <v>0.99999999992231148</v>
      </c>
      <c r="AC77" s="13">
        <f t="shared" si="56"/>
        <v>0.99999999999993194</v>
      </c>
      <c r="AD77" s="13">
        <f t="shared" si="56"/>
        <v>1</v>
      </c>
      <c r="AE77" s="13">
        <f t="shared" si="56"/>
        <v>1</v>
      </c>
      <c r="AF77" s="13">
        <f t="shared" si="56"/>
        <v>1</v>
      </c>
      <c r="AG77" s="13">
        <f t="shared" si="56"/>
        <v>1</v>
      </c>
      <c r="AH77" s="13">
        <f t="shared" si="56"/>
        <v>0.63055865981823644</v>
      </c>
      <c r="AI77" s="13">
        <f t="shared" si="56"/>
        <v>0.91413509474264409</v>
      </c>
      <c r="AJ77" s="13">
        <f t="shared" si="56"/>
        <v>0.99102545470421699</v>
      </c>
      <c r="AK77" s="13">
        <f t="shared" si="56"/>
        <v>0.99966307073432314</v>
      </c>
      <c r="AL77" s="13">
        <f t="shared" si="56"/>
        <v>0.99999536063796857</v>
      </c>
      <c r="AM77" s="13">
        <f t="shared" si="56"/>
        <v>0.99999995989745682</v>
      </c>
      <c r="AN77" s="13">
        <f t="shared" si="56"/>
        <v>0.99999999992231148</v>
      </c>
      <c r="AO77" s="13">
        <f t="shared" si="56"/>
        <v>0.99999999999993194</v>
      </c>
      <c r="AP77" s="13">
        <f t="shared" si="56"/>
        <v>1</v>
      </c>
      <c r="AQ77" s="13">
        <f t="shared" si="56"/>
        <v>1</v>
      </c>
      <c r="AR77" s="13">
        <f t="shared" si="56"/>
        <v>1</v>
      </c>
      <c r="AS77" s="13">
        <f t="shared" si="56"/>
        <v>1</v>
      </c>
      <c r="AT77" s="13">
        <f t="shared" si="56"/>
        <v>0.63055865981823644</v>
      </c>
      <c r="AU77" s="13">
        <f t="shared" si="56"/>
        <v>0.91413509474264409</v>
      </c>
      <c r="AV77" s="13">
        <f t="shared" si="56"/>
        <v>0.99102545470421699</v>
      </c>
      <c r="AW77" s="13">
        <f t="shared" si="56"/>
        <v>0.99966307073432314</v>
      </c>
      <c r="AX77" s="13">
        <f t="shared" si="56"/>
        <v>0.99999536063796857</v>
      </c>
      <c r="AY77" s="13">
        <f t="shared" si="56"/>
        <v>0.99999995989745682</v>
      </c>
      <c r="AZ77" s="13">
        <f t="shared" si="56"/>
        <v>0.99999999992231148</v>
      </c>
      <c r="BA77" s="13">
        <f t="shared" si="56"/>
        <v>0.99999999999993194</v>
      </c>
      <c r="BB77" s="13">
        <f t="shared" si="56"/>
        <v>1</v>
      </c>
      <c r="BC77" s="13">
        <f t="shared" si="56"/>
        <v>1</v>
      </c>
      <c r="BD77" s="13">
        <f t="shared" si="56"/>
        <v>1</v>
      </c>
      <c r="BE77" s="13">
        <f t="shared" si="56"/>
        <v>1</v>
      </c>
      <c r="BF77" s="13">
        <f t="shared" si="56"/>
        <v>0.63055865981823644</v>
      </c>
      <c r="BG77" s="13">
        <f t="shared" si="56"/>
        <v>0.91413509474264409</v>
      </c>
      <c r="BH77" s="13">
        <f t="shared" si="56"/>
        <v>0.99102545470421699</v>
      </c>
      <c r="BI77" s="13">
        <f t="shared" si="56"/>
        <v>0.99966307073432314</v>
      </c>
    </row>
    <row r="78" spans="5:61" x14ac:dyDescent="0.35">
      <c r="E78">
        <v>10</v>
      </c>
      <c r="J78" t="s">
        <v>80</v>
      </c>
      <c r="N78" s="78"/>
      <c r="O78" s="78"/>
      <c r="P78" s="78"/>
      <c r="Q78" s="78"/>
      <c r="R78" s="78"/>
      <c r="S78" s="78"/>
      <c r="T78" s="78"/>
      <c r="U78" s="78"/>
      <c r="V78" s="78"/>
      <c r="W78" s="13">
        <f t="shared" si="46"/>
        <v>0.64306616326250143</v>
      </c>
      <c r="X78" s="13">
        <f t="shared" si="47"/>
        <v>0.91413509474264409</v>
      </c>
      <c r="Y78" s="13">
        <f t="shared" ref="Y78:BI78" si="57">_xlfn.NORM.DIST(Y65,$I37,$I$41,TRUE)</f>
        <v>0.99180246407540384</v>
      </c>
      <c r="Z78" s="13">
        <f t="shared" si="57"/>
        <v>0.99970189568732981</v>
      </c>
      <c r="AA78" s="13">
        <f t="shared" si="57"/>
        <v>0.99999369214844513</v>
      </c>
      <c r="AB78" s="13">
        <f t="shared" si="57"/>
        <v>0.99999996667955149</v>
      </c>
      <c r="AC78" s="13">
        <f t="shared" si="57"/>
        <v>0.99999999992231148</v>
      </c>
      <c r="AD78" s="13">
        <f t="shared" si="57"/>
        <v>0.99999999999994704</v>
      </c>
      <c r="AE78" s="13">
        <f t="shared" si="57"/>
        <v>1</v>
      </c>
      <c r="AF78" s="13">
        <f t="shared" si="57"/>
        <v>1</v>
      </c>
      <c r="AG78" s="13">
        <f t="shared" si="57"/>
        <v>1</v>
      </c>
      <c r="AH78" s="13">
        <f t="shared" si="57"/>
        <v>1</v>
      </c>
      <c r="AI78" s="13">
        <f t="shared" si="57"/>
        <v>0.64306616326250143</v>
      </c>
      <c r="AJ78" s="13">
        <f t="shared" si="57"/>
        <v>0.91413509474264409</v>
      </c>
      <c r="AK78" s="13">
        <f t="shared" si="57"/>
        <v>0.99180246407540384</v>
      </c>
      <c r="AL78" s="13">
        <f t="shared" si="57"/>
        <v>0.99970189568732981</v>
      </c>
      <c r="AM78" s="13">
        <f t="shared" si="57"/>
        <v>0.99999369214844513</v>
      </c>
      <c r="AN78" s="13">
        <f t="shared" si="57"/>
        <v>0.99999996667955149</v>
      </c>
      <c r="AO78" s="13">
        <f t="shared" si="57"/>
        <v>0.99999999992231148</v>
      </c>
      <c r="AP78" s="13">
        <f t="shared" si="57"/>
        <v>0.99999999999994704</v>
      </c>
      <c r="AQ78" s="13">
        <f t="shared" si="57"/>
        <v>1</v>
      </c>
      <c r="AR78" s="13">
        <f t="shared" si="57"/>
        <v>1</v>
      </c>
      <c r="AS78" s="13">
        <f t="shared" si="57"/>
        <v>1</v>
      </c>
      <c r="AT78" s="13">
        <f t="shared" si="57"/>
        <v>1</v>
      </c>
      <c r="AU78" s="13">
        <f t="shared" si="57"/>
        <v>0.64306616326250143</v>
      </c>
      <c r="AV78" s="13">
        <f t="shared" si="57"/>
        <v>0.91413509474264409</v>
      </c>
      <c r="AW78" s="13">
        <f t="shared" si="57"/>
        <v>0.99180246407540384</v>
      </c>
      <c r="AX78" s="13">
        <f t="shared" si="57"/>
        <v>0.99970189568732981</v>
      </c>
      <c r="AY78" s="13">
        <f t="shared" si="57"/>
        <v>0.99999369214844513</v>
      </c>
      <c r="AZ78" s="13">
        <f t="shared" si="57"/>
        <v>0.99999996667955149</v>
      </c>
      <c r="BA78" s="13">
        <f t="shared" si="57"/>
        <v>0.99999999992231148</v>
      </c>
      <c r="BB78" s="13">
        <f t="shared" si="57"/>
        <v>0.99999999999994704</v>
      </c>
      <c r="BC78" s="13">
        <f t="shared" si="57"/>
        <v>1</v>
      </c>
      <c r="BD78" s="13">
        <f t="shared" si="57"/>
        <v>1</v>
      </c>
      <c r="BE78" s="13">
        <f t="shared" si="57"/>
        <v>1</v>
      </c>
      <c r="BF78" s="13">
        <f t="shared" si="57"/>
        <v>1</v>
      </c>
      <c r="BG78" s="13">
        <f t="shared" si="57"/>
        <v>0.64306616326250143</v>
      </c>
      <c r="BH78" s="13">
        <f t="shared" si="57"/>
        <v>0.91413509474264409</v>
      </c>
      <c r="BI78" s="13">
        <f t="shared" si="57"/>
        <v>0.99180246407540384</v>
      </c>
    </row>
    <row r="79" spans="5:61" x14ac:dyDescent="0.35">
      <c r="E79">
        <v>11</v>
      </c>
      <c r="J79" t="s">
        <v>80</v>
      </c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13">
        <f t="shared" si="47"/>
        <v>0.63055865981823644</v>
      </c>
      <c r="Y79" s="13">
        <f t="shared" ref="Y79:BI79" si="58">_xlfn.NORM.DIST(Y66,$I38,$I$41,TRUE)</f>
        <v>0.91413509474264409</v>
      </c>
      <c r="Z79" s="13">
        <f t="shared" si="58"/>
        <v>0.99180246407540384</v>
      </c>
      <c r="AA79" s="13">
        <f t="shared" si="58"/>
        <v>0.99957093966680322</v>
      </c>
      <c r="AB79" s="13">
        <f t="shared" si="58"/>
        <v>0.99999369214844513</v>
      </c>
      <c r="AC79" s="13">
        <f t="shared" si="58"/>
        <v>0.99999995989745682</v>
      </c>
      <c r="AD79" s="13">
        <f t="shared" si="58"/>
        <v>0.99999999992231148</v>
      </c>
      <c r="AE79" s="13">
        <f t="shared" si="58"/>
        <v>0.99999999999993194</v>
      </c>
      <c r="AF79" s="13">
        <f t="shared" si="58"/>
        <v>1</v>
      </c>
      <c r="AG79" s="13">
        <f t="shared" si="58"/>
        <v>1</v>
      </c>
      <c r="AH79" s="13">
        <f t="shared" si="58"/>
        <v>1</v>
      </c>
      <c r="AI79" s="13">
        <f t="shared" si="58"/>
        <v>1</v>
      </c>
      <c r="AJ79" s="13">
        <f t="shared" si="58"/>
        <v>0.63055865981823644</v>
      </c>
      <c r="AK79" s="13">
        <f t="shared" si="58"/>
        <v>0.91413509474264409</v>
      </c>
      <c r="AL79" s="13">
        <f t="shared" si="58"/>
        <v>0.99180246407540384</v>
      </c>
      <c r="AM79" s="13">
        <f t="shared" si="58"/>
        <v>0.99957093966680322</v>
      </c>
      <c r="AN79" s="13">
        <f t="shared" si="58"/>
        <v>0.99999369214844513</v>
      </c>
      <c r="AO79" s="13">
        <f t="shared" si="58"/>
        <v>0.99999995989745682</v>
      </c>
      <c r="AP79" s="13">
        <f t="shared" si="58"/>
        <v>0.99999999992231148</v>
      </c>
      <c r="AQ79" s="13">
        <f t="shared" si="58"/>
        <v>0.99999999999993194</v>
      </c>
      <c r="AR79" s="13">
        <f t="shared" si="58"/>
        <v>1</v>
      </c>
      <c r="AS79" s="13">
        <f t="shared" si="58"/>
        <v>1</v>
      </c>
      <c r="AT79" s="13">
        <f t="shared" si="58"/>
        <v>1</v>
      </c>
      <c r="AU79" s="13">
        <f t="shared" si="58"/>
        <v>1</v>
      </c>
      <c r="AV79" s="13">
        <f t="shared" si="58"/>
        <v>0.63055865981823644</v>
      </c>
      <c r="AW79" s="13">
        <f t="shared" si="58"/>
        <v>0.91413509474264409</v>
      </c>
      <c r="AX79" s="13">
        <f t="shared" si="58"/>
        <v>0.99180246407540384</v>
      </c>
      <c r="AY79" s="13">
        <f t="shared" si="58"/>
        <v>0.99957093966680322</v>
      </c>
      <c r="AZ79" s="13">
        <f t="shared" si="58"/>
        <v>0.99999369214844513</v>
      </c>
      <c r="BA79" s="13">
        <f t="shared" si="58"/>
        <v>0.99999995989745682</v>
      </c>
      <c r="BB79" s="13">
        <f t="shared" si="58"/>
        <v>0.99999999992231148</v>
      </c>
      <c r="BC79" s="13">
        <f t="shared" si="58"/>
        <v>0.99999999999993194</v>
      </c>
      <c r="BD79" s="13">
        <f t="shared" si="58"/>
        <v>1</v>
      </c>
      <c r="BE79" s="13">
        <f t="shared" si="58"/>
        <v>1</v>
      </c>
      <c r="BF79" s="13">
        <f t="shared" si="58"/>
        <v>1</v>
      </c>
      <c r="BG79" s="13">
        <f t="shared" si="58"/>
        <v>1</v>
      </c>
      <c r="BH79" s="13">
        <f t="shared" si="58"/>
        <v>0.63055865981823644</v>
      </c>
      <c r="BI79" s="13">
        <f t="shared" si="58"/>
        <v>0.91413509474264409</v>
      </c>
    </row>
    <row r="80" spans="5:61" x14ac:dyDescent="0.35">
      <c r="E80">
        <v>12</v>
      </c>
      <c r="J80" t="s">
        <v>80</v>
      </c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13">
        <f t="shared" ref="Y80:BI80" si="59">_xlfn.NORM.DIST(Y67,$I39,$I$41,TRUE)</f>
        <v>0.64306616326250143</v>
      </c>
      <c r="Z80" s="13">
        <f t="shared" si="59"/>
        <v>0.91924334076622893</v>
      </c>
      <c r="AA80" s="13">
        <f t="shared" si="59"/>
        <v>0.99018467137135469</v>
      </c>
      <c r="AB80" s="13">
        <f t="shared" si="59"/>
        <v>0.99961958704103882</v>
      </c>
      <c r="AC80" s="13">
        <f t="shared" si="59"/>
        <v>0.99999369214844513</v>
      </c>
      <c r="AD80" s="13">
        <f t="shared" si="59"/>
        <v>0.99999996667955149</v>
      </c>
      <c r="AE80" s="13">
        <f t="shared" si="59"/>
        <v>0.99999999992231148</v>
      </c>
      <c r="AF80" s="13">
        <f t="shared" si="59"/>
        <v>0.99999999999994704</v>
      </c>
      <c r="AG80" s="13">
        <f t="shared" si="59"/>
        <v>1</v>
      </c>
      <c r="AH80" s="13">
        <f t="shared" si="59"/>
        <v>1</v>
      </c>
      <c r="AI80" s="13">
        <f t="shared" si="59"/>
        <v>1</v>
      </c>
      <c r="AJ80" s="13">
        <f t="shared" si="59"/>
        <v>1</v>
      </c>
      <c r="AK80" s="13">
        <f t="shared" si="59"/>
        <v>0.64306616326250143</v>
      </c>
      <c r="AL80" s="13">
        <f t="shared" si="59"/>
        <v>0.91924334076622893</v>
      </c>
      <c r="AM80" s="13">
        <f t="shared" si="59"/>
        <v>0.99018467137135469</v>
      </c>
      <c r="AN80" s="13">
        <f t="shared" si="59"/>
        <v>0.99961958704103882</v>
      </c>
      <c r="AO80" s="13">
        <f t="shared" si="59"/>
        <v>0.99999369214844513</v>
      </c>
      <c r="AP80" s="13">
        <f t="shared" si="59"/>
        <v>0.99999996667955149</v>
      </c>
      <c r="AQ80" s="13">
        <f t="shared" si="59"/>
        <v>0.99999999992231148</v>
      </c>
      <c r="AR80" s="13">
        <f t="shared" si="59"/>
        <v>0.99999999999994704</v>
      </c>
      <c r="AS80" s="13">
        <f t="shared" si="59"/>
        <v>1</v>
      </c>
      <c r="AT80" s="13">
        <f t="shared" si="59"/>
        <v>1</v>
      </c>
      <c r="AU80" s="13">
        <f t="shared" si="59"/>
        <v>1</v>
      </c>
      <c r="AV80" s="13">
        <f t="shared" si="59"/>
        <v>1</v>
      </c>
      <c r="AW80" s="13">
        <f t="shared" si="59"/>
        <v>0.64306616326250143</v>
      </c>
      <c r="AX80" s="13">
        <f t="shared" si="59"/>
        <v>0.91924334076622893</v>
      </c>
      <c r="AY80" s="13">
        <f t="shared" si="59"/>
        <v>0.99018467137135469</v>
      </c>
      <c r="AZ80" s="13">
        <f t="shared" si="59"/>
        <v>0.99961958704103882</v>
      </c>
      <c r="BA80" s="13">
        <f t="shared" si="59"/>
        <v>0.99999369214844513</v>
      </c>
      <c r="BB80" s="13">
        <f t="shared" si="59"/>
        <v>0.99999996667955149</v>
      </c>
      <c r="BC80" s="13">
        <f t="shared" si="59"/>
        <v>0.99999999992231148</v>
      </c>
      <c r="BD80" s="13">
        <f t="shared" si="59"/>
        <v>0.99999999999994704</v>
      </c>
      <c r="BE80" s="13">
        <f t="shared" si="59"/>
        <v>1</v>
      </c>
      <c r="BF80" s="13">
        <f t="shared" si="59"/>
        <v>1</v>
      </c>
      <c r="BG80" s="13">
        <f t="shared" si="59"/>
        <v>1</v>
      </c>
      <c r="BH80" s="13">
        <f t="shared" si="59"/>
        <v>1</v>
      </c>
      <c r="BI80" s="13">
        <f t="shared" si="59"/>
        <v>0.64306616326250143</v>
      </c>
    </row>
    <row r="82" spans="4:61" x14ac:dyDescent="0.35">
      <c r="E82">
        <v>1</v>
      </c>
      <c r="J82" t="s">
        <v>80</v>
      </c>
      <c r="N82" s="13">
        <f>IF(N69-M69&lt;0,N69,N69-M69)</f>
        <v>0.64306616326250143</v>
      </c>
      <c r="O82" s="13">
        <f t="shared" ref="O82:O83" si="60">IF(O69-N69&lt;0,O69,O69-N69)</f>
        <v>0.26572261701163069</v>
      </c>
      <c r="P82" s="13">
        <f t="shared" ref="P82:P84" si="61">IF(P69-O69&lt;0,P69,P69-O69)</f>
        <v>8.2236674430084866E-2</v>
      </c>
      <c r="Q82" s="13">
        <f t="shared" ref="Q82:Q85" si="62">IF(Q69-P69&lt;0,Q69,Q69-P69)</f>
        <v>8.5941323368218248E-3</v>
      </c>
      <c r="R82" s="13">
        <f t="shared" ref="R82:R86" si="63">IF(R69-Q69&lt;0,R69,R69-Q69)</f>
        <v>3.7500041505345028E-4</v>
      </c>
      <c r="S82" s="13">
        <f t="shared" ref="S82:S87" si="64">IF(S69-R69&lt;0,S69,S69-R69)</f>
        <v>5.379223459223148E-6</v>
      </c>
      <c r="T82" s="13">
        <f t="shared" ref="T82:T88" si="65">IF(T69-S69&lt;0,T69,T69-S69)</f>
        <v>3.32580307738084E-8</v>
      </c>
      <c r="U82" s="13">
        <f t="shared" ref="U82:U89" si="66">IF(U69-T69&lt;0,U69,U69-T69)</f>
        <v>6.2376659393237333E-11</v>
      </c>
      <c r="V82" s="13">
        <f t="shared" ref="V82:V90" si="67">IF(V69-U69&lt;0,V69,V69-U69)</f>
        <v>4.1078251911130792E-14</v>
      </c>
      <c r="W82" s="13">
        <f t="shared" ref="W82:W91" si="68">IF(W69-V69&lt;0,W69,W69-V69)</f>
        <v>0</v>
      </c>
      <c r="X82" s="13">
        <f t="shared" ref="X82:X92" si="69">IF(X69-W69&lt;0,X69,X69-W69)</f>
        <v>0</v>
      </c>
      <c r="Y82" s="13">
        <f t="shared" ref="Y82:BI82" si="70">IF(Y69-X69&lt;0,Y69,Y69-X69)</f>
        <v>0</v>
      </c>
      <c r="Z82" s="13">
        <f t="shared" si="70"/>
        <v>0.64306616326250143</v>
      </c>
      <c r="AA82" s="13">
        <f t="shared" si="70"/>
        <v>0.26013335215188826</v>
      </c>
      <c r="AB82" s="13">
        <f t="shared" si="70"/>
        <v>8.6985155956964988E-2</v>
      </c>
      <c r="AC82" s="13">
        <f t="shared" si="70"/>
        <v>9.3862682954485299E-3</v>
      </c>
      <c r="AD82" s="13">
        <f t="shared" si="70"/>
        <v>4.2275248164191925E-4</v>
      </c>
      <c r="AE82" s="13">
        <f t="shared" si="70"/>
        <v>6.267749011690249E-6</v>
      </c>
      <c r="AF82" s="13">
        <f t="shared" si="70"/>
        <v>4.0024854652820352E-8</v>
      </c>
      <c r="AG82" s="13">
        <f t="shared" si="70"/>
        <v>7.7635564643685484E-11</v>
      </c>
      <c r="AH82" s="13">
        <f t="shared" si="70"/>
        <v>5.2957638274619967E-14</v>
      </c>
      <c r="AI82" s="13">
        <f t="shared" si="70"/>
        <v>0</v>
      </c>
      <c r="AJ82" s="13">
        <f t="shared" si="70"/>
        <v>0</v>
      </c>
      <c r="AK82" s="13">
        <f t="shared" si="70"/>
        <v>0</v>
      </c>
      <c r="AL82" s="13">
        <f t="shared" si="70"/>
        <v>0.64306616326250143</v>
      </c>
      <c r="AM82" s="13">
        <f t="shared" si="70"/>
        <v>0.26013335215188826</v>
      </c>
      <c r="AN82" s="13">
        <f t="shared" si="70"/>
        <v>8.6985155956964988E-2</v>
      </c>
      <c r="AO82" s="13">
        <f t="shared" si="70"/>
        <v>9.3862682954485299E-3</v>
      </c>
      <c r="AP82" s="13">
        <f t="shared" si="70"/>
        <v>4.2275248164191925E-4</v>
      </c>
      <c r="AQ82" s="13">
        <f t="shared" si="70"/>
        <v>6.267749011690249E-6</v>
      </c>
      <c r="AR82" s="13">
        <f t="shared" si="70"/>
        <v>4.0024854652820352E-8</v>
      </c>
      <c r="AS82" s="13">
        <f t="shared" si="70"/>
        <v>7.7635564643685484E-11</v>
      </c>
      <c r="AT82" s="13">
        <f t="shared" si="70"/>
        <v>5.2957638274619967E-14</v>
      </c>
      <c r="AU82" s="13">
        <f t="shared" si="70"/>
        <v>0</v>
      </c>
      <c r="AV82" s="13">
        <f t="shared" si="70"/>
        <v>0</v>
      </c>
      <c r="AW82" s="13">
        <f t="shared" si="70"/>
        <v>0</v>
      </c>
      <c r="AX82" s="13">
        <f t="shared" si="70"/>
        <v>0.64306616326250143</v>
      </c>
      <c r="AY82" s="13">
        <f t="shared" si="70"/>
        <v>0.26013335215188826</v>
      </c>
      <c r="AZ82" s="13">
        <f t="shared" si="70"/>
        <v>8.6985155956964988E-2</v>
      </c>
      <c r="BA82" s="13">
        <f t="shared" si="70"/>
        <v>9.3862682954485299E-3</v>
      </c>
      <c r="BB82" s="13">
        <f t="shared" si="70"/>
        <v>4.2275248164191925E-4</v>
      </c>
      <c r="BC82" s="13">
        <f t="shared" si="70"/>
        <v>6.267749011690249E-6</v>
      </c>
      <c r="BD82" s="13">
        <f t="shared" si="70"/>
        <v>4.0024854652820352E-8</v>
      </c>
      <c r="BE82" s="13">
        <f t="shared" si="70"/>
        <v>7.7635564643685484E-11</v>
      </c>
      <c r="BF82" s="13">
        <f t="shared" si="70"/>
        <v>5.2957638274619967E-14</v>
      </c>
      <c r="BG82" s="13">
        <f t="shared" si="70"/>
        <v>0</v>
      </c>
      <c r="BH82" s="13">
        <f t="shared" si="70"/>
        <v>0</v>
      </c>
      <c r="BI82" s="13">
        <f t="shared" si="70"/>
        <v>0</v>
      </c>
    </row>
    <row r="83" spans="4:61" x14ac:dyDescent="0.35">
      <c r="E83">
        <v>2</v>
      </c>
      <c r="J83" t="s">
        <v>80</v>
      </c>
      <c r="N83" s="78"/>
      <c r="O83" s="13">
        <f t="shared" si="60"/>
        <v>0.61791142218895267</v>
      </c>
      <c r="P83" s="13">
        <f t="shared" si="61"/>
        <v>0.29087735808517945</v>
      </c>
      <c r="Q83" s="13">
        <f t="shared" si="62"/>
        <v>8.1395891097222561E-2</v>
      </c>
      <c r="R83" s="13">
        <f t="shared" si="63"/>
        <v>9.4349156696841296E-3</v>
      </c>
      <c r="S83" s="13">
        <f t="shared" si="64"/>
        <v>3.7410510740631953E-4</v>
      </c>
      <c r="T83" s="13">
        <f t="shared" si="65"/>
        <v>6.2745311063538978E-6</v>
      </c>
      <c r="U83" s="13">
        <f t="shared" si="66"/>
        <v>3.32580307738084E-8</v>
      </c>
      <c r="V83" s="13">
        <f t="shared" si="67"/>
        <v>6.2364780006873843E-11</v>
      </c>
      <c r="W83" s="13">
        <f t="shared" si="68"/>
        <v>5.2957638274619967E-14</v>
      </c>
      <c r="X83" s="13">
        <f t="shared" si="69"/>
        <v>0</v>
      </c>
      <c r="Y83" s="13">
        <f t="shared" ref="Y83:BI83" si="71">IF(Y70-X70&lt;0,Y70,Y70-X70)</f>
        <v>0</v>
      </c>
      <c r="Z83" s="13">
        <f t="shared" si="71"/>
        <v>0</v>
      </c>
      <c r="AA83" s="13">
        <f t="shared" si="71"/>
        <v>0.60513708953597489</v>
      </c>
      <c r="AB83" s="13">
        <f t="shared" si="71"/>
        <v>0.29806242587841481</v>
      </c>
      <c r="AC83" s="13">
        <f t="shared" si="71"/>
        <v>8.6076374563934466E-2</v>
      </c>
      <c r="AD83" s="13">
        <f t="shared" si="71"/>
        <v>1.0295049688479052E-2</v>
      </c>
      <c r="AE83" s="13">
        <f t="shared" si="71"/>
        <v>4.217169093598816E-4</v>
      </c>
      <c r="AF83" s="13">
        <f t="shared" si="71"/>
        <v>7.3033212937279046E-6</v>
      </c>
      <c r="AG83" s="13">
        <f t="shared" si="71"/>
        <v>4.0024854652820352E-8</v>
      </c>
      <c r="AH83" s="13">
        <f t="shared" si="71"/>
        <v>7.7620465610550582E-11</v>
      </c>
      <c r="AI83" s="13">
        <f t="shared" si="71"/>
        <v>6.8056671409522096E-14</v>
      </c>
      <c r="AJ83" s="13">
        <f t="shared" si="71"/>
        <v>0</v>
      </c>
      <c r="AK83" s="13">
        <f t="shared" si="71"/>
        <v>0</v>
      </c>
      <c r="AL83" s="13">
        <f t="shared" si="71"/>
        <v>0</v>
      </c>
      <c r="AM83" s="13">
        <f t="shared" si="71"/>
        <v>0.60513708953597489</v>
      </c>
      <c r="AN83" s="13">
        <f t="shared" si="71"/>
        <v>0.29806242587841481</v>
      </c>
      <c r="AO83" s="13">
        <f t="shared" si="71"/>
        <v>8.6076374563934466E-2</v>
      </c>
      <c r="AP83" s="13">
        <f t="shared" si="71"/>
        <v>1.0295049688479052E-2</v>
      </c>
      <c r="AQ83" s="13">
        <f t="shared" si="71"/>
        <v>4.217169093598816E-4</v>
      </c>
      <c r="AR83" s="13">
        <f t="shared" si="71"/>
        <v>7.3033212937279046E-6</v>
      </c>
      <c r="AS83" s="13">
        <f t="shared" si="71"/>
        <v>4.0024854652820352E-8</v>
      </c>
      <c r="AT83" s="13">
        <f t="shared" si="71"/>
        <v>7.7620465610550582E-11</v>
      </c>
      <c r="AU83" s="13">
        <f t="shared" si="71"/>
        <v>6.8056671409522096E-14</v>
      </c>
      <c r="AV83" s="13">
        <f t="shared" si="71"/>
        <v>0</v>
      </c>
      <c r="AW83" s="13">
        <f t="shared" si="71"/>
        <v>0</v>
      </c>
      <c r="AX83" s="13">
        <f t="shared" si="71"/>
        <v>0</v>
      </c>
      <c r="AY83" s="13">
        <f t="shared" si="71"/>
        <v>0.60513708953597489</v>
      </c>
      <c r="AZ83" s="13">
        <f t="shared" si="71"/>
        <v>0.29806242587841481</v>
      </c>
      <c r="BA83" s="13">
        <f t="shared" si="71"/>
        <v>8.6076374563934466E-2</v>
      </c>
      <c r="BB83" s="13">
        <f t="shared" si="71"/>
        <v>1.0295049688479052E-2</v>
      </c>
      <c r="BC83" s="13">
        <f t="shared" si="71"/>
        <v>4.217169093598816E-4</v>
      </c>
      <c r="BD83" s="13">
        <f t="shared" si="71"/>
        <v>7.3033212937279046E-6</v>
      </c>
      <c r="BE83" s="13">
        <f t="shared" si="71"/>
        <v>4.0024854652820352E-8</v>
      </c>
      <c r="BF83" s="13">
        <f t="shared" si="71"/>
        <v>7.7620465610550582E-11</v>
      </c>
      <c r="BG83" s="13">
        <f t="shared" si="71"/>
        <v>6.8056671409522096E-14</v>
      </c>
      <c r="BH83" s="13">
        <f t="shared" si="71"/>
        <v>0</v>
      </c>
      <c r="BI83" s="13">
        <f t="shared" si="71"/>
        <v>0</v>
      </c>
    </row>
    <row r="84" spans="4:61" x14ac:dyDescent="0.35">
      <c r="E84">
        <v>3</v>
      </c>
      <c r="J84" t="s">
        <v>80</v>
      </c>
      <c r="N84" s="78"/>
      <c r="O84" s="78"/>
      <c r="P84" s="13">
        <f t="shared" si="61"/>
        <v>0.64306616326250143</v>
      </c>
      <c r="Q84" s="13">
        <f t="shared" si="62"/>
        <v>0.27106893148014266</v>
      </c>
      <c r="R84" s="13">
        <f t="shared" si="63"/>
        <v>7.766736933275975E-2</v>
      </c>
      <c r="S84" s="13">
        <f t="shared" si="64"/>
        <v>7.8606066589193002E-3</v>
      </c>
      <c r="T84" s="13">
        <f t="shared" si="65"/>
        <v>3.3228990364542188E-4</v>
      </c>
      <c r="U84" s="13">
        <f t="shared" si="66"/>
        <v>4.6164331692910565E-6</v>
      </c>
      <c r="V84" s="13">
        <f t="shared" si="67"/>
        <v>2.287876799123012E-8</v>
      </c>
      <c r="W84" s="13">
        <f t="shared" si="68"/>
        <v>5.0062287648700021E-11</v>
      </c>
      <c r="X84" s="13">
        <f t="shared" si="69"/>
        <v>3.1863400806741993E-14</v>
      </c>
      <c r="Y84" s="13">
        <f t="shared" ref="Y84:BI84" si="72">IF(Y71-X71&lt;0,Y71,Y71-X71)</f>
        <v>0</v>
      </c>
      <c r="Z84" s="13">
        <f t="shared" si="72"/>
        <v>0</v>
      </c>
      <c r="AA84" s="13">
        <f t="shared" si="72"/>
        <v>0</v>
      </c>
      <c r="AB84" s="13">
        <f t="shared" si="72"/>
        <v>0.64306616326250143</v>
      </c>
      <c r="AC84" s="13">
        <f t="shared" si="72"/>
        <v>0.27106893148014266</v>
      </c>
      <c r="AD84" s="13">
        <f t="shared" si="72"/>
        <v>7.766736933275975E-2</v>
      </c>
      <c r="AE84" s="13">
        <f t="shared" si="72"/>
        <v>7.8606066589193002E-3</v>
      </c>
      <c r="AF84" s="13">
        <f t="shared" si="72"/>
        <v>3.3228990364542188E-4</v>
      </c>
      <c r="AG84" s="13">
        <f t="shared" si="72"/>
        <v>4.6164331692910565E-6</v>
      </c>
      <c r="AH84" s="13">
        <f t="shared" si="72"/>
        <v>2.287876799123012E-8</v>
      </c>
      <c r="AI84" s="13">
        <f t="shared" si="72"/>
        <v>5.0062287648700021E-11</v>
      </c>
      <c r="AJ84" s="13">
        <f t="shared" si="72"/>
        <v>3.1863400806741993E-14</v>
      </c>
      <c r="AK84" s="13">
        <f t="shared" si="72"/>
        <v>0</v>
      </c>
      <c r="AL84" s="13">
        <f t="shared" si="72"/>
        <v>0</v>
      </c>
      <c r="AM84" s="13">
        <f t="shared" si="72"/>
        <v>0</v>
      </c>
      <c r="AN84" s="13">
        <f t="shared" si="72"/>
        <v>0.64306616326250143</v>
      </c>
      <c r="AO84" s="13">
        <f t="shared" si="72"/>
        <v>0.27106893148014266</v>
      </c>
      <c r="AP84" s="13">
        <f t="shared" si="72"/>
        <v>7.766736933275975E-2</v>
      </c>
      <c r="AQ84" s="13">
        <f t="shared" si="72"/>
        <v>7.8606066589193002E-3</v>
      </c>
      <c r="AR84" s="13">
        <f t="shared" si="72"/>
        <v>3.3228990364542188E-4</v>
      </c>
      <c r="AS84" s="13">
        <f t="shared" si="72"/>
        <v>4.6164331692910565E-6</v>
      </c>
      <c r="AT84" s="13">
        <f t="shared" si="72"/>
        <v>2.287876799123012E-8</v>
      </c>
      <c r="AU84" s="13">
        <f t="shared" si="72"/>
        <v>5.0062287648700021E-11</v>
      </c>
      <c r="AV84" s="13">
        <f t="shared" si="72"/>
        <v>3.1863400806741993E-14</v>
      </c>
      <c r="AW84" s="13">
        <f t="shared" si="72"/>
        <v>0</v>
      </c>
      <c r="AX84" s="13">
        <f t="shared" si="72"/>
        <v>0</v>
      </c>
      <c r="AY84" s="13">
        <f t="shared" si="72"/>
        <v>0</v>
      </c>
      <c r="AZ84" s="13">
        <f t="shared" si="72"/>
        <v>0.64306616326250143</v>
      </c>
      <c r="BA84" s="13">
        <f t="shared" si="72"/>
        <v>0.27106893148014266</v>
      </c>
      <c r="BB84" s="13">
        <f t="shared" si="72"/>
        <v>7.766736933275975E-2</v>
      </c>
      <c r="BC84" s="13">
        <f t="shared" si="72"/>
        <v>7.8606066589193002E-3</v>
      </c>
      <c r="BD84" s="13">
        <f t="shared" si="72"/>
        <v>3.3228990364542188E-4</v>
      </c>
      <c r="BE84" s="13">
        <f t="shared" si="72"/>
        <v>4.6164331692910565E-6</v>
      </c>
      <c r="BF84" s="13">
        <f t="shared" si="72"/>
        <v>2.287876799123012E-8</v>
      </c>
      <c r="BG84" s="13">
        <f t="shared" si="72"/>
        <v>5.0062287648700021E-11</v>
      </c>
      <c r="BH84" s="13">
        <f t="shared" si="72"/>
        <v>3.1863400806741993E-14</v>
      </c>
      <c r="BI84" s="13">
        <f t="shared" si="72"/>
        <v>0</v>
      </c>
    </row>
    <row r="85" spans="4:61" x14ac:dyDescent="0.35">
      <c r="E85">
        <v>4</v>
      </c>
      <c r="J85" t="s">
        <v>80</v>
      </c>
      <c r="N85" s="78"/>
      <c r="O85" s="78"/>
      <c r="P85" s="78"/>
      <c r="Q85" s="13">
        <f t="shared" si="62"/>
        <v>0.63055865981823644</v>
      </c>
      <c r="R85" s="13">
        <f t="shared" si="63"/>
        <v>0.28357643492440765</v>
      </c>
      <c r="S85" s="13">
        <f t="shared" si="64"/>
        <v>7.6890359961572896E-2</v>
      </c>
      <c r="T85" s="13">
        <f t="shared" si="65"/>
        <v>8.6376160301061544E-3</v>
      </c>
      <c r="U85" s="13">
        <f t="shared" si="66"/>
        <v>3.3228990364542188E-4</v>
      </c>
      <c r="V85" s="13">
        <f t="shared" si="67"/>
        <v>4.6117065589657003E-6</v>
      </c>
      <c r="W85" s="13">
        <f t="shared" si="68"/>
        <v>2.7605378316586382E-8</v>
      </c>
      <c r="X85" s="13">
        <f t="shared" si="69"/>
        <v>5.0053072797595632E-11</v>
      </c>
      <c r="Y85" s="13">
        <f t="shared" ref="Y85:BI85" si="73">IF(Y72-X72&lt;0,Y72,Y72-X72)</f>
        <v>4.1078251911130792E-14</v>
      </c>
      <c r="Z85" s="13">
        <f t="shared" si="73"/>
        <v>0</v>
      </c>
      <c r="AA85" s="13">
        <f t="shared" si="73"/>
        <v>0</v>
      </c>
      <c r="AB85" s="13">
        <f t="shared" si="73"/>
        <v>0</v>
      </c>
      <c r="AC85" s="13">
        <f t="shared" si="73"/>
        <v>0.63055865981823644</v>
      </c>
      <c r="AD85" s="13">
        <f t="shared" si="73"/>
        <v>0.28357643492440765</v>
      </c>
      <c r="AE85" s="13">
        <f t="shared" si="73"/>
        <v>7.6890359961572896E-2</v>
      </c>
      <c r="AF85" s="13">
        <f t="shared" si="73"/>
        <v>8.6376160301061544E-3</v>
      </c>
      <c r="AG85" s="13">
        <f t="shared" si="73"/>
        <v>3.3228990364542188E-4</v>
      </c>
      <c r="AH85" s="13">
        <f t="shared" si="73"/>
        <v>4.6117065589657003E-6</v>
      </c>
      <c r="AI85" s="13">
        <f t="shared" si="73"/>
        <v>2.7605378316586382E-8</v>
      </c>
      <c r="AJ85" s="13">
        <f t="shared" si="73"/>
        <v>5.0053072797595632E-11</v>
      </c>
      <c r="AK85" s="13">
        <f t="shared" si="73"/>
        <v>4.1078251911130792E-14</v>
      </c>
      <c r="AL85" s="13">
        <f t="shared" si="73"/>
        <v>0</v>
      </c>
      <c r="AM85" s="13">
        <f t="shared" si="73"/>
        <v>0</v>
      </c>
      <c r="AN85" s="13">
        <f t="shared" si="73"/>
        <v>0</v>
      </c>
      <c r="AO85" s="13">
        <f t="shared" si="73"/>
        <v>0.63055865981823644</v>
      </c>
      <c r="AP85" s="13">
        <f t="shared" si="73"/>
        <v>0.28357643492440765</v>
      </c>
      <c r="AQ85" s="13">
        <f t="shared" si="73"/>
        <v>7.6890359961572896E-2</v>
      </c>
      <c r="AR85" s="13">
        <f t="shared" si="73"/>
        <v>8.6376160301061544E-3</v>
      </c>
      <c r="AS85" s="13">
        <f t="shared" si="73"/>
        <v>3.3228990364542188E-4</v>
      </c>
      <c r="AT85" s="13">
        <f t="shared" si="73"/>
        <v>4.6117065589657003E-6</v>
      </c>
      <c r="AU85" s="13">
        <f t="shared" si="73"/>
        <v>2.7605378316586382E-8</v>
      </c>
      <c r="AV85" s="13">
        <f t="shared" si="73"/>
        <v>5.0053072797595632E-11</v>
      </c>
      <c r="AW85" s="13">
        <f t="shared" si="73"/>
        <v>4.1078251911130792E-14</v>
      </c>
      <c r="AX85" s="13">
        <f t="shared" si="73"/>
        <v>0</v>
      </c>
      <c r="AY85" s="13">
        <f t="shared" si="73"/>
        <v>0</v>
      </c>
      <c r="AZ85" s="13">
        <f t="shared" si="73"/>
        <v>0</v>
      </c>
      <c r="BA85" s="13">
        <f t="shared" si="73"/>
        <v>0.63055865981823644</v>
      </c>
      <c r="BB85" s="13">
        <f t="shared" si="73"/>
        <v>0.28357643492440765</v>
      </c>
      <c r="BC85" s="13">
        <f t="shared" si="73"/>
        <v>7.6890359961572896E-2</v>
      </c>
      <c r="BD85" s="13">
        <f t="shared" si="73"/>
        <v>8.6376160301061544E-3</v>
      </c>
      <c r="BE85" s="13">
        <f t="shared" si="73"/>
        <v>3.3228990364542188E-4</v>
      </c>
      <c r="BF85" s="13">
        <f t="shared" si="73"/>
        <v>4.6117065589657003E-6</v>
      </c>
      <c r="BG85" s="13">
        <f t="shared" si="73"/>
        <v>2.7605378316586382E-8</v>
      </c>
      <c r="BH85" s="13">
        <f t="shared" si="73"/>
        <v>5.0053072797595632E-11</v>
      </c>
      <c r="BI85" s="13">
        <f t="shared" si="73"/>
        <v>4.1078251911130792E-14</v>
      </c>
    </row>
    <row r="86" spans="4:61" x14ac:dyDescent="0.35">
      <c r="E86">
        <v>5</v>
      </c>
      <c r="J86" t="s">
        <v>80</v>
      </c>
      <c r="N86" s="78"/>
      <c r="O86" s="78"/>
      <c r="P86" s="78"/>
      <c r="Q86" s="78"/>
      <c r="R86" s="13">
        <f t="shared" si="63"/>
        <v>0.64306616326250143</v>
      </c>
      <c r="S86" s="13">
        <f t="shared" si="64"/>
        <v>0.27106893148014266</v>
      </c>
      <c r="T86" s="13">
        <f t="shared" si="65"/>
        <v>7.766736933275975E-2</v>
      </c>
      <c r="U86" s="13">
        <f t="shared" si="66"/>
        <v>7.8994316119259667E-3</v>
      </c>
      <c r="V86" s="13">
        <f t="shared" si="67"/>
        <v>2.9346495063875544E-4</v>
      </c>
      <c r="W86" s="13">
        <f t="shared" si="68"/>
        <v>4.6164331692910565E-6</v>
      </c>
      <c r="X86" s="13">
        <f t="shared" si="69"/>
        <v>2.287876799123012E-8</v>
      </c>
      <c r="Y86" s="13">
        <f t="shared" ref="Y86:BI86" si="74">IF(Y73-X73&lt;0,Y73,Y73-X73)</f>
        <v>5.0062287648700021E-11</v>
      </c>
      <c r="Z86" s="13">
        <f t="shared" si="74"/>
        <v>3.1863400806741993E-14</v>
      </c>
      <c r="AA86" s="13">
        <f t="shared" si="74"/>
        <v>0</v>
      </c>
      <c r="AB86" s="13">
        <f t="shared" si="74"/>
        <v>0</v>
      </c>
      <c r="AC86" s="13">
        <f t="shared" si="74"/>
        <v>0</v>
      </c>
      <c r="AD86" s="13">
        <f t="shared" si="74"/>
        <v>0.64306616326250143</v>
      </c>
      <c r="AE86" s="13">
        <f t="shared" si="74"/>
        <v>0.27106893148014266</v>
      </c>
      <c r="AF86" s="13">
        <f t="shared" si="74"/>
        <v>7.766736933275975E-2</v>
      </c>
      <c r="AG86" s="13">
        <f t="shared" si="74"/>
        <v>7.8994316119259667E-3</v>
      </c>
      <c r="AH86" s="13">
        <f t="shared" si="74"/>
        <v>2.9346495063875544E-4</v>
      </c>
      <c r="AI86" s="13">
        <f t="shared" si="74"/>
        <v>4.6164331692910565E-6</v>
      </c>
      <c r="AJ86" s="13">
        <f t="shared" si="74"/>
        <v>2.287876799123012E-8</v>
      </c>
      <c r="AK86" s="13">
        <f t="shared" si="74"/>
        <v>5.0062287648700021E-11</v>
      </c>
      <c r="AL86" s="13">
        <f t="shared" si="74"/>
        <v>3.1863400806741993E-14</v>
      </c>
      <c r="AM86" s="13">
        <f t="shared" si="74"/>
        <v>0</v>
      </c>
      <c r="AN86" s="13">
        <f t="shared" si="74"/>
        <v>0</v>
      </c>
      <c r="AO86" s="13">
        <f t="shared" si="74"/>
        <v>0</v>
      </c>
      <c r="AP86" s="13">
        <f t="shared" si="74"/>
        <v>0.64306616326250143</v>
      </c>
      <c r="AQ86" s="13">
        <f t="shared" si="74"/>
        <v>0.27106893148014266</v>
      </c>
      <c r="AR86" s="13">
        <f t="shared" si="74"/>
        <v>7.766736933275975E-2</v>
      </c>
      <c r="AS86" s="13">
        <f t="shared" si="74"/>
        <v>7.8994316119259667E-3</v>
      </c>
      <c r="AT86" s="13">
        <f t="shared" si="74"/>
        <v>2.9346495063875544E-4</v>
      </c>
      <c r="AU86" s="13">
        <f t="shared" si="74"/>
        <v>4.6164331692910565E-6</v>
      </c>
      <c r="AV86" s="13">
        <f t="shared" si="74"/>
        <v>2.287876799123012E-8</v>
      </c>
      <c r="AW86" s="13">
        <f t="shared" si="74"/>
        <v>5.0062287648700021E-11</v>
      </c>
      <c r="AX86" s="13">
        <f t="shared" si="74"/>
        <v>3.1863400806741993E-14</v>
      </c>
      <c r="AY86" s="13">
        <f t="shared" si="74"/>
        <v>0</v>
      </c>
      <c r="AZ86" s="13">
        <f t="shared" si="74"/>
        <v>0</v>
      </c>
      <c r="BA86" s="13">
        <f t="shared" si="74"/>
        <v>0</v>
      </c>
      <c r="BB86" s="13">
        <f t="shared" si="74"/>
        <v>0.64306616326250143</v>
      </c>
      <c r="BC86" s="13">
        <f t="shared" si="74"/>
        <v>0.27106893148014266</v>
      </c>
      <c r="BD86" s="13">
        <f t="shared" si="74"/>
        <v>7.766736933275975E-2</v>
      </c>
      <c r="BE86" s="13">
        <f t="shared" si="74"/>
        <v>7.8994316119259667E-3</v>
      </c>
      <c r="BF86" s="13">
        <f t="shared" si="74"/>
        <v>2.9346495063875544E-4</v>
      </c>
      <c r="BG86" s="13">
        <f t="shared" si="74"/>
        <v>4.6164331692910565E-6</v>
      </c>
      <c r="BH86" s="13">
        <f t="shared" si="74"/>
        <v>2.287876799123012E-8</v>
      </c>
      <c r="BI86" s="13">
        <f t="shared" si="74"/>
        <v>5.0062287648700021E-11</v>
      </c>
    </row>
    <row r="87" spans="4:61" x14ac:dyDescent="0.35">
      <c r="E87">
        <v>6</v>
      </c>
      <c r="J87" t="s">
        <v>80</v>
      </c>
      <c r="N87" s="78"/>
      <c r="O87" s="78"/>
      <c r="P87" s="78"/>
      <c r="Q87" s="78"/>
      <c r="R87" s="78"/>
      <c r="S87" s="13">
        <f t="shared" si="64"/>
        <v>0.63055865981823644</v>
      </c>
      <c r="T87" s="13">
        <f t="shared" si="65"/>
        <v>0.28357643492440765</v>
      </c>
      <c r="U87" s="13">
        <f t="shared" si="66"/>
        <v>7.766736933275975E-2</v>
      </c>
      <c r="V87" s="13">
        <f t="shared" si="67"/>
        <v>7.8606066589193002E-3</v>
      </c>
      <c r="W87" s="13">
        <f t="shared" si="68"/>
        <v>3.3228990364542188E-4</v>
      </c>
      <c r="X87" s="13">
        <f t="shared" si="69"/>
        <v>4.6117065589657003E-6</v>
      </c>
      <c r="Y87" s="13">
        <f t="shared" ref="Y87:BI87" si="75">IF(Y74-X74&lt;0,Y74,Y74-X74)</f>
        <v>2.7605378316586382E-8</v>
      </c>
      <c r="Z87" s="13">
        <f t="shared" si="75"/>
        <v>5.0062287648700021E-11</v>
      </c>
      <c r="AA87" s="13">
        <f t="shared" si="75"/>
        <v>3.1863400806741993E-14</v>
      </c>
      <c r="AB87" s="13">
        <f t="shared" si="75"/>
        <v>0</v>
      </c>
      <c r="AC87" s="13">
        <f t="shared" si="75"/>
        <v>0</v>
      </c>
      <c r="AD87" s="13">
        <f t="shared" si="75"/>
        <v>0</v>
      </c>
      <c r="AE87" s="13">
        <f t="shared" si="75"/>
        <v>0.63055865981823644</v>
      </c>
      <c r="AF87" s="13">
        <f t="shared" si="75"/>
        <v>0.28357643492440765</v>
      </c>
      <c r="AG87" s="13">
        <f t="shared" si="75"/>
        <v>7.766736933275975E-2</v>
      </c>
      <c r="AH87" s="13">
        <f t="shared" si="75"/>
        <v>7.8606066589193002E-3</v>
      </c>
      <c r="AI87" s="13">
        <f t="shared" si="75"/>
        <v>3.3228990364542188E-4</v>
      </c>
      <c r="AJ87" s="13">
        <f t="shared" si="75"/>
        <v>4.6117065589657003E-6</v>
      </c>
      <c r="AK87" s="13">
        <f t="shared" si="75"/>
        <v>2.7605378316586382E-8</v>
      </c>
      <c r="AL87" s="13">
        <f t="shared" si="75"/>
        <v>5.0062287648700021E-11</v>
      </c>
      <c r="AM87" s="13">
        <f t="shared" si="75"/>
        <v>3.1863400806741993E-14</v>
      </c>
      <c r="AN87" s="13">
        <f t="shared" si="75"/>
        <v>0</v>
      </c>
      <c r="AO87" s="13">
        <f t="shared" si="75"/>
        <v>0</v>
      </c>
      <c r="AP87" s="13">
        <f t="shared" si="75"/>
        <v>0</v>
      </c>
      <c r="AQ87" s="13">
        <f t="shared" si="75"/>
        <v>0.63055865981823644</v>
      </c>
      <c r="AR87" s="13">
        <f t="shared" si="75"/>
        <v>0.28357643492440765</v>
      </c>
      <c r="AS87" s="13">
        <f t="shared" si="75"/>
        <v>7.766736933275975E-2</v>
      </c>
      <c r="AT87" s="13">
        <f t="shared" si="75"/>
        <v>7.8606066589193002E-3</v>
      </c>
      <c r="AU87" s="13">
        <f t="shared" si="75"/>
        <v>3.3228990364542188E-4</v>
      </c>
      <c r="AV87" s="13">
        <f t="shared" si="75"/>
        <v>4.6117065589657003E-6</v>
      </c>
      <c r="AW87" s="13">
        <f t="shared" si="75"/>
        <v>2.7605378316586382E-8</v>
      </c>
      <c r="AX87" s="13">
        <f t="shared" si="75"/>
        <v>5.0062287648700021E-11</v>
      </c>
      <c r="AY87" s="13">
        <f t="shared" si="75"/>
        <v>3.1863400806741993E-14</v>
      </c>
      <c r="AZ87" s="13">
        <f t="shared" si="75"/>
        <v>0</v>
      </c>
      <c r="BA87" s="13">
        <f t="shared" si="75"/>
        <v>0</v>
      </c>
      <c r="BB87" s="13">
        <f t="shared" si="75"/>
        <v>0</v>
      </c>
      <c r="BC87" s="13">
        <f t="shared" si="75"/>
        <v>0.63055865981823644</v>
      </c>
      <c r="BD87" s="13">
        <f t="shared" si="75"/>
        <v>0.28357643492440765</v>
      </c>
      <c r="BE87" s="13">
        <f t="shared" si="75"/>
        <v>7.766736933275975E-2</v>
      </c>
      <c r="BF87" s="13">
        <f t="shared" si="75"/>
        <v>7.8606066589193002E-3</v>
      </c>
      <c r="BG87" s="13">
        <f t="shared" si="75"/>
        <v>3.3228990364542188E-4</v>
      </c>
      <c r="BH87" s="13">
        <f t="shared" si="75"/>
        <v>4.6117065589657003E-6</v>
      </c>
      <c r="BI87" s="13">
        <f t="shared" si="75"/>
        <v>2.7605378316586382E-8</v>
      </c>
    </row>
    <row r="88" spans="4:61" x14ac:dyDescent="0.35">
      <c r="E88">
        <v>7</v>
      </c>
      <c r="J88" t="s">
        <v>80</v>
      </c>
      <c r="N88" s="78"/>
      <c r="O88" s="78"/>
      <c r="P88" s="78"/>
      <c r="Q88" s="78"/>
      <c r="R88" s="78"/>
      <c r="S88" s="78"/>
      <c r="T88" s="13">
        <f t="shared" si="65"/>
        <v>0.64306616326250143</v>
      </c>
      <c r="U88" s="13">
        <f t="shared" si="66"/>
        <v>0.2761771775037275</v>
      </c>
      <c r="V88" s="13">
        <f t="shared" si="67"/>
        <v>7.2559123309174911E-2</v>
      </c>
      <c r="W88" s="13">
        <f t="shared" si="68"/>
        <v>7.8994316119259667E-3</v>
      </c>
      <c r="X88" s="13">
        <f t="shared" si="69"/>
        <v>2.9346495063875544E-4</v>
      </c>
      <c r="Y88" s="13">
        <f t="shared" ref="Y88:BI88" si="76">IF(Y75-X75&lt;0,Y75,Y75-X75)</f>
        <v>4.6164331692910565E-6</v>
      </c>
      <c r="Z88" s="13">
        <f t="shared" si="76"/>
        <v>2.2888702155832163E-8</v>
      </c>
      <c r="AA88" s="13">
        <f t="shared" si="76"/>
        <v>4.0107028809188705E-11</v>
      </c>
      <c r="AB88" s="13">
        <f t="shared" si="76"/>
        <v>5.2957638274619967E-14</v>
      </c>
      <c r="AC88" s="13">
        <f t="shared" si="76"/>
        <v>0</v>
      </c>
      <c r="AD88" s="13">
        <f t="shared" si="76"/>
        <v>0</v>
      </c>
      <c r="AE88" s="13">
        <f t="shared" si="76"/>
        <v>0</v>
      </c>
      <c r="AF88" s="13">
        <f t="shared" si="76"/>
        <v>0.64306616326250143</v>
      </c>
      <c r="AG88" s="13">
        <f t="shared" si="76"/>
        <v>0.2761771775037275</v>
      </c>
      <c r="AH88" s="13">
        <f t="shared" si="76"/>
        <v>7.2559123309174911E-2</v>
      </c>
      <c r="AI88" s="13">
        <f t="shared" si="76"/>
        <v>7.8994316119259667E-3</v>
      </c>
      <c r="AJ88" s="13">
        <f t="shared" si="76"/>
        <v>2.9346495063875544E-4</v>
      </c>
      <c r="AK88" s="13">
        <f t="shared" si="76"/>
        <v>4.6164331692910565E-6</v>
      </c>
      <c r="AL88" s="13">
        <f t="shared" si="76"/>
        <v>2.2888702155832163E-8</v>
      </c>
      <c r="AM88" s="13">
        <f t="shared" si="76"/>
        <v>4.0107028809188705E-11</v>
      </c>
      <c r="AN88" s="13">
        <f t="shared" si="76"/>
        <v>5.2957638274619967E-14</v>
      </c>
      <c r="AO88" s="13">
        <f t="shared" si="76"/>
        <v>0</v>
      </c>
      <c r="AP88" s="13">
        <f t="shared" si="76"/>
        <v>0</v>
      </c>
      <c r="AQ88" s="13">
        <f t="shared" si="76"/>
        <v>0</v>
      </c>
      <c r="AR88" s="13">
        <f t="shared" si="76"/>
        <v>0.64306616326250143</v>
      </c>
      <c r="AS88" s="13">
        <f t="shared" si="76"/>
        <v>0.2761771775037275</v>
      </c>
      <c r="AT88" s="13">
        <f t="shared" si="76"/>
        <v>7.2559123309174911E-2</v>
      </c>
      <c r="AU88" s="13">
        <f t="shared" si="76"/>
        <v>7.8994316119259667E-3</v>
      </c>
      <c r="AV88" s="13">
        <f t="shared" si="76"/>
        <v>2.9346495063875544E-4</v>
      </c>
      <c r="AW88" s="13">
        <f t="shared" si="76"/>
        <v>4.6164331692910565E-6</v>
      </c>
      <c r="AX88" s="13">
        <f t="shared" si="76"/>
        <v>2.2888702155832163E-8</v>
      </c>
      <c r="AY88" s="13">
        <f t="shared" si="76"/>
        <v>4.0107028809188705E-11</v>
      </c>
      <c r="AZ88" s="13">
        <f t="shared" si="76"/>
        <v>5.2957638274619967E-14</v>
      </c>
      <c r="BA88" s="13">
        <f t="shared" si="76"/>
        <v>0</v>
      </c>
      <c r="BB88" s="13">
        <f t="shared" si="76"/>
        <v>0</v>
      </c>
      <c r="BC88" s="13">
        <f t="shared" si="76"/>
        <v>0</v>
      </c>
      <c r="BD88" s="13">
        <f t="shared" si="76"/>
        <v>0.64306616326250143</v>
      </c>
      <c r="BE88" s="13">
        <f t="shared" si="76"/>
        <v>0.2761771775037275</v>
      </c>
      <c r="BF88" s="13">
        <f t="shared" si="76"/>
        <v>7.2559123309174911E-2</v>
      </c>
      <c r="BG88" s="13">
        <f t="shared" si="76"/>
        <v>7.8994316119259667E-3</v>
      </c>
      <c r="BH88" s="13">
        <f t="shared" si="76"/>
        <v>2.9346495063875544E-4</v>
      </c>
      <c r="BI88" s="13">
        <f t="shared" si="76"/>
        <v>4.6164331692910565E-6</v>
      </c>
    </row>
    <row r="89" spans="4:61" x14ac:dyDescent="0.35">
      <c r="E89">
        <v>8</v>
      </c>
      <c r="J89" t="s">
        <v>80</v>
      </c>
      <c r="N89" s="78"/>
      <c r="O89" s="78"/>
      <c r="P89" s="78"/>
      <c r="Q89" s="78"/>
      <c r="R89" s="78"/>
      <c r="S89" s="78"/>
      <c r="T89" s="78"/>
      <c r="U89" s="13">
        <f t="shared" si="66"/>
        <v>0.64306616326250143</v>
      </c>
      <c r="V89" s="13">
        <f t="shared" si="67"/>
        <v>0.27106893148014266</v>
      </c>
      <c r="W89" s="13">
        <f t="shared" si="68"/>
        <v>7.766736933275975E-2</v>
      </c>
      <c r="X89" s="13">
        <f t="shared" si="69"/>
        <v>7.8606066589193002E-3</v>
      </c>
      <c r="Y89" s="13">
        <f t="shared" ref="Y89:BI89" si="77">IF(Y76-X76&lt;0,Y76,Y76-X76)</f>
        <v>3.3228990364542188E-4</v>
      </c>
      <c r="Z89" s="13">
        <f t="shared" si="77"/>
        <v>4.6164331692910565E-6</v>
      </c>
      <c r="AA89" s="13">
        <f t="shared" si="77"/>
        <v>2.2851173619997667E-8</v>
      </c>
      <c r="AB89" s="13">
        <f t="shared" si="77"/>
        <v>7.7635564643685484E-11</v>
      </c>
      <c r="AC89" s="13">
        <f t="shared" si="77"/>
        <v>5.2957638274619967E-14</v>
      </c>
      <c r="AD89" s="13">
        <f t="shared" si="77"/>
        <v>0</v>
      </c>
      <c r="AE89" s="13">
        <f t="shared" si="77"/>
        <v>0</v>
      </c>
      <c r="AF89" s="13">
        <f t="shared" si="77"/>
        <v>0</v>
      </c>
      <c r="AG89" s="13">
        <f t="shared" si="77"/>
        <v>0.64306616326250143</v>
      </c>
      <c r="AH89" s="13">
        <f t="shared" si="77"/>
        <v>0.27106893148014266</v>
      </c>
      <c r="AI89" s="13">
        <f t="shared" si="77"/>
        <v>7.766736933275975E-2</v>
      </c>
      <c r="AJ89" s="13">
        <f t="shared" si="77"/>
        <v>7.8606066589193002E-3</v>
      </c>
      <c r="AK89" s="13">
        <f t="shared" si="77"/>
        <v>3.3228990364542188E-4</v>
      </c>
      <c r="AL89" s="13">
        <f t="shared" si="77"/>
        <v>4.6164331692910565E-6</v>
      </c>
      <c r="AM89" s="13">
        <f t="shared" si="77"/>
        <v>2.2851173619997667E-8</v>
      </c>
      <c r="AN89" s="13">
        <f t="shared" si="77"/>
        <v>7.7635564643685484E-11</v>
      </c>
      <c r="AO89" s="13">
        <f t="shared" si="77"/>
        <v>5.2957638274619967E-14</v>
      </c>
      <c r="AP89" s="13">
        <f t="shared" si="77"/>
        <v>0</v>
      </c>
      <c r="AQ89" s="13">
        <f t="shared" si="77"/>
        <v>0</v>
      </c>
      <c r="AR89" s="13">
        <f t="shared" si="77"/>
        <v>0</v>
      </c>
      <c r="AS89" s="13">
        <f t="shared" si="77"/>
        <v>0.64306616326250143</v>
      </c>
      <c r="AT89" s="13">
        <f t="shared" si="77"/>
        <v>0.27106893148014266</v>
      </c>
      <c r="AU89" s="13">
        <f t="shared" si="77"/>
        <v>7.766736933275975E-2</v>
      </c>
      <c r="AV89" s="13">
        <f t="shared" si="77"/>
        <v>7.8606066589193002E-3</v>
      </c>
      <c r="AW89" s="13">
        <f t="shared" si="77"/>
        <v>3.3228990364542188E-4</v>
      </c>
      <c r="AX89" s="13">
        <f t="shared" si="77"/>
        <v>4.6164331692910565E-6</v>
      </c>
      <c r="AY89" s="13">
        <f t="shared" si="77"/>
        <v>2.2851173619997667E-8</v>
      </c>
      <c r="AZ89" s="13">
        <f t="shared" si="77"/>
        <v>7.7635564643685484E-11</v>
      </c>
      <c r="BA89" s="13">
        <f t="shared" si="77"/>
        <v>5.2957638274619967E-14</v>
      </c>
      <c r="BB89" s="13">
        <f t="shared" si="77"/>
        <v>0</v>
      </c>
      <c r="BC89" s="13">
        <f t="shared" si="77"/>
        <v>0</v>
      </c>
      <c r="BD89" s="13">
        <f t="shared" si="77"/>
        <v>0</v>
      </c>
      <c r="BE89" s="13">
        <f t="shared" si="77"/>
        <v>0.64306616326250143</v>
      </c>
      <c r="BF89" s="13">
        <f t="shared" si="77"/>
        <v>0.27106893148014266</v>
      </c>
      <c r="BG89" s="13">
        <f t="shared" si="77"/>
        <v>7.766736933275975E-2</v>
      </c>
      <c r="BH89" s="13">
        <f t="shared" si="77"/>
        <v>7.8606066589193002E-3</v>
      </c>
      <c r="BI89" s="13">
        <f t="shared" si="77"/>
        <v>3.3228990364542188E-4</v>
      </c>
    </row>
    <row r="90" spans="4:61" x14ac:dyDescent="0.35">
      <c r="E90">
        <v>9</v>
      </c>
      <c r="J90" t="s">
        <v>80</v>
      </c>
      <c r="N90" s="78"/>
      <c r="O90" s="78"/>
      <c r="P90" s="78"/>
      <c r="Q90" s="78"/>
      <c r="R90" s="78"/>
      <c r="S90" s="78"/>
      <c r="T90" s="78"/>
      <c r="U90" s="78"/>
      <c r="V90" s="13">
        <f t="shared" si="67"/>
        <v>0.63055865981823644</v>
      </c>
      <c r="W90" s="13">
        <f t="shared" si="68"/>
        <v>0.28357643492440765</v>
      </c>
      <c r="X90" s="13">
        <f t="shared" si="69"/>
        <v>7.6890359961572896E-2</v>
      </c>
      <c r="Y90" s="13">
        <f t="shared" ref="Y90:BI90" si="78">IF(Y77-X77&lt;0,Y77,Y77-X77)</f>
        <v>8.6376160301061544E-3</v>
      </c>
      <c r="Z90" s="13">
        <f t="shared" si="78"/>
        <v>3.3228990364542188E-4</v>
      </c>
      <c r="AA90" s="13">
        <f t="shared" si="78"/>
        <v>4.5992594882582338E-6</v>
      </c>
      <c r="AB90" s="13">
        <f t="shared" si="78"/>
        <v>4.0024854652820352E-8</v>
      </c>
      <c r="AC90" s="13">
        <f t="shared" si="78"/>
        <v>7.7620465610550582E-11</v>
      </c>
      <c r="AD90" s="13">
        <f t="shared" si="78"/>
        <v>6.8056671409522096E-14</v>
      </c>
      <c r="AE90" s="13">
        <f t="shared" si="78"/>
        <v>0</v>
      </c>
      <c r="AF90" s="13">
        <f t="shared" si="78"/>
        <v>0</v>
      </c>
      <c r="AG90" s="13">
        <f t="shared" si="78"/>
        <v>0</v>
      </c>
      <c r="AH90" s="13">
        <f t="shared" si="78"/>
        <v>0.63055865981823644</v>
      </c>
      <c r="AI90" s="13">
        <f t="shared" si="78"/>
        <v>0.28357643492440765</v>
      </c>
      <c r="AJ90" s="13">
        <f t="shared" si="78"/>
        <v>7.6890359961572896E-2</v>
      </c>
      <c r="AK90" s="13">
        <f t="shared" si="78"/>
        <v>8.6376160301061544E-3</v>
      </c>
      <c r="AL90" s="13">
        <f t="shared" si="78"/>
        <v>3.3228990364542188E-4</v>
      </c>
      <c r="AM90" s="13">
        <f t="shared" si="78"/>
        <v>4.5992594882582338E-6</v>
      </c>
      <c r="AN90" s="13">
        <f t="shared" si="78"/>
        <v>4.0024854652820352E-8</v>
      </c>
      <c r="AO90" s="13">
        <f t="shared" si="78"/>
        <v>7.7620465610550582E-11</v>
      </c>
      <c r="AP90" s="13">
        <f t="shared" si="78"/>
        <v>6.8056671409522096E-14</v>
      </c>
      <c r="AQ90" s="13">
        <f t="shared" si="78"/>
        <v>0</v>
      </c>
      <c r="AR90" s="13">
        <f t="shared" si="78"/>
        <v>0</v>
      </c>
      <c r="AS90" s="13">
        <f t="shared" si="78"/>
        <v>0</v>
      </c>
      <c r="AT90" s="13">
        <f t="shared" si="78"/>
        <v>0.63055865981823644</v>
      </c>
      <c r="AU90" s="13">
        <f t="shared" si="78"/>
        <v>0.28357643492440765</v>
      </c>
      <c r="AV90" s="13">
        <f t="shared" si="78"/>
        <v>7.6890359961572896E-2</v>
      </c>
      <c r="AW90" s="13">
        <f t="shared" si="78"/>
        <v>8.6376160301061544E-3</v>
      </c>
      <c r="AX90" s="13">
        <f t="shared" si="78"/>
        <v>3.3228990364542188E-4</v>
      </c>
      <c r="AY90" s="13">
        <f t="shared" si="78"/>
        <v>4.5992594882582338E-6</v>
      </c>
      <c r="AZ90" s="13">
        <f t="shared" si="78"/>
        <v>4.0024854652820352E-8</v>
      </c>
      <c r="BA90" s="13">
        <f t="shared" si="78"/>
        <v>7.7620465610550582E-11</v>
      </c>
      <c r="BB90" s="13">
        <f t="shared" si="78"/>
        <v>6.8056671409522096E-14</v>
      </c>
      <c r="BC90" s="13">
        <f t="shared" si="78"/>
        <v>0</v>
      </c>
      <c r="BD90" s="13">
        <f t="shared" si="78"/>
        <v>0</v>
      </c>
      <c r="BE90" s="13">
        <f t="shared" si="78"/>
        <v>0</v>
      </c>
      <c r="BF90" s="13">
        <f t="shared" si="78"/>
        <v>0.63055865981823644</v>
      </c>
      <c r="BG90" s="13">
        <f t="shared" si="78"/>
        <v>0.28357643492440765</v>
      </c>
      <c r="BH90" s="13">
        <f t="shared" si="78"/>
        <v>7.6890359961572896E-2</v>
      </c>
      <c r="BI90" s="13">
        <f t="shared" si="78"/>
        <v>8.6376160301061544E-3</v>
      </c>
    </row>
    <row r="91" spans="4:61" x14ac:dyDescent="0.35">
      <c r="E91">
        <v>10</v>
      </c>
      <c r="J91" t="s">
        <v>80</v>
      </c>
      <c r="N91" s="78"/>
      <c r="O91" s="78"/>
      <c r="P91" s="78"/>
      <c r="Q91" s="78"/>
      <c r="R91" s="78"/>
      <c r="S91" s="78"/>
      <c r="T91" s="78"/>
      <c r="U91" s="78"/>
      <c r="V91" s="78"/>
      <c r="W91" s="13">
        <f t="shared" si="68"/>
        <v>0.64306616326250143</v>
      </c>
      <c r="X91" s="13">
        <f t="shared" si="69"/>
        <v>0.27106893148014266</v>
      </c>
      <c r="Y91" s="13">
        <f t="shared" ref="Y91:BI91" si="79">IF(Y78-X78&lt;0,Y78,Y78-X78)</f>
        <v>7.766736933275975E-2</v>
      </c>
      <c r="Z91" s="13">
        <f t="shared" si="79"/>
        <v>7.8994316119259667E-3</v>
      </c>
      <c r="AA91" s="13">
        <f t="shared" si="79"/>
        <v>2.9179646111532342E-4</v>
      </c>
      <c r="AB91" s="13">
        <f t="shared" si="79"/>
        <v>6.2745311063538978E-6</v>
      </c>
      <c r="AC91" s="13">
        <f t="shared" si="79"/>
        <v>3.3242759989171589E-8</v>
      </c>
      <c r="AD91" s="13">
        <f t="shared" si="79"/>
        <v>7.7635564643685484E-11</v>
      </c>
      <c r="AE91" s="13">
        <f t="shared" si="79"/>
        <v>5.2957638274619967E-14</v>
      </c>
      <c r="AF91" s="13">
        <f t="shared" si="79"/>
        <v>0</v>
      </c>
      <c r="AG91" s="13">
        <f t="shared" si="79"/>
        <v>0</v>
      </c>
      <c r="AH91" s="13">
        <f t="shared" si="79"/>
        <v>0</v>
      </c>
      <c r="AI91" s="13">
        <f t="shared" si="79"/>
        <v>0.64306616326250143</v>
      </c>
      <c r="AJ91" s="13">
        <f t="shared" si="79"/>
        <v>0.27106893148014266</v>
      </c>
      <c r="AK91" s="13">
        <f t="shared" si="79"/>
        <v>7.766736933275975E-2</v>
      </c>
      <c r="AL91" s="13">
        <f t="shared" si="79"/>
        <v>7.8994316119259667E-3</v>
      </c>
      <c r="AM91" s="13">
        <f t="shared" si="79"/>
        <v>2.9179646111532342E-4</v>
      </c>
      <c r="AN91" s="13">
        <f t="shared" si="79"/>
        <v>6.2745311063538978E-6</v>
      </c>
      <c r="AO91" s="13">
        <f t="shared" si="79"/>
        <v>3.3242759989171589E-8</v>
      </c>
      <c r="AP91" s="13">
        <f t="shared" si="79"/>
        <v>7.7635564643685484E-11</v>
      </c>
      <c r="AQ91" s="13">
        <f t="shared" si="79"/>
        <v>5.2957638274619967E-14</v>
      </c>
      <c r="AR91" s="13">
        <f t="shared" si="79"/>
        <v>0</v>
      </c>
      <c r="AS91" s="13">
        <f t="shared" si="79"/>
        <v>0</v>
      </c>
      <c r="AT91" s="13">
        <f t="shared" si="79"/>
        <v>0</v>
      </c>
      <c r="AU91" s="13">
        <f t="shared" si="79"/>
        <v>0.64306616326250143</v>
      </c>
      <c r="AV91" s="13">
        <f t="shared" si="79"/>
        <v>0.27106893148014266</v>
      </c>
      <c r="AW91" s="13">
        <f t="shared" si="79"/>
        <v>7.766736933275975E-2</v>
      </c>
      <c r="AX91" s="13">
        <f t="shared" si="79"/>
        <v>7.8994316119259667E-3</v>
      </c>
      <c r="AY91" s="13">
        <f t="shared" si="79"/>
        <v>2.9179646111532342E-4</v>
      </c>
      <c r="AZ91" s="13">
        <f t="shared" si="79"/>
        <v>6.2745311063538978E-6</v>
      </c>
      <c r="BA91" s="13">
        <f t="shared" si="79"/>
        <v>3.3242759989171589E-8</v>
      </c>
      <c r="BB91" s="13">
        <f t="shared" si="79"/>
        <v>7.7635564643685484E-11</v>
      </c>
      <c r="BC91" s="13">
        <f t="shared" si="79"/>
        <v>5.2957638274619967E-14</v>
      </c>
      <c r="BD91" s="13">
        <f t="shared" si="79"/>
        <v>0</v>
      </c>
      <c r="BE91" s="13">
        <f t="shared" si="79"/>
        <v>0</v>
      </c>
      <c r="BF91" s="13">
        <f t="shared" si="79"/>
        <v>0</v>
      </c>
      <c r="BG91" s="13">
        <f t="shared" si="79"/>
        <v>0.64306616326250143</v>
      </c>
      <c r="BH91" s="13">
        <f t="shared" si="79"/>
        <v>0.27106893148014266</v>
      </c>
      <c r="BI91" s="13">
        <f t="shared" si="79"/>
        <v>7.766736933275975E-2</v>
      </c>
    </row>
    <row r="92" spans="4:61" x14ac:dyDescent="0.35">
      <c r="E92">
        <v>11</v>
      </c>
      <c r="J92" t="s">
        <v>80</v>
      </c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13">
        <f t="shared" si="69"/>
        <v>0.63055865981823644</v>
      </c>
      <c r="Y92" s="13">
        <f t="shared" ref="Y92:BI92" si="80">IF(Y79-X79&lt;0,Y79,Y79-X79)</f>
        <v>0.28357643492440765</v>
      </c>
      <c r="Z92" s="13">
        <f t="shared" si="80"/>
        <v>7.766736933275975E-2</v>
      </c>
      <c r="AA92" s="13">
        <f t="shared" si="80"/>
        <v>7.7684755913993708E-3</v>
      </c>
      <c r="AB92" s="13">
        <f t="shared" si="80"/>
        <v>4.2275248164191925E-4</v>
      </c>
      <c r="AC92" s="13">
        <f t="shared" si="80"/>
        <v>6.267749011690249E-6</v>
      </c>
      <c r="AD92" s="13">
        <f t="shared" si="80"/>
        <v>4.0024854652820352E-8</v>
      </c>
      <c r="AE92" s="13">
        <f t="shared" si="80"/>
        <v>7.7620465610550582E-11</v>
      </c>
      <c r="AF92" s="13">
        <f t="shared" si="80"/>
        <v>6.8056671409522096E-14</v>
      </c>
      <c r="AG92" s="13">
        <f t="shared" si="80"/>
        <v>0</v>
      </c>
      <c r="AH92" s="13">
        <f t="shared" si="80"/>
        <v>0</v>
      </c>
      <c r="AI92" s="13">
        <f t="shared" si="80"/>
        <v>0</v>
      </c>
      <c r="AJ92" s="13">
        <f t="shared" si="80"/>
        <v>0.63055865981823644</v>
      </c>
      <c r="AK92" s="13">
        <f t="shared" si="80"/>
        <v>0.28357643492440765</v>
      </c>
      <c r="AL92" s="13">
        <f t="shared" si="80"/>
        <v>7.766736933275975E-2</v>
      </c>
      <c r="AM92" s="13">
        <f t="shared" si="80"/>
        <v>7.7684755913993708E-3</v>
      </c>
      <c r="AN92" s="13">
        <f t="shared" si="80"/>
        <v>4.2275248164191925E-4</v>
      </c>
      <c r="AO92" s="13">
        <f t="shared" si="80"/>
        <v>6.267749011690249E-6</v>
      </c>
      <c r="AP92" s="13">
        <f t="shared" si="80"/>
        <v>4.0024854652820352E-8</v>
      </c>
      <c r="AQ92" s="13">
        <f t="shared" si="80"/>
        <v>7.7620465610550582E-11</v>
      </c>
      <c r="AR92" s="13">
        <f t="shared" si="80"/>
        <v>6.8056671409522096E-14</v>
      </c>
      <c r="AS92" s="13">
        <f t="shared" si="80"/>
        <v>0</v>
      </c>
      <c r="AT92" s="13">
        <f t="shared" si="80"/>
        <v>0</v>
      </c>
      <c r="AU92" s="13">
        <f t="shared" si="80"/>
        <v>0</v>
      </c>
      <c r="AV92" s="13">
        <f t="shared" si="80"/>
        <v>0.63055865981823644</v>
      </c>
      <c r="AW92" s="13">
        <f t="shared" si="80"/>
        <v>0.28357643492440765</v>
      </c>
      <c r="AX92" s="13">
        <f t="shared" si="80"/>
        <v>7.766736933275975E-2</v>
      </c>
      <c r="AY92" s="13">
        <f t="shared" si="80"/>
        <v>7.7684755913993708E-3</v>
      </c>
      <c r="AZ92" s="13">
        <f t="shared" si="80"/>
        <v>4.2275248164191925E-4</v>
      </c>
      <c r="BA92" s="13">
        <f t="shared" si="80"/>
        <v>6.267749011690249E-6</v>
      </c>
      <c r="BB92" s="13">
        <f t="shared" si="80"/>
        <v>4.0024854652820352E-8</v>
      </c>
      <c r="BC92" s="13">
        <f t="shared" si="80"/>
        <v>7.7620465610550582E-11</v>
      </c>
      <c r="BD92" s="13">
        <f t="shared" si="80"/>
        <v>6.8056671409522096E-14</v>
      </c>
      <c r="BE92" s="13">
        <f t="shared" si="80"/>
        <v>0</v>
      </c>
      <c r="BF92" s="13">
        <f t="shared" si="80"/>
        <v>0</v>
      </c>
      <c r="BG92" s="13">
        <f t="shared" si="80"/>
        <v>0</v>
      </c>
      <c r="BH92" s="13">
        <f t="shared" si="80"/>
        <v>0.63055865981823644</v>
      </c>
      <c r="BI92" s="13">
        <f t="shared" si="80"/>
        <v>0.28357643492440765</v>
      </c>
    </row>
    <row r="93" spans="4:61" x14ac:dyDescent="0.35">
      <c r="E93">
        <v>12</v>
      </c>
      <c r="J93" t="s">
        <v>80</v>
      </c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13">
        <f t="shared" ref="Y93:BI93" si="81">IF(Y80-X80&lt;0,Y80,Y80-X80)</f>
        <v>0.64306616326250143</v>
      </c>
      <c r="Z93" s="13">
        <f t="shared" si="81"/>
        <v>0.2761771775037275</v>
      </c>
      <c r="AA93" s="13">
        <f t="shared" si="81"/>
        <v>7.0941330605125752E-2</v>
      </c>
      <c r="AB93" s="13">
        <f t="shared" si="81"/>
        <v>9.4349156696841296E-3</v>
      </c>
      <c r="AC93" s="13">
        <f t="shared" si="81"/>
        <v>3.7410510740631953E-4</v>
      </c>
      <c r="AD93" s="13">
        <f t="shared" si="81"/>
        <v>6.2745311063538978E-6</v>
      </c>
      <c r="AE93" s="13">
        <f t="shared" si="81"/>
        <v>3.3242759989171589E-8</v>
      </c>
      <c r="AF93" s="13">
        <f t="shared" si="81"/>
        <v>7.7635564643685484E-11</v>
      </c>
      <c r="AG93" s="13">
        <f t="shared" si="81"/>
        <v>5.2957638274619967E-14</v>
      </c>
      <c r="AH93" s="13">
        <f t="shared" si="81"/>
        <v>0</v>
      </c>
      <c r="AI93" s="13">
        <f t="shared" si="81"/>
        <v>0</v>
      </c>
      <c r="AJ93" s="13">
        <f t="shared" si="81"/>
        <v>0</v>
      </c>
      <c r="AK93" s="13">
        <f t="shared" si="81"/>
        <v>0.64306616326250143</v>
      </c>
      <c r="AL93" s="13">
        <f t="shared" si="81"/>
        <v>0.2761771775037275</v>
      </c>
      <c r="AM93" s="13">
        <f t="shared" si="81"/>
        <v>7.0941330605125752E-2</v>
      </c>
      <c r="AN93" s="13">
        <f t="shared" si="81"/>
        <v>9.4349156696841296E-3</v>
      </c>
      <c r="AO93" s="13">
        <f t="shared" si="81"/>
        <v>3.7410510740631953E-4</v>
      </c>
      <c r="AP93" s="13">
        <f t="shared" si="81"/>
        <v>6.2745311063538978E-6</v>
      </c>
      <c r="AQ93" s="13">
        <f t="shared" si="81"/>
        <v>3.3242759989171589E-8</v>
      </c>
      <c r="AR93" s="13">
        <f t="shared" si="81"/>
        <v>7.7635564643685484E-11</v>
      </c>
      <c r="AS93" s="13">
        <f t="shared" si="81"/>
        <v>5.2957638274619967E-14</v>
      </c>
      <c r="AT93" s="13">
        <f t="shared" si="81"/>
        <v>0</v>
      </c>
      <c r="AU93" s="13">
        <f t="shared" si="81"/>
        <v>0</v>
      </c>
      <c r="AV93" s="13">
        <f t="shared" si="81"/>
        <v>0</v>
      </c>
      <c r="AW93" s="13">
        <f t="shared" si="81"/>
        <v>0.64306616326250143</v>
      </c>
      <c r="AX93" s="13">
        <f t="shared" si="81"/>
        <v>0.2761771775037275</v>
      </c>
      <c r="AY93" s="13">
        <f t="shared" si="81"/>
        <v>7.0941330605125752E-2</v>
      </c>
      <c r="AZ93" s="13">
        <f t="shared" si="81"/>
        <v>9.4349156696841296E-3</v>
      </c>
      <c r="BA93" s="13">
        <f t="shared" si="81"/>
        <v>3.7410510740631953E-4</v>
      </c>
      <c r="BB93" s="13">
        <f t="shared" si="81"/>
        <v>6.2745311063538978E-6</v>
      </c>
      <c r="BC93" s="13">
        <f t="shared" si="81"/>
        <v>3.3242759989171589E-8</v>
      </c>
      <c r="BD93" s="13">
        <f t="shared" si="81"/>
        <v>7.7635564643685484E-11</v>
      </c>
      <c r="BE93" s="13">
        <f t="shared" si="81"/>
        <v>5.2957638274619967E-14</v>
      </c>
      <c r="BF93" s="13">
        <f t="shared" si="81"/>
        <v>0</v>
      </c>
      <c r="BG93" s="13">
        <f t="shared" si="81"/>
        <v>0</v>
      </c>
      <c r="BH93" s="13">
        <f t="shared" si="81"/>
        <v>0</v>
      </c>
      <c r="BI93" s="13">
        <f t="shared" si="81"/>
        <v>0.64306616326250143</v>
      </c>
    </row>
    <row r="95" spans="4:61" x14ac:dyDescent="0.35">
      <c r="D95" s="1" t="s">
        <v>83</v>
      </c>
    </row>
    <row r="97" spans="5:61" s="4" customFormat="1" x14ac:dyDescent="0.35">
      <c r="E97" s="4" t="str">
        <f>Time!E21</f>
        <v>N° de mois</v>
      </c>
      <c r="J97" s="4" t="str">
        <f>Time!J21</f>
        <v>N° mois</v>
      </c>
      <c r="N97" s="4">
        <f>Time!N21</f>
        <v>1</v>
      </c>
      <c r="O97" s="4">
        <f>Time!O21</f>
        <v>2</v>
      </c>
      <c r="P97" s="4">
        <f>Time!P21</f>
        <v>3</v>
      </c>
      <c r="Q97" s="4">
        <f>Time!Q21</f>
        <v>4</v>
      </c>
      <c r="R97" s="4">
        <f>Time!R21</f>
        <v>5</v>
      </c>
      <c r="S97" s="4">
        <f>Time!S21</f>
        <v>6</v>
      </c>
      <c r="T97" s="4">
        <f>Time!T21</f>
        <v>7</v>
      </c>
      <c r="U97" s="4">
        <f>Time!U21</f>
        <v>8</v>
      </c>
      <c r="V97" s="4">
        <f>Time!V21</f>
        <v>9</v>
      </c>
      <c r="W97" s="4">
        <f>Time!W21</f>
        <v>10</v>
      </c>
      <c r="X97" s="4">
        <f>Time!X21</f>
        <v>11</v>
      </c>
      <c r="Y97" s="4">
        <f>Time!Y21</f>
        <v>12</v>
      </c>
      <c r="Z97" s="4">
        <f>Time!Z21</f>
        <v>1</v>
      </c>
      <c r="AA97" s="4">
        <f>Time!AA21</f>
        <v>2</v>
      </c>
      <c r="AB97" s="4">
        <f>Time!AB21</f>
        <v>3</v>
      </c>
      <c r="AC97" s="4">
        <f>Time!AC21</f>
        <v>4</v>
      </c>
      <c r="AD97" s="4">
        <f>Time!AD21</f>
        <v>5</v>
      </c>
      <c r="AE97" s="4">
        <f>Time!AE21</f>
        <v>6</v>
      </c>
      <c r="AF97" s="4">
        <f>Time!AF21</f>
        <v>7</v>
      </c>
      <c r="AG97" s="4">
        <f>Time!AG21</f>
        <v>8</v>
      </c>
      <c r="AH97" s="4">
        <f>Time!AH21</f>
        <v>9</v>
      </c>
      <c r="AI97" s="4">
        <f>Time!AI21</f>
        <v>10</v>
      </c>
      <c r="AJ97" s="4">
        <f>Time!AJ21</f>
        <v>11</v>
      </c>
      <c r="AK97" s="4">
        <f>Time!AK21</f>
        <v>12</v>
      </c>
      <c r="AL97" s="4">
        <f>Time!AL21</f>
        <v>1</v>
      </c>
      <c r="AM97" s="4">
        <f>Time!AM21</f>
        <v>2</v>
      </c>
      <c r="AN97" s="4">
        <f>Time!AN21</f>
        <v>3</v>
      </c>
      <c r="AO97" s="4">
        <f>Time!AO21</f>
        <v>4</v>
      </c>
      <c r="AP97" s="4">
        <f>Time!AP21</f>
        <v>5</v>
      </c>
      <c r="AQ97" s="4">
        <f>Time!AQ21</f>
        <v>6</v>
      </c>
      <c r="AR97" s="4">
        <f>Time!AR21</f>
        <v>7</v>
      </c>
      <c r="AS97" s="4">
        <f>Time!AS21</f>
        <v>8</v>
      </c>
      <c r="AT97" s="4">
        <f>Time!AT21</f>
        <v>9</v>
      </c>
      <c r="AU97" s="4">
        <f>Time!AU21</f>
        <v>10</v>
      </c>
      <c r="AV97" s="4">
        <f>Time!AV21</f>
        <v>11</v>
      </c>
      <c r="AW97" s="4">
        <f>Time!AW21</f>
        <v>12</v>
      </c>
      <c r="AX97" s="4">
        <f>Time!AX21</f>
        <v>1</v>
      </c>
      <c r="AY97" s="4">
        <f>Time!AY21</f>
        <v>2</v>
      </c>
      <c r="AZ97" s="4">
        <f>Time!AZ21</f>
        <v>3</v>
      </c>
      <c r="BA97" s="4">
        <f>Time!BA21</f>
        <v>4</v>
      </c>
      <c r="BB97" s="4">
        <f>Time!BB21</f>
        <v>5</v>
      </c>
      <c r="BC97" s="4">
        <f>Time!BC21</f>
        <v>6</v>
      </c>
      <c r="BD97" s="4">
        <f>Time!BD21</f>
        <v>7</v>
      </c>
      <c r="BE97" s="4">
        <f>Time!BE21</f>
        <v>8</v>
      </c>
      <c r="BF97" s="4">
        <f>Time!BF21</f>
        <v>9</v>
      </c>
      <c r="BG97" s="4">
        <f>Time!BG21</f>
        <v>10</v>
      </c>
      <c r="BH97" s="4">
        <f>Time!BH21</f>
        <v>11</v>
      </c>
      <c r="BI97" s="4">
        <f>Time!BI21</f>
        <v>12</v>
      </c>
    </row>
    <row r="98" spans="5:61" s="4" customFormat="1" x14ac:dyDescent="0.35">
      <c r="E98" s="4" t="str">
        <f>Time!E19</f>
        <v>Frise mensuelle-début de période</v>
      </c>
      <c r="J98" s="4" t="str">
        <f>Time!J19</f>
        <v>date</v>
      </c>
      <c r="N98" s="5">
        <f>Time!N19</f>
        <v>43831</v>
      </c>
      <c r="O98" s="5">
        <f>Time!O19</f>
        <v>43862</v>
      </c>
      <c r="P98" s="5">
        <f>Time!P19</f>
        <v>43891</v>
      </c>
      <c r="Q98" s="5">
        <f>Time!Q19</f>
        <v>43922</v>
      </c>
      <c r="R98" s="5">
        <f>Time!R19</f>
        <v>43952</v>
      </c>
      <c r="S98" s="5">
        <f>Time!S19</f>
        <v>43983</v>
      </c>
      <c r="T98" s="5">
        <f>Time!T19</f>
        <v>44013</v>
      </c>
      <c r="U98" s="5">
        <f>Time!U19</f>
        <v>44044</v>
      </c>
      <c r="V98" s="5">
        <f>Time!V19</f>
        <v>44075</v>
      </c>
      <c r="W98" s="5">
        <f>Time!W19</f>
        <v>44105</v>
      </c>
      <c r="X98" s="5">
        <f>Time!X19</f>
        <v>44136</v>
      </c>
      <c r="Y98" s="5">
        <f>Time!Y19</f>
        <v>44166</v>
      </c>
      <c r="Z98" s="5">
        <f>Time!Z19</f>
        <v>44197</v>
      </c>
      <c r="AA98" s="5">
        <f>Time!AA19</f>
        <v>44228</v>
      </c>
      <c r="AB98" s="5">
        <f>Time!AB19</f>
        <v>44256</v>
      </c>
      <c r="AC98" s="5">
        <f>Time!AC19</f>
        <v>44287</v>
      </c>
      <c r="AD98" s="5">
        <f>Time!AD19</f>
        <v>44317</v>
      </c>
      <c r="AE98" s="5">
        <f>Time!AE19</f>
        <v>44348</v>
      </c>
      <c r="AF98" s="5">
        <f>Time!AF19</f>
        <v>44378</v>
      </c>
      <c r="AG98" s="5">
        <f>Time!AG19</f>
        <v>44409</v>
      </c>
      <c r="AH98" s="5">
        <f>Time!AH19</f>
        <v>44440</v>
      </c>
      <c r="AI98" s="5">
        <f>Time!AI19</f>
        <v>44470</v>
      </c>
      <c r="AJ98" s="5">
        <f>Time!AJ19</f>
        <v>44501</v>
      </c>
      <c r="AK98" s="5">
        <f>Time!AK19</f>
        <v>44531</v>
      </c>
      <c r="AL98" s="5">
        <f>Time!AL19</f>
        <v>44562</v>
      </c>
      <c r="AM98" s="5">
        <f>Time!AM19</f>
        <v>44593</v>
      </c>
      <c r="AN98" s="5">
        <f>Time!AN19</f>
        <v>44621</v>
      </c>
      <c r="AO98" s="5">
        <f>Time!AO19</f>
        <v>44652</v>
      </c>
      <c r="AP98" s="5">
        <f>Time!AP19</f>
        <v>44682</v>
      </c>
      <c r="AQ98" s="5">
        <f>Time!AQ19</f>
        <v>44713</v>
      </c>
      <c r="AR98" s="5">
        <f>Time!AR19</f>
        <v>44743</v>
      </c>
      <c r="AS98" s="5">
        <f>Time!AS19</f>
        <v>44774</v>
      </c>
      <c r="AT98" s="5">
        <f>Time!AT19</f>
        <v>44805</v>
      </c>
      <c r="AU98" s="5">
        <f>Time!AU19</f>
        <v>44835</v>
      </c>
      <c r="AV98" s="5">
        <f>Time!AV19</f>
        <v>44866</v>
      </c>
      <c r="AW98" s="5">
        <f>Time!AW19</f>
        <v>44896</v>
      </c>
      <c r="AX98" s="5">
        <f>Time!AX19</f>
        <v>44927</v>
      </c>
      <c r="AY98" s="5">
        <f>Time!AY19</f>
        <v>44958</v>
      </c>
      <c r="AZ98" s="5">
        <f>Time!AZ19</f>
        <v>44986</v>
      </c>
      <c r="BA98" s="5">
        <f>Time!BA19</f>
        <v>45017</v>
      </c>
      <c r="BB98" s="5">
        <f>Time!BB19</f>
        <v>45047</v>
      </c>
      <c r="BC98" s="5">
        <f>Time!BC19</f>
        <v>45078</v>
      </c>
      <c r="BD98" s="5">
        <f>Time!BD19</f>
        <v>45108</v>
      </c>
      <c r="BE98" s="5">
        <f>Time!BE19</f>
        <v>45139</v>
      </c>
      <c r="BF98" s="5">
        <f>Time!BF19</f>
        <v>45170</v>
      </c>
      <c r="BG98" s="5">
        <f>Time!BG19</f>
        <v>45200</v>
      </c>
      <c r="BH98" s="5">
        <f>Time!BH19</f>
        <v>45231</v>
      </c>
      <c r="BI98" s="5">
        <f>Time!BI19</f>
        <v>45261</v>
      </c>
    </row>
    <row r="99" spans="5:61" s="4" customFormat="1" x14ac:dyDescent="0.35">
      <c r="E99" s="4" t="str">
        <f>Dépôts!E36</f>
        <v>Volumes-Dépôt</v>
      </c>
      <c r="J99" s="4" t="str">
        <f>Dépôts!J36</f>
        <v>Volume</v>
      </c>
      <c r="N99" s="85">
        <f>Dépôts!N36</f>
        <v>6320</v>
      </c>
      <c r="O99" s="85">
        <f>Dépôts!O36</f>
        <v>11443</v>
      </c>
      <c r="P99" s="85">
        <f>Dépôts!P36</f>
        <v>9961</v>
      </c>
      <c r="Q99" s="85">
        <f>Dépôts!Q36</f>
        <v>5157</v>
      </c>
      <c r="R99" s="85">
        <f>Dépôts!R36</f>
        <v>7758</v>
      </c>
      <c r="S99" s="85">
        <f>Dépôts!S36</f>
        <v>19366</v>
      </c>
      <c r="T99" s="85">
        <f>Dépôts!T36</f>
        <v>17473</v>
      </c>
      <c r="U99" s="85">
        <f>Dépôts!U36</f>
        <v>10690</v>
      </c>
      <c r="V99" s="85">
        <f>Dépôts!V36</f>
        <v>19315</v>
      </c>
      <c r="W99" s="85">
        <f>Dépôts!W36</f>
        <v>28065</v>
      </c>
      <c r="X99" s="85">
        <f>Dépôts!X36</f>
        <v>30651</v>
      </c>
      <c r="Y99" s="85">
        <f>Dépôts!Y36</f>
        <v>27939</v>
      </c>
      <c r="Z99" s="85">
        <f>Dépôts!Z36</f>
        <v>52269</v>
      </c>
      <c r="AA99" s="85">
        <f>Dépôts!AA36</f>
        <v>57486</v>
      </c>
      <c r="AB99" s="85">
        <f>Dépôts!AB36</f>
        <v>67267</v>
      </c>
      <c r="AC99" s="85">
        <f>Dépôts!AC36</f>
        <v>68625</v>
      </c>
      <c r="AD99" s="85">
        <f>Dépôts!AD36</f>
        <v>60334</v>
      </c>
      <c r="AE99" s="85">
        <f>Dépôts!AE36</f>
        <v>70423</v>
      </c>
      <c r="AF99" s="85">
        <f>Dépôts!AF36</f>
        <v>55455</v>
      </c>
      <c r="AG99" s="85">
        <f>Dépôts!AG36</f>
        <v>40687</v>
      </c>
      <c r="AH99" s="85">
        <f>Dépôts!AH36</f>
        <v>62423</v>
      </c>
      <c r="AI99" s="85">
        <f>Dépôts!AI36</f>
        <v>77015</v>
      </c>
      <c r="AJ99" s="85">
        <f>Dépôts!AJ36</f>
        <v>68409</v>
      </c>
      <c r="AK99" s="85">
        <f>Dépôts!AK36</f>
        <v>80621</v>
      </c>
      <c r="AL99" s="85">
        <f>Dépôts!AL36</f>
        <v>69086.403111506734</v>
      </c>
      <c r="AM99" s="85">
        <f>Dépôts!AM36</f>
        <v>77214.215242272243</v>
      </c>
      <c r="AN99" s="85">
        <f>Dépôts!AN36</f>
        <v>81278.12130765499</v>
      </c>
      <c r="AO99" s="85">
        <f>Dépôts!AO36</f>
        <v>81278.12130765499</v>
      </c>
      <c r="AP99" s="85">
        <f>Dépôts!AP36</f>
        <v>81278.12130765499</v>
      </c>
      <c r="AQ99" s="85">
        <f>Dépôts!AQ36</f>
        <v>77214.215242272243</v>
      </c>
      <c r="AR99" s="85">
        <f>Dépôts!AR36</f>
        <v>65022.497046123994</v>
      </c>
      <c r="AS99" s="85">
        <f>Dépôts!AS36</f>
        <v>48766.87278459299</v>
      </c>
      <c r="AT99" s="85">
        <f>Dépôts!AT36</f>
        <v>73150.309176889496</v>
      </c>
      <c r="AU99" s="85">
        <f>Dépôts!AU36</f>
        <v>81278.12130765499</v>
      </c>
      <c r="AV99" s="85">
        <f>Dépôts!AV36</f>
        <v>81278.12130765499</v>
      </c>
      <c r="AW99" s="85">
        <f>Dépôts!AW36</f>
        <v>89405.933438420499</v>
      </c>
      <c r="AX99" s="85">
        <f>Dépôts!AX36</f>
        <v>75995.043422657429</v>
      </c>
      <c r="AY99" s="85">
        <f>Dépôts!AY36</f>
        <v>84935.636766499476</v>
      </c>
      <c r="AZ99" s="85">
        <f>Dépôts!AZ36</f>
        <v>89405.933438420499</v>
      </c>
      <c r="BA99" s="85">
        <f>Dépôts!BA36</f>
        <v>89405.933438420499</v>
      </c>
      <c r="BB99" s="85">
        <f>Dépôts!BB36</f>
        <v>89405.933438420499</v>
      </c>
      <c r="BC99" s="85">
        <f>Dépôts!BC36</f>
        <v>84935.636766499476</v>
      </c>
      <c r="BD99" s="85">
        <f>Dépôts!BD36</f>
        <v>71524.746750736405</v>
      </c>
      <c r="BE99" s="85">
        <f>Dépôts!BE36</f>
        <v>53643.560063052297</v>
      </c>
      <c r="BF99" s="85">
        <f>Dépôts!BF36</f>
        <v>80465.340094578452</v>
      </c>
      <c r="BG99" s="85">
        <f>Dépôts!BG36</f>
        <v>89405.933438420499</v>
      </c>
      <c r="BH99" s="85">
        <f>Dépôts!BH36</f>
        <v>89405.933438420499</v>
      </c>
      <c r="BI99" s="85">
        <f>Dépôts!BI36</f>
        <v>98346.526782262561</v>
      </c>
    </row>
    <row r="101" spans="5:61" x14ac:dyDescent="0.35">
      <c r="E101">
        <f t="shared" ref="E101:E112" si="82">E43</f>
        <v>1</v>
      </c>
      <c r="J101" t="str">
        <f t="shared" ref="J101:J112" si="83">J43</f>
        <v>date</v>
      </c>
      <c r="N101" s="7">
        <f t="shared" ref="N101:BI101" si="84">N43</f>
        <v>43831</v>
      </c>
      <c r="O101" s="7">
        <f t="shared" si="84"/>
        <v>43831</v>
      </c>
      <c r="P101" s="7">
        <f t="shared" si="84"/>
        <v>43831</v>
      </c>
      <c r="Q101" s="7">
        <f t="shared" si="84"/>
        <v>43831</v>
      </c>
      <c r="R101" s="7">
        <f t="shared" si="84"/>
        <v>43831</v>
      </c>
      <c r="S101" s="7">
        <f t="shared" si="84"/>
        <v>43831</v>
      </c>
      <c r="T101" s="7">
        <f t="shared" si="84"/>
        <v>43831</v>
      </c>
      <c r="U101" s="7">
        <f t="shared" si="84"/>
        <v>43831</v>
      </c>
      <c r="V101" s="7">
        <f t="shared" si="84"/>
        <v>43831</v>
      </c>
      <c r="W101" s="7">
        <f t="shared" si="84"/>
        <v>43831</v>
      </c>
      <c r="X101" s="7">
        <f t="shared" si="84"/>
        <v>43831</v>
      </c>
      <c r="Y101" s="7">
        <f t="shared" si="84"/>
        <v>43831</v>
      </c>
      <c r="Z101" s="7">
        <f t="shared" si="84"/>
        <v>44197</v>
      </c>
      <c r="AA101" s="7">
        <f t="shared" si="84"/>
        <v>44197</v>
      </c>
      <c r="AB101" s="7">
        <f t="shared" si="84"/>
        <v>44197</v>
      </c>
      <c r="AC101" s="7">
        <f t="shared" si="84"/>
        <v>44197</v>
      </c>
      <c r="AD101" s="7">
        <f t="shared" si="84"/>
        <v>44197</v>
      </c>
      <c r="AE101" s="7">
        <f t="shared" si="84"/>
        <v>44197</v>
      </c>
      <c r="AF101" s="7">
        <f t="shared" si="84"/>
        <v>44197</v>
      </c>
      <c r="AG101" s="7">
        <f t="shared" si="84"/>
        <v>44197</v>
      </c>
      <c r="AH101" s="7">
        <f t="shared" si="84"/>
        <v>44197</v>
      </c>
      <c r="AI101" s="7">
        <f t="shared" si="84"/>
        <v>44197</v>
      </c>
      <c r="AJ101" s="7">
        <f t="shared" si="84"/>
        <v>44197</v>
      </c>
      <c r="AK101" s="7">
        <f t="shared" si="84"/>
        <v>44197</v>
      </c>
      <c r="AL101" s="7">
        <f t="shared" si="84"/>
        <v>44562</v>
      </c>
      <c r="AM101" s="7">
        <f t="shared" si="84"/>
        <v>44562</v>
      </c>
      <c r="AN101" s="7">
        <f t="shared" si="84"/>
        <v>44562</v>
      </c>
      <c r="AO101" s="7">
        <f t="shared" si="84"/>
        <v>44562</v>
      </c>
      <c r="AP101" s="7">
        <f t="shared" si="84"/>
        <v>44562</v>
      </c>
      <c r="AQ101" s="7">
        <f t="shared" si="84"/>
        <v>44562</v>
      </c>
      <c r="AR101" s="7">
        <f t="shared" si="84"/>
        <v>44562</v>
      </c>
      <c r="AS101" s="7">
        <f t="shared" si="84"/>
        <v>44562</v>
      </c>
      <c r="AT101" s="7">
        <f t="shared" si="84"/>
        <v>44562</v>
      </c>
      <c r="AU101" s="7">
        <f t="shared" si="84"/>
        <v>44562</v>
      </c>
      <c r="AV101" s="7">
        <f t="shared" si="84"/>
        <v>44562</v>
      </c>
      <c r="AW101" s="7">
        <f t="shared" si="84"/>
        <v>44562</v>
      </c>
      <c r="AX101" s="7">
        <f t="shared" si="84"/>
        <v>44927</v>
      </c>
      <c r="AY101" s="7">
        <f t="shared" si="84"/>
        <v>44927</v>
      </c>
      <c r="AZ101" s="7">
        <f t="shared" si="84"/>
        <v>44927</v>
      </c>
      <c r="BA101" s="7">
        <f t="shared" si="84"/>
        <v>44927</v>
      </c>
      <c r="BB101" s="7">
        <f t="shared" si="84"/>
        <v>44927</v>
      </c>
      <c r="BC101" s="7">
        <f t="shared" si="84"/>
        <v>44927</v>
      </c>
      <c r="BD101" s="7">
        <f t="shared" si="84"/>
        <v>44927</v>
      </c>
      <c r="BE101" s="7">
        <f t="shared" si="84"/>
        <v>44927</v>
      </c>
      <c r="BF101" s="7">
        <f t="shared" si="84"/>
        <v>44927</v>
      </c>
      <c r="BG101" s="7">
        <f t="shared" si="84"/>
        <v>44927</v>
      </c>
      <c r="BH101" s="7">
        <f t="shared" si="84"/>
        <v>44927</v>
      </c>
      <c r="BI101" s="7">
        <f t="shared" si="84"/>
        <v>44927</v>
      </c>
    </row>
    <row r="102" spans="5:61" x14ac:dyDescent="0.35">
      <c r="E102">
        <f t="shared" si="82"/>
        <v>2</v>
      </c>
      <c r="J102" t="str">
        <f t="shared" si="83"/>
        <v>date</v>
      </c>
      <c r="N102" s="78"/>
      <c r="O102" s="7">
        <f t="shared" ref="O102:BI102" si="85">O44</f>
        <v>43862</v>
      </c>
      <c r="P102" s="7">
        <f t="shared" si="85"/>
        <v>43862</v>
      </c>
      <c r="Q102" s="7">
        <f t="shared" si="85"/>
        <v>43862</v>
      </c>
      <c r="R102" s="7">
        <f t="shared" si="85"/>
        <v>43862</v>
      </c>
      <c r="S102" s="7">
        <f t="shared" si="85"/>
        <v>43862</v>
      </c>
      <c r="T102" s="7">
        <f t="shared" si="85"/>
        <v>43862</v>
      </c>
      <c r="U102" s="7">
        <f t="shared" si="85"/>
        <v>43862</v>
      </c>
      <c r="V102" s="7">
        <f t="shared" si="85"/>
        <v>43862</v>
      </c>
      <c r="W102" s="7">
        <f t="shared" si="85"/>
        <v>43862</v>
      </c>
      <c r="X102" s="7">
        <f t="shared" si="85"/>
        <v>43862</v>
      </c>
      <c r="Y102" s="7">
        <f t="shared" si="85"/>
        <v>43862</v>
      </c>
      <c r="Z102" s="7">
        <f t="shared" si="85"/>
        <v>43862</v>
      </c>
      <c r="AA102" s="7">
        <f t="shared" si="85"/>
        <v>44228</v>
      </c>
      <c r="AB102" s="7">
        <f t="shared" si="85"/>
        <v>44228</v>
      </c>
      <c r="AC102" s="7">
        <f t="shared" si="85"/>
        <v>44228</v>
      </c>
      <c r="AD102" s="7">
        <f t="shared" si="85"/>
        <v>44228</v>
      </c>
      <c r="AE102" s="7">
        <f t="shared" si="85"/>
        <v>44228</v>
      </c>
      <c r="AF102" s="7">
        <f t="shared" si="85"/>
        <v>44228</v>
      </c>
      <c r="AG102" s="7">
        <f t="shared" si="85"/>
        <v>44228</v>
      </c>
      <c r="AH102" s="7">
        <f t="shared" si="85"/>
        <v>44228</v>
      </c>
      <c r="AI102" s="7">
        <f t="shared" si="85"/>
        <v>44228</v>
      </c>
      <c r="AJ102" s="7">
        <f t="shared" si="85"/>
        <v>44228</v>
      </c>
      <c r="AK102" s="7">
        <f t="shared" si="85"/>
        <v>44228</v>
      </c>
      <c r="AL102" s="7">
        <f t="shared" si="85"/>
        <v>44228</v>
      </c>
      <c r="AM102" s="7">
        <f t="shared" si="85"/>
        <v>44593</v>
      </c>
      <c r="AN102" s="7">
        <f t="shared" si="85"/>
        <v>44593</v>
      </c>
      <c r="AO102" s="7">
        <f t="shared" si="85"/>
        <v>44593</v>
      </c>
      <c r="AP102" s="7">
        <f t="shared" si="85"/>
        <v>44593</v>
      </c>
      <c r="AQ102" s="7">
        <f t="shared" si="85"/>
        <v>44593</v>
      </c>
      <c r="AR102" s="7">
        <f t="shared" si="85"/>
        <v>44593</v>
      </c>
      <c r="AS102" s="7">
        <f t="shared" si="85"/>
        <v>44593</v>
      </c>
      <c r="AT102" s="7">
        <f t="shared" si="85"/>
        <v>44593</v>
      </c>
      <c r="AU102" s="7">
        <f t="shared" si="85"/>
        <v>44593</v>
      </c>
      <c r="AV102" s="7">
        <f t="shared" si="85"/>
        <v>44593</v>
      </c>
      <c r="AW102" s="7">
        <f t="shared" si="85"/>
        <v>44593</v>
      </c>
      <c r="AX102" s="7">
        <f t="shared" si="85"/>
        <v>44593</v>
      </c>
      <c r="AY102" s="7">
        <f t="shared" si="85"/>
        <v>44958</v>
      </c>
      <c r="AZ102" s="7">
        <f t="shared" si="85"/>
        <v>44958</v>
      </c>
      <c r="BA102" s="7">
        <f t="shared" si="85"/>
        <v>44958</v>
      </c>
      <c r="BB102" s="7">
        <f t="shared" si="85"/>
        <v>44958</v>
      </c>
      <c r="BC102" s="7">
        <f t="shared" si="85"/>
        <v>44958</v>
      </c>
      <c r="BD102" s="7">
        <f t="shared" si="85"/>
        <v>44958</v>
      </c>
      <c r="BE102" s="7">
        <f t="shared" si="85"/>
        <v>44958</v>
      </c>
      <c r="BF102" s="7">
        <f t="shared" si="85"/>
        <v>44958</v>
      </c>
      <c r="BG102" s="7">
        <f t="shared" si="85"/>
        <v>44958</v>
      </c>
      <c r="BH102" s="7">
        <f t="shared" si="85"/>
        <v>44958</v>
      </c>
      <c r="BI102" s="7">
        <f t="shared" si="85"/>
        <v>44958</v>
      </c>
    </row>
    <row r="103" spans="5:61" x14ac:dyDescent="0.35">
      <c r="E103">
        <f t="shared" si="82"/>
        <v>3</v>
      </c>
      <c r="J103" t="str">
        <f t="shared" si="83"/>
        <v>date</v>
      </c>
      <c r="N103" s="78"/>
      <c r="O103" s="78"/>
      <c r="P103" s="7">
        <f t="shared" ref="P103:BI103" si="86">P45</f>
        <v>43891</v>
      </c>
      <c r="Q103" s="7">
        <f t="shared" si="86"/>
        <v>43891</v>
      </c>
      <c r="R103" s="7">
        <f t="shared" si="86"/>
        <v>43891</v>
      </c>
      <c r="S103" s="7">
        <f t="shared" si="86"/>
        <v>43891</v>
      </c>
      <c r="T103" s="7">
        <f t="shared" si="86"/>
        <v>43891</v>
      </c>
      <c r="U103" s="7">
        <f t="shared" si="86"/>
        <v>43891</v>
      </c>
      <c r="V103" s="7">
        <f t="shared" si="86"/>
        <v>43891</v>
      </c>
      <c r="W103" s="7">
        <f t="shared" si="86"/>
        <v>43891</v>
      </c>
      <c r="X103" s="7">
        <f t="shared" si="86"/>
        <v>43891</v>
      </c>
      <c r="Y103" s="7">
        <f t="shared" si="86"/>
        <v>43891</v>
      </c>
      <c r="Z103" s="7">
        <f t="shared" si="86"/>
        <v>43891</v>
      </c>
      <c r="AA103" s="7">
        <f t="shared" si="86"/>
        <v>43891</v>
      </c>
      <c r="AB103" s="7">
        <f t="shared" si="86"/>
        <v>44256</v>
      </c>
      <c r="AC103" s="7">
        <f t="shared" si="86"/>
        <v>44256</v>
      </c>
      <c r="AD103" s="7">
        <f t="shared" si="86"/>
        <v>44256</v>
      </c>
      <c r="AE103" s="7">
        <f t="shared" si="86"/>
        <v>44256</v>
      </c>
      <c r="AF103" s="7">
        <f t="shared" si="86"/>
        <v>44256</v>
      </c>
      <c r="AG103" s="7">
        <f t="shared" si="86"/>
        <v>44256</v>
      </c>
      <c r="AH103" s="7">
        <f t="shared" si="86"/>
        <v>44256</v>
      </c>
      <c r="AI103" s="7">
        <f t="shared" si="86"/>
        <v>44256</v>
      </c>
      <c r="AJ103" s="7">
        <f t="shared" si="86"/>
        <v>44256</v>
      </c>
      <c r="AK103" s="7">
        <f t="shared" si="86"/>
        <v>44256</v>
      </c>
      <c r="AL103" s="7">
        <f t="shared" si="86"/>
        <v>44256</v>
      </c>
      <c r="AM103" s="7">
        <f t="shared" si="86"/>
        <v>44256</v>
      </c>
      <c r="AN103" s="7">
        <f t="shared" si="86"/>
        <v>44621</v>
      </c>
      <c r="AO103" s="7">
        <f t="shared" si="86"/>
        <v>44621</v>
      </c>
      <c r="AP103" s="7">
        <f t="shared" si="86"/>
        <v>44621</v>
      </c>
      <c r="AQ103" s="7">
        <f t="shared" si="86"/>
        <v>44621</v>
      </c>
      <c r="AR103" s="7">
        <f t="shared" si="86"/>
        <v>44621</v>
      </c>
      <c r="AS103" s="7">
        <f t="shared" si="86"/>
        <v>44621</v>
      </c>
      <c r="AT103" s="7">
        <f t="shared" si="86"/>
        <v>44621</v>
      </c>
      <c r="AU103" s="7">
        <f t="shared" si="86"/>
        <v>44621</v>
      </c>
      <c r="AV103" s="7">
        <f t="shared" si="86"/>
        <v>44621</v>
      </c>
      <c r="AW103" s="7">
        <f t="shared" si="86"/>
        <v>44621</v>
      </c>
      <c r="AX103" s="7">
        <f t="shared" si="86"/>
        <v>44621</v>
      </c>
      <c r="AY103" s="7">
        <f t="shared" si="86"/>
        <v>44621</v>
      </c>
      <c r="AZ103" s="7">
        <f t="shared" si="86"/>
        <v>44986</v>
      </c>
      <c r="BA103" s="7">
        <f t="shared" si="86"/>
        <v>44986</v>
      </c>
      <c r="BB103" s="7">
        <f t="shared" si="86"/>
        <v>44986</v>
      </c>
      <c r="BC103" s="7">
        <f t="shared" si="86"/>
        <v>44986</v>
      </c>
      <c r="BD103" s="7">
        <f t="shared" si="86"/>
        <v>44986</v>
      </c>
      <c r="BE103" s="7">
        <f t="shared" si="86"/>
        <v>44986</v>
      </c>
      <c r="BF103" s="7">
        <f t="shared" si="86"/>
        <v>44986</v>
      </c>
      <c r="BG103" s="7">
        <f t="shared" si="86"/>
        <v>44986</v>
      </c>
      <c r="BH103" s="7">
        <f t="shared" si="86"/>
        <v>44986</v>
      </c>
      <c r="BI103" s="7">
        <f t="shared" si="86"/>
        <v>44986</v>
      </c>
    </row>
    <row r="104" spans="5:61" x14ac:dyDescent="0.35">
      <c r="E104">
        <f t="shared" si="82"/>
        <v>4</v>
      </c>
      <c r="J104" t="str">
        <f t="shared" si="83"/>
        <v>date</v>
      </c>
      <c r="N104" s="78"/>
      <c r="O104" s="78"/>
      <c r="P104" s="78"/>
      <c r="Q104" s="7">
        <f t="shared" ref="Q104:BI104" si="87">Q46</f>
        <v>43922</v>
      </c>
      <c r="R104" s="7">
        <f t="shared" si="87"/>
        <v>43922</v>
      </c>
      <c r="S104" s="7">
        <f t="shared" si="87"/>
        <v>43922</v>
      </c>
      <c r="T104" s="7">
        <f t="shared" si="87"/>
        <v>43922</v>
      </c>
      <c r="U104" s="7">
        <f t="shared" si="87"/>
        <v>43922</v>
      </c>
      <c r="V104" s="7">
        <f t="shared" si="87"/>
        <v>43922</v>
      </c>
      <c r="W104" s="7">
        <f t="shared" si="87"/>
        <v>43922</v>
      </c>
      <c r="X104" s="7">
        <f t="shared" si="87"/>
        <v>43922</v>
      </c>
      <c r="Y104" s="7">
        <f t="shared" si="87"/>
        <v>43922</v>
      </c>
      <c r="Z104" s="7">
        <f t="shared" si="87"/>
        <v>43922</v>
      </c>
      <c r="AA104" s="7">
        <f t="shared" si="87"/>
        <v>43922</v>
      </c>
      <c r="AB104" s="7">
        <f t="shared" si="87"/>
        <v>43922</v>
      </c>
      <c r="AC104" s="7">
        <f t="shared" si="87"/>
        <v>44287</v>
      </c>
      <c r="AD104" s="7">
        <f t="shared" si="87"/>
        <v>44287</v>
      </c>
      <c r="AE104" s="7">
        <f t="shared" si="87"/>
        <v>44287</v>
      </c>
      <c r="AF104" s="7">
        <f t="shared" si="87"/>
        <v>44287</v>
      </c>
      <c r="AG104" s="7">
        <f t="shared" si="87"/>
        <v>44287</v>
      </c>
      <c r="AH104" s="7">
        <f t="shared" si="87"/>
        <v>44287</v>
      </c>
      <c r="AI104" s="7">
        <f t="shared" si="87"/>
        <v>44287</v>
      </c>
      <c r="AJ104" s="7">
        <f t="shared" si="87"/>
        <v>44287</v>
      </c>
      <c r="AK104" s="7">
        <f t="shared" si="87"/>
        <v>44287</v>
      </c>
      <c r="AL104" s="7">
        <f t="shared" si="87"/>
        <v>44287</v>
      </c>
      <c r="AM104" s="7">
        <f t="shared" si="87"/>
        <v>44287</v>
      </c>
      <c r="AN104" s="7">
        <f t="shared" si="87"/>
        <v>44287</v>
      </c>
      <c r="AO104" s="7">
        <f t="shared" si="87"/>
        <v>44652</v>
      </c>
      <c r="AP104" s="7">
        <f t="shared" si="87"/>
        <v>44652</v>
      </c>
      <c r="AQ104" s="7">
        <f t="shared" si="87"/>
        <v>44652</v>
      </c>
      <c r="AR104" s="7">
        <f t="shared" si="87"/>
        <v>44652</v>
      </c>
      <c r="AS104" s="7">
        <f t="shared" si="87"/>
        <v>44652</v>
      </c>
      <c r="AT104" s="7">
        <f t="shared" si="87"/>
        <v>44652</v>
      </c>
      <c r="AU104" s="7">
        <f t="shared" si="87"/>
        <v>44652</v>
      </c>
      <c r="AV104" s="7">
        <f t="shared" si="87"/>
        <v>44652</v>
      </c>
      <c r="AW104" s="7">
        <f t="shared" si="87"/>
        <v>44652</v>
      </c>
      <c r="AX104" s="7">
        <f t="shared" si="87"/>
        <v>44652</v>
      </c>
      <c r="AY104" s="7">
        <f t="shared" si="87"/>
        <v>44652</v>
      </c>
      <c r="AZ104" s="7">
        <f t="shared" si="87"/>
        <v>44652</v>
      </c>
      <c r="BA104" s="7">
        <f t="shared" si="87"/>
        <v>45017</v>
      </c>
      <c r="BB104" s="7">
        <f t="shared" si="87"/>
        <v>45017</v>
      </c>
      <c r="BC104" s="7">
        <f t="shared" si="87"/>
        <v>45017</v>
      </c>
      <c r="BD104" s="7">
        <f t="shared" si="87"/>
        <v>45017</v>
      </c>
      <c r="BE104" s="7">
        <f t="shared" si="87"/>
        <v>45017</v>
      </c>
      <c r="BF104" s="7">
        <f t="shared" si="87"/>
        <v>45017</v>
      </c>
      <c r="BG104" s="7">
        <f t="shared" si="87"/>
        <v>45017</v>
      </c>
      <c r="BH104" s="7">
        <f t="shared" si="87"/>
        <v>45017</v>
      </c>
      <c r="BI104" s="7">
        <f t="shared" si="87"/>
        <v>45017</v>
      </c>
    </row>
    <row r="105" spans="5:61" x14ac:dyDescent="0.35">
      <c r="E105">
        <f t="shared" si="82"/>
        <v>5</v>
      </c>
      <c r="J105" t="str">
        <f t="shared" si="83"/>
        <v>date</v>
      </c>
      <c r="N105" s="78"/>
      <c r="O105" s="78"/>
      <c r="P105" s="78"/>
      <c r="Q105" s="78"/>
      <c r="R105" s="7">
        <f t="shared" ref="R105:BI105" si="88">R47</f>
        <v>43952</v>
      </c>
      <c r="S105" s="7">
        <f t="shared" si="88"/>
        <v>43952</v>
      </c>
      <c r="T105" s="7">
        <f t="shared" si="88"/>
        <v>43952</v>
      </c>
      <c r="U105" s="7">
        <f t="shared" si="88"/>
        <v>43952</v>
      </c>
      <c r="V105" s="7">
        <f t="shared" si="88"/>
        <v>43952</v>
      </c>
      <c r="W105" s="7">
        <f t="shared" si="88"/>
        <v>43952</v>
      </c>
      <c r="X105" s="7">
        <f t="shared" si="88"/>
        <v>43952</v>
      </c>
      <c r="Y105" s="7">
        <f t="shared" si="88"/>
        <v>43952</v>
      </c>
      <c r="Z105" s="7">
        <f t="shared" si="88"/>
        <v>43952</v>
      </c>
      <c r="AA105" s="7">
        <f t="shared" si="88"/>
        <v>43952</v>
      </c>
      <c r="AB105" s="7">
        <f t="shared" si="88"/>
        <v>43952</v>
      </c>
      <c r="AC105" s="7">
        <f t="shared" si="88"/>
        <v>43952</v>
      </c>
      <c r="AD105" s="7">
        <f t="shared" si="88"/>
        <v>44317</v>
      </c>
      <c r="AE105" s="7">
        <f t="shared" si="88"/>
        <v>44317</v>
      </c>
      <c r="AF105" s="7">
        <f t="shared" si="88"/>
        <v>44317</v>
      </c>
      <c r="AG105" s="7">
        <f t="shared" si="88"/>
        <v>44317</v>
      </c>
      <c r="AH105" s="7">
        <f t="shared" si="88"/>
        <v>44317</v>
      </c>
      <c r="AI105" s="7">
        <f t="shared" si="88"/>
        <v>44317</v>
      </c>
      <c r="AJ105" s="7">
        <f t="shared" si="88"/>
        <v>44317</v>
      </c>
      <c r="AK105" s="7">
        <f t="shared" si="88"/>
        <v>44317</v>
      </c>
      <c r="AL105" s="7">
        <f t="shared" si="88"/>
        <v>44317</v>
      </c>
      <c r="AM105" s="7">
        <f t="shared" si="88"/>
        <v>44317</v>
      </c>
      <c r="AN105" s="7">
        <f t="shared" si="88"/>
        <v>44317</v>
      </c>
      <c r="AO105" s="7">
        <f t="shared" si="88"/>
        <v>44317</v>
      </c>
      <c r="AP105" s="7">
        <f t="shared" si="88"/>
        <v>44682</v>
      </c>
      <c r="AQ105" s="7">
        <f t="shared" si="88"/>
        <v>44682</v>
      </c>
      <c r="AR105" s="7">
        <f t="shared" si="88"/>
        <v>44682</v>
      </c>
      <c r="AS105" s="7">
        <f t="shared" si="88"/>
        <v>44682</v>
      </c>
      <c r="AT105" s="7">
        <f t="shared" si="88"/>
        <v>44682</v>
      </c>
      <c r="AU105" s="7">
        <f t="shared" si="88"/>
        <v>44682</v>
      </c>
      <c r="AV105" s="7">
        <f t="shared" si="88"/>
        <v>44682</v>
      </c>
      <c r="AW105" s="7">
        <f t="shared" si="88"/>
        <v>44682</v>
      </c>
      <c r="AX105" s="7">
        <f t="shared" si="88"/>
        <v>44682</v>
      </c>
      <c r="AY105" s="7">
        <f t="shared" si="88"/>
        <v>44682</v>
      </c>
      <c r="AZ105" s="7">
        <f t="shared" si="88"/>
        <v>44682</v>
      </c>
      <c r="BA105" s="7">
        <f t="shared" si="88"/>
        <v>44682</v>
      </c>
      <c r="BB105" s="7">
        <f t="shared" si="88"/>
        <v>45047</v>
      </c>
      <c r="BC105" s="7">
        <f t="shared" si="88"/>
        <v>45047</v>
      </c>
      <c r="BD105" s="7">
        <f t="shared" si="88"/>
        <v>45047</v>
      </c>
      <c r="BE105" s="7">
        <f t="shared" si="88"/>
        <v>45047</v>
      </c>
      <c r="BF105" s="7">
        <f t="shared" si="88"/>
        <v>45047</v>
      </c>
      <c r="BG105" s="7">
        <f t="shared" si="88"/>
        <v>45047</v>
      </c>
      <c r="BH105" s="7">
        <f t="shared" si="88"/>
        <v>45047</v>
      </c>
      <c r="BI105" s="7">
        <f t="shared" si="88"/>
        <v>45047</v>
      </c>
    </row>
    <row r="106" spans="5:61" x14ac:dyDescent="0.35">
      <c r="E106">
        <f t="shared" si="82"/>
        <v>6</v>
      </c>
      <c r="J106" t="str">
        <f t="shared" si="83"/>
        <v>date</v>
      </c>
      <c r="N106" s="78"/>
      <c r="O106" s="78"/>
      <c r="P106" s="78"/>
      <c r="Q106" s="78"/>
      <c r="R106" s="78"/>
      <c r="S106" s="7">
        <f t="shared" ref="S106:BI106" si="89">S48</f>
        <v>43983</v>
      </c>
      <c r="T106" s="7">
        <f t="shared" si="89"/>
        <v>43983</v>
      </c>
      <c r="U106" s="7">
        <f t="shared" si="89"/>
        <v>43983</v>
      </c>
      <c r="V106" s="7">
        <f t="shared" si="89"/>
        <v>43983</v>
      </c>
      <c r="W106" s="7">
        <f t="shared" si="89"/>
        <v>43983</v>
      </c>
      <c r="X106" s="7">
        <f t="shared" si="89"/>
        <v>43983</v>
      </c>
      <c r="Y106" s="7">
        <f t="shared" si="89"/>
        <v>43983</v>
      </c>
      <c r="Z106" s="7">
        <f t="shared" si="89"/>
        <v>43983</v>
      </c>
      <c r="AA106" s="7">
        <f t="shared" si="89"/>
        <v>43983</v>
      </c>
      <c r="AB106" s="7">
        <f t="shared" si="89"/>
        <v>43983</v>
      </c>
      <c r="AC106" s="7">
        <f t="shared" si="89"/>
        <v>43983</v>
      </c>
      <c r="AD106" s="7">
        <f t="shared" si="89"/>
        <v>43983</v>
      </c>
      <c r="AE106" s="7">
        <f t="shared" si="89"/>
        <v>44348</v>
      </c>
      <c r="AF106" s="7">
        <f t="shared" si="89"/>
        <v>44348</v>
      </c>
      <c r="AG106" s="7">
        <f t="shared" si="89"/>
        <v>44348</v>
      </c>
      <c r="AH106" s="7">
        <f t="shared" si="89"/>
        <v>44348</v>
      </c>
      <c r="AI106" s="7">
        <f t="shared" si="89"/>
        <v>44348</v>
      </c>
      <c r="AJ106" s="7">
        <f t="shared" si="89"/>
        <v>44348</v>
      </c>
      <c r="AK106" s="7">
        <f t="shared" si="89"/>
        <v>44348</v>
      </c>
      <c r="AL106" s="7">
        <f t="shared" si="89"/>
        <v>44348</v>
      </c>
      <c r="AM106" s="7">
        <f t="shared" si="89"/>
        <v>44348</v>
      </c>
      <c r="AN106" s="7">
        <f t="shared" si="89"/>
        <v>44348</v>
      </c>
      <c r="AO106" s="7">
        <f t="shared" si="89"/>
        <v>44348</v>
      </c>
      <c r="AP106" s="7">
        <f t="shared" si="89"/>
        <v>44348</v>
      </c>
      <c r="AQ106" s="7">
        <f t="shared" si="89"/>
        <v>44713</v>
      </c>
      <c r="AR106" s="7">
        <f t="shared" si="89"/>
        <v>44713</v>
      </c>
      <c r="AS106" s="7">
        <f t="shared" si="89"/>
        <v>44713</v>
      </c>
      <c r="AT106" s="7">
        <f t="shared" si="89"/>
        <v>44713</v>
      </c>
      <c r="AU106" s="7">
        <f t="shared" si="89"/>
        <v>44713</v>
      </c>
      <c r="AV106" s="7">
        <f t="shared" si="89"/>
        <v>44713</v>
      </c>
      <c r="AW106" s="7">
        <f t="shared" si="89"/>
        <v>44713</v>
      </c>
      <c r="AX106" s="7">
        <f t="shared" si="89"/>
        <v>44713</v>
      </c>
      <c r="AY106" s="7">
        <f t="shared" si="89"/>
        <v>44713</v>
      </c>
      <c r="AZ106" s="7">
        <f t="shared" si="89"/>
        <v>44713</v>
      </c>
      <c r="BA106" s="7">
        <f t="shared" si="89"/>
        <v>44713</v>
      </c>
      <c r="BB106" s="7">
        <f t="shared" si="89"/>
        <v>44713</v>
      </c>
      <c r="BC106" s="7">
        <f t="shared" si="89"/>
        <v>45078</v>
      </c>
      <c r="BD106" s="7">
        <f t="shared" si="89"/>
        <v>45078</v>
      </c>
      <c r="BE106" s="7">
        <f t="shared" si="89"/>
        <v>45078</v>
      </c>
      <c r="BF106" s="7">
        <f t="shared" si="89"/>
        <v>45078</v>
      </c>
      <c r="BG106" s="7">
        <f t="shared" si="89"/>
        <v>45078</v>
      </c>
      <c r="BH106" s="7">
        <f t="shared" si="89"/>
        <v>45078</v>
      </c>
      <c r="BI106" s="7">
        <f t="shared" si="89"/>
        <v>45078</v>
      </c>
    </row>
    <row r="107" spans="5:61" x14ac:dyDescent="0.35">
      <c r="E107">
        <f t="shared" si="82"/>
        <v>7</v>
      </c>
      <c r="J107" t="str">
        <f t="shared" si="83"/>
        <v>date</v>
      </c>
      <c r="N107" s="78"/>
      <c r="O107" s="78"/>
      <c r="P107" s="78"/>
      <c r="Q107" s="78"/>
      <c r="R107" s="78"/>
      <c r="S107" s="78"/>
      <c r="T107" s="7">
        <f t="shared" ref="T107:BI107" si="90">T49</f>
        <v>44013</v>
      </c>
      <c r="U107" s="7">
        <f t="shared" si="90"/>
        <v>44013</v>
      </c>
      <c r="V107" s="7">
        <f t="shared" si="90"/>
        <v>44013</v>
      </c>
      <c r="W107" s="7">
        <f t="shared" si="90"/>
        <v>44013</v>
      </c>
      <c r="X107" s="7">
        <f t="shared" si="90"/>
        <v>44013</v>
      </c>
      <c r="Y107" s="7">
        <f t="shared" si="90"/>
        <v>44013</v>
      </c>
      <c r="Z107" s="7">
        <f t="shared" si="90"/>
        <v>44013</v>
      </c>
      <c r="AA107" s="7">
        <f t="shared" si="90"/>
        <v>44013</v>
      </c>
      <c r="AB107" s="7">
        <f t="shared" si="90"/>
        <v>44013</v>
      </c>
      <c r="AC107" s="7">
        <f t="shared" si="90"/>
        <v>44013</v>
      </c>
      <c r="AD107" s="7">
        <f t="shared" si="90"/>
        <v>44013</v>
      </c>
      <c r="AE107" s="7">
        <f t="shared" si="90"/>
        <v>44013</v>
      </c>
      <c r="AF107" s="7">
        <f t="shared" si="90"/>
        <v>44378</v>
      </c>
      <c r="AG107" s="7">
        <f t="shared" si="90"/>
        <v>44378</v>
      </c>
      <c r="AH107" s="7">
        <f t="shared" si="90"/>
        <v>44378</v>
      </c>
      <c r="AI107" s="7">
        <f t="shared" si="90"/>
        <v>44378</v>
      </c>
      <c r="AJ107" s="7">
        <f t="shared" si="90"/>
        <v>44378</v>
      </c>
      <c r="AK107" s="7">
        <f t="shared" si="90"/>
        <v>44378</v>
      </c>
      <c r="AL107" s="7">
        <f t="shared" si="90"/>
        <v>44378</v>
      </c>
      <c r="AM107" s="7">
        <f t="shared" si="90"/>
        <v>44378</v>
      </c>
      <c r="AN107" s="7">
        <f t="shared" si="90"/>
        <v>44378</v>
      </c>
      <c r="AO107" s="7">
        <f t="shared" si="90"/>
        <v>44378</v>
      </c>
      <c r="AP107" s="7">
        <f t="shared" si="90"/>
        <v>44378</v>
      </c>
      <c r="AQ107" s="7">
        <f t="shared" si="90"/>
        <v>44378</v>
      </c>
      <c r="AR107" s="7">
        <f t="shared" si="90"/>
        <v>44743</v>
      </c>
      <c r="AS107" s="7">
        <f t="shared" si="90"/>
        <v>44743</v>
      </c>
      <c r="AT107" s="7">
        <f t="shared" si="90"/>
        <v>44743</v>
      </c>
      <c r="AU107" s="7">
        <f t="shared" si="90"/>
        <v>44743</v>
      </c>
      <c r="AV107" s="7">
        <f t="shared" si="90"/>
        <v>44743</v>
      </c>
      <c r="AW107" s="7">
        <f t="shared" si="90"/>
        <v>44743</v>
      </c>
      <c r="AX107" s="7">
        <f t="shared" si="90"/>
        <v>44743</v>
      </c>
      <c r="AY107" s="7">
        <f t="shared" si="90"/>
        <v>44743</v>
      </c>
      <c r="AZ107" s="7">
        <f t="shared" si="90"/>
        <v>44743</v>
      </c>
      <c r="BA107" s="7">
        <f t="shared" si="90"/>
        <v>44743</v>
      </c>
      <c r="BB107" s="7">
        <f t="shared" si="90"/>
        <v>44743</v>
      </c>
      <c r="BC107" s="7">
        <f t="shared" si="90"/>
        <v>44743</v>
      </c>
      <c r="BD107" s="7">
        <f t="shared" si="90"/>
        <v>45108</v>
      </c>
      <c r="BE107" s="7">
        <f t="shared" si="90"/>
        <v>45108</v>
      </c>
      <c r="BF107" s="7">
        <f t="shared" si="90"/>
        <v>45108</v>
      </c>
      <c r="BG107" s="7">
        <f t="shared" si="90"/>
        <v>45108</v>
      </c>
      <c r="BH107" s="7">
        <f t="shared" si="90"/>
        <v>45108</v>
      </c>
      <c r="BI107" s="7">
        <f t="shared" si="90"/>
        <v>45108</v>
      </c>
    </row>
    <row r="108" spans="5:61" x14ac:dyDescent="0.35">
      <c r="E108">
        <f t="shared" si="82"/>
        <v>8</v>
      </c>
      <c r="J108" t="str">
        <f t="shared" si="83"/>
        <v>date</v>
      </c>
      <c r="N108" s="78"/>
      <c r="O108" s="78"/>
      <c r="P108" s="78"/>
      <c r="Q108" s="78"/>
      <c r="R108" s="78"/>
      <c r="S108" s="78"/>
      <c r="T108" s="78"/>
      <c r="U108" s="7">
        <f t="shared" ref="U108:BI108" si="91">U50</f>
        <v>44044</v>
      </c>
      <c r="V108" s="7">
        <f t="shared" si="91"/>
        <v>44044</v>
      </c>
      <c r="W108" s="7">
        <f t="shared" si="91"/>
        <v>44044</v>
      </c>
      <c r="X108" s="7">
        <f t="shared" si="91"/>
        <v>44044</v>
      </c>
      <c r="Y108" s="7">
        <f t="shared" si="91"/>
        <v>44044</v>
      </c>
      <c r="Z108" s="7">
        <f t="shared" si="91"/>
        <v>44044</v>
      </c>
      <c r="AA108" s="7">
        <f t="shared" si="91"/>
        <v>44044</v>
      </c>
      <c r="AB108" s="7">
        <f t="shared" si="91"/>
        <v>44044</v>
      </c>
      <c r="AC108" s="7">
        <f t="shared" si="91"/>
        <v>44044</v>
      </c>
      <c r="AD108" s="7">
        <f t="shared" si="91"/>
        <v>44044</v>
      </c>
      <c r="AE108" s="7">
        <f t="shared" si="91"/>
        <v>44044</v>
      </c>
      <c r="AF108" s="7">
        <f t="shared" si="91"/>
        <v>44044</v>
      </c>
      <c r="AG108" s="7">
        <f t="shared" si="91"/>
        <v>44409</v>
      </c>
      <c r="AH108" s="7">
        <f t="shared" si="91"/>
        <v>44409</v>
      </c>
      <c r="AI108" s="7">
        <f t="shared" si="91"/>
        <v>44409</v>
      </c>
      <c r="AJ108" s="7">
        <f t="shared" si="91"/>
        <v>44409</v>
      </c>
      <c r="AK108" s="7">
        <f t="shared" si="91"/>
        <v>44409</v>
      </c>
      <c r="AL108" s="7">
        <f t="shared" si="91"/>
        <v>44409</v>
      </c>
      <c r="AM108" s="7">
        <f t="shared" si="91"/>
        <v>44409</v>
      </c>
      <c r="AN108" s="7">
        <f t="shared" si="91"/>
        <v>44409</v>
      </c>
      <c r="AO108" s="7">
        <f t="shared" si="91"/>
        <v>44409</v>
      </c>
      <c r="AP108" s="7">
        <f t="shared" si="91"/>
        <v>44409</v>
      </c>
      <c r="AQ108" s="7">
        <f t="shared" si="91"/>
        <v>44409</v>
      </c>
      <c r="AR108" s="7">
        <f t="shared" si="91"/>
        <v>44409</v>
      </c>
      <c r="AS108" s="7">
        <f t="shared" si="91"/>
        <v>44774</v>
      </c>
      <c r="AT108" s="7">
        <f t="shared" si="91"/>
        <v>44774</v>
      </c>
      <c r="AU108" s="7">
        <f t="shared" si="91"/>
        <v>44774</v>
      </c>
      <c r="AV108" s="7">
        <f t="shared" si="91"/>
        <v>44774</v>
      </c>
      <c r="AW108" s="7">
        <f t="shared" si="91"/>
        <v>44774</v>
      </c>
      <c r="AX108" s="7">
        <f t="shared" si="91"/>
        <v>44774</v>
      </c>
      <c r="AY108" s="7">
        <f t="shared" si="91"/>
        <v>44774</v>
      </c>
      <c r="AZ108" s="7">
        <f t="shared" si="91"/>
        <v>44774</v>
      </c>
      <c r="BA108" s="7">
        <f t="shared" si="91"/>
        <v>44774</v>
      </c>
      <c r="BB108" s="7">
        <f t="shared" si="91"/>
        <v>44774</v>
      </c>
      <c r="BC108" s="7">
        <f t="shared" si="91"/>
        <v>44774</v>
      </c>
      <c r="BD108" s="7">
        <f t="shared" si="91"/>
        <v>44774</v>
      </c>
      <c r="BE108" s="7">
        <f t="shared" si="91"/>
        <v>45139</v>
      </c>
      <c r="BF108" s="7">
        <f t="shared" si="91"/>
        <v>45139</v>
      </c>
      <c r="BG108" s="7">
        <f t="shared" si="91"/>
        <v>45139</v>
      </c>
      <c r="BH108" s="7">
        <f t="shared" si="91"/>
        <v>45139</v>
      </c>
      <c r="BI108" s="7">
        <f t="shared" si="91"/>
        <v>45139</v>
      </c>
    </row>
    <row r="109" spans="5:61" x14ac:dyDescent="0.35">
      <c r="E109">
        <f t="shared" si="82"/>
        <v>9</v>
      </c>
      <c r="J109" t="str">
        <f t="shared" si="83"/>
        <v>date</v>
      </c>
      <c r="N109" s="78"/>
      <c r="O109" s="78"/>
      <c r="P109" s="78"/>
      <c r="Q109" s="78"/>
      <c r="R109" s="78"/>
      <c r="S109" s="78"/>
      <c r="T109" s="78"/>
      <c r="U109" s="78"/>
      <c r="V109" s="7">
        <f t="shared" ref="V109:BI109" si="92">V51</f>
        <v>44075</v>
      </c>
      <c r="W109" s="7">
        <f t="shared" si="92"/>
        <v>44075</v>
      </c>
      <c r="X109" s="7">
        <f t="shared" si="92"/>
        <v>44075</v>
      </c>
      <c r="Y109" s="7">
        <f t="shared" si="92"/>
        <v>44075</v>
      </c>
      <c r="Z109" s="7">
        <f t="shared" si="92"/>
        <v>44075</v>
      </c>
      <c r="AA109" s="7">
        <f t="shared" si="92"/>
        <v>44075</v>
      </c>
      <c r="AB109" s="7">
        <f t="shared" si="92"/>
        <v>44075</v>
      </c>
      <c r="AC109" s="7">
        <f t="shared" si="92"/>
        <v>44075</v>
      </c>
      <c r="AD109" s="7">
        <f t="shared" si="92"/>
        <v>44075</v>
      </c>
      <c r="AE109" s="7">
        <f t="shared" si="92"/>
        <v>44075</v>
      </c>
      <c r="AF109" s="7">
        <f t="shared" si="92"/>
        <v>44075</v>
      </c>
      <c r="AG109" s="7">
        <f t="shared" si="92"/>
        <v>44075</v>
      </c>
      <c r="AH109" s="7">
        <f t="shared" si="92"/>
        <v>44440</v>
      </c>
      <c r="AI109" s="7">
        <f t="shared" si="92"/>
        <v>44440</v>
      </c>
      <c r="AJ109" s="7">
        <f t="shared" si="92"/>
        <v>44440</v>
      </c>
      <c r="AK109" s="7">
        <f t="shared" si="92"/>
        <v>44440</v>
      </c>
      <c r="AL109" s="7">
        <f t="shared" si="92"/>
        <v>44440</v>
      </c>
      <c r="AM109" s="7">
        <f t="shared" si="92"/>
        <v>44440</v>
      </c>
      <c r="AN109" s="7">
        <f t="shared" si="92"/>
        <v>44440</v>
      </c>
      <c r="AO109" s="7">
        <f t="shared" si="92"/>
        <v>44440</v>
      </c>
      <c r="AP109" s="7">
        <f t="shared" si="92"/>
        <v>44440</v>
      </c>
      <c r="AQ109" s="7">
        <f t="shared" si="92"/>
        <v>44440</v>
      </c>
      <c r="AR109" s="7">
        <f t="shared" si="92"/>
        <v>44440</v>
      </c>
      <c r="AS109" s="7">
        <f t="shared" si="92"/>
        <v>44440</v>
      </c>
      <c r="AT109" s="7">
        <f t="shared" si="92"/>
        <v>44805</v>
      </c>
      <c r="AU109" s="7">
        <f t="shared" si="92"/>
        <v>44805</v>
      </c>
      <c r="AV109" s="7">
        <f t="shared" si="92"/>
        <v>44805</v>
      </c>
      <c r="AW109" s="7">
        <f t="shared" si="92"/>
        <v>44805</v>
      </c>
      <c r="AX109" s="7">
        <f t="shared" si="92"/>
        <v>44805</v>
      </c>
      <c r="AY109" s="7">
        <f t="shared" si="92"/>
        <v>44805</v>
      </c>
      <c r="AZ109" s="7">
        <f t="shared" si="92"/>
        <v>44805</v>
      </c>
      <c r="BA109" s="7">
        <f t="shared" si="92"/>
        <v>44805</v>
      </c>
      <c r="BB109" s="7">
        <f t="shared" si="92"/>
        <v>44805</v>
      </c>
      <c r="BC109" s="7">
        <f t="shared" si="92"/>
        <v>44805</v>
      </c>
      <c r="BD109" s="7">
        <f t="shared" si="92"/>
        <v>44805</v>
      </c>
      <c r="BE109" s="7">
        <f t="shared" si="92"/>
        <v>44805</v>
      </c>
      <c r="BF109" s="7">
        <f t="shared" si="92"/>
        <v>45170</v>
      </c>
      <c r="BG109" s="7">
        <f t="shared" si="92"/>
        <v>45170</v>
      </c>
      <c r="BH109" s="7">
        <f t="shared" si="92"/>
        <v>45170</v>
      </c>
      <c r="BI109" s="7">
        <f t="shared" si="92"/>
        <v>45170</v>
      </c>
    </row>
    <row r="110" spans="5:61" x14ac:dyDescent="0.35">
      <c r="E110">
        <f t="shared" si="82"/>
        <v>10</v>
      </c>
      <c r="J110" t="str">
        <f t="shared" si="83"/>
        <v>date</v>
      </c>
      <c r="N110" s="78"/>
      <c r="O110" s="78"/>
      <c r="P110" s="78"/>
      <c r="Q110" s="78"/>
      <c r="R110" s="78"/>
      <c r="S110" s="78"/>
      <c r="T110" s="78"/>
      <c r="U110" s="78"/>
      <c r="V110" s="78"/>
      <c r="W110" s="7">
        <f t="shared" ref="W110:BI110" si="93">W52</f>
        <v>44105</v>
      </c>
      <c r="X110" s="7">
        <f t="shared" si="93"/>
        <v>44105</v>
      </c>
      <c r="Y110" s="7">
        <f t="shared" si="93"/>
        <v>44105</v>
      </c>
      <c r="Z110" s="7">
        <f t="shared" si="93"/>
        <v>44105</v>
      </c>
      <c r="AA110" s="7">
        <f t="shared" si="93"/>
        <v>44105</v>
      </c>
      <c r="AB110" s="7">
        <f t="shared" si="93"/>
        <v>44105</v>
      </c>
      <c r="AC110" s="7">
        <f t="shared" si="93"/>
        <v>44105</v>
      </c>
      <c r="AD110" s="7">
        <f t="shared" si="93"/>
        <v>44105</v>
      </c>
      <c r="AE110" s="7">
        <f t="shared" si="93"/>
        <v>44105</v>
      </c>
      <c r="AF110" s="7">
        <f t="shared" si="93"/>
        <v>44105</v>
      </c>
      <c r="AG110" s="7">
        <f t="shared" si="93"/>
        <v>44105</v>
      </c>
      <c r="AH110" s="7">
        <f t="shared" si="93"/>
        <v>44105</v>
      </c>
      <c r="AI110" s="7">
        <f t="shared" si="93"/>
        <v>44470</v>
      </c>
      <c r="AJ110" s="7">
        <f t="shared" si="93"/>
        <v>44470</v>
      </c>
      <c r="AK110" s="7">
        <f t="shared" si="93"/>
        <v>44470</v>
      </c>
      <c r="AL110" s="7">
        <f t="shared" si="93"/>
        <v>44470</v>
      </c>
      <c r="AM110" s="7">
        <f t="shared" si="93"/>
        <v>44470</v>
      </c>
      <c r="AN110" s="7">
        <f t="shared" si="93"/>
        <v>44470</v>
      </c>
      <c r="AO110" s="7">
        <f t="shared" si="93"/>
        <v>44470</v>
      </c>
      <c r="AP110" s="7">
        <f t="shared" si="93"/>
        <v>44470</v>
      </c>
      <c r="AQ110" s="7">
        <f t="shared" si="93"/>
        <v>44470</v>
      </c>
      <c r="AR110" s="7">
        <f t="shared" si="93"/>
        <v>44470</v>
      </c>
      <c r="AS110" s="7">
        <f t="shared" si="93"/>
        <v>44470</v>
      </c>
      <c r="AT110" s="7">
        <f t="shared" si="93"/>
        <v>44470</v>
      </c>
      <c r="AU110" s="7">
        <f t="shared" si="93"/>
        <v>44835</v>
      </c>
      <c r="AV110" s="7">
        <f t="shared" si="93"/>
        <v>44835</v>
      </c>
      <c r="AW110" s="7">
        <f t="shared" si="93"/>
        <v>44835</v>
      </c>
      <c r="AX110" s="7">
        <f t="shared" si="93"/>
        <v>44835</v>
      </c>
      <c r="AY110" s="7">
        <f t="shared" si="93"/>
        <v>44835</v>
      </c>
      <c r="AZ110" s="7">
        <f t="shared" si="93"/>
        <v>44835</v>
      </c>
      <c r="BA110" s="7">
        <f t="shared" si="93"/>
        <v>44835</v>
      </c>
      <c r="BB110" s="7">
        <f t="shared" si="93"/>
        <v>44835</v>
      </c>
      <c r="BC110" s="7">
        <f t="shared" si="93"/>
        <v>44835</v>
      </c>
      <c r="BD110" s="7">
        <f t="shared" si="93"/>
        <v>44835</v>
      </c>
      <c r="BE110" s="7">
        <f t="shared" si="93"/>
        <v>44835</v>
      </c>
      <c r="BF110" s="7">
        <f t="shared" si="93"/>
        <v>44835</v>
      </c>
      <c r="BG110" s="7">
        <f t="shared" si="93"/>
        <v>45200</v>
      </c>
      <c r="BH110" s="7">
        <f t="shared" si="93"/>
        <v>45200</v>
      </c>
      <c r="BI110" s="7">
        <f t="shared" si="93"/>
        <v>45200</v>
      </c>
    </row>
    <row r="111" spans="5:61" x14ac:dyDescent="0.35">
      <c r="E111">
        <f t="shared" si="82"/>
        <v>11</v>
      </c>
      <c r="J111" t="str">
        <f t="shared" si="83"/>
        <v>date</v>
      </c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">
        <f t="shared" ref="X111:BI111" si="94">X53</f>
        <v>44136</v>
      </c>
      <c r="Y111" s="7">
        <f t="shared" si="94"/>
        <v>44136</v>
      </c>
      <c r="Z111" s="7">
        <f t="shared" si="94"/>
        <v>44136</v>
      </c>
      <c r="AA111" s="7">
        <f t="shared" si="94"/>
        <v>44136</v>
      </c>
      <c r="AB111" s="7">
        <f t="shared" si="94"/>
        <v>44136</v>
      </c>
      <c r="AC111" s="7">
        <f t="shared" si="94"/>
        <v>44136</v>
      </c>
      <c r="AD111" s="7">
        <f t="shared" si="94"/>
        <v>44136</v>
      </c>
      <c r="AE111" s="7">
        <f t="shared" si="94"/>
        <v>44136</v>
      </c>
      <c r="AF111" s="7">
        <f t="shared" si="94"/>
        <v>44136</v>
      </c>
      <c r="AG111" s="7">
        <f t="shared" si="94"/>
        <v>44136</v>
      </c>
      <c r="AH111" s="7">
        <f t="shared" si="94"/>
        <v>44136</v>
      </c>
      <c r="AI111" s="7">
        <f t="shared" si="94"/>
        <v>44136</v>
      </c>
      <c r="AJ111" s="7">
        <f t="shared" si="94"/>
        <v>44501</v>
      </c>
      <c r="AK111" s="7">
        <f t="shared" si="94"/>
        <v>44501</v>
      </c>
      <c r="AL111" s="7">
        <f t="shared" si="94"/>
        <v>44501</v>
      </c>
      <c r="AM111" s="7">
        <f t="shared" si="94"/>
        <v>44501</v>
      </c>
      <c r="AN111" s="7">
        <f t="shared" si="94"/>
        <v>44501</v>
      </c>
      <c r="AO111" s="7">
        <f t="shared" si="94"/>
        <v>44501</v>
      </c>
      <c r="AP111" s="7">
        <f t="shared" si="94"/>
        <v>44501</v>
      </c>
      <c r="AQ111" s="7">
        <f t="shared" si="94"/>
        <v>44501</v>
      </c>
      <c r="AR111" s="7">
        <f t="shared" si="94"/>
        <v>44501</v>
      </c>
      <c r="AS111" s="7">
        <f t="shared" si="94"/>
        <v>44501</v>
      </c>
      <c r="AT111" s="7">
        <f t="shared" si="94"/>
        <v>44501</v>
      </c>
      <c r="AU111" s="7">
        <f t="shared" si="94"/>
        <v>44501</v>
      </c>
      <c r="AV111" s="7">
        <f t="shared" si="94"/>
        <v>44866</v>
      </c>
      <c r="AW111" s="7">
        <f t="shared" si="94"/>
        <v>44866</v>
      </c>
      <c r="AX111" s="7">
        <f t="shared" si="94"/>
        <v>44866</v>
      </c>
      <c r="AY111" s="7">
        <f t="shared" si="94"/>
        <v>44866</v>
      </c>
      <c r="AZ111" s="7">
        <f t="shared" si="94"/>
        <v>44866</v>
      </c>
      <c r="BA111" s="7">
        <f t="shared" si="94"/>
        <v>44866</v>
      </c>
      <c r="BB111" s="7">
        <f t="shared" si="94"/>
        <v>44866</v>
      </c>
      <c r="BC111" s="7">
        <f t="shared" si="94"/>
        <v>44866</v>
      </c>
      <c r="BD111" s="7">
        <f t="shared" si="94"/>
        <v>44866</v>
      </c>
      <c r="BE111" s="7">
        <f t="shared" si="94"/>
        <v>44866</v>
      </c>
      <c r="BF111" s="7">
        <f t="shared" si="94"/>
        <v>44866</v>
      </c>
      <c r="BG111" s="7">
        <f t="shared" si="94"/>
        <v>44866</v>
      </c>
      <c r="BH111" s="7">
        <f t="shared" si="94"/>
        <v>45231</v>
      </c>
      <c r="BI111" s="7">
        <f t="shared" si="94"/>
        <v>45231</v>
      </c>
    </row>
    <row r="112" spans="5:61" x14ac:dyDescent="0.35">
      <c r="E112">
        <f t="shared" si="82"/>
        <v>12</v>
      </c>
      <c r="J112" t="str">
        <f t="shared" si="83"/>
        <v>date</v>
      </c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">
        <f t="shared" ref="Y112:BI112" si="95">Y54</f>
        <v>44166</v>
      </c>
      <c r="Z112" s="7">
        <f t="shared" si="95"/>
        <v>44166</v>
      </c>
      <c r="AA112" s="7">
        <f t="shared" si="95"/>
        <v>44166</v>
      </c>
      <c r="AB112" s="7">
        <f t="shared" si="95"/>
        <v>44166</v>
      </c>
      <c r="AC112" s="7">
        <f t="shared" si="95"/>
        <v>44166</v>
      </c>
      <c r="AD112" s="7">
        <f t="shared" si="95"/>
        <v>44166</v>
      </c>
      <c r="AE112" s="7">
        <f t="shared" si="95"/>
        <v>44166</v>
      </c>
      <c r="AF112" s="7">
        <f t="shared" si="95"/>
        <v>44166</v>
      </c>
      <c r="AG112" s="7">
        <f t="shared" si="95"/>
        <v>44166</v>
      </c>
      <c r="AH112" s="7">
        <f t="shared" si="95"/>
        <v>44166</v>
      </c>
      <c r="AI112" s="7">
        <f t="shared" si="95"/>
        <v>44166</v>
      </c>
      <c r="AJ112" s="7">
        <f t="shared" si="95"/>
        <v>44166</v>
      </c>
      <c r="AK112" s="7">
        <f t="shared" si="95"/>
        <v>44531</v>
      </c>
      <c r="AL112" s="7">
        <f t="shared" si="95"/>
        <v>44531</v>
      </c>
      <c r="AM112" s="7">
        <f t="shared" si="95"/>
        <v>44531</v>
      </c>
      <c r="AN112" s="7">
        <f t="shared" si="95"/>
        <v>44531</v>
      </c>
      <c r="AO112" s="7">
        <f t="shared" si="95"/>
        <v>44531</v>
      </c>
      <c r="AP112" s="7">
        <f t="shared" si="95"/>
        <v>44531</v>
      </c>
      <c r="AQ112" s="7">
        <f t="shared" si="95"/>
        <v>44531</v>
      </c>
      <c r="AR112" s="7">
        <f t="shared" si="95"/>
        <v>44531</v>
      </c>
      <c r="AS112" s="7">
        <f t="shared" si="95"/>
        <v>44531</v>
      </c>
      <c r="AT112" s="7">
        <f t="shared" si="95"/>
        <v>44531</v>
      </c>
      <c r="AU112" s="7">
        <f t="shared" si="95"/>
        <v>44531</v>
      </c>
      <c r="AV112" s="7">
        <f t="shared" si="95"/>
        <v>44531</v>
      </c>
      <c r="AW112" s="7">
        <f t="shared" si="95"/>
        <v>44896</v>
      </c>
      <c r="AX112" s="7">
        <f t="shared" si="95"/>
        <v>44896</v>
      </c>
      <c r="AY112" s="7">
        <f t="shared" si="95"/>
        <v>44896</v>
      </c>
      <c r="AZ112" s="7">
        <f t="shared" si="95"/>
        <v>44896</v>
      </c>
      <c r="BA112" s="7">
        <f t="shared" si="95"/>
        <v>44896</v>
      </c>
      <c r="BB112" s="7">
        <f t="shared" si="95"/>
        <v>44896</v>
      </c>
      <c r="BC112" s="7">
        <f t="shared" si="95"/>
        <v>44896</v>
      </c>
      <c r="BD112" s="7">
        <f t="shared" si="95"/>
        <v>44896</v>
      </c>
      <c r="BE112" s="7">
        <f t="shared" si="95"/>
        <v>44896</v>
      </c>
      <c r="BF112" s="7">
        <f t="shared" si="95"/>
        <v>44896</v>
      </c>
      <c r="BG112" s="7">
        <f t="shared" si="95"/>
        <v>44896</v>
      </c>
      <c r="BH112" s="7">
        <f t="shared" si="95"/>
        <v>44896</v>
      </c>
      <c r="BI112" s="7">
        <f t="shared" si="95"/>
        <v>45261</v>
      </c>
    </row>
    <row r="114" spans="5:61" x14ac:dyDescent="0.35">
      <c r="E114">
        <f>E82</f>
        <v>1</v>
      </c>
      <c r="J114" t="str">
        <f>J82</f>
        <v>% des dépôts</v>
      </c>
      <c r="N114" s="13">
        <f t="shared" ref="N114:BI119" si="96">N82</f>
        <v>0.64306616326250143</v>
      </c>
      <c r="O114" s="13">
        <f t="shared" si="96"/>
        <v>0.26572261701163069</v>
      </c>
      <c r="P114" s="13">
        <f t="shared" si="96"/>
        <v>8.2236674430084866E-2</v>
      </c>
      <c r="Q114" s="13">
        <f t="shared" si="96"/>
        <v>8.5941323368218248E-3</v>
      </c>
      <c r="R114" s="13">
        <f t="shared" si="96"/>
        <v>3.7500041505345028E-4</v>
      </c>
      <c r="S114" s="13">
        <f t="shared" si="96"/>
        <v>5.379223459223148E-6</v>
      </c>
      <c r="T114" s="13">
        <f t="shared" si="96"/>
        <v>3.32580307738084E-8</v>
      </c>
      <c r="U114" s="13">
        <f t="shared" si="96"/>
        <v>6.2376659393237333E-11</v>
      </c>
      <c r="V114" s="13">
        <f t="shared" si="96"/>
        <v>4.1078251911130792E-14</v>
      </c>
      <c r="W114" s="13">
        <f t="shared" si="96"/>
        <v>0</v>
      </c>
      <c r="X114" s="13">
        <f t="shared" si="96"/>
        <v>0</v>
      </c>
      <c r="Y114" s="13">
        <f t="shared" si="96"/>
        <v>0</v>
      </c>
      <c r="Z114" s="13">
        <f t="shared" si="96"/>
        <v>0.64306616326250143</v>
      </c>
      <c r="AA114" s="13">
        <f t="shared" si="96"/>
        <v>0.26013335215188826</v>
      </c>
      <c r="AB114" s="13">
        <f t="shared" si="96"/>
        <v>8.6985155956964988E-2</v>
      </c>
      <c r="AC114" s="13">
        <f t="shared" si="96"/>
        <v>9.3862682954485299E-3</v>
      </c>
      <c r="AD114" s="13">
        <f t="shared" si="96"/>
        <v>4.2275248164191925E-4</v>
      </c>
      <c r="AE114" s="13">
        <f t="shared" si="96"/>
        <v>6.267749011690249E-6</v>
      </c>
      <c r="AF114" s="13">
        <f t="shared" si="96"/>
        <v>4.0024854652820352E-8</v>
      </c>
      <c r="AG114" s="13">
        <f t="shared" si="96"/>
        <v>7.7635564643685484E-11</v>
      </c>
      <c r="AH114" s="13">
        <f t="shared" si="96"/>
        <v>5.2957638274619967E-14</v>
      </c>
      <c r="AI114" s="13">
        <f t="shared" si="96"/>
        <v>0</v>
      </c>
      <c r="AJ114" s="13">
        <f t="shared" si="96"/>
        <v>0</v>
      </c>
      <c r="AK114" s="13">
        <f t="shared" si="96"/>
        <v>0</v>
      </c>
      <c r="AL114" s="13">
        <f t="shared" si="96"/>
        <v>0.64306616326250143</v>
      </c>
      <c r="AM114" s="13">
        <f t="shared" si="96"/>
        <v>0.26013335215188826</v>
      </c>
      <c r="AN114" s="13">
        <f t="shared" si="96"/>
        <v>8.6985155956964988E-2</v>
      </c>
      <c r="AO114" s="13">
        <f t="shared" si="96"/>
        <v>9.3862682954485299E-3</v>
      </c>
      <c r="AP114" s="13">
        <f t="shared" si="96"/>
        <v>4.2275248164191925E-4</v>
      </c>
      <c r="AQ114" s="13">
        <f t="shared" si="96"/>
        <v>6.267749011690249E-6</v>
      </c>
      <c r="AR114" s="13">
        <f t="shared" si="96"/>
        <v>4.0024854652820352E-8</v>
      </c>
      <c r="AS114" s="13">
        <f t="shared" si="96"/>
        <v>7.7635564643685484E-11</v>
      </c>
      <c r="AT114" s="13">
        <f t="shared" si="96"/>
        <v>5.2957638274619967E-14</v>
      </c>
      <c r="AU114" s="13">
        <f t="shared" si="96"/>
        <v>0</v>
      </c>
      <c r="AV114" s="13">
        <f t="shared" si="96"/>
        <v>0</v>
      </c>
      <c r="AW114" s="13">
        <f t="shared" si="96"/>
        <v>0</v>
      </c>
      <c r="AX114" s="13">
        <f t="shared" si="96"/>
        <v>0.64306616326250143</v>
      </c>
      <c r="AY114" s="13">
        <f t="shared" si="96"/>
        <v>0.26013335215188826</v>
      </c>
      <c r="AZ114" s="13">
        <f t="shared" si="96"/>
        <v>8.6985155956964988E-2</v>
      </c>
      <c r="BA114" s="13">
        <f t="shared" si="96"/>
        <v>9.3862682954485299E-3</v>
      </c>
      <c r="BB114" s="13">
        <f t="shared" si="96"/>
        <v>4.2275248164191925E-4</v>
      </c>
      <c r="BC114" s="13">
        <f t="shared" si="96"/>
        <v>6.267749011690249E-6</v>
      </c>
      <c r="BD114" s="13">
        <f t="shared" si="96"/>
        <v>4.0024854652820352E-8</v>
      </c>
      <c r="BE114" s="13">
        <f t="shared" si="96"/>
        <v>7.7635564643685484E-11</v>
      </c>
      <c r="BF114" s="13">
        <f t="shared" si="96"/>
        <v>5.2957638274619967E-14</v>
      </c>
      <c r="BG114" s="13">
        <f t="shared" si="96"/>
        <v>0</v>
      </c>
      <c r="BH114" s="13">
        <f t="shared" si="96"/>
        <v>0</v>
      </c>
      <c r="BI114" s="13">
        <f t="shared" si="96"/>
        <v>0</v>
      </c>
    </row>
    <row r="115" spans="5:61" x14ac:dyDescent="0.35">
      <c r="E115">
        <f t="shared" ref="E115:E125" si="97">E83</f>
        <v>2</v>
      </c>
      <c r="J115" t="str">
        <f t="shared" ref="J115:J125" si="98">J83</f>
        <v>% des dépôts</v>
      </c>
      <c r="N115" s="13">
        <f t="shared" si="96"/>
        <v>0</v>
      </c>
      <c r="O115" s="13">
        <f t="shared" si="96"/>
        <v>0.61791142218895267</v>
      </c>
      <c r="P115" s="13">
        <f t="shared" si="96"/>
        <v>0.29087735808517945</v>
      </c>
      <c r="Q115" s="13">
        <f t="shared" si="96"/>
        <v>8.1395891097222561E-2</v>
      </c>
      <c r="R115" s="13">
        <f t="shared" si="96"/>
        <v>9.4349156696841296E-3</v>
      </c>
      <c r="S115" s="13">
        <f t="shared" si="96"/>
        <v>3.7410510740631953E-4</v>
      </c>
      <c r="T115" s="13">
        <f t="shared" si="96"/>
        <v>6.2745311063538978E-6</v>
      </c>
      <c r="U115" s="13">
        <f t="shared" si="96"/>
        <v>3.32580307738084E-8</v>
      </c>
      <c r="V115" s="13">
        <f t="shared" si="96"/>
        <v>6.2364780006873843E-11</v>
      </c>
      <c r="W115" s="13">
        <f t="shared" si="96"/>
        <v>5.2957638274619967E-14</v>
      </c>
      <c r="X115" s="13">
        <f t="shared" si="96"/>
        <v>0</v>
      </c>
      <c r="Y115" s="13">
        <f t="shared" si="96"/>
        <v>0</v>
      </c>
      <c r="Z115" s="13">
        <f t="shared" si="96"/>
        <v>0</v>
      </c>
      <c r="AA115" s="13">
        <f t="shared" si="96"/>
        <v>0.60513708953597489</v>
      </c>
      <c r="AB115" s="13">
        <f t="shared" si="96"/>
        <v>0.29806242587841481</v>
      </c>
      <c r="AC115" s="13">
        <f t="shared" si="96"/>
        <v>8.6076374563934466E-2</v>
      </c>
      <c r="AD115" s="13">
        <f t="shared" si="96"/>
        <v>1.0295049688479052E-2</v>
      </c>
      <c r="AE115" s="13">
        <f t="shared" si="96"/>
        <v>4.217169093598816E-4</v>
      </c>
      <c r="AF115" s="13">
        <f t="shared" si="96"/>
        <v>7.3033212937279046E-6</v>
      </c>
      <c r="AG115" s="13">
        <f t="shared" si="96"/>
        <v>4.0024854652820352E-8</v>
      </c>
      <c r="AH115" s="13">
        <f t="shared" si="96"/>
        <v>7.7620465610550582E-11</v>
      </c>
      <c r="AI115" s="13">
        <f t="shared" si="96"/>
        <v>6.8056671409522096E-14</v>
      </c>
      <c r="AJ115" s="13">
        <f t="shared" si="96"/>
        <v>0</v>
      </c>
      <c r="AK115" s="13">
        <f t="shared" si="96"/>
        <v>0</v>
      </c>
      <c r="AL115" s="13">
        <f t="shared" si="96"/>
        <v>0</v>
      </c>
      <c r="AM115" s="13">
        <f t="shared" si="96"/>
        <v>0.60513708953597489</v>
      </c>
      <c r="AN115" s="13">
        <f t="shared" si="96"/>
        <v>0.29806242587841481</v>
      </c>
      <c r="AO115" s="13">
        <f t="shared" si="96"/>
        <v>8.6076374563934466E-2</v>
      </c>
      <c r="AP115" s="13">
        <f t="shared" si="96"/>
        <v>1.0295049688479052E-2</v>
      </c>
      <c r="AQ115" s="13">
        <f t="shared" si="96"/>
        <v>4.217169093598816E-4</v>
      </c>
      <c r="AR115" s="13">
        <f t="shared" si="96"/>
        <v>7.3033212937279046E-6</v>
      </c>
      <c r="AS115" s="13">
        <f t="shared" si="96"/>
        <v>4.0024854652820352E-8</v>
      </c>
      <c r="AT115" s="13">
        <f t="shared" si="96"/>
        <v>7.7620465610550582E-11</v>
      </c>
      <c r="AU115" s="13">
        <f t="shared" si="96"/>
        <v>6.8056671409522096E-14</v>
      </c>
      <c r="AV115" s="13">
        <f t="shared" si="96"/>
        <v>0</v>
      </c>
      <c r="AW115" s="13">
        <f t="shared" si="96"/>
        <v>0</v>
      </c>
      <c r="AX115" s="13">
        <f t="shared" si="96"/>
        <v>0</v>
      </c>
      <c r="AY115" s="13">
        <f t="shared" si="96"/>
        <v>0.60513708953597489</v>
      </c>
      <c r="AZ115" s="13">
        <f t="shared" si="96"/>
        <v>0.29806242587841481</v>
      </c>
      <c r="BA115" s="13">
        <f t="shared" si="96"/>
        <v>8.6076374563934466E-2</v>
      </c>
      <c r="BB115" s="13">
        <f t="shared" si="96"/>
        <v>1.0295049688479052E-2</v>
      </c>
      <c r="BC115" s="13">
        <f t="shared" si="96"/>
        <v>4.217169093598816E-4</v>
      </c>
      <c r="BD115" s="13">
        <f t="shared" si="96"/>
        <v>7.3033212937279046E-6</v>
      </c>
      <c r="BE115" s="13">
        <f t="shared" si="96"/>
        <v>4.0024854652820352E-8</v>
      </c>
      <c r="BF115" s="13">
        <f t="shared" si="96"/>
        <v>7.7620465610550582E-11</v>
      </c>
      <c r="BG115" s="13">
        <f t="shared" si="96"/>
        <v>6.8056671409522096E-14</v>
      </c>
      <c r="BH115" s="13">
        <f t="shared" si="96"/>
        <v>0</v>
      </c>
      <c r="BI115" s="13">
        <f t="shared" si="96"/>
        <v>0</v>
      </c>
    </row>
    <row r="116" spans="5:61" x14ac:dyDescent="0.35">
      <c r="E116">
        <f t="shared" si="97"/>
        <v>3</v>
      </c>
      <c r="J116" t="str">
        <f t="shared" si="98"/>
        <v>% des dépôts</v>
      </c>
      <c r="N116" s="13">
        <f t="shared" si="96"/>
        <v>0</v>
      </c>
      <c r="O116" s="13">
        <f t="shared" si="96"/>
        <v>0</v>
      </c>
      <c r="P116" s="13">
        <f t="shared" si="96"/>
        <v>0.64306616326250143</v>
      </c>
      <c r="Q116" s="13">
        <f t="shared" si="96"/>
        <v>0.27106893148014266</v>
      </c>
      <c r="R116" s="13">
        <f t="shared" si="96"/>
        <v>7.766736933275975E-2</v>
      </c>
      <c r="S116" s="13">
        <f t="shared" si="96"/>
        <v>7.8606066589193002E-3</v>
      </c>
      <c r="T116" s="13">
        <f t="shared" si="96"/>
        <v>3.3228990364542188E-4</v>
      </c>
      <c r="U116" s="13">
        <f t="shared" si="96"/>
        <v>4.6164331692910565E-6</v>
      </c>
      <c r="V116" s="13">
        <f t="shared" si="96"/>
        <v>2.287876799123012E-8</v>
      </c>
      <c r="W116" s="13">
        <f t="shared" si="96"/>
        <v>5.0062287648700021E-11</v>
      </c>
      <c r="X116" s="13">
        <f t="shared" si="96"/>
        <v>3.1863400806741993E-14</v>
      </c>
      <c r="Y116" s="13">
        <f t="shared" si="96"/>
        <v>0</v>
      </c>
      <c r="Z116" s="13">
        <f t="shared" si="96"/>
        <v>0</v>
      </c>
      <c r="AA116" s="13">
        <f t="shared" si="96"/>
        <v>0</v>
      </c>
      <c r="AB116" s="13">
        <f t="shared" si="96"/>
        <v>0.64306616326250143</v>
      </c>
      <c r="AC116" s="13">
        <f t="shared" si="96"/>
        <v>0.27106893148014266</v>
      </c>
      <c r="AD116" s="13">
        <f t="shared" si="96"/>
        <v>7.766736933275975E-2</v>
      </c>
      <c r="AE116" s="13">
        <f t="shared" si="96"/>
        <v>7.8606066589193002E-3</v>
      </c>
      <c r="AF116" s="13">
        <f t="shared" si="96"/>
        <v>3.3228990364542188E-4</v>
      </c>
      <c r="AG116" s="13">
        <f t="shared" si="96"/>
        <v>4.6164331692910565E-6</v>
      </c>
      <c r="AH116" s="13">
        <f t="shared" si="96"/>
        <v>2.287876799123012E-8</v>
      </c>
      <c r="AI116" s="13">
        <f t="shared" si="96"/>
        <v>5.0062287648700021E-11</v>
      </c>
      <c r="AJ116" s="13">
        <f t="shared" si="96"/>
        <v>3.1863400806741993E-14</v>
      </c>
      <c r="AK116" s="13">
        <f t="shared" si="96"/>
        <v>0</v>
      </c>
      <c r="AL116" s="13">
        <f t="shared" si="96"/>
        <v>0</v>
      </c>
      <c r="AM116" s="13">
        <f t="shared" si="96"/>
        <v>0</v>
      </c>
      <c r="AN116" s="13">
        <f t="shared" si="96"/>
        <v>0.64306616326250143</v>
      </c>
      <c r="AO116" s="13">
        <f t="shared" si="96"/>
        <v>0.27106893148014266</v>
      </c>
      <c r="AP116" s="13">
        <f t="shared" si="96"/>
        <v>7.766736933275975E-2</v>
      </c>
      <c r="AQ116" s="13">
        <f t="shared" si="96"/>
        <v>7.8606066589193002E-3</v>
      </c>
      <c r="AR116" s="13">
        <f t="shared" si="96"/>
        <v>3.3228990364542188E-4</v>
      </c>
      <c r="AS116" s="13">
        <f t="shared" si="96"/>
        <v>4.6164331692910565E-6</v>
      </c>
      <c r="AT116" s="13">
        <f t="shared" si="96"/>
        <v>2.287876799123012E-8</v>
      </c>
      <c r="AU116" s="13">
        <f t="shared" si="96"/>
        <v>5.0062287648700021E-11</v>
      </c>
      <c r="AV116" s="13">
        <f t="shared" si="96"/>
        <v>3.1863400806741993E-14</v>
      </c>
      <c r="AW116" s="13">
        <f t="shared" si="96"/>
        <v>0</v>
      </c>
      <c r="AX116" s="13">
        <f t="shared" si="96"/>
        <v>0</v>
      </c>
      <c r="AY116" s="13">
        <f t="shared" si="96"/>
        <v>0</v>
      </c>
      <c r="AZ116" s="13">
        <f t="shared" si="96"/>
        <v>0.64306616326250143</v>
      </c>
      <c r="BA116" s="13">
        <f t="shared" si="96"/>
        <v>0.27106893148014266</v>
      </c>
      <c r="BB116" s="13">
        <f t="shared" si="96"/>
        <v>7.766736933275975E-2</v>
      </c>
      <c r="BC116" s="13">
        <f t="shared" si="96"/>
        <v>7.8606066589193002E-3</v>
      </c>
      <c r="BD116" s="13">
        <f t="shared" si="96"/>
        <v>3.3228990364542188E-4</v>
      </c>
      <c r="BE116" s="13">
        <f t="shared" si="96"/>
        <v>4.6164331692910565E-6</v>
      </c>
      <c r="BF116" s="13">
        <f t="shared" si="96"/>
        <v>2.287876799123012E-8</v>
      </c>
      <c r="BG116" s="13">
        <f t="shared" si="96"/>
        <v>5.0062287648700021E-11</v>
      </c>
      <c r="BH116" s="13">
        <f t="shared" si="96"/>
        <v>3.1863400806741993E-14</v>
      </c>
      <c r="BI116" s="13">
        <f t="shared" si="96"/>
        <v>0</v>
      </c>
    </row>
    <row r="117" spans="5:61" x14ac:dyDescent="0.35">
      <c r="E117">
        <f t="shared" si="97"/>
        <v>4</v>
      </c>
      <c r="J117" t="str">
        <f t="shared" si="98"/>
        <v>% des dépôts</v>
      </c>
      <c r="N117" s="13">
        <f t="shared" si="96"/>
        <v>0</v>
      </c>
      <c r="O117" s="13">
        <f t="shared" si="96"/>
        <v>0</v>
      </c>
      <c r="P117" s="13">
        <f t="shared" si="96"/>
        <v>0</v>
      </c>
      <c r="Q117" s="13">
        <f t="shared" si="96"/>
        <v>0.63055865981823644</v>
      </c>
      <c r="R117" s="13">
        <f t="shared" si="96"/>
        <v>0.28357643492440765</v>
      </c>
      <c r="S117" s="13">
        <f t="shared" si="96"/>
        <v>7.6890359961572896E-2</v>
      </c>
      <c r="T117" s="13">
        <f t="shared" si="96"/>
        <v>8.6376160301061544E-3</v>
      </c>
      <c r="U117" s="13">
        <f t="shared" si="96"/>
        <v>3.3228990364542188E-4</v>
      </c>
      <c r="V117" s="13">
        <f t="shared" si="96"/>
        <v>4.6117065589657003E-6</v>
      </c>
      <c r="W117" s="13">
        <f t="shared" si="96"/>
        <v>2.7605378316586382E-8</v>
      </c>
      <c r="X117" s="13">
        <f t="shared" si="96"/>
        <v>5.0053072797595632E-11</v>
      </c>
      <c r="Y117" s="13">
        <f t="shared" si="96"/>
        <v>4.1078251911130792E-14</v>
      </c>
      <c r="Z117" s="13">
        <f t="shared" si="96"/>
        <v>0</v>
      </c>
      <c r="AA117" s="13">
        <f t="shared" si="96"/>
        <v>0</v>
      </c>
      <c r="AB117" s="13">
        <f t="shared" si="96"/>
        <v>0</v>
      </c>
      <c r="AC117" s="13">
        <f t="shared" si="96"/>
        <v>0.63055865981823644</v>
      </c>
      <c r="AD117" s="13">
        <f t="shared" si="96"/>
        <v>0.28357643492440765</v>
      </c>
      <c r="AE117" s="13">
        <f t="shared" si="96"/>
        <v>7.6890359961572896E-2</v>
      </c>
      <c r="AF117" s="13">
        <f t="shared" si="96"/>
        <v>8.6376160301061544E-3</v>
      </c>
      <c r="AG117" s="13">
        <f t="shared" si="96"/>
        <v>3.3228990364542188E-4</v>
      </c>
      <c r="AH117" s="13">
        <f t="shared" si="96"/>
        <v>4.6117065589657003E-6</v>
      </c>
      <c r="AI117" s="13">
        <f t="shared" si="96"/>
        <v>2.7605378316586382E-8</v>
      </c>
      <c r="AJ117" s="13">
        <f t="shared" si="96"/>
        <v>5.0053072797595632E-11</v>
      </c>
      <c r="AK117" s="13">
        <f t="shared" si="96"/>
        <v>4.1078251911130792E-14</v>
      </c>
      <c r="AL117" s="13">
        <f t="shared" si="96"/>
        <v>0</v>
      </c>
      <c r="AM117" s="13">
        <f t="shared" si="96"/>
        <v>0</v>
      </c>
      <c r="AN117" s="13">
        <f t="shared" si="96"/>
        <v>0</v>
      </c>
      <c r="AO117" s="13">
        <f t="shared" si="96"/>
        <v>0.63055865981823644</v>
      </c>
      <c r="AP117" s="13">
        <f t="shared" si="96"/>
        <v>0.28357643492440765</v>
      </c>
      <c r="AQ117" s="13">
        <f t="shared" si="96"/>
        <v>7.6890359961572896E-2</v>
      </c>
      <c r="AR117" s="13">
        <f t="shared" si="96"/>
        <v>8.6376160301061544E-3</v>
      </c>
      <c r="AS117" s="13">
        <f t="shared" si="96"/>
        <v>3.3228990364542188E-4</v>
      </c>
      <c r="AT117" s="13">
        <f t="shared" si="96"/>
        <v>4.6117065589657003E-6</v>
      </c>
      <c r="AU117" s="13">
        <f t="shared" si="96"/>
        <v>2.7605378316586382E-8</v>
      </c>
      <c r="AV117" s="13">
        <f t="shared" si="96"/>
        <v>5.0053072797595632E-11</v>
      </c>
      <c r="AW117" s="13">
        <f t="shared" si="96"/>
        <v>4.1078251911130792E-14</v>
      </c>
      <c r="AX117" s="13">
        <f t="shared" si="96"/>
        <v>0</v>
      </c>
      <c r="AY117" s="13">
        <f t="shared" si="96"/>
        <v>0</v>
      </c>
      <c r="AZ117" s="13">
        <f t="shared" si="96"/>
        <v>0</v>
      </c>
      <c r="BA117" s="13">
        <f t="shared" si="96"/>
        <v>0.63055865981823644</v>
      </c>
      <c r="BB117" s="13">
        <f t="shared" si="96"/>
        <v>0.28357643492440765</v>
      </c>
      <c r="BC117" s="13">
        <f t="shared" si="96"/>
        <v>7.6890359961572896E-2</v>
      </c>
      <c r="BD117" s="13">
        <f t="shared" si="96"/>
        <v>8.6376160301061544E-3</v>
      </c>
      <c r="BE117" s="13">
        <f t="shared" si="96"/>
        <v>3.3228990364542188E-4</v>
      </c>
      <c r="BF117" s="13">
        <f t="shared" si="96"/>
        <v>4.6117065589657003E-6</v>
      </c>
      <c r="BG117" s="13">
        <f t="shared" si="96"/>
        <v>2.7605378316586382E-8</v>
      </c>
      <c r="BH117" s="13">
        <f t="shared" si="96"/>
        <v>5.0053072797595632E-11</v>
      </c>
      <c r="BI117" s="13">
        <f t="shared" si="96"/>
        <v>4.1078251911130792E-14</v>
      </c>
    </row>
    <row r="118" spans="5:61" x14ac:dyDescent="0.35">
      <c r="E118">
        <f t="shared" si="97"/>
        <v>5</v>
      </c>
      <c r="J118" t="str">
        <f t="shared" si="98"/>
        <v>% des dépôts</v>
      </c>
      <c r="N118" s="13">
        <f t="shared" si="96"/>
        <v>0</v>
      </c>
      <c r="O118" s="13">
        <f t="shared" si="96"/>
        <v>0</v>
      </c>
      <c r="P118" s="13">
        <f t="shared" si="96"/>
        <v>0</v>
      </c>
      <c r="Q118" s="13">
        <f t="shared" si="96"/>
        <v>0</v>
      </c>
      <c r="R118" s="13">
        <f t="shared" si="96"/>
        <v>0.64306616326250143</v>
      </c>
      <c r="S118" s="13">
        <f t="shared" si="96"/>
        <v>0.27106893148014266</v>
      </c>
      <c r="T118" s="13">
        <f t="shared" si="96"/>
        <v>7.766736933275975E-2</v>
      </c>
      <c r="U118" s="13">
        <f t="shared" si="96"/>
        <v>7.8994316119259667E-3</v>
      </c>
      <c r="V118" s="13">
        <f t="shared" si="96"/>
        <v>2.9346495063875544E-4</v>
      </c>
      <c r="W118" s="13">
        <f t="shared" si="96"/>
        <v>4.6164331692910565E-6</v>
      </c>
      <c r="X118" s="13">
        <f t="shared" si="96"/>
        <v>2.287876799123012E-8</v>
      </c>
      <c r="Y118" s="13">
        <f t="shared" si="96"/>
        <v>5.0062287648700021E-11</v>
      </c>
      <c r="Z118" s="13">
        <f t="shared" si="96"/>
        <v>3.1863400806741993E-14</v>
      </c>
      <c r="AA118" s="13">
        <f t="shared" si="96"/>
        <v>0</v>
      </c>
      <c r="AB118" s="13">
        <f t="shared" si="96"/>
        <v>0</v>
      </c>
      <c r="AC118" s="13">
        <f t="shared" si="96"/>
        <v>0</v>
      </c>
      <c r="AD118" s="13">
        <f t="shared" si="96"/>
        <v>0.64306616326250143</v>
      </c>
      <c r="AE118" s="13">
        <f t="shared" si="96"/>
        <v>0.27106893148014266</v>
      </c>
      <c r="AF118" s="13">
        <f t="shared" si="96"/>
        <v>7.766736933275975E-2</v>
      </c>
      <c r="AG118" s="13">
        <f t="shared" si="96"/>
        <v>7.8994316119259667E-3</v>
      </c>
      <c r="AH118" s="13">
        <f t="shared" si="96"/>
        <v>2.9346495063875544E-4</v>
      </c>
      <c r="AI118" s="13">
        <f t="shared" si="96"/>
        <v>4.6164331692910565E-6</v>
      </c>
      <c r="AJ118" s="13">
        <f t="shared" si="96"/>
        <v>2.287876799123012E-8</v>
      </c>
      <c r="AK118" s="13">
        <f t="shared" si="96"/>
        <v>5.0062287648700021E-11</v>
      </c>
      <c r="AL118" s="13">
        <f t="shared" si="96"/>
        <v>3.1863400806741993E-14</v>
      </c>
      <c r="AM118" s="13">
        <f t="shared" si="96"/>
        <v>0</v>
      </c>
      <c r="AN118" s="13">
        <f t="shared" si="96"/>
        <v>0</v>
      </c>
      <c r="AO118" s="13">
        <f t="shared" si="96"/>
        <v>0</v>
      </c>
      <c r="AP118" s="13">
        <f t="shared" si="96"/>
        <v>0.64306616326250143</v>
      </c>
      <c r="AQ118" s="13">
        <f t="shared" si="96"/>
        <v>0.27106893148014266</v>
      </c>
      <c r="AR118" s="13">
        <f t="shared" si="96"/>
        <v>7.766736933275975E-2</v>
      </c>
      <c r="AS118" s="13">
        <f t="shared" si="96"/>
        <v>7.8994316119259667E-3</v>
      </c>
      <c r="AT118" s="13">
        <f t="shared" si="96"/>
        <v>2.9346495063875544E-4</v>
      </c>
      <c r="AU118" s="13">
        <f t="shared" si="96"/>
        <v>4.6164331692910565E-6</v>
      </c>
      <c r="AV118" s="13">
        <f t="shared" si="96"/>
        <v>2.287876799123012E-8</v>
      </c>
      <c r="AW118" s="13">
        <f t="shared" si="96"/>
        <v>5.0062287648700021E-11</v>
      </c>
      <c r="AX118" s="13">
        <f t="shared" si="96"/>
        <v>3.1863400806741993E-14</v>
      </c>
      <c r="AY118" s="13">
        <f t="shared" si="96"/>
        <v>0</v>
      </c>
      <c r="AZ118" s="13">
        <f t="shared" si="96"/>
        <v>0</v>
      </c>
      <c r="BA118" s="13">
        <f t="shared" si="96"/>
        <v>0</v>
      </c>
      <c r="BB118" s="13">
        <f t="shared" si="96"/>
        <v>0.64306616326250143</v>
      </c>
      <c r="BC118" s="13">
        <f t="shared" si="96"/>
        <v>0.27106893148014266</v>
      </c>
      <c r="BD118" s="13">
        <f t="shared" si="96"/>
        <v>7.766736933275975E-2</v>
      </c>
      <c r="BE118" s="13">
        <f t="shared" si="96"/>
        <v>7.8994316119259667E-3</v>
      </c>
      <c r="BF118" s="13">
        <f t="shared" si="96"/>
        <v>2.9346495063875544E-4</v>
      </c>
      <c r="BG118" s="13">
        <f t="shared" si="96"/>
        <v>4.6164331692910565E-6</v>
      </c>
      <c r="BH118" s="13">
        <f t="shared" si="96"/>
        <v>2.287876799123012E-8</v>
      </c>
      <c r="BI118" s="13">
        <f t="shared" si="96"/>
        <v>5.0062287648700021E-11</v>
      </c>
    </row>
    <row r="119" spans="5:61" x14ac:dyDescent="0.35">
      <c r="E119">
        <f t="shared" si="97"/>
        <v>6</v>
      </c>
      <c r="J119" t="str">
        <f t="shared" si="98"/>
        <v>% des dépôts</v>
      </c>
      <c r="N119" s="13">
        <f t="shared" si="96"/>
        <v>0</v>
      </c>
      <c r="O119" s="13">
        <f t="shared" si="96"/>
        <v>0</v>
      </c>
      <c r="P119" s="13">
        <f t="shared" si="96"/>
        <v>0</v>
      </c>
      <c r="Q119" s="13">
        <f t="shared" si="96"/>
        <v>0</v>
      </c>
      <c r="R119" s="13">
        <f t="shared" si="96"/>
        <v>0</v>
      </c>
      <c r="S119" s="13">
        <f t="shared" si="96"/>
        <v>0.63055865981823644</v>
      </c>
      <c r="T119" s="13">
        <f t="shared" si="96"/>
        <v>0.28357643492440765</v>
      </c>
      <c r="U119" s="13">
        <f t="shared" si="96"/>
        <v>7.766736933275975E-2</v>
      </c>
      <c r="V119" s="13">
        <f t="shared" si="96"/>
        <v>7.8606066589193002E-3</v>
      </c>
      <c r="W119" s="13">
        <f t="shared" si="96"/>
        <v>3.3228990364542188E-4</v>
      </c>
      <c r="X119" s="13">
        <f t="shared" si="96"/>
        <v>4.6117065589657003E-6</v>
      </c>
      <c r="Y119" s="13">
        <f t="shared" si="96"/>
        <v>2.7605378316586382E-8</v>
      </c>
      <c r="Z119" s="13">
        <f t="shared" si="96"/>
        <v>5.0062287648700021E-11</v>
      </c>
      <c r="AA119" s="13">
        <f t="shared" si="96"/>
        <v>3.1863400806741993E-14</v>
      </c>
      <c r="AB119" s="13">
        <f t="shared" si="96"/>
        <v>0</v>
      </c>
      <c r="AC119" s="13">
        <f t="shared" ref="N119:BI125" si="99">AC87</f>
        <v>0</v>
      </c>
      <c r="AD119" s="13">
        <f t="shared" si="99"/>
        <v>0</v>
      </c>
      <c r="AE119" s="13">
        <f t="shared" si="99"/>
        <v>0.63055865981823644</v>
      </c>
      <c r="AF119" s="13">
        <f t="shared" si="99"/>
        <v>0.28357643492440765</v>
      </c>
      <c r="AG119" s="13">
        <f t="shared" si="99"/>
        <v>7.766736933275975E-2</v>
      </c>
      <c r="AH119" s="13">
        <f t="shared" si="99"/>
        <v>7.8606066589193002E-3</v>
      </c>
      <c r="AI119" s="13">
        <f t="shared" si="99"/>
        <v>3.3228990364542188E-4</v>
      </c>
      <c r="AJ119" s="13">
        <f t="shared" si="99"/>
        <v>4.6117065589657003E-6</v>
      </c>
      <c r="AK119" s="13">
        <f t="shared" si="99"/>
        <v>2.7605378316586382E-8</v>
      </c>
      <c r="AL119" s="13">
        <f t="shared" si="99"/>
        <v>5.0062287648700021E-11</v>
      </c>
      <c r="AM119" s="13">
        <f t="shared" si="99"/>
        <v>3.1863400806741993E-14</v>
      </c>
      <c r="AN119" s="13">
        <f t="shared" si="99"/>
        <v>0</v>
      </c>
      <c r="AO119" s="13">
        <f t="shared" si="99"/>
        <v>0</v>
      </c>
      <c r="AP119" s="13">
        <f t="shared" si="99"/>
        <v>0</v>
      </c>
      <c r="AQ119" s="13">
        <f t="shared" si="99"/>
        <v>0.63055865981823644</v>
      </c>
      <c r="AR119" s="13">
        <f t="shared" si="99"/>
        <v>0.28357643492440765</v>
      </c>
      <c r="AS119" s="13">
        <f t="shared" si="99"/>
        <v>7.766736933275975E-2</v>
      </c>
      <c r="AT119" s="13">
        <f t="shared" si="99"/>
        <v>7.8606066589193002E-3</v>
      </c>
      <c r="AU119" s="13">
        <f t="shared" si="99"/>
        <v>3.3228990364542188E-4</v>
      </c>
      <c r="AV119" s="13">
        <f t="shared" si="99"/>
        <v>4.6117065589657003E-6</v>
      </c>
      <c r="AW119" s="13">
        <f t="shared" si="99"/>
        <v>2.7605378316586382E-8</v>
      </c>
      <c r="AX119" s="13">
        <f t="shared" si="99"/>
        <v>5.0062287648700021E-11</v>
      </c>
      <c r="AY119" s="13">
        <f t="shared" si="99"/>
        <v>3.1863400806741993E-14</v>
      </c>
      <c r="AZ119" s="13">
        <f t="shared" si="99"/>
        <v>0</v>
      </c>
      <c r="BA119" s="13">
        <f t="shared" si="99"/>
        <v>0</v>
      </c>
      <c r="BB119" s="13">
        <f t="shared" si="99"/>
        <v>0</v>
      </c>
      <c r="BC119" s="13">
        <f t="shared" si="99"/>
        <v>0.63055865981823644</v>
      </c>
      <c r="BD119" s="13">
        <f t="shared" si="99"/>
        <v>0.28357643492440765</v>
      </c>
      <c r="BE119" s="13">
        <f t="shared" si="99"/>
        <v>7.766736933275975E-2</v>
      </c>
      <c r="BF119" s="13">
        <f t="shared" si="99"/>
        <v>7.8606066589193002E-3</v>
      </c>
      <c r="BG119" s="13">
        <f t="shared" si="99"/>
        <v>3.3228990364542188E-4</v>
      </c>
      <c r="BH119" s="13">
        <f t="shared" si="99"/>
        <v>4.6117065589657003E-6</v>
      </c>
      <c r="BI119" s="13">
        <f t="shared" si="99"/>
        <v>2.7605378316586382E-8</v>
      </c>
    </row>
    <row r="120" spans="5:61" x14ac:dyDescent="0.35">
      <c r="E120">
        <f t="shared" si="97"/>
        <v>7</v>
      </c>
      <c r="J120" t="str">
        <f t="shared" si="98"/>
        <v>% des dépôts</v>
      </c>
      <c r="N120" s="13">
        <f t="shared" si="99"/>
        <v>0</v>
      </c>
      <c r="O120" s="13">
        <f t="shared" si="99"/>
        <v>0</v>
      </c>
      <c r="P120" s="13">
        <f t="shared" si="99"/>
        <v>0</v>
      </c>
      <c r="Q120" s="13">
        <f t="shared" si="99"/>
        <v>0</v>
      </c>
      <c r="R120" s="13">
        <f t="shared" si="99"/>
        <v>0</v>
      </c>
      <c r="S120" s="13">
        <f t="shared" si="99"/>
        <v>0</v>
      </c>
      <c r="T120" s="13">
        <f t="shared" si="99"/>
        <v>0.64306616326250143</v>
      </c>
      <c r="U120" s="13">
        <f t="shared" si="99"/>
        <v>0.2761771775037275</v>
      </c>
      <c r="V120" s="13">
        <f t="shared" si="99"/>
        <v>7.2559123309174911E-2</v>
      </c>
      <c r="W120" s="13">
        <f t="shared" si="99"/>
        <v>7.8994316119259667E-3</v>
      </c>
      <c r="X120" s="13">
        <f t="shared" si="99"/>
        <v>2.9346495063875544E-4</v>
      </c>
      <c r="Y120" s="13">
        <f t="shared" si="99"/>
        <v>4.6164331692910565E-6</v>
      </c>
      <c r="Z120" s="13">
        <f t="shared" si="99"/>
        <v>2.2888702155832163E-8</v>
      </c>
      <c r="AA120" s="13">
        <f t="shared" si="99"/>
        <v>4.0107028809188705E-11</v>
      </c>
      <c r="AB120" s="13">
        <f t="shared" si="99"/>
        <v>5.2957638274619967E-14</v>
      </c>
      <c r="AC120" s="13">
        <f t="shared" si="99"/>
        <v>0</v>
      </c>
      <c r="AD120" s="13">
        <f t="shared" si="99"/>
        <v>0</v>
      </c>
      <c r="AE120" s="13">
        <f t="shared" si="99"/>
        <v>0</v>
      </c>
      <c r="AF120" s="13">
        <f t="shared" si="99"/>
        <v>0.64306616326250143</v>
      </c>
      <c r="AG120" s="13">
        <f t="shared" si="99"/>
        <v>0.2761771775037275</v>
      </c>
      <c r="AH120" s="13">
        <f t="shared" si="99"/>
        <v>7.2559123309174911E-2</v>
      </c>
      <c r="AI120" s="13">
        <f t="shared" si="99"/>
        <v>7.8994316119259667E-3</v>
      </c>
      <c r="AJ120" s="13">
        <f t="shared" si="99"/>
        <v>2.9346495063875544E-4</v>
      </c>
      <c r="AK120" s="13">
        <f t="shared" si="99"/>
        <v>4.6164331692910565E-6</v>
      </c>
      <c r="AL120" s="13">
        <f t="shared" si="99"/>
        <v>2.2888702155832163E-8</v>
      </c>
      <c r="AM120" s="13">
        <f t="shared" si="99"/>
        <v>4.0107028809188705E-11</v>
      </c>
      <c r="AN120" s="13">
        <f t="shared" si="99"/>
        <v>5.2957638274619967E-14</v>
      </c>
      <c r="AO120" s="13">
        <f t="shared" si="99"/>
        <v>0</v>
      </c>
      <c r="AP120" s="13">
        <f t="shared" si="99"/>
        <v>0</v>
      </c>
      <c r="AQ120" s="13">
        <f t="shared" si="99"/>
        <v>0</v>
      </c>
      <c r="AR120" s="13">
        <f t="shared" si="99"/>
        <v>0.64306616326250143</v>
      </c>
      <c r="AS120" s="13">
        <f t="shared" si="99"/>
        <v>0.2761771775037275</v>
      </c>
      <c r="AT120" s="13">
        <f t="shared" si="99"/>
        <v>7.2559123309174911E-2</v>
      </c>
      <c r="AU120" s="13">
        <f t="shared" si="99"/>
        <v>7.8994316119259667E-3</v>
      </c>
      <c r="AV120" s="13">
        <f t="shared" si="99"/>
        <v>2.9346495063875544E-4</v>
      </c>
      <c r="AW120" s="13">
        <f t="shared" si="99"/>
        <v>4.6164331692910565E-6</v>
      </c>
      <c r="AX120" s="13">
        <f t="shared" si="99"/>
        <v>2.2888702155832163E-8</v>
      </c>
      <c r="AY120" s="13">
        <f t="shared" si="99"/>
        <v>4.0107028809188705E-11</v>
      </c>
      <c r="AZ120" s="13">
        <f t="shared" si="99"/>
        <v>5.2957638274619967E-14</v>
      </c>
      <c r="BA120" s="13">
        <f t="shared" si="99"/>
        <v>0</v>
      </c>
      <c r="BB120" s="13">
        <f t="shared" si="99"/>
        <v>0</v>
      </c>
      <c r="BC120" s="13">
        <f t="shared" si="99"/>
        <v>0</v>
      </c>
      <c r="BD120" s="13">
        <f t="shared" si="99"/>
        <v>0.64306616326250143</v>
      </c>
      <c r="BE120" s="13">
        <f t="shared" si="99"/>
        <v>0.2761771775037275</v>
      </c>
      <c r="BF120" s="13">
        <f t="shared" si="99"/>
        <v>7.2559123309174911E-2</v>
      </c>
      <c r="BG120" s="13">
        <f t="shared" si="99"/>
        <v>7.8994316119259667E-3</v>
      </c>
      <c r="BH120" s="13">
        <f t="shared" si="99"/>
        <v>2.9346495063875544E-4</v>
      </c>
      <c r="BI120" s="13">
        <f t="shared" si="99"/>
        <v>4.6164331692910565E-6</v>
      </c>
    </row>
    <row r="121" spans="5:61" x14ac:dyDescent="0.35">
      <c r="E121">
        <f t="shared" si="97"/>
        <v>8</v>
      </c>
      <c r="J121" t="str">
        <f t="shared" si="98"/>
        <v>% des dépôts</v>
      </c>
      <c r="N121" s="13">
        <f t="shared" si="99"/>
        <v>0</v>
      </c>
      <c r="O121" s="13">
        <f t="shared" si="99"/>
        <v>0</v>
      </c>
      <c r="P121" s="13">
        <f t="shared" si="99"/>
        <v>0</v>
      </c>
      <c r="Q121" s="13">
        <f t="shared" si="99"/>
        <v>0</v>
      </c>
      <c r="R121" s="13">
        <f t="shared" si="99"/>
        <v>0</v>
      </c>
      <c r="S121" s="13">
        <f t="shared" si="99"/>
        <v>0</v>
      </c>
      <c r="T121" s="13">
        <f t="shared" si="99"/>
        <v>0</v>
      </c>
      <c r="U121" s="13">
        <f t="shared" si="99"/>
        <v>0.64306616326250143</v>
      </c>
      <c r="V121" s="13">
        <f t="shared" si="99"/>
        <v>0.27106893148014266</v>
      </c>
      <c r="W121" s="13">
        <f t="shared" si="99"/>
        <v>7.766736933275975E-2</v>
      </c>
      <c r="X121" s="13">
        <f t="shared" si="99"/>
        <v>7.8606066589193002E-3</v>
      </c>
      <c r="Y121" s="13">
        <f t="shared" si="99"/>
        <v>3.3228990364542188E-4</v>
      </c>
      <c r="Z121" s="13">
        <f t="shared" si="99"/>
        <v>4.6164331692910565E-6</v>
      </c>
      <c r="AA121" s="13">
        <f t="shared" si="99"/>
        <v>2.2851173619997667E-8</v>
      </c>
      <c r="AB121" s="13">
        <f t="shared" si="99"/>
        <v>7.7635564643685484E-11</v>
      </c>
      <c r="AC121" s="13">
        <f t="shared" si="99"/>
        <v>5.2957638274619967E-14</v>
      </c>
      <c r="AD121" s="13">
        <f t="shared" si="99"/>
        <v>0</v>
      </c>
      <c r="AE121" s="13">
        <f t="shared" si="99"/>
        <v>0</v>
      </c>
      <c r="AF121" s="13">
        <f t="shared" si="99"/>
        <v>0</v>
      </c>
      <c r="AG121" s="13">
        <f t="shared" si="99"/>
        <v>0.64306616326250143</v>
      </c>
      <c r="AH121" s="13">
        <f t="shared" si="99"/>
        <v>0.27106893148014266</v>
      </c>
      <c r="AI121" s="13">
        <f t="shared" si="99"/>
        <v>7.766736933275975E-2</v>
      </c>
      <c r="AJ121" s="13">
        <f t="shared" si="99"/>
        <v>7.8606066589193002E-3</v>
      </c>
      <c r="AK121" s="13">
        <f t="shared" si="99"/>
        <v>3.3228990364542188E-4</v>
      </c>
      <c r="AL121" s="13">
        <f t="shared" si="99"/>
        <v>4.6164331692910565E-6</v>
      </c>
      <c r="AM121" s="13">
        <f t="shared" si="99"/>
        <v>2.2851173619997667E-8</v>
      </c>
      <c r="AN121" s="13">
        <f t="shared" si="99"/>
        <v>7.7635564643685484E-11</v>
      </c>
      <c r="AO121" s="13">
        <f t="shared" si="99"/>
        <v>5.2957638274619967E-14</v>
      </c>
      <c r="AP121" s="13">
        <f t="shared" si="99"/>
        <v>0</v>
      </c>
      <c r="AQ121" s="13">
        <f t="shared" si="99"/>
        <v>0</v>
      </c>
      <c r="AR121" s="13">
        <f t="shared" si="99"/>
        <v>0</v>
      </c>
      <c r="AS121" s="13">
        <f t="shared" si="99"/>
        <v>0.64306616326250143</v>
      </c>
      <c r="AT121" s="13">
        <f t="shared" si="99"/>
        <v>0.27106893148014266</v>
      </c>
      <c r="AU121" s="13">
        <f t="shared" si="99"/>
        <v>7.766736933275975E-2</v>
      </c>
      <c r="AV121" s="13">
        <f t="shared" si="99"/>
        <v>7.8606066589193002E-3</v>
      </c>
      <c r="AW121" s="13">
        <f t="shared" si="99"/>
        <v>3.3228990364542188E-4</v>
      </c>
      <c r="AX121" s="13">
        <f t="shared" si="99"/>
        <v>4.6164331692910565E-6</v>
      </c>
      <c r="AY121" s="13">
        <f t="shared" si="99"/>
        <v>2.2851173619997667E-8</v>
      </c>
      <c r="AZ121" s="13">
        <f t="shared" si="99"/>
        <v>7.7635564643685484E-11</v>
      </c>
      <c r="BA121" s="13">
        <f t="shared" si="99"/>
        <v>5.2957638274619967E-14</v>
      </c>
      <c r="BB121" s="13">
        <f t="shared" si="99"/>
        <v>0</v>
      </c>
      <c r="BC121" s="13">
        <f t="shared" si="99"/>
        <v>0</v>
      </c>
      <c r="BD121" s="13">
        <f t="shared" si="99"/>
        <v>0</v>
      </c>
      <c r="BE121" s="13">
        <f t="shared" si="99"/>
        <v>0.64306616326250143</v>
      </c>
      <c r="BF121" s="13">
        <f t="shared" si="99"/>
        <v>0.27106893148014266</v>
      </c>
      <c r="BG121" s="13">
        <f t="shared" si="99"/>
        <v>7.766736933275975E-2</v>
      </c>
      <c r="BH121" s="13">
        <f t="shared" si="99"/>
        <v>7.8606066589193002E-3</v>
      </c>
      <c r="BI121" s="13">
        <f t="shared" si="99"/>
        <v>3.3228990364542188E-4</v>
      </c>
    </row>
    <row r="122" spans="5:61" x14ac:dyDescent="0.35">
      <c r="E122">
        <f t="shared" si="97"/>
        <v>9</v>
      </c>
      <c r="J122" t="str">
        <f t="shared" si="98"/>
        <v>% des dépôts</v>
      </c>
      <c r="N122" s="13">
        <f t="shared" si="99"/>
        <v>0</v>
      </c>
      <c r="O122" s="13">
        <f t="shared" si="99"/>
        <v>0</v>
      </c>
      <c r="P122" s="13">
        <f t="shared" si="99"/>
        <v>0</v>
      </c>
      <c r="Q122" s="13">
        <f t="shared" si="99"/>
        <v>0</v>
      </c>
      <c r="R122" s="13">
        <f t="shared" si="99"/>
        <v>0</v>
      </c>
      <c r="S122" s="13">
        <f t="shared" si="99"/>
        <v>0</v>
      </c>
      <c r="T122" s="13">
        <f t="shared" si="99"/>
        <v>0</v>
      </c>
      <c r="U122" s="13">
        <f t="shared" si="99"/>
        <v>0</v>
      </c>
      <c r="V122" s="13">
        <f t="shared" si="99"/>
        <v>0.63055865981823644</v>
      </c>
      <c r="W122" s="13">
        <f t="shared" si="99"/>
        <v>0.28357643492440765</v>
      </c>
      <c r="X122" s="13">
        <f t="shared" si="99"/>
        <v>7.6890359961572896E-2</v>
      </c>
      <c r="Y122" s="13">
        <f t="shared" si="99"/>
        <v>8.6376160301061544E-3</v>
      </c>
      <c r="Z122" s="13">
        <f t="shared" si="99"/>
        <v>3.3228990364542188E-4</v>
      </c>
      <c r="AA122" s="13">
        <f t="shared" si="99"/>
        <v>4.5992594882582338E-6</v>
      </c>
      <c r="AB122" s="13">
        <f t="shared" si="99"/>
        <v>4.0024854652820352E-8</v>
      </c>
      <c r="AC122" s="13">
        <f t="shared" si="99"/>
        <v>7.7620465610550582E-11</v>
      </c>
      <c r="AD122" s="13">
        <f t="shared" si="99"/>
        <v>6.8056671409522096E-14</v>
      </c>
      <c r="AE122" s="13">
        <f t="shared" si="99"/>
        <v>0</v>
      </c>
      <c r="AF122" s="13">
        <f t="shared" si="99"/>
        <v>0</v>
      </c>
      <c r="AG122" s="13">
        <f t="shared" si="99"/>
        <v>0</v>
      </c>
      <c r="AH122" s="13">
        <f t="shared" si="99"/>
        <v>0.63055865981823644</v>
      </c>
      <c r="AI122" s="13">
        <f t="shared" si="99"/>
        <v>0.28357643492440765</v>
      </c>
      <c r="AJ122" s="13">
        <f t="shared" si="99"/>
        <v>7.6890359961572896E-2</v>
      </c>
      <c r="AK122" s="13">
        <f t="shared" si="99"/>
        <v>8.6376160301061544E-3</v>
      </c>
      <c r="AL122" s="13">
        <f t="shared" si="99"/>
        <v>3.3228990364542188E-4</v>
      </c>
      <c r="AM122" s="13">
        <f t="shared" si="99"/>
        <v>4.5992594882582338E-6</v>
      </c>
      <c r="AN122" s="13">
        <f t="shared" si="99"/>
        <v>4.0024854652820352E-8</v>
      </c>
      <c r="AO122" s="13">
        <f t="shared" si="99"/>
        <v>7.7620465610550582E-11</v>
      </c>
      <c r="AP122" s="13">
        <f t="shared" si="99"/>
        <v>6.8056671409522096E-14</v>
      </c>
      <c r="AQ122" s="13">
        <f t="shared" si="99"/>
        <v>0</v>
      </c>
      <c r="AR122" s="13">
        <f t="shared" si="99"/>
        <v>0</v>
      </c>
      <c r="AS122" s="13">
        <f t="shared" si="99"/>
        <v>0</v>
      </c>
      <c r="AT122" s="13">
        <f t="shared" si="99"/>
        <v>0.63055865981823644</v>
      </c>
      <c r="AU122" s="13">
        <f t="shared" si="99"/>
        <v>0.28357643492440765</v>
      </c>
      <c r="AV122" s="13">
        <f t="shared" si="99"/>
        <v>7.6890359961572896E-2</v>
      </c>
      <c r="AW122" s="13">
        <f t="shared" si="99"/>
        <v>8.6376160301061544E-3</v>
      </c>
      <c r="AX122" s="13">
        <f t="shared" si="99"/>
        <v>3.3228990364542188E-4</v>
      </c>
      <c r="AY122" s="13">
        <f t="shared" si="99"/>
        <v>4.5992594882582338E-6</v>
      </c>
      <c r="AZ122" s="13">
        <f t="shared" si="99"/>
        <v>4.0024854652820352E-8</v>
      </c>
      <c r="BA122" s="13">
        <f t="shared" si="99"/>
        <v>7.7620465610550582E-11</v>
      </c>
      <c r="BB122" s="13">
        <f t="shared" si="99"/>
        <v>6.8056671409522096E-14</v>
      </c>
      <c r="BC122" s="13">
        <f t="shared" si="99"/>
        <v>0</v>
      </c>
      <c r="BD122" s="13">
        <f t="shared" si="99"/>
        <v>0</v>
      </c>
      <c r="BE122" s="13">
        <f t="shared" si="99"/>
        <v>0</v>
      </c>
      <c r="BF122" s="13">
        <f t="shared" si="99"/>
        <v>0.63055865981823644</v>
      </c>
      <c r="BG122" s="13">
        <f t="shared" si="99"/>
        <v>0.28357643492440765</v>
      </c>
      <c r="BH122" s="13">
        <f t="shared" si="99"/>
        <v>7.6890359961572896E-2</v>
      </c>
      <c r="BI122" s="13">
        <f t="shared" si="99"/>
        <v>8.6376160301061544E-3</v>
      </c>
    </row>
    <row r="123" spans="5:61" x14ac:dyDescent="0.35">
      <c r="E123">
        <f>E91</f>
        <v>10</v>
      </c>
      <c r="J123" t="str">
        <f>J91</f>
        <v>% des dépôts</v>
      </c>
      <c r="N123" s="13">
        <f t="shared" ref="N123:BI123" si="100">N91</f>
        <v>0</v>
      </c>
      <c r="O123" s="13">
        <f t="shared" si="100"/>
        <v>0</v>
      </c>
      <c r="P123" s="13">
        <f t="shared" si="100"/>
        <v>0</v>
      </c>
      <c r="Q123" s="13">
        <f t="shared" si="100"/>
        <v>0</v>
      </c>
      <c r="R123" s="13">
        <f t="shared" si="100"/>
        <v>0</v>
      </c>
      <c r="S123" s="13">
        <f t="shared" si="100"/>
        <v>0</v>
      </c>
      <c r="T123" s="13">
        <f t="shared" si="100"/>
        <v>0</v>
      </c>
      <c r="U123" s="13">
        <f t="shared" si="100"/>
        <v>0</v>
      </c>
      <c r="V123" s="13">
        <f t="shared" si="100"/>
        <v>0</v>
      </c>
      <c r="W123" s="13">
        <f t="shared" si="100"/>
        <v>0.64306616326250143</v>
      </c>
      <c r="X123" s="13">
        <f t="shared" si="100"/>
        <v>0.27106893148014266</v>
      </c>
      <c r="Y123" s="13">
        <f t="shared" si="100"/>
        <v>7.766736933275975E-2</v>
      </c>
      <c r="Z123" s="13">
        <f t="shared" si="100"/>
        <v>7.8994316119259667E-3</v>
      </c>
      <c r="AA123" s="13">
        <f t="shared" si="100"/>
        <v>2.9179646111532342E-4</v>
      </c>
      <c r="AB123" s="13">
        <f t="shared" si="100"/>
        <v>6.2745311063538978E-6</v>
      </c>
      <c r="AC123" s="13">
        <f t="shared" si="100"/>
        <v>3.3242759989171589E-8</v>
      </c>
      <c r="AD123" s="13">
        <f t="shared" si="100"/>
        <v>7.7635564643685484E-11</v>
      </c>
      <c r="AE123" s="13">
        <f t="shared" si="100"/>
        <v>5.2957638274619967E-14</v>
      </c>
      <c r="AF123" s="13">
        <f t="shared" si="100"/>
        <v>0</v>
      </c>
      <c r="AG123" s="13">
        <f t="shared" si="100"/>
        <v>0</v>
      </c>
      <c r="AH123" s="13">
        <f t="shared" si="100"/>
        <v>0</v>
      </c>
      <c r="AI123" s="13">
        <f t="shared" si="100"/>
        <v>0.64306616326250143</v>
      </c>
      <c r="AJ123" s="13">
        <f t="shared" si="100"/>
        <v>0.27106893148014266</v>
      </c>
      <c r="AK123" s="13">
        <f t="shared" si="100"/>
        <v>7.766736933275975E-2</v>
      </c>
      <c r="AL123" s="13">
        <f t="shared" si="100"/>
        <v>7.8994316119259667E-3</v>
      </c>
      <c r="AM123" s="13">
        <f t="shared" si="100"/>
        <v>2.9179646111532342E-4</v>
      </c>
      <c r="AN123" s="13">
        <f t="shared" si="100"/>
        <v>6.2745311063538978E-6</v>
      </c>
      <c r="AO123" s="13">
        <f t="shared" si="100"/>
        <v>3.3242759989171589E-8</v>
      </c>
      <c r="AP123" s="13">
        <f t="shared" si="100"/>
        <v>7.7635564643685484E-11</v>
      </c>
      <c r="AQ123" s="13">
        <f t="shared" si="100"/>
        <v>5.2957638274619967E-14</v>
      </c>
      <c r="AR123" s="13">
        <f t="shared" si="100"/>
        <v>0</v>
      </c>
      <c r="AS123" s="13">
        <f t="shared" si="100"/>
        <v>0</v>
      </c>
      <c r="AT123" s="13">
        <f t="shared" si="100"/>
        <v>0</v>
      </c>
      <c r="AU123" s="13">
        <f t="shared" si="100"/>
        <v>0.64306616326250143</v>
      </c>
      <c r="AV123" s="13">
        <f t="shared" si="100"/>
        <v>0.27106893148014266</v>
      </c>
      <c r="AW123" s="13">
        <f t="shared" si="100"/>
        <v>7.766736933275975E-2</v>
      </c>
      <c r="AX123" s="13">
        <f t="shared" si="100"/>
        <v>7.8994316119259667E-3</v>
      </c>
      <c r="AY123" s="13">
        <f t="shared" si="100"/>
        <v>2.9179646111532342E-4</v>
      </c>
      <c r="AZ123" s="13">
        <f t="shared" si="100"/>
        <v>6.2745311063538978E-6</v>
      </c>
      <c r="BA123" s="13">
        <f t="shared" si="100"/>
        <v>3.3242759989171589E-8</v>
      </c>
      <c r="BB123" s="13">
        <f t="shared" si="100"/>
        <v>7.7635564643685484E-11</v>
      </c>
      <c r="BC123" s="13">
        <f t="shared" si="100"/>
        <v>5.2957638274619967E-14</v>
      </c>
      <c r="BD123" s="13">
        <f t="shared" si="100"/>
        <v>0</v>
      </c>
      <c r="BE123" s="13">
        <f t="shared" si="100"/>
        <v>0</v>
      </c>
      <c r="BF123" s="13">
        <f t="shared" si="100"/>
        <v>0</v>
      </c>
      <c r="BG123" s="13">
        <f t="shared" si="100"/>
        <v>0.64306616326250143</v>
      </c>
      <c r="BH123" s="13">
        <f t="shared" si="100"/>
        <v>0.27106893148014266</v>
      </c>
      <c r="BI123" s="13">
        <f t="shared" si="100"/>
        <v>7.766736933275975E-2</v>
      </c>
    </row>
    <row r="124" spans="5:61" x14ac:dyDescent="0.35">
      <c r="E124">
        <f t="shared" si="97"/>
        <v>11</v>
      </c>
      <c r="J124" t="str">
        <f t="shared" si="98"/>
        <v>% des dépôts</v>
      </c>
      <c r="N124" s="13">
        <f t="shared" si="99"/>
        <v>0</v>
      </c>
      <c r="O124" s="13">
        <f t="shared" si="99"/>
        <v>0</v>
      </c>
      <c r="P124" s="13">
        <f t="shared" si="99"/>
        <v>0</v>
      </c>
      <c r="Q124" s="13">
        <f t="shared" si="99"/>
        <v>0</v>
      </c>
      <c r="R124" s="13">
        <f t="shared" si="99"/>
        <v>0</v>
      </c>
      <c r="S124" s="13">
        <f t="shared" si="99"/>
        <v>0</v>
      </c>
      <c r="T124" s="13">
        <f t="shared" si="99"/>
        <v>0</v>
      </c>
      <c r="U124" s="13">
        <f t="shared" si="99"/>
        <v>0</v>
      </c>
      <c r="V124" s="13">
        <f t="shared" si="99"/>
        <v>0</v>
      </c>
      <c r="W124" s="13">
        <f t="shared" si="99"/>
        <v>0</v>
      </c>
      <c r="X124" s="13">
        <f t="shared" si="99"/>
        <v>0.63055865981823644</v>
      </c>
      <c r="Y124" s="13">
        <f t="shared" si="99"/>
        <v>0.28357643492440765</v>
      </c>
      <c r="Z124" s="13">
        <f t="shared" si="99"/>
        <v>7.766736933275975E-2</v>
      </c>
      <c r="AA124" s="13">
        <f t="shared" si="99"/>
        <v>7.7684755913993708E-3</v>
      </c>
      <c r="AB124" s="13">
        <f t="shared" si="99"/>
        <v>4.2275248164191925E-4</v>
      </c>
      <c r="AC124" s="13">
        <f t="shared" si="99"/>
        <v>6.267749011690249E-6</v>
      </c>
      <c r="AD124" s="13">
        <f t="shared" si="99"/>
        <v>4.0024854652820352E-8</v>
      </c>
      <c r="AE124" s="13">
        <f t="shared" si="99"/>
        <v>7.7620465610550582E-11</v>
      </c>
      <c r="AF124" s="13">
        <f t="shared" si="99"/>
        <v>6.8056671409522096E-14</v>
      </c>
      <c r="AG124" s="13">
        <f t="shared" si="99"/>
        <v>0</v>
      </c>
      <c r="AH124" s="13">
        <f t="shared" si="99"/>
        <v>0</v>
      </c>
      <c r="AI124" s="13">
        <f t="shared" si="99"/>
        <v>0</v>
      </c>
      <c r="AJ124" s="13">
        <f t="shared" si="99"/>
        <v>0.63055865981823644</v>
      </c>
      <c r="AK124" s="13">
        <f t="shared" si="99"/>
        <v>0.28357643492440765</v>
      </c>
      <c r="AL124" s="13">
        <f t="shared" si="99"/>
        <v>7.766736933275975E-2</v>
      </c>
      <c r="AM124" s="13">
        <f t="shared" si="99"/>
        <v>7.7684755913993708E-3</v>
      </c>
      <c r="AN124" s="13">
        <f t="shared" si="99"/>
        <v>4.2275248164191925E-4</v>
      </c>
      <c r="AO124" s="13">
        <f t="shared" si="99"/>
        <v>6.267749011690249E-6</v>
      </c>
      <c r="AP124" s="13">
        <f t="shared" si="99"/>
        <v>4.0024854652820352E-8</v>
      </c>
      <c r="AQ124" s="13">
        <f t="shared" si="99"/>
        <v>7.7620465610550582E-11</v>
      </c>
      <c r="AR124" s="13">
        <f t="shared" si="99"/>
        <v>6.8056671409522096E-14</v>
      </c>
      <c r="AS124" s="13">
        <f t="shared" si="99"/>
        <v>0</v>
      </c>
      <c r="AT124" s="13">
        <f t="shared" si="99"/>
        <v>0</v>
      </c>
      <c r="AU124" s="13">
        <f t="shared" si="99"/>
        <v>0</v>
      </c>
      <c r="AV124" s="13">
        <f t="shared" si="99"/>
        <v>0.63055865981823644</v>
      </c>
      <c r="AW124" s="13">
        <f t="shared" si="99"/>
        <v>0.28357643492440765</v>
      </c>
      <c r="AX124" s="13">
        <f t="shared" si="99"/>
        <v>7.766736933275975E-2</v>
      </c>
      <c r="AY124" s="13">
        <f t="shared" si="99"/>
        <v>7.7684755913993708E-3</v>
      </c>
      <c r="AZ124" s="13">
        <f t="shared" si="99"/>
        <v>4.2275248164191925E-4</v>
      </c>
      <c r="BA124" s="13">
        <f t="shared" si="99"/>
        <v>6.267749011690249E-6</v>
      </c>
      <c r="BB124" s="13">
        <f t="shared" si="99"/>
        <v>4.0024854652820352E-8</v>
      </c>
      <c r="BC124" s="13">
        <f t="shared" si="99"/>
        <v>7.7620465610550582E-11</v>
      </c>
      <c r="BD124" s="13">
        <f t="shared" si="99"/>
        <v>6.8056671409522096E-14</v>
      </c>
      <c r="BE124" s="13">
        <f t="shared" si="99"/>
        <v>0</v>
      </c>
      <c r="BF124" s="13">
        <f t="shared" si="99"/>
        <v>0</v>
      </c>
      <c r="BG124" s="13">
        <f t="shared" si="99"/>
        <v>0</v>
      </c>
      <c r="BH124" s="13">
        <f t="shared" si="99"/>
        <v>0.63055865981823644</v>
      </c>
      <c r="BI124" s="13">
        <f t="shared" si="99"/>
        <v>0.28357643492440765</v>
      </c>
    </row>
    <row r="125" spans="5:61" x14ac:dyDescent="0.35">
      <c r="E125">
        <f t="shared" si="97"/>
        <v>12</v>
      </c>
      <c r="J125" t="str">
        <f t="shared" si="98"/>
        <v>% des dépôts</v>
      </c>
      <c r="N125" s="13">
        <f t="shared" si="99"/>
        <v>0</v>
      </c>
      <c r="O125" s="13">
        <f t="shared" si="99"/>
        <v>0</v>
      </c>
      <c r="P125" s="13">
        <f t="shared" si="99"/>
        <v>0</v>
      </c>
      <c r="Q125" s="13">
        <f t="shared" si="99"/>
        <v>0</v>
      </c>
      <c r="R125" s="13">
        <f t="shared" si="99"/>
        <v>0</v>
      </c>
      <c r="S125" s="13">
        <f t="shared" si="99"/>
        <v>0</v>
      </c>
      <c r="T125" s="13">
        <f t="shared" si="99"/>
        <v>0</v>
      </c>
      <c r="U125" s="13">
        <f t="shared" si="99"/>
        <v>0</v>
      </c>
      <c r="V125" s="13">
        <f t="shared" si="99"/>
        <v>0</v>
      </c>
      <c r="W125" s="13">
        <f t="shared" si="99"/>
        <v>0</v>
      </c>
      <c r="X125" s="13">
        <f t="shared" si="99"/>
        <v>0</v>
      </c>
      <c r="Y125" s="13">
        <f t="shared" si="99"/>
        <v>0.64306616326250143</v>
      </c>
      <c r="Z125" s="13">
        <f t="shared" si="99"/>
        <v>0.2761771775037275</v>
      </c>
      <c r="AA125" s="13">
        <f t="shared" si="99"/>
        <v>7.0941330605125752E-2</v>
      </c>
      <c r="AB125" s="13">
        <f t="shared" si="99"/>
        <v>9.4349156696841296E-3</v>
      </c>
      <c r="AC125" s="13">
        <f t="shared" si="99"/>
        <v>3.7410510740631953E-4</v>
      </c>
      <c r="AD125" s="13">
        <f t="shared" si="99"/>
        <v>6.2745311063538978E-6</v>
      </c>
      <c r="AE125" s="13">
        <f t="shared" si="99"/>
        <v>3.3242759989171589E-8</v>
      </c>
      <c r="AF125" s="13">
        <f t="shared" si="99"/>
        <v>7.7635564643685484E-11</v>
      </c>
      <c r="AG125" s="13">
        <f t="shared" si="99"/>
        <v>5.2957638274619967E-14</v>
      </c>
      <c r="AH125" s="13">
        <f t="shared" si="99"/>
        <v>0</v>
      </c>
      <c r="AI125" s="13">
        <f t="shared" si="99"/>
        <v>0</v>
      </c>
      <c r="AJ125" s="13">
        <f t="shared" si="99"/>
        <v>0</v>
      </c>
      <c r="AK125" s="13">
        <f t="shared" si="99"/>
        <v>0.64306616326250143</v>
      </c>
      <c r="AL125" s="13">
        <f t="shared" si="99"/>
        <v>0.2761771775037275</v>
      </c>
      <c r="AM125" s="13">
        <f t="shared" si="99"/>
        <v>7.0941330605125752E-2</v>
      </c>
      <c r="AN125" s="13">
        <f t="shared" si="99"/>
        <v>9.4349156696841296E-3</v>
      </c>
      <c r="AO125" s="13">
        <f t="shared" si="99"/>
        <v>3.7410510740631953E-4</v>
      </c>
      <c r="AP125" s="13">
        <f t="shared" si="99"/>
        <v>6.2745311063538978E-6</v>
      </c>
      <c r="AQ125" s="13">
        <f t="shared" si="99"/>
        <v>3.3242759989171589E-8</v>
      </c>
      <c r="AR125" s="13">
        <f t="shared" ref="AR125:BI125" si="101">AR93</f>
        <v>7.7635564643685484E-11</v>
      </c>
      <c r="AS125" s="13">
        <f t="shared" si="101"/>
        <v>5.2957638274619967E-14</v>
      </c>
      <c r="AT125" s="13">
        <f t="shared" si="101"/>
        <v>0</v>
      </c>
      <c r="AU125" s="13">
        <f t="shared" si="101"/>
        <v>0</v>
      </c>
      <c r="AV125" s="13">
        <f t="shared" si="101"/>
        <v>0</v>
      </c>
      <c r="AW125" s="13">
        <f t="shared" si="101"/>
        <v>0.64306616326250143</v>
      </c>
      <c r="AX125" s="13">
        <f t="shared" si="101"/>
        <v>0.2761771775037275</v>
      </c>
      <c r="AY125" s="13">
        <f t="shared" si="101"/>
        <v>7.0941330605125752E-2</v>
      </c>
      <c r="AZ125" s="13">
        <f t="shared" si="101"/>
        <v>9.4349156696841296E-3</v>
      </c>
      <c r="BA125" s="13">
        <f t="shared" si="101"/>
        <v>3.7410510740631953E-4</v>
      </c>
      <c r="BB125" s="13">
        <f t="shared" si="101"/>
        <v>6.2745311063538978E-6</v>
      </c>
      <c r="BC125" s="13">
        <f t="shared" si="101"/>
        <v>3.3242759989171589E-8</v>
      </c>
      <c r="BD125" s="13">
        <f t="shared" si="101"/>
        <v>7.7635564643685484E-11</v>
      </c>
      <c r="BE125" s="13">
        <f t="shared" si="101"/>
        <v>5.2957638274619967E-14</v>
      </c>
      <c r="BF125" s="13">
        <f t="shared" si="101"/>
        <v>0</v>
      </c>
      <c r="BG125" s="13">
        <f t="shared" si="101"/>
        <v>0</v>
      </c>
      <c r="BH125" s="13">
        <f t="shared" si="101"/>
        <v>0</v>
      </c>
      <c r="BI125" s="13">
        <f t="shared" si="101"/>
        <v>0.64306616326250143</v>
      </c>
    </row>
    <row r="127" spans="5:61" x14ac:dyDescent="0.35">
      <c r="E127">
        <v>1</v>
      </c>
      <c r="J127" t="s">
        <v>50</v>
      </c>
      <c r="N127" s="41">
        <f t="shared" ref="N127:BI127" si="102">IFERROR(INDEX($N$99:$BI$99,1,MATCH(N101,$N$98:$BI$98,0)),0)</f>
        <v>6320</v>
      </c>
      <c r="O127" s="41">
        <f t="shared" si="102"/>
        <v>6320</v>
      </c>
      <c r="P127" s="41">
        <f t="shared" si="102"/>
        <v>6320</v>
      </c>
      <c r="Q127" s="41">
        <f t="shared" si="102"/>
        <v>6320</v>
      </c>
      <c r="R127" s="41">
        <f t="shared" si="102"/>
        <v>6320</v>
      </c>
      <c r="S127" s="41">
        <f t="shared" si="102"/>
        <v>6320</v>
      </c>
      <c r="T127" s="41">
        <f t="shared" si="102"/>
        <v>6320</v>
      </c>
      <c r="U127" s="41">
        <f t="shared" si="102"/>
        <v>6320</v>
      </c>
      <c r="V127" s="41">
        <f t="shared" si="102"/>
        <v>6320</v>
      </c>
      <c r="W127" s="41">
        <f t="shared" si="102"/>
        <v>6320</v>
      </c>
      <c r="X127" s="41">
        <f t="shared" si="102"/>
        <v>6320</v>
      </c>
      <c r="Y127" s="41">
        <f t="shared" si="102"/>
        <v>6320</v>
      </c>
      <c r="Z127" s="41">
        <f t="shared" si="102"/>
        <v>52269</v>
      </c>
      <c r="AA127" s="41">
        <f t="shared" si="102"/>
        <v>52269</v>
      </c>
      <c r="AB127" s="41">
        <f t="shared" si="102"/>
        <v>52269</v>
      </c>
      <c r="AC127" s="41">
        <f t="shared" si="102"/>
        <v>52269</v>
      </c>
      <c r="AD127" s="41">
        <f t="shared" si="102"/>
        <v>52269</v>
      </c>
      <c r="AE127" s="41">
        <f t="shared" si="102"/>
        <v>52269</v>
      </c>
      <c r="AF127" s="41">
        <f t="shared" si="102"/>
        <v>52269</v>
      </c>
      <c r="AG127" s="41">
        <f t="shared" si="102"/>
        <v>52269</v>
      </c>
      <c r="AH127" s="41">
        <f t="shared" si="102"/>
        <v>52269</v>
      </c>
      <c r="AI127" s="41">
        <f t="shared" si="102"/>
        <v>52269</v>
      </c>
      <c r="AJ127" s="41">
        <f t="shared" si="102"/>
        <v>52269</v>
      </c>
      <c r="AK127" s="41">
        <f t="shared" si="102"/>
        <v>52269</v>
      </c>
      <c r="AL127" s="41">
        <f t="shared" si="102"/>
        <v>69086.403111506734</v>
      </c>
      <c r="AM127" s="41">
        <f t="shared" si="102"/>
        <v>69086.403111506734</v>
      </c>
      <c r="AN127" s="41">
        <f t="shared" si="102"/>
        <v>69086.403111506734</v>
      </c>
      <c r="AO127" s="41">
        <f t="shared" si="102"/>
        <v>69086.403111506734</v>
      </c>
      <c r="AP127" s="41">
        <f t="shared" si="102"/>
        <v>69086.403111506734</v>
      </c>
      <c r="AQ127" s="41">
        <f t="shared" si="102"/>
        <v>69086.403111506734</v>
      </c>
      <c r="AR127" s="41">
        <f t="shared" si="102"/>
        <v>69086.403111506734</v>
      </c>
      <c r="AS127" s="41">
        <f t="shared" si="102"/>
        <v>69086.403111506734</v>
      </c>
      <c r="AT127" s="41">
        <f t="shared" si="102"/>
        <v>69086.403111506734</v>
      </c>
      <c r="AU127" s="41">
        <f t="shared" si="102"/>
        <v>69086.403111506734</v>
      </c>
      <c r="AV127" s="41">
        <f t="shared" si="102"/>
        <v>69086.403111506734</v>
      </c>
      <c r="AW127" s="41">
        <f t="shared" si="102"/>
        <v>69086.403111506734</v>
      </c>
      <c r="AX127" s="41">
        <f t="shared" si="102"/>
        <v>75995.043422657429</v>
      </c>
      <c r="AY127" s="41">
        <f t="shared" si="102"/>
        <v>75995.043422657429</v>
      </c>
      <c r="AZ127" s="41">
        <f t="shared" si="102"/>
        <v>75995.043422657429</v>
      </c>
      <c r="BA127" s="41">
        <f t="shared" si="102"/>
        <v>75995.043422657429</v>
      </c>
      <c r="BB127" s="41">
        <f t="shared" si="102"/>
        <v>75995.043422657429</v>
      </c>
      <c r="BC127" s="41">
        <f t="shared" si="102"/>
        <v>75995.043422657429</v>
      </c>
      <c r="BD127" s="41">
        <f t="shared" si="102"/>
        <v>75995.043422657429</v>
      </c>
      <c r="BE127" s="41">
        <f t="shared" si="102"/>
        <v>75995.043422657429</v>
      </c>
      <c r="BF127" s="41">
        <f t="shared" si="102"/>
        <v>75995.043422657429</v>
      </c>
      <c r="BG127" s="41">
        <f t="shared" si="102"/>
        <v>75995.043422657429</v>
      </c>
      <c r="BH127" s="41">
        <f t="shared" si="102"/>
        <v>75995.043422657429</v>
      </c>
      <c r="BI127" s="41">
        <f t="shared" si="102"/>
        <v>75995.043422657429</v>
      </c>
    </row>
    <row r="128" spans="5:61" x14ac:dyDescent="0.35">
      <c r="E128">
        <v>2</v>
      </c>
      <c r="J128" t="s">
        <v>50</v>
      </c>
      <c r="N128" s="41">
        <f t="shared" ref="N128:BI128" si="103">IFERROR(INDEX($N$99:$BI$99,1,MATCH(N102,$N$98:$BI$98,0)),0)</f>
        <v>0</v>
      </c>
      <c r="O128" s="41">
        <f t="shared" si="103"/>
        <v>11443</v>
      </c>
      <c r="P128" s="41">
        <f t="shared" si="103"/>
        <v>11443</v>
      </c>
      <c r="Q128" s="41">
        <f t="shared" si="103"/>
        <v>11443</v>
      </c>
      <c r="R128" s="41">
        <f t="shared" si="103"/>
        <v>11443</v>
      </c>
      <c r="S128" s="41">
        <f t="shared" si="103"/>
        <v>11443</v>
      </c>
      <c r="T128" s="41">
        <f t="shared" si="103"/>
        <v>11443</v>
      </c>
      <c r="U128" s="41">
        <f t="shared" si="103"/>
        <v>11443</v>
      </c>
      <c r="V128" s="41">
        <f t="shared" si="103"/>
        <v>11443</v>
      </c>
      <c r="W128" s="41">
        <f t="shared" si="103"/>
        <v>11443</v>
      </c>
      <c r="X128" s="41">
        <f t="shared" si="103"/>
        <v>11443</v>
      </c>
      <c r="Y128" s="41">
        <f t="shared" si="103"/>
        <v>11443</v>
      </c>
      <c r="Z128" s="41">
        <f t="shared" si="103"/>
        <v>11443</v>
      </c>
      <c r="AA128" s="41">
        <f t="shared" si="103"/>
        <v>57486</v>
      </c>
      <c r="AB128" s="41">
        <f t="shared" si="103"/>
        <v>57486</v>
      </c>
      <c r="AC128" s="41">
        <f t="shared" si="103"/>
        <v>57486</v>
      </c>
      <c r="AD128" s="41">
        <f t="shared" si="103"/>
        <v>57486</v>
      </c>
      <c r="AE128" s="41">
        <f t="shared" si="103"/>
        <v>57486</v>
      </c>
      <c r="AF128" s="41">
        <f t="shared" si="103"/>
        <v>57486</v>
      </c>
      <c r="AG128" s="41">
        <f t="shared" si="103"/>
        <v>57486</v>
      </c>
      <c r="AH128" s="41">
        <f t="shared" si="103"/>
        <v>57486</v>
      </c>
      <c r="AI128" s="41">
        <f t="shared" si="103"/>
        <v>57486</v>
      </c>
      <c r="AJ128" s="41">
        <f t="shared" si="103"/>
        <v>57486</v>
      </c>
      <c r="AK128" s="41">
        <f t="shared" si="103"/>
        <v>57486</v>
      </c>
      <c r="AL128" s="41">
        <f t="shared" si="103"/>
        <v>57486</v>
      </c>
      <c r="AM128" s="41">
        <f t="shared" si="103"/>
        <v>77214.215242272243</v>
      </c>
      <c r="AN128" s="41">
        <f t="shared" si="103"/>
        <v>77214.215242272243</v>
      </c>
      <c r="AO128" s="41">
        <f t="shared" si="103"/>
        <v>77214.215242272243</v>
      </c>
      <c r="AP128" s="41">
        <f t="shared" si="103"/>
        <v>77214.215242272243</v>
      </c>
      <c r="AQ128" s="41">
        <f t="shared" si="103"/>
        <v>77214.215242272243</v>
      </c>
      <c r="AR128" s="41">
        <f t="shared" si="103"/>
        <v>77214.215242272243</v>
      </c>
      <c r="AS128" s="41">
        <f t="shared" si="103"/>
        <v>77214.215242272243</v>
      </c>
      <c r="AT128" s="41">
        <f t="shared" si="103"/>
        <v>77214.215242272243</v>
      </c>
      <c r="AU128" s="41">
        <f t="shared" si="103"/>
        <v>77214.215242272243</v>
      </c>
      <c r="AV128" s="41">
        <f t="shared" si="103"/>
        <v>77214.215242272243</v>
      </c>
      <c r="AW128" s="41">
        <f t="shared" si="103"/>
        <v>77214.215242272243</v>
      </c>
      <c r="AX128" s="41">
        <f t="shared" si="103"/>
        <v>77214.215242272243</v>
      </c>
      <c r="AY128" s="41">
        <f t="shared" si="103"/>
        <v>84935.636766499476</v>
      </c>
      <c r="AZ128" s="41">
        <f t="shared" si="103"/>
        <v>84935.636766499476</v>
      </c>
      <c r="BA128" s="41">
        <f t="shared" si="103"/>
        <v>84935.636766499476</v>
      </c>
      <c r="BB128" s="41">
        <f t="shared" si="103"/>
        <v>84935.636766499476</v>
      </c>
      <c r="BC128" s="41">
        <f t="shared" si="103"/>
        <v>84935.636766499476</v>
      </c>
      <c r="BD128" s="41">
        <f t="shared" si="103"/>
        <v>84935.636766499476</v>
      </c>
      <c r="BE128" s="41">
        <f t="shared" si="103"/>
        <v>84935.636766499476</v>
      </c>
      <c r="BF128" s="41">
        <f t="shared" si="103"/>
        <v>84935.636766499476</v>
      </c>
      <c r="BG128" s="41">
        <f t="shared" si="103"/>
        <v>84935.636766499476</v>
      </c>
      <c r="BH128" s="41">
        <f t="shared" si="103"/>
        <v>84935.636766499476</v>
      </c>
      <c r="BI128" s="41">
        <f t="shared" si="103"/>
        <v>84935.636766499476</v>
      </c>
    </row>
    <row r="129" spans="4:61" x14ac:dyDescent="0.35">
      <c r="E129">
        <v>3</v>
      </c>
      <c r="J129" t="s">
        <v>50</v>
      </c>
      <c r="N129" s="41">
        <f t="shared" ref="N129:BI129" si="104">IFERROR(INDEX($N$99:$BI$99,1,MATCH(N103,$N$98:$BI$98,0)),0)</f>
        <v>0</v>
      </c>
      <c r="O129" s="41">
        <f t="shared" si="104"/>
        <v>0</v>
      </c>
      <c r="P129" s="41">
        <f t="shared" si="104"/>
        <v>9961</v>
      </c>
      <c r="Q129" s="41">
        <f t="shared" si="104"/>
        <v>9961</v>
      </c>
      <c r="R129" s="41">
        <f t="shared" si="104"/>
        <v>9961</v>
      </c>
      <c r="S129" s="41">
        <f t="shared" si="104"/>
        <v>9961</v>
      </c>
      <c r="T129" s="41">
        <f t="shared" si="104"/>
        <v>9961</v>
      </c>
      <c r="U129" s="41">
        <f t="shared" si="104"/>
        <v>9961</v>
      </c>
      <c r="V129" s="41">
        <f t="shared" si="104"/>
        <v>9961</v>
      </c>
      <c r="W129" s="41">
        <f t="shared" si="104"/>
        <v>9961</v>
      </c>
      <c r="X129" s="41">
        <f t="shared" si="104"/>
        <v>9961</v>
      </c>
      <c r="Y129" s="41">
        <f t="shared" si="104"/>
        <v>9961</v>
      </c>
      <c r="Z129" s="41">
        <f t="shared" si="104"/>
        <v>9961</v>
      </c>
      <c r="AA129" s="41">
        <f t="shared" si="104"/>
        <v>9961</v>
      </c>
      <c r="AB129" s="41">
        <f t="shared" si="104"/>
        <v>67267</v>
      </c>
      <c r="AC129" s="41">
        <f t="shared" si="104"/>
        <v>67267</v>
      </c>
      <c r="AD129" s="41">
        <f t="shared" si="104"/>
        <v>67267</v>
      </c>
      <c r="AE129" s="41">
        <f t="shared" si="104"/>
        <v>67267</v>
      </c>
      <c r="AF129" s="41">
        <f t="shared" si="104"/>
        <v>67267</v>
      </c>
      <c r="AG129" s="41">
        <f t="shared" si="104"/>
        <v>67267</v>
      </c>
      <c r="AH129" s="41">
        <f t="shared" si="104"/>
        <v>67267</v>
      </c>
      <c r="AI129" s="41">
        <f t="shared" si="104"/>
        <v>67267</v>
      </c>
      <c r="AJ129" s="41">
        <f t="shared" si="104"/>
        <v>67267</v>
      </c>
      <c r="AK129" s="41">
        <f t="shared" si="104"/>
        <v>67267</v>
      </c>
      <c r="AL129" s="41">
        <f t="shared" si="104"/>
        <v>67267</v>
      </c>
      <c r="AM129" s="41">
        <f t="shared" si="104"/>
        <v>67267</v>
      </c>
      <c r="AN129" s="41">
        <f t="shared" si="104"/>
        <v>81278.12130765499</v>
      </c>
      <c r="AO129" s="41">
        <f t="shared" si="104"/>
        <v>81278.12130765499</v>
      </c>
      <c r="AP129" s="41">
        <f t="shared" si="104"/>
        <v>81278.12130765499</v>
      </c>
      <c r="AQ129" s="41">
        <f t="shared" si="104"/>
        <v>81278.12130765499</v>
      </c>
      <c r="AR129" s="41">
        <f t="shared" si="104"/>
        <v>81278.12130765499</v>
      </c>
      <c r="AS129" s="41">
        <f t="shared" si="104"/>
        <v>81278.12130765499</v>
      </c>
      <c r="AT129" s="41">
        <f t="shared" si="104"/>
        <v>81278.12130765499</v>
      </c>
      <c r="AU129" s="41">
        <f t="shared" si="104"/>
        <v>81278.12130765499</v>
      </c>
      <c r="AV129" s="41">
        <f t="shared" si="104"/>
        <v>81278.12130765499</v>
      </c>
      <c r="AW129" s="41">
        <f t="shared" si="104"/>
        <v>81278.12130765499</v>
      </c>
      <c r="AX129" s="41">
        <f t="shared" si="104"/>
        <v>81278.12130765499</v>
      </c>
      <c r="AY129" s="41">
        <f t="shared" si="104"/>
        <v>81278.12130765499</v>
      </c>
      <c r="AZ129" s="41">
        <f t="shared" si="104"/>
        <v>89405.933438420499</v>
      </c>
      <c r="BA129" s="41">
        <f t="shared" si="104"/>
        <v>89405.933438420499</v>
      </c>
      <c r="BB129" s="41">
        <f t="shared" si="104"/>
        <v>89405.933438420499</v>
      </c>
      <c r="BC129" s="41">
        <f t="shared" si="104"/>
        <v>89405.933438420499</v>
      </c>
      <c r="BD129" s="41">
        <f t="shared" si="104"/>
        <v>89405.933438420499</v>
      </c>
      <c r="BE129" s="41">
        <f t="shared" si="104"/>
        <v>89405.933438420499</v>
      </c>
      <c r="BF129" s="41">
        <f t="shared" si="104"/>
        <v>89405.933438420499</v>
      </c>
      <c r="BG129" s="41">
        <f t="shared" si="104"/>
        <v>89405.933438420499</v>
      </c>
      <c r="BH129" s="41">
        <f t="shared" si="104"/>
        <v>89405.933438420499</v>
      </c>
      <c r="BI129" s="41">
        <f t="shared" si="104"/>
        <v>89405.933438420499</v>
      </c>
    </row>
    <row r="130" spans="4:61" x14ac:dyDescent="0.35">
      <c r="E130">
        <v>4</v>
      </c>
      <c r="J130" t="s">
        <v>50</v>
      </c>
      <c r="N130" s="41">
        <f t="shared" ref="N130:BI130" si="105">IFERROR(INDEX($N$99:$BI$99,1,MATCH(N104,$N$98:$BI$98,0)),0)</f>
        <v>0</v>
      </c>
      <c r="O130" s="41">
        <f t="shared" si="105"/>
        <v>0</v>
      </c>
      <c r="P130" s="41">
        <f t="shared" si="105"/>
        <v>0</v>
      </c>
      <c r="Q130" s="41">
        <f t="shared" si="105"/>
        <v>5157</v>
      </c>
      <c r="R130" s="41">
        <f t="shared" si="105"/>
        <v>5157</v>
      </c>
      <c r="S130" s="41">
        <f t="shared" si="105"/>
        <v>5157</v>
      </c>
      <c r="T130" s="41">
        <f t="shared" si="105"/>
        <v>5157</v>
      </c>
      <c r="U130" s="41">
        <f t="shared" si="105"/>
        <v>5157</v>
      </c>
      <c r="V130" s="41">
        <f t="shared" si="105"/>
        <v>5157</v>
      </c>
      <c r="W130" s="41">
        <f t="shared" si="105"/>
        <v>5157</v>
      </c>
      <c r="X130" s="41">
        <f t="shared" si="105"/>
        <v>5157</v>
      </c>
      <c r="Y130" s="41">
        <f t="shared" si="105"/>
        <v>5157</v>
      </c>
      <c r="Z130" s="41">
        <f t="shared" si="105"/>
        <v>5157</v>
      </c>
      <c r="AA130" s="41">
        <f t="shared" si="105"/>
        <v>5157</v>
      </c>
      <c r="AB130" s="41">
        <f t="shared" si="105"/>
        <v>5157</v>
      </c>
      <c r="AC130" s="41">
        <f t="shared" si="105"/>
        <v>68625</v>
      </c>
      <c r="AD130" s="41">
        <f t="shared" si="105"/>
        <v>68625</v>
      </c>
      <c r="AE130" s="41">
        <f t="shared" si="105"/>
        <v>68625</v>
      </c>
      <c r="AF130" s="41">
        <f t="shared" si="105"/>
        <v>68625</v>
      </c>
      <c r="AG130" s="41">
        <f t="shared" si="105"/>
        <v>68625</v>
      </c>
      <c r="AH130" s="41">
        <f t="shared" si="105"/>
        <v>68625</v>
      </c>
      <c r="AI130" s="41">
        <f t="shared" si="105"/>
        <v>68625</v>
      </c>
      <c r="AJ130" s="41">
        <f t="shared" si="105"/>
        <v>68625</v>
      </c>
      <c r="AK130" s="41">
        <f t="shared" si="105"/>
        <v>68625</v>
      </c>
      <c r="AL130" s="41">
        <f t="shared" si="105"/>
        <v>68625</v>
      </c>
      <c r="AM130" s="41">
        <f t="shared" si="105"/>
        <v>68625</v>
      </c>
      <c r="AN130" s="41">
        <f t="shared" si="105"/>
        <v>68625</v>
      </c>
      <c r="AO130" s="41">
        <f t="shared" si="105"/>
        <v>81278.12130765499</v>
      </c>
      <c r="AP130" s="41">
        <f t="shared" si="105"/>
        <v>81278.12130765499</v>
      </c>
      <c r="AQ130" s="41">
        <f t="shared" si="105"/>
        <v>81278.12130765499</v>
      </c>
      <c r="AR130" s="41">
        <f t="shared" si="105"/>
        <v>81278.12130765499</v>
      </c>
      <c r="AS130" s="41">
        <f t="shared" si="105"/>
        <v>81278.12130765499</v>
      </c>
      <c r="AT130" s="41">
        <f t="shared" si="105"/>
        <v>81278.12130765499</v>
      </c>
      <c r="AU130" s="41">
        <f t="shared" si="105"/>
        <v>81278.12130765499</v>
      </c>
      <c r="AV130" s="41">
        <f t="shared" si="105"/>
        <v>81278.12130765499</v>
      </c>
      <c r="AW130" s="41">
        <f t="shared" si="105"/>
        <v>81278.12130765499</v>
      </c>
      <c r="AX130" s="41">
        <f t="shared" si="105"/>
        <v>81278.12130765499</v>
      </c>
      <c r="AY130" s="41">
        <f t="shared" si="105"/>
        <v>81278.12130765499</v>
      </c>
      <c r="AZ130" s="41">
        <f t="shared" si="105"/>
        <v>81278.12130765499</v>
      </c>
      <c r="BA130" s="41">
        <f t="shared" si="105"/>
        <v>89405.933438420499</v>
      </c>
      <c r="BB130" s="41">
        <f t="shared" si="105"/>
        <v>89405.933438420499</v>
      </c>
      <c r="BC130" s="41">
        <f t="shared" si="105"/>
        <v>89405.933438420499</v>
      </c>
      <c r="BD130" s="41">
        <f t="shared" si="105"/>
        <v>89405.933438420499</v>
      </c>
      <c r="BE130" s="41">
        <f t="shared" si="105"/>
        <v>89405.933438420499</v>
      </c>
      <c r="BF130" s="41">
        <f t="shared" si="105"/>
        <v>89405.933438420499</v>
      </c>
      <c r="BG130" s="41">
        <f t="shared" si="105"/>
        <v>89405.933438420499</v>
      </c>
      <c r="BH130" s="41">
        <f t="shared" si="105"/>
        <v>89405.933438420499</v>
      </c>
      <c r="BI130" s="41">
        <f t="shared" si="105"/>
        <v>89405.933438420499</v>
      </c>
    </row>
    <row r="131" spans="4:61" x14ac:dyDescent="0.35">
      <c r="E131">
        <v>5</v>
      </c>
      <c r="J131" t="s">
        <v>50</v>
      </c>
      <c r="N131" s="41">
        <f t="shared" ref="N131:BI131" si="106">IFERROR(INDEX($N$99:$BI$99,1,MATCH(N105,$N$98:$BI$98,0)),0)</f>
        <v>0</v>
      </c>
      <c r="O131" s="41">
        <f t="shared" si="106"/>
        <v>0</v>
      </c>
      <c r="P131" s="41">
        <f t="shared" si="106"/>
        <v>0</v>
      </c>
      <c r="Q131" s="41">
        <f t="shared" si="106"/>
        <v>0</v>
      </c>
      <c r="R131" s="41">
        <f t="shared" si="106"/>
        <v>7758</v>
      </c>
      <c r="S131" s="41">
        <f t="shared" si="106"/>
        <v>7758</v>
      </c>
      <c r="T131" s="41">
        <f t="shared" si="106"/>
        <v>7758</v>
      </c>
      <c r="U131" s="41">
        <f t="shared" si="106"/>
        <v>7758</v>
      </c>
      <c r="V131" s="41">
        <f t="shared" si="106"/>
        <v>7758</v>
      </c>
      <c r="W131" s="41">
        <f t="shared" si="106"/>
        <v>7758</v>
      </c>
      <c r="X131" s="41">
        <f t="shared" si="106"/>
        <v>7758</v>
      </c>
      <c r="Y131" s="41">
        <f t="shared" si="106"/>
        <v>7758</v>
      </c>
      <c r="Z131" s="41">
        <f t="shared" si="106"/>
        <v>7758</v>
      </c>
      <c r="AA131" s="41">
        <f t="shared" si="106"/>
        <v>7758</v>
      </c>
      <c r="AB131" s="41">
        <f t="shared" si="106"/>
        <v>7758</v>
      </c>
      <c r="AC131" s="41">
        <f t="shared" si="106"/>
        <v>7758</v>
      </c>
      <c r="AD131" s="41">
        <f t="shared" si="106"/>
        <v>60334</v>
      </c>
      <c r="AE131" s="41">
        <f t="shared" si="106"/>
        <v>60334</v>
      </c>
      <c r="AF131" s="41">
        <f t="shared" si="106"/>
        <v>60334</v>
      </c>
      <c r="AG131" s="41">
        <f t="shared" si="106"/>
        <v>60334</v>
      </c>
      <c r="AH131" s="41">
        <f t="shared" si="106"/>
        <v>60334</v>
      </c>
      <c r="AI131" s="41">
        <f t="shared" si="106"/>
        <v>60334</v>
      </c>
      <c r="AJ131" s="41">
        <f t="shared" si="106"/>
        <v>60334</v>
      </c>
      <c r="AK131" s="41">
        <f t="shared" si="106"/>
        <v>60334</v>
      </c>
      <c r="AL131" s="41">
        <f t="shared" si="106"/>
        <v>60334</v>
      </c>
      <c r="AM131" s="41">
        <f t="shared" si="106"/>
        <v>60334</v>
      </c>
      <c r="AN131" s="41">
        <f t="shared" si="106"/>
        <v>60334</v>
      </c>
      <c r="AO131" s="41">
        <f t="shared" si="106"/>
        <v>60334</v>
      </c>
      <c r="AP131" s="41">
        <f t="shared" si="106"/>
        <v>81278.12130765499</v>
      </c>
      <c r="AQ131" s="41">
        <f t="shared" si="106"/>
        <v>81278.12130765499</v>
      </c>
      <c r="AR131" s="41">
        <f t="shared" si="106"/>
        <v>81278.12130765499</v>
      </c>
      <c r="AS131" s="41">
        <f t="shared" si="106"/>
        <v>81278.12130765499</v>
      </c>
      <c r="AT131" s="41">
        <f t="shared" si="106"/>
        <v>81278.12130765499</v>
      </c>
      <c r="AU131" s="41">
        <f t="shared" si="106"/>
        <v>81278.12130765499</v>
      </c>
      <c r="AV131" s="41">
        <f t="shared" si="106"/>
        <v>81278.12130765499</v>
      </c>
      <c r="AW131" s="41">
        <f t="shared" si="106"/>
        <v>81278.12130765499</v>
      </c>
      <c r="AX131" s="41">
        <f t="shared" si="106"/>
        <v>81278.12130765499</v>
      </c>
      <c r="AY131" s="41">
        <f t="shared" si="106"/>
        <v>81278.12130765499</v>
      </c>
      <c r="AZ131" s="41">
        <f t="shared" si="106"/>
        <v>81278.12130765499</v>
      </c>
      <c r="BA131" s="41">
        <f t="shared" si="106"/>
        <v>81278.12130765499</v>
      </c>
      <c r="BB131" s="41">
        <f t="shared" si="106"/>
        <v>89405.933438420499</v>
      </c>
      <c r="BC131" s="41">
        <f t="shared" si="106"/>
        <v>89405.933438420499</v>
      </c>
      <c r="BD131" s="41">
        <f t="shared" si="106"/>
        <v>89405.933438420499</v>
      </c>
      <c r="BE131" s="41">
        <f t="shared" si="106"/>
        <v>89405.933438420499</v>
      </c>
      <c r="BF131" s="41">
        <f t="shared" si="106"/>
        <v>89405.933438420499</v>
      </c>
      <c r="BG131" s="41">
        <f t="shared" si="106"/>
        <v>89405.933438420499</v>
      </c>
      <c r="BH131" s="41">
        <f t="shared" si="106"/>
        <v>89405.933438420499</v>
      </c>
      <c r="BI131" s="41">
        <f t="shared" si="106"/>
        <v>89405.933438420499</v>
      </c>
    </row>
    <row r="132" spans="4:61" x14ac:dyDescent="0.35">
      <c r="E132">
        <v>6</v>
      </c>
      <c r="J132" t="s">
        <v>50</v>
      </c>
      <c r="N132" s="41">
        <f t="shared" ref="N132:BI132" si="107">IFERROR(INDEX($N$99:$BI$99,1,MATCH(N106,$N$98:$BI$98,0)),0)</f>
        <v>0</v>
      </c>
      <c r="O132" s="41">
        <f t="shared" si="107"/>
        <v>0</v>
      </c>
      <c r="P132" s="41">
        <f t="shared" si="107"/>
        <v>0</v>
      </c>
      <c r="Q132" s="41">
        <f t="shared" si="107"/>
        <v>0</v>
      </c>
      <c r="R132" s="41">
        <f t="shared" si="107"/>
        <v>0</v>
      </c>
      <c r="S132" s="41">
        <f t="shared" si="107"/>
        <v>19366</v>
      </c>
      <c r="T132" s="41">
        <f t="shared" si="107"/>
        <v>19366</v>
      </c>
      <c r="U132" s="41">
        <f t="shared" si="107"/>
        <v>19366</v>
      </c>
      <c r="V132" s="41">
        <f t="shared" si="107"/>
        <v>19366</v>
      </c>
      <c r="W132" s="41">
        <f t="shared" si="107"/>
        <v>19366</v>
      </c>
      <c r="X132" s="41">
        <f t="shared" si="107"/>
        <v>19366</v>
      </c>
      <c r="Y132" s="41">
        <f t="shared" si="107"/>
        <v>19366</v>
      </c>
      <c r="Z132" s="41">
        <f t="shared" si="107"/>
        <v>19366</v>
      </c>
      <c r="AA132" s="41">
        <f t="shared" si="107"/>
        <v>19366</v>
      </c>
      <c r="AB132" s="41">
        <f t="shared" si="107"/>
        <v>19366</v>
      </c>
      <c r="AC132" s="41">
        <f t="shared" si="107"/>
        <v>19366</v>
      </c>
      <c r="AD132" s="41">
        <f t="shared" si="107"/>
        <v>19366</v>
      </c>
      <c r="AE132" s="41">
        <f t="shared" si="107"/>
        <v>70423</v>
      </c>
      <c r="AF132" s="41">
        <f t="shared" si="107"/>
        <v>70423</v>
      </c>
      <c r="AG132" s="41">
        <f t="shared" si="107"/>
        <v>70423</v>
      </c>
      <c r="AH132" s="41">
        <f t="shared" si="107"/>
        <v>70423</v>
      </c>
      <c r="AI132" s="41">
        <f t="shared" si="107"/>
        <v>70423</v>
      </c>
      <c r="AJ132" s="41">
        <f t="shared" si="107"/>
        <v>70423</v>
      </c>
      <c r="AK132" s="41">
        <f t="shared" si="107"/>
        <v>70423</v>
      </c>
      <c r="AL132" s="41">
        <f t="shared" si="107"/>
        <v>70423</v>
      </c>
      <c r="AM132" s="41">
        <f t="shared" si="107"/>
        <v>70423</v>
      </c>
      <c r="AN132" s="41">
        <f t="shared" si="107"/>
        <v>70423</v>
      </c>
      <c r="AO132" s="41">
        <f t="shared" si="107"/>
        <v>70423</v>
      </c>
      <c r="AP132" s="41">
        <f t="shared" si="107"/>
        <v>70423</v>
      </c>
      <c r="AQ132" s="41">
        <f t="shared" si="107"/>
        <v>77214.215242272243</v>
      </c>
      <c r="AR132" s="41">
        <f t="shared" si="107"/>
        <v>77214.215242272243</v>
      </c>
      <c r="AS132" s="41">
        <f t="shared" si="107"/>
        <v>77214.215242272243</v>
      </c>
      <c r="AT132" s="41">
        <f t="shared" si="107"/>
        <v>77214.215242272243</v>
      </c>
      <c r="AU132" s="41">
        <f t="shared" si="107"/>
        <v>77214.215242272243</v>
      </c>
      <c r="AV132" s="41">
        <f t="shared" si="107"/>
        <v>77214.215242272243</v>
      </c>
      <c r="AW132" s="41">
        <f t="shared" si="107"/>
        <v>77214.215242272243</v>
      </c>
      <c r="AX132" s="41">
        <f t="shared" si="107"/>
        <v>77214.215242272243</v>
      </c>
      <c r="AY132" s="41">
        <f t="shared" si="107"/>
        <v>77214.215242272243</v>
      </c>
      <c r="AZ132" s="41">
        <f t="shared" si="107"/>
        <v>77214.215242272243</v>
      </c>
      <c r="BA132" s="41">
        <f t="shared" si="107"/>
        <v>77214.215242272243</v>
      </c>
      <c r="BB132" s="41">
        <f t="shared" si="107"/>
        <v>77214.215242272243</v>
      </c>
      <c r="BC132" s="41">
        <f t="shared" si="107"/>
        <v>84935.636766499476</v>
      </c>
      <c r="BD132" s="41">
        <f t="shared" si="107"/>
        <v>84935.636766499476</v>
      </c>
      <c r="BE132" s="41">
        <f t="shared" si="107"/>
        <v>84935.636766499476</v>
      </c>
      <c r="BF132" s="41">
        <f t="shared" si="107"/>
        <v>84935.636766499476</v>
      </c>
      <c r="BG132" s="41">
        <f t="shared" si="107"/>
        <v>84935.636766499476</v>
      </c>
      <c r="BH132" s="41">
        <f t="shared" si="107"/>
        <v>84935.636766499476</v>
      </c>
      <c r="BI132" s="41">
        <f t="shared" si="107"/>
        <v>84935.636766499476</v>
      </c>
    </row>
    <row r="133" spans="4:61" x14ac:dyDescent="0.35">
      <c r="E133">
        <v>7</v>
      </c>
      <c r="J133" t="s">
        <v>50</v>
      </c>
      <c r="N133" s="41">
        <f t="shared" ref="N133:BI133" si="108">IFERROR(INDEX($N$99:$BI$99,1,MATCH(N107,$N$98:$BI$98,0)),0)</f>
        <v>0</v>
      </c>
      <c r="O133" s="41">
        <f t="shared" si="108"/>
        <v>0</v>
      </c>
      <c r="P133" s="41">
        <f t="shared" si="108"/>
        <v>0</v>
      </c>
      <c r="Q133" s="41">
        <f t="shared" si="108"/>
        <v>0</v>
      </c>
      <c r="R133" s="41">
        <f t="shared" si="108"/>
        <v>0</v>
      </c>
      <c r="S133" s="41">
        <f t="shared" si="108"/>
        <v>0</v>
      </c>
      <c r="T133" s="41">
        <f t="shared" si="108"/>
        <v>17473</v>
      </c>
      <c r="U133" s="41">
        <f t="shared" si="108"/>
        <v>17473</v>
      </c>
      <c r="V133" s="41">
        <f t="shared" si="108"/>
        <v>17473</v>
      </c>
      <c r="W133" s="41">
        <f t="shared" si="108"/>
        <v>17473</v>
      </c>
      <c r="X133" s="41">
        <f t="shared" si="108"/>
        <v>17473</v>
      </c>
      <c r="Y133" s="41">
        <f t="shared" si="108"/>
        <v>17473</v>
      </c>
      <c r="Z133" s="41">
        <f t="shared" si="108"/>
        <v>17473</v>
      </c>
      <c r="AA133" s="41">
        <f t="shared" si="108"/>
        <v>17473</v>
      </c>
      <c r="AB133" s="41">
        <f t="shared" si="108"/>
        <v>17473</v>
      </c>
      <c r="AC133" s="41">
        <f t="shared" si="108"/>
        <v>17473</v>
      </c>
      <c r="AD133" s="41">
        <f t="shared" si="108"/>
        <v>17473</v>
      </c>
      <c r="AE133" s="41">
        <f t="shared" si="108"/>
        <v>17473</v>
      </c>
      <c r="AF133" s="41">
        <f t="shared" si="108"/>
        <v>55455</v>
      </c>
      <c r="AG133" s="41">
        <f t="shared" si="108"/>
        <v>55455</v>
      </c>
      <c r="AH133" s="41">
        <f t="shared" si="108"/>
        <v>55455</v>
      </c>
      <c r="AI133" s="41">
        <f t="shared" si="108"/>
        <v>55455</v>
      </c>
      <c r="AJ133" s="41">
        <f t="shared" si="108"/>
        <v>55455</v>
      </c>
      <c r="AK133" s="41">
        <f t="shared" si="108"/>
        <v>55455</v>
      </c>
      <c r="AL133" s="41">
        <f t="shared" si="108"/>
        <v>55455</v>
      </c>
      <c r="AM133" s="41">
        <f t="shared" si="108"/>
        <v>55455</v>
      </c>
      <c r="AN133" s="41">
        <f t="shared" si="108"/>
        <v>55455</v>
      </c>
      <c r="AO133" s="41">
        <f t="shared" si="108"/>
        <v>55455</v>
      </c>
      <c r="AP133" s="41">
        <f t="shared" si="108"/>
        <v>55455</v>
      </c>
      <c r="AQ133" s="41">
        <f t="shared" si="108"/>
        <v>55455</v>
      </c>
      <c r="AR133" s="41">
        <f t="shared" si="108"/>
        <v>65022.497046123994</v>
      </c>
      <c r="AS133" s="41">
        <f t="shared" si="108"/>
        <v>65022.497046123994</v>
      </c>
      <c r="AT133" s="41">
        <f t="shared" si="108"/>
        <v>65022.497046123994</v>
      </c>
      <c r="AU133" s="41">
        <f t="shared" si="108"/>
        <v>65022.497046123994</v>
      </c>
      <c r="AV133" s="41">
        <f t="shared" si="108"/>
        <v>65022.497046123994</v>
      </c>
      <c r="AW133" s="41">
        <f t="shared" si="108"/>
        <v>65022.497046123994</v>
      </c>
      <c r="AX133" s="41">
        <f t="shared" si="108"/>
        <v>65022.497046123994</v>
      </c>
      <c r="AY133" s="41">
        <f t="shared" si="108"/>
        <v>65022.497046123994</v>
      </c>
      <c r="AZ133" s="41">
        <f t="shared" si="108"/>
        <v>65022.497046123994</v>
      </c>
      <c r="BA133" s="41">
        <f t="shared" si="108"/>
        <v>65022.497046123994</v>
      </c>
      <c r="BB133" s="41">
        <f t="shared" si="108"/>
        <v>65022.497046123994</v>
      </c>
      <c r="BC133" s="41">
        <f t="shared" si="108"/>
        <v>65022.497046123994</v>
      </c>
      <c r="BD133" s="41">
        <f t="shared" si="108"/>
        <v>71524.746750736405</v>
      </c>
      <c r="BE133" s="41">
        <f t="shared" si="108"/>
        <v>71524.746750736405</v>
      </c>
      <c r="BF133" s="41">
        <f t="shared" si="108"/>
        <v>71524.746750736405</v>
      </c>
      <c r="BG133" s="41">
        <f t="shared" si="108"/>
        <v>71524.746750736405</v>
      </c>
      <c r="BH133" s="41">
        <f t="shared" si="108"/>
        <v>71524.746750736405</v>
      </c>
      <c r="BI133" s="41">
        <f t="shared" si="108"/>
        <v>71524.746750736405</v>
      </c>
    </row>
    <row r="134" spans="4:61" x14ac:dyDescent="0.35">
      <c r="E134">
        <v>8</v>
      </c>
      <c r="J134" t="s">
        <v>50</v>
      </c>
      <c r="N134" s="41">
        <f t="shared" ref="N134:BI134" si="109">IFERROR(INDEX($N$99:$BI$99,1,MATCH(N108,$N$98:$BI$98,0)),0)</f>
        <v>0</v>
      </c>
      <c r="O134" s="41">
        <f t="shared" si="109"/>
        <v>0</v>
      </c>
      <c r="P134" s="41">
        <f t="shared" si="109"/>
        <v>0</v>
      </c>
      <c r="Q134" s="41">
        <f t="shared" si="109"/>
        <v>0</v>
      </c>
      <c r="R134" s="41">
        <f t="shared" si="109"/>
        <v>0</v>
      </c>
      <c r="S134" s="41">
        <f t="shared" si="109"/>
        <v>0</v>
      </c>
      <c r="T134" s="41">
        <f t="shared" si="109"/>
        <v>0</v>
      </c>
      <c r="U134" s="41">
        <f t="shared" si="109"/>
        <v>10690</v>
      </c>
      <c r="V134" s="41">
        <f t="shared" si="109"/>
        <v>10690</v>
      </c>
      <c r="W134" s="41">
        <f t="shared" si="109"/>
        <v>10690</v>
      </c>
      <c r="X134" s="41">
        <f t="shared" si="109"/>
        <v>10690</v>
      </c>
      <c r="Y134" s="41">
        <f t="shared" si="109"/>
        <v>10690</v>
      </c>
      <c r="Z134" s="41">
        <f t="shared" si="109"/>
        <v>10690</v>
      </c>
      <c r="AA134" s="41">
        <f t="shared" si="109"/>
        <v>10690</v>
      </c>
      <c r="AB134" s="41">
        <f t="shared" si="109"/>
        <v>10690</v>
      </c>
      <c r="AC134" s="41">
        <f t="shared" si="109"/>
        <v>10690</v>
      </c>
      <c r="AD134" s="41">
        <f t="shared" si="109"/>
        <v>10690</v>
      </c>
      <c r="AE134" s="41">
        <f t="shared" si="109"/>
        <v>10690</v>
      </c>
      <c r="AF134" s="41">
        <f t="shared" si="109"/>
        <v>10690</v>
      </c>
      <c r="AG134" s="41">
        <f t="shared" si="109"/>
        <v>40687</v>
      </c>
      <c r="AH134" s="41">
        <f t="shared" si="109"/>
        <v>40687</v>
      </c>
      <c r="AI134" s="41">
        <f t="shared" si="109"/>
        <v>40687</v>
      </c>
      <c r="AJ134" s="41">
        <f t="shared" si="109"/>
        <v>40687</v>
      </c>
      <c r="AK134" s="41">
        <f t="shared" si="109"/>
        <v>40687</v>
      </c>
      <c r="AL134" s="41">
        <f t="shared" si="109"/>
        <v>40687</v>
      </c>
      <c r="AM134" s="41">
        <f t="shared" si="109"/>
        <v>40687</v>
      </c>
      <c r="AN134" s="41">
        <f t="shared" si="109"/>
        <v>40687</v>
      </c>
      <c r="AO134" s="41">
        <f t="shared" si="109"/>
        <v>40687</v>
      </c>
      <c r="AP134" s="41">
        <f t="shared" si="109"/>
        <v>40687</v>
      </c>
      <c r="AQ134" s="41">
        <f t="shared" si="109"/>
        <v>40687</v>
      </c>
      <c r="AR134" s="41">
        <f t="shared" si="109"/>
        <v>40687</v>
      </c>
      <c r="AS134" s="41">
        <f t="shared" si="109"/>
        <v>48766.87278459299</v>
      </c>
      <c r="AT134" s="41">
        <f t="shared" si="109"/>
        <v>48766.87278459299</v>
      </c>
      <c r="AU134" s="41">
        <f t="shared" si="109"/>
        <v>48766.87278459299</v>
      </c>
      <c r="AV134" s="41">
        <f t="shared" si="109"/>
        <v>48766.87278459299</v>
      </c>
      <c r="AW134" s="41">
        <f t="shared" si="109"/>
        <v>48766.87278459299</v>
      </c>
      <c r="AX134" s="41">
        <f t="shared" si="109"/>
        <v>48766.87278459299</v>
      </c>
      <c r="AY134" s="41">
        <f t="shared" si="109"/>
        <v>48766.87278459299</v>
      </c>
      <c r="AZ134" s="41">
        <f t="shared" si="109"/>
        <v>48766.87278459299</v>
      </c>
      <c r="BA134" s="41">
        <f t="shared" si="109"/>
        <v>48766.87278459299</v>
      </c>
      <c r="BB134" s="41">
        <f t="shared" si="109"/>
        <v>48766.87278459299</v>
      </c>
      <c r="BC134" s="41">
        <f t="shared" si="109"/>
        <v>48766.87278459299</v>
      </c>
      <c r="BD134" s="41">
        <f t="shared" si="109"/>
        <v>48766.87278459299</v>
      </c>
      <c r="BE134" s="41">
        <f t="shared" si="109"/>
        <v>53643.560063052297</v>
      </c>
      <c r="BF134" s="41">
        <f t="shared" si="109"/>
        <v>53643.560063052297</v>
      </c>
      <c r="BG134" s="41">
        <f t="shared" si="109"/>
        <v>53643.560063052297</v>
      </c>
      <c r="BH134" s="41">
        <f t="shared" si="109"/>
        <v>53643.560063052297</v>
      </c>
      <c r="BI134" s="41">
        <f t="shared" si="109"/>
        <v>53643.560063052297</v>
      </c>
    </row>
    <row r="135" spans="4:61" x14ac:dyDescent="0.35">
      <c r="E135">
        <v>9</v>
      </c>
      <c r="J135" t="s">
        <v>50</v>
      </c>
      <c r="N135" s="41">
        <f t="shared" ref="N135:BI135" si="110">IFERROR(INDEX($N$99:$BI$99,1,MATCH(N109,$N$98:$BI$98,0)),0)</f>
        <v>0</v>
      </c>
      <c r="O135" s="41">
        <f t="shared" si="110"/>
        <v>0</v>
      </c>
      <c r="P135" s="41">
        <f t="shared" si="110"/>
        <v>0</v>
      </c>
      <c r="Q135" s="41">
        <f t="shared" si="110"/>
        <v>0</v>
      </c>
      <c r="R135" s="41">
        <f t="shared" si="110"/>
        <v>0</v>
      </c>
      <c r="S135" s="41">
        <f t="shared" si="110"/>
        <v>0</v>
      </c>
      <c r="T135" s="41">
        <f t="shared" si="110"/>
        <v>0</v>
      </c>
      <c r="U135" s="41">
        <f t="shared" si="110"/>
        <v>0</v>
      </c>
      <c r="V135" s="41">
        <f t="shared" si="110"/>
        <v>19315</v>
      </c>
      <c r="W135" s="41">
        <f t="shared" si="110"/>
        <v>19315</v>
      </c>
      <c r="X135" s="41">
        <f t="shared" si="110"/>
        <v>19315</v>
      </c>
      <c r="Y135" s="41">
        <f t="shared" si="110"/>
        <v>19315</v>
      </c>
      <c r="Z135" s="41">
        <f t="shared" si="110"/>
        <v>19315</v>
      </c>
      <c r="AA135" s="41">
        <f t="shared" si="110"/>
        <v>19315</v>
      </c>
      <c r="AB135" s="41">
        <f t="shared" si="110"/>
        <v>19315</v>
      </c>
      <c r="AC135" s="41">
        <f t="shared" si="110"/>
        <v>19315</v>
      </c>
      <c r="AD135" s="41">
        <f t="shared" si="110"/>
        <v>19315</v>
      </c>
      <c r="AE135" s="41">
        <f t="shared" si="110"/>
        <v>19315</v>
      </c>
      <c r="AF135" s="41">
        <f t="shared" si="110"/>
        <v>19315</v>
      </c>
      <c r="AG135" s="41">
        <f t="shared" si="110"/>
        <v>19315</v>
      </c>
      <c r="AH135" s="41">
        <f t="shared" si="110"/>
        <v>62423</v>
      </c>
      <c r="AI135" s="41">
        <f t="shared" si="110"/>
        <v>62423</v>
      </c>
      <c r="AJ135" s="41">
        <f t="shared" si="110"/>
        <v>62423</v>
      </c>
      <c r="AK135" s="41">
        <f t="shared" si="110"/>
        <v>62423</v>
      </c>
      <c r="AL135" s="41">
        <f t="shared" si="110"/>
        <v>62423</v>
      </c>
      <c r="AM135" s="41">
        <f t="shared" si="110"/>
        <v>62423</v>
      </c>
      <c r="AN135" s="41">
        <f t="shared" si="110"/>
        <v>62423</v>
      </c>
      <c r="AO135" s="41">
        <f t="shared" si="110"/>
        <v>62423</v>
      </c>
      <c r="AP135" s="41">
        <f t="shared" si="110"/>
        <v>62423</v>
      </c>
      <c r="AQ135" s="41">
        <f t="shared" si="110"/>
        <v>62423</v>
      </c>
      <c r="AR135" s="41">
        <f t="shared" si="110"/>
        <v>62423</v>
      </c>
      <c r="AS135" s="41">
        <f t="shared" si="110"/>
        <v>62423</v>
      </c>
      <c r="AT135" s="41">
        <f t="shared" si="110"/>
        <v>73150.309176889496</v>
      </c>
      <c r="AU135" s="41">
        <f t="shared" si="110"/>
        <v>73150.309176889496</v>
      </c>
      <c r="AV135" s="41">
        <f t="shared" si="110"/>
        <v>73150.309176889496</v>
      </c>
      <c r="AW135" s="41">
        <f t="shared" si="110"/>
        <v>73150.309176889496</v>
      </c>
      <c r="AX135" s="41">
        <f t="shared" si="110"/>
        <v>73150.309176889496</v>
      </c>
      <c r="AY135" s="41">
        <f t="shared" si="110"/>
        <v>73150.309176889496</v>
      </c>
      <c r="AZ135" s="41">
        <f t="shared" si="110"/>
        <v>73150.309176889496</v>
      </c>
      <c r="BA135" s="41">
        <f t="shared" si="110"/>
        <v>73150.309176889496</v>
      </c>
      <c r="BB135" s="41">
        <f t="shared" si="110"/>
        <v>73150.309176889496</v>
      </c>
      <c r="BC135" s="41">
        <f t="shared" si="110"/>
        <v>73150.309176889496</v>
      </c>
      <c r="BD135" s="41">
        <f t="shared" si="110"/>
        <v>73150.309176889496</v>
      </c>
      <c r="BE135" s="41">
        <f t="shared" si="110"/>
        <v>73150.309176889496</v>
      </c>
      <c r="BF135" s="41">
        <f t="shared" si="110"/>
        <v>80465.340094578452</v>
      </c>
      <c r="BG135" s="41">
        <f t="shared" si="110"/>
        <v>80465.340094578452</v>
      </c>
      <c r="BH135" s="41">
        <f t="shared" si="110"/>
        <v>80465.340094578452</v>
      </c>
      <c r="BI135" s="41">
        <f t="shared" si="110"/>
        <v>80465.340094578452</v>
      </c>
    </row>
    <row r="136" spans="4:61" x14ac:dyDescent="0.35">
      <c r="E136">
        <v>10</v>
      </c>
      <c r="J136" t="s">
        <v>50</v>
      </c>
      <c r="N136" s="41">
        <f t="shared" ref="N136:BI136" si="111">IFERROR(INDEX($N$99:$BI$99,1,MATCH(N110,$N$98:$BI$98,0)),0)</f>
        <v>0</v>
      </c>
      <c r="O136" s="41">
        <f t="shared" si="111"/>
        <v>0</v>
      </c>
      <c r="P136" s="41">
        <f t="shared" si="111"/>
        <v>0</v>
      </c>
      <c r="Q136" s="41">
        <f t="shared" si="111"/>
        <v>0</v>
      </c>
      <c r="R136" s="41">
        <f t="shared" si="111"/>
        <v>0</v>
      </c>
      <c r="S136" s="41">
        <f t="shared" si="111"/>
        <v>0</v>
      </c>
      <c r="T136" s="41">
        <f t="shared" si="111"/>
        <v>0</v>
      </c>
      <c r="U136" s="41">
        <f t="shared" si="111"/>
        <v>0</v>
      </c>
      <c r="V136" s="41">
        <f t="shared" si="111"/>
        <v>0</v>
      </c>
      <c r="W136" s="41">
        <f t="shared" si="111"/>
        <v>28065</v>
      </c>
      <c r="X136" s="41">
        <f t="shared" si="111"/>
        <v>28065</v>
      </c>
      <c r="Y136" s="41">
        <f t="shared" si="111"/>
        <v>28065</v>
      </c>
      <c r="Z136" s="41">
        <f t="shared" si="111"/>
        <v>28065</v>
      </c>
      <c r="AA136" s="41">
        <f t="shared" si="111"/>
        <v>28065</v>
      </c>
      <c r="AB136" s="41">
        <f t="shared" si="111"/>
        <v>28065</v>
      </c>
      <c r="AC136" s="41">
        <f t="shared" si="111"/>
        <v>28065</v>
      </c>
      <c r="AD136" s="41">
        <f t="shared" si="111"/>
        <v>28065</v>
      </c>
      <c r="AE136" s="41">
        <f t="shared" si="111"/>
        <v>28065</v>
      </c>
      <c r="AF136" s="41">
        <f t="shared" si="111"/>
        <v>28065</v>
      </c>
      <c r="AG136" s="41">
        <f t="shared" si="111"/>
        <v>28065</v>
      </c>
      <c r="AH136" s="41">
        <f t="shared" si="111"/>
        <v>28065</v>
      </c>
      <c r="AI136" s="41">
        <f t="shared" si="111"/>
        <v>77015</v>
      </c>
      <c r="AJ136" s="41">
        <f t="shared" si="111"/>
        <v>77015</v>
      </c>
      <c r="AK136" s="41">
        <f t="shared" si="111"/>
        <v>77015</v>
      </c>
      <c r="AL136" s="41">
        <f t="shared" si="111"/>
        <v>77015</v>
      </c>
      <c r="AM136" s="41">
        <f t="shared" si="111"/>
        <v>77015</v>
      </c>
      <c r="AN136" s="41">
        <f t="shared" si="111"/>
        <v>77015</v>
      </c>
      <c r="AO136" s="41">
        <f t="shared" si="111"/>
        <v>77015</v>
      </c>
      <c r="AP136" s="41">
        <f t="shared" si="111"/>
        <v>77015</v>
      </c>
      <c r="AQ136" s="41">
        <f t="shared" si="111"/>
        <v>77015</v>
      </c>
      <c r="AR136" s="41">
        <f t="shared" si="111"/>
        <v>77015</v>
      </c>
      <c r="AS136" s="41">
        <f t="shared" si="111"/>
        <v>77015</v>
      </c>
      <c r="AT136" s="41">
        <f t="shared" si="111"/>
        <v>77015</v>
      </c>
      <c r="AU136" s="41">
        <f t="shared" si="111"/>
        <v>81278.12130765499</v>
      </c>
      <c r="AV136" s="41">
        <f t="shared" si="111"/>
        <v>81278.12130765499</v>
      </c>
      <c r="AW136" s="41">
        <f t="shared" si="111"/>
        <v>81278.12130765499</v>
      </c>
      <c r="AX136" s="41">
        <f t="shared" si="111"/>
        <v>81278.12130765499</v>
      </c>
      <c r="AY136" s="41">
        <f t="shared" si="111"/>
        <v>81278.12130765499</v>
      </c>
      <c r="AZ136" s="41">
        <f t="shared" si="111"/>
        <v>81278.12130765499</v>
      </c>
      <c r="BA136" s="41">
        <f t="shared" si="111"/>
        <v>81278.12130765499</v>
      </c>
      <c r="BB136" s="41">
        <f t="shared" si="111"/>
        <v>81278.12130765499</v>
      </c>
      <c r="BC136" s="41">
        <f t="shared" si="111"/>
        <v>81278.12130765499</v>
      </c>
      <c r="BD136" s="41">
        <f t="shared" si="111"/>
        <v>81278.12130765499</v>
      </c>
      <c r="BE136" s="41">
        <f t="shared" si="111"/>
        <v>81278.12130765499</v>
      </c>
      <c r="BF136" s="41">
        <f t="shared" si="111"/>
        <v>81278.12130765499</v>
      </c>
      <c r="BG136" s="41">
        <f t="shared" si="111"/>
        <v>89405.933438420499</v>
      </c>
      <c r="BH136" s="41">
        <f t="shared" si="111"/>
        <v>89405.933438420499</v>
      </c>
      <c r="BI136" s="41">
        <f t="shared" si="111"/>
        <v>89405.933438420499</v>
      </c>
    </row>
    <row r="137" spans="4:61" x14ac:dyDescent="0.35">
      <c r="E137">
        <v>11</v>
      </c>
      <c r="J137" t="s">
        <v>50</v>
      </c>
      <c r="N137" s="41">
        <f t="shared" ref="N137:BI137" si="112">IFERROR(INDEX($N$99:$BI$99,1,MATCH(N111,$N$98:$BI$98,0)),0)</f>
        <v>0</v>
      </c>
      <c r="O137" s="41">
        <f t="shared" si="112"/>
        <v>0</v>
      </c>
      <c r="P137" s="41">
        <f t="shared" si="112"/>
        <v>0</v>
      </c>
      <c r="Q137" s="41">
        <f t="shared" si="112"/>
        <v>0</v>
      </c>
      <c r="R137" s="41">
        <f t="shared" si="112"/>
        <v>0</v>
      </c>
      <c r="S137" s="41">
        <f t="shared" si="112"/>
        <v>0</v>
      </c>
      <c r="T137" s="41">
        <f t="shared" si="112"/>
        <v>0</v>
      </c>
      <c r="U137" s="41">
        <f t="shared" si="112"/>
        <v>0</v>
      </c>
      <c r="V137" s="41">
        <f t="shared" si="112"/>
        <v>0</v>
      </c>
      <c r="W137" s="41">
        <f t="shared" si="112"/>
        <v>0</v>
      </c>
      <c r="X137" s="41">
        <f t="shared" si="112"/>
        <v>30651</v>
      </c>
      <c r="Y137" s="41">
        <f t="shared" si="112"/>
        <v>30651</v>
      </c>
      <c r="Z137" s="41">
        <f t="shared" si="112"/>
        <v>30651</v>
      </c>
      <c r="AA137" s="41">
        <f t="shared" si="112"/>
        <v>30651</v>
      </c>
      <c r="AB137" s="41">
        <f t="shared" si="112"/>
        <v>30651</v>
      </c>
      <c r="AC137" s="41">
        <f t="shared" si="112"/>
        <v>30651</v>
      </c>
      <c r="AD137" s="41">
        <f t="shared" si="112"/>
        <v>30651</v>
      </c>
      <c r="AE137" s="41">
        <f t="shared" si="112"/>
        <v>30651</v>
      </c>
      <c r="AF137" s="41">
        <f t="shared" si="112"/>
        <v>30651</v>
      </c>
      <c r="AG137" s="41">
        <f t="shared" si="112"/>
        <v>30651</v>
      </c>
      <c r="AH137" s="41">
        <f t="shared" si="112"/>
        <v>30651</v>
      </c>
      <c r="AI137" s="41">
        <f t="shared" si="112"/>
        <v>30651</v>
      </c>
      <c r="AJ137" s="41">
        <f t="shared" si="112"/>
        <v>68409</v>
      </c>
      <c r="AK137" s="41">
        <f t="shared" si="112"/>
        <v>68409</v>
      </c>
      <c r="AL137" s="41">
        <f t="shared" si="112"/>
        <v>68409</v>
      </c>
      <c r="AM137" s="41">
        <f t="shared" si="112"/>
        <v>68409</v>
      </c>
      <c r="AN137" s="41">
        <f t="shared" si="112"/>
        <v>68409</v>
      </c>
      <c r="AO137" s="41">
        <f t="shared" si="112"/>
        <v>68409</v>
      </c>
      <c r="AP137" s="41">
        <f t="shared" si="112"/>
        <v>68409</v>
      </c>
      <c r="AQ137" s="41">
        <f t="shared" si="112"/>
        <v>68409</v>
      </c>
      <c r="AR137" s="41">
        <f t="shared" si="112"/>
        <v>68409</v>
      </c>
      <c r="AS137" s="41">
        <f t="shared" si="112"/>
        <v>68409</v>
      </c>
      <c r="AT137" s="41">
        <f t="shared" si="112"/>
        <v>68409</v>
      </c>
      <c r="AU137" s="41">
        <f t="shared" si="112"/>
        <v>68409</v>
      </c>
      <c r="AV137" s="41">
        <f t="shared" si="112"/>
        <v>81278.12130765499</v>
      </c>
      <c r="AW137" s="41">
        <f t="shared" si="112"/>
        <v>81278.12130765499</v>
      </c>
      <c r="AX137" s="41">
        <f t="shared" si="112"/>
        <v>81278.12130765499</v>
      </c>
      <c r="AY137" s="41">
        <f t="shared" si="112"/>
        <v>81278.12130765499</v>
      </c>
      <c r="AZ137" s="41">
        <f t="shared" si="112"/>
        <v>81278.12130765499</v>
      </c>
      <c r="BA137" s="41">
        <f t="shared" si="112"/>
        <v>81278.12130765499</v>
      </c>
      <c r="BB137" s="41">
        <f t="shared" si="112"/>
        <v>81278.12130765499</v>
      </c>
      <c r="BC137" s="41">
        <f t="shared" si="112"/>
        <v>81278.12130765499</v>
      </c>
      <c r="BD137" s="41">
        <f t="shared" si="112"/>
        <v>81278.12130765499</v>
      </c>
      <c r="BE137" s="41">
        <f t="shared" si="112"/>
        <v>81278.12130765499</v>
      </c>
      <c r="BF137" s="41">
        <f t="shared" si="112"/>
        <v>81278.12130765499</v>
      </c>
      <c r="BG137" s="41">
        <f t="shared" si="112"/>
        <v>81278.12130765499</v>
      </c>
      <c r="BH137" s="41">
        <f t="shared" si="112"/>
        <v>89405.933438420499</v>
      </c>
      <c r="BI137" s="41">
        <f t="shared" si="112"/>
        <v>89405.933438420499</v>
      </c>
    </row>
    <row r="138" spans="4:61" x14ac:dyDescent="0.35">
      <c r="E138">
        <v>12</v>
      </c>
      <c r="J138" t="s">
        <v>50</v>
      </c>
      <c r="N138" s="41">
        <f t="shared" ref="N138:BI138" si="113">IFERROR(INDEX($N$99:$BI$99,1,MATCH(N112,$N$98:$BI$98,0)),0)</f>
        <v>0</v>
      </c>
      <c r="O138" s="41">
        <f t="shared" si="113"/>
        <v>0</v>
      </c>
      <c r="P138" s="41">
        <f t="shared" si="113"/>
        <v>0</v>
      </c>
      <c r="Q138" s="41">
        <f t="shared" si="113"/>
        <v>0</v>
      </c>
      <c r="R138" s="41">
        <f t="shared" si="113"/>
        <v>0</v>
      </c>
      <c r="S138" s="41">
        <f t="shared" si="113"/>
        <v>0</v>
      </c>
      <c r="T138" s="41">
        <f t="shared" si="113"/>
        <v>0</v>
      </c>
      <c r="U138" s="41">
        <f t="shared" si="113"/>
        <v>0</v>
      </c>
      <c r="V138" s="41">
        <f t="shared" si="113"/>
        <v>0</v>
      </c>
      <c r="W138" s="41">
        <f t="shared" si="113"/>
        <v>0</v>
      </c>
      <c r="X138" s="41">
        <f t="shared" si="113"/>
        <v>0</v>
      </c>
      <c r="Y138" s="41">
        <f t="shared" si="113"/>
        <v>27939</v>
      </c>
      <c r="Z138" s="41">
        <f t="shared" si="113"/>
        <v>27939</v>
      </c>
      <c r="AA138" s="41">
        <f t="shared" si="113"/>
        <v>27939</v>
      </c>
      <c r="AB138" s="41">
        <f t="shared" si="113"/>
        <v>27939</v>
      </c>
      <c r="AC138" s="41">
        <f t="shared" si="113"/>
        <v>27939</v>
      </c>
      <c r="AD138" s="41">
        <f t="shared" si="113"/>
        <v>27939</v>
      </c>
      <c r="AE138" s="41">
        <f t="shared" si="113"/>
        <v>27939</v>
      </c>
      <c r="AF138" s="41">
        <f t="shared" si="113"/>
        <v>27939</v>
      </c>
      <c r="AG138" s="41">
        <f t="shared" si="113"/>
        <v>27939</v>
      </c>
      <c r="AH138" s="41">
        <f t="shared" si="113"/>
        <v>27939</v>
      </c>
      <c r="AI138" s="41">
        <f t="shared" si="113"/>
        <v>27939</v>
      </c>
      <c r="AJ138" s="41">
        <f t="shared" si="113"/>
        <v>27939</v>
      </c>
      <c r="AK138" s="41">
        <f t="shared" si="113"/>
        <v>80621</v>
      </c>
      <c r="AL138" s="41">
        <f t="shared" si="113"/>
        <v>80621</v>
      </c>
      <c r="AM138" s="41">
        <f t="shared" si="113"/>
        <v>80621</v>
      </c>
      <c r="AN138" s="41">
        <f t="shared" si="113"/>
        <v>80621</v>
      </c>
      <c r="AO138" s="41">
        <f t="shared" si="113"/>
        <v>80621</v>
      </c>
      <c r="AP138" s="41">
        <f t="shared" si="113"/>
        <v>80621</v>
      </c>
      <c r="AQ138" s="41">
        <f t="shared" si="113"/>
        <v>80621</v>
      </c>
      <c r="AR138" s="41">
        <f t="shared" si="113"/>
        <v>80621</v>
      </c>
      <c r="AS138" s="41">
        <f t="shared" si="113"/>
        <v>80621</v>
      </c>
      <c r="AT138" s="41">
        <f t="shared" si="113"/>
        <v>80621</v>
      </c>
      <c r="AU138" s="41">
        <f t="shared" si="113"/>
        <v>80621</v>
      </c>
      <c r="AV138" s="41">
        <f t="shared" si="113"/>
        <v>80621</v>
      </c>
      <c r="AW138" s="41">
        <f t="shared" si="113"/>
        <v>89405.933438420499</v>
      </c>
      <c r="AX138" s="41">
        <f t="shared" si="113"/>
        <v>89405.933438420499</v>
      </c>
      <c r="AY138" s="41">
        <f t="shared" si="113"/>
        <v>89405.933438420499</v>
      </c>
      <c r="AZ138" s="41">
        <f t="shared" si="113"/>
        <v>89405.933438420499</v>
      </c>
      <c r="BA138" s="41">
        <f t="shared" si="113"/>
        <v>89405.933438420499</v>
      </c>
      <c r="BB138" s="41">
        <f t="shared" si="113"/>
        <v>89405.933438420499</v>
      </c>
      <c r="BC138" s="41">
        <f t="shared" si="113"/>
        <v>89405.933438420499</v>
      </c>
      <c r="BD138" s="41">
        <f t="shared" si="113"/>
        <v>89405.933438420499</v>
      </c>
      <c r="BE138" s="41">
        <f t="shared" si="113"/>
        <v>89405.933438420499</v>
      </c>
      <c r="BF138" s="41">
        <f t="shared" si="113"/>
        <v>89405.933438420499</v>
      </c>
      <c r="BG138" s="41">
        <f t="shared" si="113"/>
        <v>89405.933438420499</v>
      </c>
      <c r="BH138" s="41">
        <f t="shared" si="113"/>
        <v>89405.933438420499</v>
      </c>
      <c r="BI138" s="41">
        <f t="shared" si="113"/>
        <v>98346.526782262561</v>
      </c>
    </row>
    <row r="139" spans="4:61" x14ac:dyDescent="0.35"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</row>
    <row r="140" spans="4:61" x14ac:dyDescent="0.35">
      <c r="E140" t="s">
        <v>84</v>
      </c>
      <c r="J140" t="s">
        <v>50</v>
      </c>
      <c r="N140" s="41">
        <f t="shared" ref="N140:BI140" si="114">SUMPRODUCT(N114:N125,N127:N138)</f>
        <v>4064.1781518190091</v>
      </c>
      <c r="O140" s="41">
        <f t="shared" si="114"/>
        <v>8750.1273436216925</v>
      </c>
      <c r="P140" s="41">
        <f t="shared" si="114"/>
        <v>10253.827443224622</v>
      </c>
      <c r="Q140" s="41">
        <f t="shared" si="114"/>
        <v>6937.6367333505787</v>
      </c>
      <c r="R140" s="41">
        <f t="shared" si="114"/>
        <v>7335.2893780506092</v>
      </c>
      <c r="S140" s="41">
        <f t="shared" si="114"/>
        <v>14793.489747150554</v>
      </c>
      <c r="T140" s="41">
        <f t="shared" si="114"/>
        <v>17378.50589596299</v>
      </c>
      <c r="U140" s="41">
        <f t="shared" si="114"/>
        <v>13267.171157032084</v>
      </c>
      <c r="V140" s="41">
        <f t="shared" si="114"/>
        <v>16499.322174316894</v>
      </c>
      <c r="W140" s="41">
        <f t="shared" si="114"/>
        <v>24499.692742672156</v>
      </c>
      <c r="X140" s="41">
        <f t="shared" si="114"/>
        <v>28509.187433064253</v>
      </c>
      <c r="Y140" s="41">
        <f t="shared" si="114"/>
        <v>29008.730493205538</v>
      </c>
      <c r="Z140" s="41">
        <f t="shared" si="114"/>
        <v>43937.287465515001</v>
      </c>
      <c r="AA140" s="41">
        <f t="shared" si="114"/>
        <v>50612.240641179356</v>
      </c>
      <c r="AB140" s="41">
        <f t="shared" si="114"/>
        <v>65214.912098776367</v>
      </c>
      <c r="AC140" s="41">
        <f t="shared" si="114"/>
        <v>66955.524339447016</v>
      </c>
      <c r="AD140" s="41">
        <f t="shared" si="114"/>
        <v>64097.732282835401</v>
      </c>
      <c r="AE140" s="41">
        <f t="shared" si="114"/>
        <v>66590.437151165708</v>
      </c>
      <c r="AF140" s="41">
        <f t="shared" si="114"/>
        <v>60933.050899699025</v>
      </c>
      <c r="AG140" s="41">
        <f t="shared" si="114"/>
        <v>47449.128053701359</v>
      </c>
      <c r="AH140" s="41">
        <f t="shared" si="114"/>
        <v>54985.702458963104</v>
      </c>
      <c r="AI140" s="41">
        <f t="shared" si="114"/>
        <v>70849.228874583001</v>
      </c>
      <c r="AJ140" s="41">
        <f t="shared" si="114"/>
        <v>69148.412813314935</v>
      </c>
      <c r="AK140" s="41">
        <f t="shared" si="114"/>
        <v>77778.333670427601</v>
      </c>
      <c r="AL140" s="41">
        <f t="shared" si="114"/>
        <v>72635.26183862047</v>
      </c>
      <c r="AM140" s="41">
        <f t="shared" si="114"/>
        <v>70970.418509473617</v>
      </c>
      <c r="AN140" s="41">
        <f t="shared" si="114"/>
        <v>82081.415628436356</v>
      </c>
      <c r="AO140" s="41">
        <f t="shared" si="114"/>
        <v>80607.972031249592</v>
      </c>
      <c r="AP140" s="41">
        <f t="shared" si="114"/>
        <v>82453.066604505861</v>
      </c>
      <c r="AQ140" s="41">
        <f t="shared" si="114"/>
        <v>77641.463165408873</v>
      </c>
      <c r="AR140" s="41">
        <f t="shared" si="114"/>
        <v>70752.181245623229</v>
      </c>
      <c r="AS140" s="41">
        <f t="shared" si="114"/>
        <v>55984.517628086622</v>
      </c>
      <c r="AT140" s="41">
        <f t="shared" si="114"/>
        <v>64693.899948996594</v>
      </c>
      <c r="AU140" s="41">
        <f t="shared" si="114"/>
        <v>77338.183971861145</v>
      </c>
      <c r="AV140" s="41">
        <f t="shared" si="114"/>
        <v>79309.927325538069</v>
      </c>
      <c r="AW140" s="41">
        <f t="shared" si="114"/>
        <v>87503.499663424722</v>
      </c>
      <c r="AX140" s="41">
        <f t="shared" si="114"/>
        <v>80540.961907320525</v>
      </c>
      <c r="AY140" s="41">
        <f t="shared" si="114"/>
        <v>78164.586629244412</v>
      </c>
      <c r="AZ140" s="41">
        <f t="shared" si="114"/>
        <v>90298.904114941834</v>
      </c>
      <c r="BA140" s="41">
        <f t="shared" si="114"/>
        <v>88669.077319480959</v>
      </c>
      <c r="BB140" s="41">
        <f t="shared" si="114"/>
        <v>90698.378041409393</v>
      </c>
      <c r="BC140" s="41">
        <f t="shared" si="114"/>
        <v>85405.609506446504</v>
      </c>
      <c r="BD140" s="41">
        <f t="shared" si="114"/>
        <v>77827.399370242085</v>
      </c>
      <c r="BE140" s="41">
        <f t="shared" si="114"/>
        <v>61582.969390895334</v>
      </c>
      <c r="BF140" s="41">
        <f t="shared" si="114"/>
        <v>71163.289943896263</v>
      </c>
      <c r="BG140" s="41">
        <f t="shared" si="114"/>
        <v>85072.002369047259</v>
      </c>
      <c r="BH140" s="41">
        <f t="shared" si="114"/>
        <v>87240.920058091899</v>
      </c>
      <c r="BI140" s="41">
        <f t="shared" si="114"/>
        <v>96253.84962976721</v>
      </c>
    </row>
    <row r="141" spans="4:61" x14ac:dyDescent="0.35"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</row>
    <row r="142" spans="4:61" x14ac:dyDescent="0.35">
      <c r="D142" s="1" t="s">
        <v>89</v>
      </c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</row>
    <row r="143" spans="4:61" x14ac:dyDescent="0.35"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</row>
    <row r="144" spans="4:61" s="4" customFormat="1" x14ac:dyDescent="0.35">
      <c r="E144" s="4" t="str">
        <f>Hypothèses_trajectoire!E63</f>
        <v>Taux de rejet à l'engagement</v>
      </c>
      <c r="I144" s="14">
        <f>Hypothèses_trajectoire!I63</f>
        <v>0.1</v>
      </c>
      <c r="J144" s="4" t="str">
        <f>Hypothèses_trajectoire!J63</f>
        <v>% p.m</v>
      </c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</row>
    <row r="145" spans="4:61" x14ac:dyDescent="0.35">
      <c r="E145" t="str">
        <f>E140</f>
        <v>Volume actes de gestion</v>
      </c>
      <c r="J145" t="str">
        <f>J140</f>
        <v>Volume</v>
      </c>
      <c r="N145" s="16">
        <f t="shared" ref="N145:BI145" si="115">N140</f>
        <v>4064.1781518190091</v>
      </c>
      <c r="O145" s="16">
        <f t="shared" si="115"/>
        <v>8750.1273436216925</v>
      </c>
      <c r="P145" s="16">
        <f t="shared" si="115"/>
        <v>10253.827443224622</v>
      </c>
      <c r="Q145" s="16">
        <f t="shared" si="115"/>
        <v>6937.6367333505787</v>
      </c>
      <c r="R145" s="16">
        <f t="shared" si="115"/>
        <v>7335.2893780506092</v>
      </c>
      <c r="S145" s="16">
        <f t="shared" si="115"/>
        <v>14793.489747150554</v>
      </c>
      <c r="T145" s="16">
        <f t="shared" si="115"/>
        <v>17378.50589596299</v>
      </c>
      <c r="U145" s="16">
        <f t="shared" si="115"/>
        <v>13267.171157032084</v>
      </c>
      <c r="V145" s="16">
        <f t="shared" si="115"/>
        <v>16499.322174316894</v>
      </c>
      <c r="W145" s="16">
        <f t="shared" si="115"/>
        <v>24499.692742672156</v>
      </c>
      <c r="X145" s="16">
        <f t="shared" si="115"/>
        <v>28509.187433064253</v>
      </c>
      <c r="Y145" s="16">
        <f t="shared" si="115"/>
        <v>29008.730493205538</v>
      </c>
      <c r="Z145" s="16">
        <f t="shared" si="115"/>
        <v>43937.287465515001</v>
      </c>
      <c r="AA145" s="16">
        <f t="shared" si="115"/>
        <v>50612.240641179356</v>
      </c>
      <c r="AB145" s="16">
        <f t="shared" si="115"/>
        <v>65214.912098776367</v>
      </c>
      <c r="AC145" s="16">
        <f t="shared" si="115"/>
        <v>66955.524339447016</v>
      </c>
      <c r="AD145" s="16">
        <f t="shared" si="115"/>
        <v>64097.732282835401</v>
      </c>
      <c r="AE145" s="16">
        <f t="shared" si="115"/>
        <v>66590.437151165708</v>
      </c>
      <c r="AF145" s="16">
        <f t="shared" si="115"/>
        <v>60933.050899699025</v>
      </c>
      <c r="AG145" s="16">
        <f t="shared" si="115"/>
        <v>47449.128053701359</v>
      </c>
      <c r="AH145" s="16">
        <f t="shared" si="115"/>
        <v>54985.702458963104</v>
      </c>
      <c r="AI145" s="16">
        <f t="shared" si="115"/>
        <v>70849.228874583001</v>
      </c>
      <c r="AJ145" s="16">
        <f t="shared" si="115"/>
        <v>69148.412813314935</v>
      </c>
      <c r="AK145" s="16">
        <f t="shared" si="115"/>
        <v>77778.333670427601</v>
      </c>
      <c r="AL145" s="16">
        <f t="shared" si="115"/>
        <v>72635.26183862047</v>
      </c>
      <c r="AM145" s="16">
        <f t="shared" si="115"/>
        <v>70970.418509473617</v>
      </c>
      <c r="AN145" s="16">
        <f t="shared" si="115"/>
        <v>82081.415628436356</v>
      </c>
      <c r="AO145" s="16">
        <f t="shared" si="115"/>
        <v>80607.972031249592</v>
      </c>
      <c r="AP145" s="16">
        <f t="shared" si="115"/>
        <v>82453.066604505861</v>
      </c>
      <c r="AQ145" s="16">
        <f t="shared" si="115"/>
        <v>77641.463165408873</v>
      </c>
      <c r="AR145" s="16">
        <f t="shared" si="115"/>
        <v>70752.181245623229</v>
      </c>
      <c r="AS145" s="16">
        <f t="shared" si="115"/>
        <v>55984.517628086622</v>
      </c>
      <c r="AT145" s="16">
        <f t="shared" si="115"/>
        <v>64693.899948996594</v>
      </c>
      <c r="AU145" s="16">
        <f t="shared" si="115"/>
        <v>77338.183971861145</v>
      </c>
      <c r="AV145" s="16">
        <f t="shared" si="115"/>
        <v>79309.927325538069</v>
      </c>
      <c r="AW145" s="16">
        <f t="shared" si="115"/>
        <v>87503.499663424722</v>
      </c>
      <c r="AX145" s="16">
        <f t="shared" si="115"/>
        <v>80540.961907320525</v>
      </c>
      <c r="AY145" s="16">
        <f t="shared" si="115"/>
        <v>78164.586629244412</v>
      </c>
      <c r="AZ145" s="16">
        <f t="shared" si="115"/>
        <v>90298.904114941834</v>
      </c>
      <c r="BA145" s="16">
        <f t="shared" si="115"/>
        <v>88669.077319480959</v>
      </c>
      <c r="BB145" s="16">
        <f t="shared" si="115"/>
        <v>90698.378041409393</v>
      </c>
      <c r="BC145" s="16">
        <f t="shared" si="115"/>
        <v>85405.609506446504</v>
      </c>
      <c r="BD145" s="16">
        <f t="shared" si="115"/>
        <v>77827.399370242085</v>
      </c>
      <c r="BE145" s="16">
        <f t="shared" si="115"/>
        <v>61582.969390895334</v>
      </c>
      <c r="BF145" s="16">
        <f t="shared" si="115"/>
        <v>71163.289943896263</v>
      </c>
      <c r="BG145" s="16">
        <f t="shared" si="115"/>
        <v>85072.002369047259</v>
      </c>
      <c r="BH145" s="16">
        <f t="shared" si="115"/>
        <v>87240.920058091899</v>
      </c>
      <c r="BI145" s="16">
        <f t="shared" si="115"/>
        <v>96253.84962976721</v>
      </c>
    </row>
    <row r="146" spans="4:61" x14ac:dyDescent="0.35"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</row>
    <row r="147" spans="4:61" s="26" customFormat="1" x14ac:dyDescent="0.35">
      <c r="E147" s="26" t="str">
        <f>"Volumes-"&amp;Paramétrage_général!I26&amp;"-Trajectoire"</f>
        <v>Volumes-Engagement-Trajectoire</v>
      </c>
      <c r="J147" s="26" t="s">
        <v>50</v>
      </c>
      <c r="N147" s="91">
        <f>N145*(1-$I144)</f>
        <v>3657.7603366371081</v>
      </c>
      <c r="O147" s="91">
        <f t="shared" ref="O147:BI147" si="116">O145*(1-$I144)</f>
        <v>7875.1146092595236</v>
      </c>
      <c r="P147" s="91">
        <f t="shared" si="116"/>
        <v>9228.4446989021599</v>
      </c>
      <c r="Q147" s="91">
        <f t="shared" si="116"/>
        <v>6243.8730600155213</v>
      </c>
      <c r="R147" s="91">
        <f t="shared" si="116"/>
        <v>6601.7604402455481</v>
      </c>
      <c r="S147" s="91">
        <f t="shared" si="116"/>
        <v>13314.140772435499</v>
      </c>
      <c r="T147" s="91">
        <f t="shared" si="116"/>
        <v>15640.655306366691</v>
      </c>
      <c r="U147" s="91">
        <f t="shared" si="116"/>
        <v>11940.454041328876</v>
      </c>
      <c r="V147" s="91">
        <f t="shared" si="116"/>
        <v>14849.389956885205</v>
      </c>
      <c r="W147" s="91">
        <f t="shared" si="116"/>
        <v>22049.72346840494</v>
      </c>
      <c r="X147" s="91">
        <f t="shared" si="116"/>
        <v>25658.268689757828</v>
      </c>
      <c r="Y147" s="91">
        <f t="shared" si="116"/>
        <v>26107.857443884983</v>
      </c>
      <c r="Z147" s="91">
        <f t="shared" si="116"/>
        <v>39543.558718963504</v>
      </c>
      <c r="AA147" s="91">
        <f t="shared" si="116"/>
        <v>45551.016577061419</v>
      </c>
      <c r="AB147" s="91">
        <f t="shared" si="116"/>
        <v>58693.420888898734</v>
      </c>
      <c r="AC147" s="91">
        <f t="shared" si="116"/>
        <v>60259.971905502316</v>
      </c>
      <c r="AD147" s="91">
        <f t="shared" si="116"/>
        <v>57687.959054551859</v>
      </c>
      <c r="AE147" s="91">
        <f t="shared" si="116"/>
        <v>59931.39343604914</v>
      </c>
      <c r="AF147" s="91">
        <f t="shared" si="116"/>
        <v>54839.745809729124</v>
      </c>
      <c r="AG147" s="91">
        <f t="shared" si="116"/>
        <v>42704.215248331224</v>
      </c>
      <c r="AH147" s="91">
        <f t="shared" si="116"/>
        <v>49487.132213066798</v>
      </c>
      <c r="AI147" s="91">
        <f t="shared" si="116"/>
        <v>63764.305987124702</v>
      </c>
      <c r="AJ147" s="91">
        <f t="shared" si="116"/>
        <v>62233.571531983442</v>
      </c>
      <c r="AK147" s="91">
        <f t="shared" si="116"/>
        <v>70000.500303384848</v>
      </c>
      <c r="AL147" s="91">
        <f t="shared" si="116"/>
        <v>65371.735654758428</v>
      </c>
      <c r="AM147" s="91">
        <f t="shared" si="116"/>
        <v>63873.376658526257</v>
      </c>
      <c r="AN147" s="91">
        <f t="shared" si="116"/>
        <v>73873.274065592719</v>
      </c>
      <c r="AO147" s="91">
        <f t="shared" si="116"/>
        <v>72547.17482812464</v>
      </c>
      <c r="AP147" s="91">
        <f t="shared" si="116"/>
        <v>74207.759944055273</v>
      </c>
      <c r="AQ147" s="91">
        <f t="shared" si="116"/>
        <v>69877.316848867995</v>
      </c>
      <c r="AR147" s="91">
        <f t="shared" si="116"/>
        <v>63676.963121060908</v>
      </c>
      <c r="AS147" s="91">
        <f t="shared" si="116"/>
        <v>50386.06586527796</v>
      </c>
      <c r="AT147" s="91">
        <f t="shared" si="116"/>
        <v>58224.509954096939</v>
      </c>
      <c r="AU147" s="91">
        <f t="shared" si="116"/>
        <v>69604.36557467503</v>
      </c>
      <c r="AV147" s="91">
        <f t="shared" si="116"/>
        <v>71378.934592984268</v>
      </c>
      <c r="AW147" s="91">
        <f t="shared" si="116"/>
        <v>78753.149697082248</v>
      </c>
      <c r="AX147" s="91">
        <f t="shared" si="116"/>
        <v>72486.86571658848</v>
      </c>
      <c r="AY147" s="91">
        <f t="shared" si="116"/>
        <v>70348.127966319968</v>
      </c>
      <c r="AZ147" s="91">
        <f t="shared" si="116"/>
        <v>81269.01370344765</v>
      </c>
      <c r="BA147" s="91">
        <f t="shared" si="116"/>
        <v>79802.169587532859</v>
      </c>
      <c r="BB147" s="91">
        <f t="shared" si="116"/>
        <v>81628.540237268462</v>
      </c>
      <c r="BC147" s="91">
        <f t="shared" si="116"/>
        <v>76865.048555801855</v>
      </c>
      <c r="BD147" s="91">
        <f t="shared" si="116"/>
        <v>70044.659433217879</v>
      </c>
      <c r="BE147" s="91">
        <f t="shared" si="116"/>
        <v>55424.672451805804</v>
      </c>
      <c r="BF147" s="91">
        <f t="shared" si="116"/>
        <v>64046.96094950664</v>
      </c>
      <c r="BG147" s="91">
        <f t="shared" si="116"/>
        <v>76564.802132142533</v>
      </c>
      <c r="BH147" s="91">
        <f t="shared" si="116"/>
        <v>78516.828052282712</v>
      </c>
      <c r="BI147" s="91">
        <f t="shared" si="116"/>
        <v>86628.464666790489</v>
      </c>
    </row>
    <row r="148" spans="4:61" s="26" customFormat="1" x14ac:dyDescent="0.35">
      <c r="E148" s="26" t="str">
        <f>"Volumes-"&amp;Paramétrage_général!I27&amp;"-Trajectoire"</f>
        <v>Volumes-Rejet de l'engagement-Trajectoire</v>
      </c>
      <c r="J148" s="26" t="s">
        <v>50</v>
      </c>
      <c r="N148" s="91">
        <f>N145*$I$144</f>
        <v>406.41781518190095</v>
      </c>
      <c r="O148" s="91">
        <f t="shared" ref="O148:BI148" si="117">O145*$I$144</f>
        <v>875.01273436216934</v>
      </c>
      <c r="P148" s="91">
        <f t="shared" si="117"/>
        <v>1025.3827443224623</v>
      </c>
      <c r="Q148" s="91">
        <f t="shared" si="117"/>
        <v>693.76367333505789</v>
      </c>
      <c r="R148" s="91">
        <f t="shared" si="117"/>
        <v>733.52893780506099</v>
      </c>
      <c r="S148" s="91">
        <f t="shared" si="117"/>
        <v>1479.3489747150554</v>
      </c>
      <c r="T148" s="91">
        <f t="shared" si="117"/>
        <v>1737.850589596299</v>
      </c>
      <c r="U148" s="91">
        <f t="shared" si="117"/>
        <v>1326.7171157032085</v>
      </c>
      <c r="V148" s="91">
        <f t="shared" si="117"/>
        <v>1649.9322174316894</v>
      </c>
      <c r="W148" s="91">
        <f t="shared" si="117"/>
        <v>2449.9692742672155</v>
      </c>
      <c r="X148" s="91">
        <f t="shared" si="117"/>
        <v>2850.9187433064253</v>
      </c>
      <c r="Y148" s="91">
        <f t="shared" si="117"/>
        <v>2900.8730493205539</v>
      </c>
      <c r="Z148" s="91">
        <f t="shared" si="117"/>
        <v>4393.7287465515001</v>
      </c>
      <c r="AA148" s="91">
        <f t="shared" si="117"/>
        <v>5061.224064117936</v>
      </c>
      <c r="AB148" s="91">
        <f t="shared" si="117"/>
        <v>6521.4912098776367</v>
      </c>
      <c r="AC148" s="91">
        <f t="shared" si="117"/>
        <v>6695.552433944702</v>
      </c>
      <c r="AD148" s="91">
        <f t="shared" si="117"/>
        <v>6409.7732282835404</v>
      </c>
      <c r="AE148" s="91">
        <f t="shared" si="117"/>
        <v>6659.0437151165715</v>
      </c>
      <c r="AF148" s="91">
        <f t="shared" si="117"/>
        <v>6093.3050899699028</v>
      </c>
      <c r="AG148" s="91">
        <f t="shared" si="117"/>
        <v>4744.9128053701361</v>
      </c>
      <c r="AH148" s="91">
        <f t="shared" si="117"/>
        <v>5498.5702458963106</v>
      </c>
      <c r="AI148" s="91">
        <f t="shared" si="117"/>
        <v>7084.9228874583005</v>
      </c>
      <c r="AJ148" s="91">
        <f t="shared" si="117"/>
        <v>6914.8412813314935</v>
      </c>
      <c r="AK148" s="91">
        <f t="shared" si="117"/>
        <v>7777.8333670427601</v>
      </c>
      <c r="AL148" s="91">
        <f t="shared" si="117"/>
        <v>7263.5261838620472</v>
      </c>
      <c r="AM148" s="91">
        <f t="shared" si="117"/>
        <v>7097.041850947362</v>
      </c>
      <c r="AN148" s="91">
        <f t="shared" si="117"/>
        <v>8208.1415628436353</v>
      </c>
      <c r="AO148" s="91">
        <f t="shared" si="117"/>
        <v>8060.7972031249592</v>
      </c>
      <c r="AP148" s="91">
        <f t="shared" si="117"/>
        <v>8245.3066604505857</v>
      </c>
      <c r="AQ148" s="91">
        <f t="shared" si="117"/>
        <v>7764.1463165408877</v>
      </c>
      <c r="AR148" s="91">
        <f t="shared" si="117"/>
        <v>7075.2181245623233</v>
      </c>
      <c r="AS148" s="91">
        <f t="shared" si="117"/>
        <v>5598.4517628086624</v>
      </c>
      <c r="AT148" s="91">
        <f t="shared" si="117"/>
        <v>6469.3899948996595</v>
      </c>
      <c r="AU148" s="91">
        <f t="shared" si="117"/>
        <v>7733.8183971861145</v>
      </c>
      <c r="AV148" s="91">
        <f t="shared" si="117"/>
        <v>7930.9927325538074</v>
      </c>
      <c r="AW148" s="91">
        <f t="shared" si="117"/>
        <v>8750.3499663424718</v>
      </c>
      <c r="AX148" s="91">
        <f t="shared" si="117"/>
        <v>8054.0961907320525</v>
      </c>
      <c r="AY148" s="91">
        <f t="shared" si="117"/>
        <v>7816.4586629244413</v>
      </c>
      <c r="AZ148" s="91">
        <f t="shared" si="117"/>
        <v>9029.8904114941834</v>
      </c>
      <c r="BA148" s="91">
        <f t="shared" si="117"/>
        <v>8866.9077319480966</v>
      </c>
      <c r="BB148" s="91">
        <f t="shared" si="117"/>
        <v>9069.8378041409396</v>
      </c>
      <c r="BC148" s="91">
        <f t="shared" si="117"/>
        <v>8540.5609506446508</v>
      </c>
      <c r="BD148" s="91">
        <f t="shared" si="117"/>
        <v>7782.7399370242092</v>
      </c>
      <c r="BE148" s="91">
        <f t="shared" si="117"/>
        <v>6158.2969390895341</v>
      </c>
      <c r="BF148" s="91">
        <f t="shared" si="117"/>
        <v>7116.328994389627</v>
      </c>
      <c r="BG148" s="91">
        <f t="shared" si="117"/>
        <v>8507.2002369047259</v>
      </c>
      <c r="BH148" s="91">
        <f t="shared" si="117"/>
        <v>8724.0920058091906</v>
      </c>
      <c r="BI148" s="91">
        <f t="shared" si="117"/>
        <v>9625.384962976721</v>
      </c>
    </row>
    <row r="149" spans="4:61" x14ac:dyDescent="0.35"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</row>
    <row r="150" spans="4:61" x14ac:dyDescent="0.35">
      <c r="D150" s="1" t="s">
        <v>90</v>
      </c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</row>
    <row r="151" spans="4:61" x14ac:dyDescent="0.35"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</row>
    <row r="152" spans="4:61" s="4" customFormat="1" x14ac:dyDescent="0.35">
      <c r="E152" s="4" t="str">
        <f>Time!E19</f>
        <v>Frise mensuelle-début de période</v>
      </c>
      <c r="J152" s="4" t="str">
        <f>Time!J19</f>
        <v>date</v>
      </c>
      <c r="N152" s="5">
        <f>Time!N19</f>
        <v>43831</v>
      </c>
      <c r="O152" s="5">
        <f>Time!O19</f>
        <v>43862</v>
      </c>
      <c r="P152" s="5">
        <f>Time!P19</f>
        <v>43891</v>
      </c>
      <c r="Q152" s="5">
        <f>Time!Q19</f>
        <v>43922</v>
      </c>
      <c r="R152" s="5">
        <f>Time!R19</f>
        <v>43952</v>
      </c>
      <c r="S152" s="5">
        <f>Time!S19</f>
        <v>43983</v>
      </c>
      <c r="T152" s="5">
        <f>Time!T19</f>
        <v>44013</v>
      </c>
      <c r="U152" s="5">
        <f>Time!U19</f>
        <v>44044</v>
      </c>
      <c r="V152" s="5">
        <f>Time!V19</f>
        <v>44075</v>
      </c>
      <c r="W152" s="5">
        <f>Time!W19</f>
        <v>44105</v>
      </c>
      <c r="X152" s="5">
        <f>Time!X19</f>
        <v>44136</v>
      </c>
      <c r="Y152" s="5">
        <f>Time!Y19</f>
        <v>44166</v>
      </c>
      <c r="Z152" s="5">
        <f>Time!Z19</f>
        <v>44197</v>
      </c>
      <c r="AA152" s="5">
        <f>Time!AA19</f>
        <v>44228</v>
      </c>
      <c r="AB152" s="5">
        <f>Time!AB19</f>
        <v>44256</v>
      </c>
      <c r="AC152" s="5">
        <f>Time!AC19</f>
        <v>44287</v>
      </c>
      <c r="AD152" s="5">
        <f>Time!AD19</f>
        <v>44317</v>
      </c>
      <c r="AE152" s="5">
        <f>Time!AE19</f>
        <v>44348</v>
      </c>
      <c r="AF152" s="5">
        <f>Time!AF19</f>
        <v>44378</v>
      </c>
      <c r="AG152" s="5">
        <f>Time!AG19</f>
        <v>44409</v>
      </c>
      <c r="AH152" s="5">
        <f>Time!AH19</f>
        <v>44440</v>
      </c>
      <c r="AI152" s="5">
        <f>Time!AI19</f>
        <v>44470</v>
      </c>
      <c r="AJ152" s="5">
        <f>Time!AJ19</f>
        <v>44501</v>
      </c>
      <c r="AK152" s="5">
        <f>Time!AK19</f>
        <v>44531</v>
      </c>
      <c r="AL152" s="5">
        <f>Time!AL19</f>
        <v>44562</v>
      </c>
      <c r="AM152" s="5">
        <f>Time!AM19</f>
        <v>44593</v>
      </c>
      <c r="AN152" s="5">
        <f>Time!AN19</f>
        <v>44621</v>
      </c>
      <c r="AO152" s="5">
        <f>Time!AO19</f>
        <v>44652</v>
      </c>
      <c r="AP152" s="5">
        <f>Time!AP19</f>
        <v>44682</v>
      </c>
      <c r="AQ152" s="5">
        <f>Time!AQ19</f>
        <v>44713</v>
      </c>
      <c r="AR152" s="5">
        <f>Time!AR19</f>
        <v>44743</v>
      </c>
      <c r="AS152" s="5">
        <f>Time!AS19</f>
        <v>44774</v>
      </c>
      <c r="AT152" s="5">
        <f>Time!AT19</f>
        <v>44805</v>
      </c>
      <c r="AU152" s="5">
        <f>Time!AU19</f>
        <v>44835</v>
      </c>
      <c r="AV152" s="5">
        <f>Time!AV19</f>
        <v>44866</v>
      </c>
      <c r="AW152" s="5">
        <f>Time!AW19</f>
        <v>44896</v>
      </c>
      <c r="AX152" s="5">
        <f>Time!AX19</f>
        <v>44927</v>
      </c>
      <c r="AY152" s="5">
        <f>Time!AY19</f>
        <v>44958</v>
      </c>
      <c r="AZ152" s="5">
        <f>Time!AZ19</f>
        <v>44986</v>
      </c>
      <c r="BA152" s="5">
        <f>Time!BA19</f>
        <v>45017</v>
      </c>
      <c r="BB152" s="5">
        <f>Time!BB19</f>
        <v>45047</v>
      </c>
      <c r="BC152" s="5">
        <f>Time!BC19</f>
        <v>45078</v>
      </c>
      <c r="BD152" s="5">
        <f>Time!BD19</f>
        <v>45108</v>
      </c>
      <c r="BE152" s="5">
        <f>Time!BE19</f>
        <v>45139</v>
      </c>
      <c r="BF152" s="5">
        <f>Time!BF19</f>
        <v>45170</v>
      </c>
      <c r="BG152" s="5">
        <f>Time!BG19</f>
        <v>45200</v>
      </c>
      <c r="BH152" s="5">
        <f>Time!BH19</f>
        <v>45231</v>
      </c>
      <c r="BI152" s="5">
        <f>Time!BI19</f>
        <v>45261</v>
      </c>
    </row>
    <row r="153" spans="4:61" s="4" customFormat="1" x14ac:dyDescent="0.35">
      <c r="E153" s="4" t="str">
        <f>Hypothèses_trajectoire!E63</f>
        <v>Taux de rejet à l'engagement</v>
      </c>
      <c r="I153" s="14">
        <f>Hypothèses_trajectoire!I63</f>
        <v>0.1</v>
      </c>
      <c r="J153" s="4" t="str">
        <f>Hypothèses_trajectoire!J63</f>
        <v>% p.m</v>
      </c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</row>
    <row r="154" spans="4:61" s="4" customFormat="1" x14ac:dyDescent="0.35">
      <c r="E154" s="4" t="str">
        <f>Dépôts!E36</f>
        <v>Volumes-Dépôt</v>
      </c>
      <c r="J154" s="4" t="str">
        <f>Dépôts!J36</f>
        <v>Volume</v>
      </c>
      <c r="N154" s="85">
        <f>Dépôts!N36</f>
        <v>6320</v>
      </c>
      <c r="O154" s="85">
        <f>Dépôts!O36</f>
        <v>11443</v>
      </c>
      <c r="P154" s="85">
        <f>Dépôts!P36</f>
        <v>9961</v>
      </c>
      <c r="Q154" s="85">
        <f>Dépôts!Q36</f>
        <v>5157</v>
      </c>
      <c r="R154" s="85">
        <f>Dépôts!R36</f>
        <v>7758</v>
      </c>
      <c r="S154" s="85">
        <f>Dépôts!S36</f>
        <v>19366</v>
      </c>
      <c r="T154" s="85">
        <f>Dépôts!T36</f>
        <v>17473</v>
      </c>
      <c r="U154" s="85">
        <f>Dépôts!U36</f>
        <v>10690</v>
      </c>
      <c r="V154" s="85">
        <f>Dépôts!V36</f>
        <v>19315</v>
      </c>
      <c r="W154" s="85">
        <f>Dépôts!W36</f>
        <v>28065</v>
      </c>
      <c r="X154" s="85">
        <f>Dépôts!X36</f>
        <v>30651</v>
      </c>
      <c r="Y154" s="85">
        <f>Dépôts!Y36</f>
        <v>27939</v>
      </c>
      <c r="Z154" s="85">
        <f>Dépôts!Z36</f>
        <v>52269</v>
      </c>
      <c r="AA154" s="85">
        <f>Dépôts!AA36</f>
        <v>57486</v>
      </c>
      <c r="AB154" s="85">
        <f>Dépôts!AB36</f>
        <v>67267</v>
      </c>
      <c r="AC154" s="85">
        <f>Dépôts!AC36</f>
        <v>68625</v>
      </c>
      <c r="AD154" s="85">
        <f>Dépôts!AD36</f>
        <v>60334</v>
      </c>
      <c r="AE154" s="85">
        <f>Dépôts!AE36</f>
        <v>70423</v>
      </c>
      <c r="AF154" s="85">
        <f>Dépôts!AF36</f>
        <v>55455</v>
      </c>
      <c r="AG154" s="85">
        <f>Dépôts!AG36</f>
        <v>40687</v>
      </c>
      <c r="AH154" s="85">
        <f>Dépôts!AH36</f>
        <v>62423</v>
      </c>
      <c r="AI154" s="85">
        <f>Dépôts!AI36</f>
        <v>77015</v>
      </c>
      <c r="AJ154" s="85">
        <f>Dépôts!AJ36</f>
        <v>68409</v>
      </c>
      <c r="AK154" s="85">
        <f>Dépôts!AK36</f>
        <v>80621</v>
      </c>
      <c r="AL154" s="85">
        <f>Dépôts!AL36</f>
        <v>69086.403111506734</v>
      </c>
      <c r="AM154" s="85">
        <f>Dépôts!AM36</f>
        <v>77214.215242272243</v>
      </c>
      <c r="AN154" s="85">
        <f>Dépôts!AN36</f>
        <v>81278.12130765499</v>
      </c>
      <c r="AO154" s="85">
        <f>Dépôts!AO36</f>
        <v>81278.12130765499</v>
      </c>
      <c r="AP154" s="85">
        <f>Dépôts!AP36</f>
        <v>81278.12130765499</v>
      </c>
      <c r="AQ154" s="85">
        <f>Dépôts!AQ36</f>
        <v>77214.215242272243</v>
      </c>
      <c r="AR154" s="85">
        <f>Dépôts!AR36</f>
        <v>65022.497046123994</v>
      </c>
      <c r="AS154" s="85">
        <f>Dépôts!AS36</f>
        <v>48766.87278459299</v>
      </c>
      <c r="AT154" s="85">
        <f>Dépôts!AT36</f>
        <v>73150.309176889496</v>
      </c>
      <c r="AU154" s="85">
        <f>Dépôts!AU36</f>
        <v>81278.12130765499</v>
      </c>
      <c r="AV154" s="85">
        <f>Dépôts!AV36</f>
        <v>81278.12130765499</v>
      </c>
      <c r="AW154" s="85">
        <f>Dépôts!AW36</f>
        <v>89405.933438420499</v>
      </c>
      <c r="AX154" s="85">
        <f>Dépôts!AX36</f>
        <v>75995.043422657429</v>
      </c>
      <c r="AY154" s="85">
        <f>Dépôts!AY36</f>
        <v>84935.636766499476</v>
      </c>
      <c r="AZ154" s="85">
        <f>Dépôts!AZ36</f>
        <v>89405.933438420499</v>
      </c>
      <c r="BA154" s="85">
        <f>Dépôts!BA36</f>
        <v>89405.933438420499</v>
      </c>
      <c r="BB154" s="85">
        <f>Dépôts!BB36</f>
        <v>89405.933438420499</v>
      </c>
      <c r="BC154" s="85">
        <f>Dépôts!BC36</f>
        <v>84935.636766499476</v>
      </c>
      <c r="BD154" s="85">
        <f>Dépôts!BD36</f>
        <v>71524.746750736405</v>
      </c>
      <c r="BE154" s="85">
        <f>Dépôts!BE36</f>
        <v>53643.560063052297</v>
      </c>
      <c r="BF154" s="85">
        <f>Dépôts!BF36</f>
        <v>80465.340094578452</v>
      </c>
      <c r="BG154" s="85">
        <f>Dépôts!BG36</f>
        <v>89405.933438420499</v>
      </c>
      <c r="BH154" s="85">
        <f>Dépôts!BH36</f>
        <v>89405.933438420499</v>
      </c>
      <c r="BI154" s="85">
        <f>Dépôts!BI36</f>
        <v>98346.526782262561</v>
      </c>
    </row>
    <row r="155" spans="4:61" s="4" customFormat="1" x14ac:dyDescent="0.35">
      <c r="E155" s="4" t="str">
        <f>Dépôts!E67</f>
        <v>Montant-Dépôt</v>
      </c>
      <c r="J155" s="4" t="str">
        <f>Dépôts!J67</f>
        <v>EUR</v>
      </c>
      <c r="N155" s="85">
        <f>Dépôts!N67</f>
        <v>23130610.18</v>
      </c>
      <c r="O155" s="85">
        <f>Dépôts!O67</f>
        <v>44398500.210000001</v>
      </c>
      <c r="P155" s="85">
        <f>Dépôts!P67</f>
        <v>40714392.460000001</v>
      </c>
      <c r="Q155" s="85">
        <f>Dépôts!Q67</f>
        <v>25367062.789999999</v>
      </c>
      <c r="R155" s="85">
        <f>Dépôts!R67</f>
        <v>47650754.68</v>
      </c>
      <c r="S155" s="85">
        <f>Dépôts!S67</f>
        <v>117340642.18000001</v>
      </c>
      <c r="T155" s="85">
        <f>Dépôts!T67</f>
        <v>99551541.700000003</v>
      </c>
      <c r="U155" s="85">
        <f>Dépôts!U67</f>
        <v>29948583.800000001</v>
      </c>
      <c r="V155" s="85">
        <f>Dépôts!V67</f>
        <v>63069254.049999997</v>
      </c>
      <c r="W155" s="85">
        <f>Dépôts!W67</f>
        <v>92588493.819999993</v>
      </c>
      <c r="X155" s="85">
        <f>Dépôts!X67</f>
        <v>86151157.519999996</v>
      </c>
      <c r="Y155" s="85">
        <f>Dépôts!Y67</f>
        <v>84977786.239999995</v>
      </c>
      <c r="Z155" s="85">
        <f>Dépôts!Z67</f>
        <v>128670424.92</v>
      </c>
      <c r="AA155" s="85">
        <f>Dépôts!AA67</f>
        <v>149748412.93000001</v>
      </c>
      <c r="AB155" s="85">
        <f>Dépôts!AB67</f>
        <v>201825331.86000001</v>
      </c>
      <c r="AC155" s="85">
        <f>Dépôts!AC67</f>
        <v>198412672.91</v>
      </c>
      <c r="AD155" s="85">
        <f>Dépôts!AD67</f>
        <v>187398985.25</v>
      </c>
      <c r="AE155" s="85">
        <f>Dépôts!AE67</f>
        <v>225117408.47</v>
      </c>
      <c r="AF155" s="85">
        <f>Dépôts!AF67</f>
        <v>192520092.06</v>
      </c>
      <c r="AG155" s="85">
        <f>Dépôts!AG67</f>
        <v>128542065.67</v>
      </c>
      <c r="AH155" s="85">
        <f>Dépôts!AH67</f>
        <v>199918671.38</v>
      </c>
      <c r="AI155" s="85">
        <f>Dépôts!AI67</f>
        <v>255096073.02000001</v>
      </c>
      <c r="AJ155" s="85">
        <f>Dépôts!AJ67</f>
        <v>249452947.46000001</v>
      </c>
      <c r="AK155" s="85">
        <f>Dépôts!AK67</f>
        <v>293575405.31999999</v>
      </c>
      <c r="AL155" s="85">
        <f>Dépôts!AL67</f>
        <v>224160201.8492879</v>
      </c>
      <c r="AM155" s="85">
        <f>Dépôts!AM67</f>
        <v>250531990.30214536</v>
      </c>
      <c r="AN155" s="85">
        <f>Dépôts!AN67</f>
        <v>263717884.52857405</v>
      </c>
      <c r="AO155" s="85">
        <f>Dépôts!AO67</f>
        <v>263717884.52857405</v>
      </c>
      <c r="AP155" s="85">
        <f>Dépôts!AP67</f>
        <v>263717884.52857405</v>
      </c>
      <c r="AQ155" s="85">
        <f>Dépôts!AQ67</f>
        <v>250531990.30214536</v>
      </c>
      <c r="AR155" s="85">
        <f>Dépôts!AR67</f>
        <v>210974307.62285924</v>
      </c>
      <c r="AS155" s="85">
        <f>Dépôts!AS67</f>
        <v>158230730.7171444</v>
      </c>
      <c r="AT155" s="85">
        <f>Dépôts!AT67</f>
        <v>237346096.07571664</v>
      </c>
      <c r="AU155" s="85">
        <f>Dépôts!AU67</f>
        <v>263717884.52857405</v>
      </c>
      <c r="AV155" s="85">
        <f>Dépôts!AV67</f>
        <v>263717884.52857405</v>
      </c>
      <c r="AW155" s="85">
        <f>Dépôts!AW67</f>
        <v>290089672.98143148</v>
      </c>
      <c r="AX155" s="85">
        <f>Dépôts!AX67</f>
        <v>253973508.69524327</v>
      </c>
      <c r="AY155" s="85">
        <f>Dépôts!AY67</f>
        <v>283852745.01233071</v>
      </c>
      <c r="AZ155" s="85">
        <f>Dépôts!AZ67</f>
        <v>298792363.17087442</v>
      </c>
      <c r="BA155" s="85">
        <f>Dépôts!BA67</f>
        <v>298792363.17087442</v>
      </c>
      <c r="BB155" s="85">
        <f>Dépôts!BB67</f>
        <v>298792363.17087442</v>
      </c>
      <c r="BC155" s="85">
        <f>Dépôts!BC67</f>
        <v>283852745.01233071</v>
      </c>
      <c r="BD155" s="85">
        <f>Dépôts!BD67</f>
        <v>239033890.53669956</v>
      </c>
      <c r="BE155" s="85">
        <f>Dépôts!BE67</f>
        <v>179275417.90252465</v>
      </c>
      <c r="BF155" s="85">
        <f>Dépôts!BF67</f>
        <v>268913126.853787</v>
      </c>
      <c r="BG155" s="85">
        <f>Dépôts!BG67</f>
        <v>298792363.17087442</v>
      </c>
      <c r="BH155" s="85">
        <f>Dépôts!BH67</f>
        <v>298792363.17087442</v>
      </c>
      <c r="BI155" s="85">
        <f>Dépôts!BI67</f>
        <v>328671599.48796189</v>
      </c>
    </row>
    <row r="156" spans="4:61" x14ac:dyDescent="0.35"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</row>
    <row r="157" spans="4:61" s="6" customFormat="1" x14ac:dyDescent="0.35">
      <c r="E157" s="6" t="s">
        <v>91</v>
      </c>
      <c r="J157" s="6" t="s">
        <v>51</v>
      </c>
      <c r="N157" s="87">
        <f>N155/N154</f>
        <v>3659.9066740506328</v>
      </c>
      <c r="O157" s="87">
        <f t="shared" ref="O157:BI157" si="118">O155/O154</f>
        <v>3879.970305863847</v>
      </c>
      <c r="P157" s="87">
        <f t="shared" si="118"/>
        <v>4087.3800281096278</v>
      </c>
      <c r="Q157" s="87">
        <f t="shared" si="118"/>
        <v>4918.9572988171412</v>
      </c>
      <c r="R157" s="87">
        <f t="shared" si="118"/>
        <v>6142.1441969579791</v>
      </c>
      <c r="S157" s="87">
        <f t="shared" si="118"/>
        <v>6059.1057616441185</v>
      </c>
      <c r="T157" s="87">
        <f t="shared" si="118"/>
        <v>5697.4498769530137</v>
      </c>
      <c r="U157" s="87">
        <f t="shared" si="118"/>
        <v>2801.5513376987838</v>
      </c>
      <c r="V157" s="87">
        <f t="shared" si="118"/>
        <v>3265.2992001035464</v>
      </c>
      <c r="W157" s="87">
        <f t="shared" si="118"/>
        <v>3299.0733589880633</v>
      </c>
      <c r="X157" s="87">
        <f t="shared" si="118"/>
        <v>2810.7127832697138</v>
      </c>
      <c r="Y157" s="87">
        <f t="shared" si="118"/>
        <v>3041.5471648949497</v>
      </c>
      <c r="Z157" s="87">
        <f t="shared" si="118"/>
        <v>2461.6967020604948</v>
      </c>
      <c r="AA157" s="87">
        <f t="shared" si="118"/>
        <v>2604.9544746546985</v>
      </c>
      <c r="AB157" s="87">
        <f t="shared" si="118"/>
        <v>3000.3617206059439</v>
      </c>
      <c r="AC157" s="87">
        <f t="shared" si="118"/>
        <v>2891.259350236794</v>
      </c>
      <c r="AD157" s="87">
        <f t="shared" si="118"/>
        <v>3106.0262082739418</v>
      </c>
      <c r="AE157" s="87">
        <f t="shared" si="118"/>
        <v>3196.6461024097239</v>
      </c>
      <c r="AF157" s="87">
        <f t="shared" si="118"/>
        <v>3471.6453351365972</v>
      </c>
      <c r="AG157" s="87">
        <f t="shared" si="118"/>
        <v>3159.2908218841399</v>
      </c>
      <c r="AH157" s="87">
        <f t="shared" si="118"/>
        <v>3202.6443999807761</v>
      </c>
      <c r="AI157" s="87">
        <f t="shared" si="118"/>
        <v>3312.2907617996498</v>
      </c>
      <c r="AJ157" s="87">
        <f t="shared" si="118"/>
        <v>3646.4931143562981</v>
      </c>
      <c r="AK157" s="87">
        <f t="shared" si="118"/>
        <v>3641.4259971967599</v>
      </c>
      <c r="AL157" s="87">
        <f t="shared" si="118"/>
        <v>3244.6355831767532</v>
      </c>
      <c r="AM157" s="87">
        <f t="shared" si="118"/>
        <v>3244.6355831767532</v>
      </c>
      <c r="AN157" s="87">
        <f t="shared" si="118"/>
        <v>3244.6355831767532</v>
      </c>
      <c r="AO157" s="87">
        <f t="shared" si="118"/>
        <v>3244.6355831767532</v>
      </c>
      <c r="AP157" s="87">
        <f t="shared" si="118"/>
        <v>3244.6355831767532</v>
      </c>
      <c r="AQ157" s="87">
        <f t="shared" si="118"/>
        <v>3244.6355831767532</v>
      </c>
      <c r="AR157" s="87">
        <f t="shared" si="118"/>
        <v>3244.6355831767532</v>
      </c>
      <c r="AS157" s="87">
        <f t="shared" si="118"/>
        <v>3244.6355831767528</v>
      </c>
      <c r="AT157" s="87">
        <f t="shared" si="118"/>
        <v>3244.6355831767532</v>
      </c>
      <c r="AU157" s="87">
        <f t="shared" si="118"/>
        <v>3244.6355831767532</v>
      </c>
      <c r="AV157" s="87">
        <f t="shared" si="118"/>
        <v>3244.6355831767532</v>
      </c>
      <c r="AW157" s="87">
        <f t="shared" si="118"/>
        <v>3244.6355831767532</v>
      </c>
      <c r="AX157" s="87">
        <f t="shared" si="118"/>
        <v>3341.9746506720558</v>
      </c>
      <c r="AY157" s="87">
        <f t="shared" si="118"/>
        <v>3341.9746506720558</v>
      </c>
      <c r="AZ157" s="87">
        <f t="shared" si="118"/>
        <v>3341.9746506720558</v>
      </c>
      <c r="BA157" s="87">
        <f t="shared" si="118"/>
        <v>3341.9746506720558</v>
      </c>
      <c r="BB157" s="87">
        <f t="shared" si="118"/>
        <v>3341.9746506720558</v>
      </c>
      <c r="BC157" s="87">
        <f t="shared" si="118"/>
        <v>3341.9746506720558</v>
      </c>
      <c r="BD157" s="87">
        <f t="shared" si="118"/>
        <v>3341.9746506720558</v>
      </c>
      <c r="BE157" s="87">
        <f t="shared" si="118"/>
        <v>3341.9746506720558</v>
      </c>
      <c r="BF157" s="87">
        <f t="shared" si="118"/>
        <v>3341.9746506720562</v>
      </c>
      <c r="BG157" s="87">
        <f t="shared" si="118"/>
        <v>3341.9746506720558</v>
      </c>
      <c r="BH157" s="87">
        <f t="shared" si="118"/>
        <v>3341.9746506720558</v>
      </c>
      <c r="BI157" s="87">
        <f t="shared" si="118"/>
        <v>3341.9746506720558</v>
      </c>
    </row>
    <row r="158" spans="4:61" x14ac:dyDescent="0.35"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</row>
    <row r="159" spans="4:61" x14ac:dyDescent="0.35">
      <c r="E159">
        <f t="shared" ref="E159:E170" si="119">E13</f>
        <v>1</v>
      </c>
      <c r="J159" t="str">
        <f t="shared" ref="J159:J170" si="120">J13</f>
        <v>date</v>
      </c>
      <c r="N159" s="7">
        <f t="shared" ref="N159:BI159" si="121">N13</f>
        <v>43831</v>
      </c>
      <c r="O159" s="7">
        <f t="shared" si="121"/>
        <v>43831</v>
      </c>
      <c r="P159" s="7">
        <f t="shared" si="121"/>
        <v>43831</v>
      </c>
      <c r="Q159" s="7">
        <f t="shared" si="121"/>
        <v>43831</v>
      </c>
      <c r="R159" s="7">
        <f t="shared" si="121"/>
        <v>43831</v>
      </c>
      <c r="S159" s="7">
        <f t="shared" si="121"/>
        <v>43831</v>
      </c>
      <c r="T159" s="7">
        <f t="shared" si="121"/>
        <v>43831</v>
      </c>
      <c r="U159" s="7">
        <f t="shared" si="121"/>
        <v>43831</v>
      </c>
      <c r="V159" s="7">
        <f t="shared" si="121"/>
        <v>43831</v>
      </c>
      <c r="W159" s="7">
        <f t="shared" si="121"/>
        <v>43831</v>
      </c>
      <c r="X159" s="7">
        <f t="shared" si="121"/>
        <v>43831</v>
      </c>
      <c r="Y159" s="7">
        <f t="shared" si="121"/>
        <v>43831</v>
      </c>
      <c r="Z159" s="7">
        <f t="shared" si="121"/>
        <v>44197</v>
      </c>
      <c r="AA159" s="7">
        <f t="shared" si="121"/>
        <v>44197</v>
      </c>
      <c r="AB159" s="7">
        <f t="shared" si="121"/>
        <v>44197</v>
      </c>
      <c r="AC159" s="7">
        <f t="shared" si="121"/>
        <v>44197</v>
      </c>
      <c r="AD159" s="7">
        <f t="shared" si="121"/>
        <v>44197</v>
      </c>
      <c r="AE159" s="7">
        <f t="shared" si="121"/>
        <v>44197</v>
      </c>
      <c r="AF159" s="7">
        <f t="shared" si="121"/>
        <v>44197</v>
      </c>
      <c r="AG159" s="7">
        <f t="shared" si="121"/>
        <v>44197</v>
      </c>
      <c r="AH159" s="7">
        <f t="shared" si="121"/>
        <v>44197</v>
      </c>
      <c r="AI159" s="7">
        <f t="shared" si="121"/>
        <v>44197</v>
      </c>
      <c r="AJ159" s="7">
        <f t="shared" si="121"/>
        <v>44197</v>
      </c>
      <c r="AK159" s="7">
        <f t="shared" si="121"/>
        <v>44197</v>
      </c>
      <c r="AL159" s="7">
        <f t="shared" si="121"/>
        <v>44562</v>
      </c>
      <c r="AM159" s="7">
        <f t="shared" si="121"/>
        <v>44562</v>
      </c>
      <c r="AN159" s="7">
        <f t="shared" si="121"/>
        <v>44562</v>
      </c>
      <c r="AO159" s="7">
        <f t="shared" si="121"/>
        <v>44562</v>
      </c>
      <c r="AP159" s="7">
        <f t="shared" si="121"/>
        <v>44562</v>
      </c>
      <c r="AQ159" s="7">
        <f t="shared" si="121"/>
        <v>44562</v>
      </c>
      <c r="AR159" s="7">
        <f t="shared" si="121"/>
        <v>44562</v>
      </c>
      <c r="AS159" s="7">
        <f t="shared" si="121"/>
        <v>44562</v>
      </c>
      <c r="AT159" s="7">
        <f t="shared" si="121"/>
        <v>44562</v>
      </c>
      <c r="AU159" s="7">
        <f t="shared" si="121"/>
        <v>44562</v>
      </c>
      <c r="AV159" s="7">
        <f t="shared" si="121"/>
        <v>44562</v>
      </c>
      <c r="AW159" s="7">
        <f t="shared" si="121"/>
        <v>44562</v>
      </c>
      <c r="AX159" s="7">
        <f t="shared" si="121"/>
        <v>44927</v>
      </c>
      <c r="AY159" s="7">
        <f t="shared" si="121"/>
        <v>44927</v>
      </c>
      <c r="AZ159" s="7">
        <f t="shared" si="121"/>
        <v>44927</v>
      </c>
      <c r="BA159" s="7">
        <f t="shared" si="121"/>
        <v>44927</v>
      </c>
      <c r="BB159" s="7">
        <f t="shared" si="121"/>
        <v>44927</v>
      </c>
      <c r="BC159" s="7">
        <f t="shared" si="121"/>
        <v>44927</v>
      </c>
      <c r="BD159" s="7">
        <f t="shared" si="121"/>
        <v>44927</v>
      </c>
      <c r="BE159" s="7">
        <f t="shared" si="121"/>
        <v>44927</v>
      </c>
      <c r="BF159" s="7">
        <f t="shared" si="121"/>
        <v>44927</v>
      </c>
      <c r="BG159" s="7">
        <f t="shared" si="121"/>
        <v>44927</v>
      </c>
      <c r="BH159" s="7">
        <f t="shared" si="121"/>
        <v>44927</v>
      </c>
      <c r="BI159" s="7">
        <f t="shared" si="121"/>
        <v>44927</v>
      </c>
    </row>
    <row r="160" spans="4:61" x14ac:dyDescent="0.35">
      <c r="E160">
        <f t="shared" si="119"/>
        <v>2</v>
      </c>
      <c r="J160" t="str">
        <f t="shared" si="120"/>
        <v>date</v>
      </c>
      <c r="N160" s="78"/>
      <c r="O160" s="7">
        <f t="shared" ref="O160:BI160" si="122">O14</f>
        <v>43862</v>
      </c>
      <c r="P160" s="7">
        <f t="shared" si="122"/>
        <v>43862</v>
      </c>
      <c r="Q160" s="7">
        <f t="shared" si="122"/>
        <v>43862</v>
      </c>
      <c r="R160" s="7">
        <f t="shared" si="122"/>
        <v>43862</v>
      </c>
      <c r="S160" s="7">
        <f t="shared" si="122"/>
        <v>43862</v>
      </c>
      <c r="T160" s="7">
        <f t="shared" si="122"/>
        <v>43862</v>
      </c>
      <c r="U160" s="7">
        <f t="shared" si="122"/>
        <v>43862</v>
      </c>
      <c r="V160" s="7">
        <f t="shared" si="122"/>
        <v>43862</v>
      </c>
      <c r="W160" s="7">
        <f t="shared" si="122"/>
        <v>43862</v>
      </c>
      <c r="X160" s="7">
        <f t="shared" si="122"/>
        <v>43862</v>
      </c>
      <c r="Y160" s="7">
        <f t="shared" si="122"/>
        <v>43862</v>
      </c>
      <c r="Z160" s="7">
        <f t="shared" si="122"/>
        <v>43862</v>
      </c>
      <c r="AA160" s="7">
        <f t="shared" si="122"/>
        <v>44228</v>
      </c>
      <c r="AB160" s="7">
        <f t="shared" si="122"/>
        <v>44228</v>
      </c>
      <c r="AC160" s="7">
        <f t="shared" si="122"/>
        <v>44228</v>
      </c>
      <c r="AD160" s="7">
        <f t="shared" si="122"/>
        <v>44228</v>
      </c>
      <c r="AE160" s="7">
        <f t="shared" si="122"/>
        <v>44228</v>
      </c>
      <c r="AF160" s="7">
        <f t="shared" si="122"/>
        <v>44228</v>
      </c>
      <c r="AG160" s="7">
        <f t="shared" si="122"/>
        <v>44228</v>
      </c>
      <c r="AH160" s="7">
        <f t="shared" si="122"/>
        <v>44228</v>
      </c>
      <c r="AI160" s="7">
        <f t="shared" si="122"/>
        <v>44228</v>
      </c>
      <c r="AJ160" s="7">
        <f t="shared" si="122"/>
        <v>44228</v>
      </c>
      <c r="AK160" s="7">
        <f t="shared" si="122"/>
        <v>44228</v>
      </c>
      <c r="AL160" s="7">
        <f t="shared" si="122"/>
        <v>44228</v>
      </c>
      <c r="AM160" s="7">
        <f t="shared" si="122"/>
        <v>44593</v>
      </c>
      <c r="AN160" s="7">
        <f t="shared" si="122"/>
        <v>44593</v>
      </c>
      <c r="AO160" s="7">
        <f t="shared" si="122"/>
        <v>44593</v>
      </c>
      <c r="AP160" s="7">
        <f t="shared" si="122"/>
        <v>44593</v>
      </c>
      <c r="AQ160" s="7">
        <f t="shared" si="122"/>
        <v>44593</v>
      </c>
      <c r="AR160" s="7">
        <f t="shared" si="122"/>
        <v>44593</v>
      </c>
      <c r="AS160" s="7">
        <f t="shared" si="122"/>
        <v>44593</v>
      </c>
      <c r="AT160" s="7">
        <f t="shared" si="122"/>
        <v>44593</v>
      </c>
      <c r="AU160" s="7">
        <f t="shared" si="122"/>
        <v>44593</v>
      </c>
      <c r="AV160" s="7">
        <f t="shared" si="122"/>
        <v>44593</v>
      </c>
      <c r="AW160" s="7">
        <f t="shared" si="122"/>
        <v>44593</v>
      </c>
      <c r="AX160" s="7">
        <f t="shared" si="122"/>
        <v>44593</v>
      </c>
      <c r="AY160" s="7">
        <f t="shared" si="122"/>
        <v>44958</v>
      </c>
      <c r="AZ160" s="7">
        <f t="shared" si="122"/>
        <v>44958</v>
      </c>
      <c r="BA160" s="7">
        <f t="shared" si="122"/>
        <v>44958</v>
      </c>
      <c r="BB160" s="7">
        <f t="shared" si="122"/>
        <v>44958</v>
      </c>
      <c r="BC160" s="7">
        <f t="shared" si="122"/>
        <v>44958</v>
      </c>
      <c r="BD160" s="7">
        <f t="shared" si="122"/>
        <v>44958</v>
      </c>
      <c r="BE160" s="7">
        <f t="shared" si="122"/>
        <v>44958</v>
      </c>
      <c r="BF160" s="7">
        <f t="shared" si="122"/>
        <v>44958</v>
      </c>
      <c r="BG160" s="7">
        <f t="shared" si="122"/>
        <v>44958</v>
      </c>
      <c r="BH160" s="7">
        <f t="shared" si="122"/>
        <v>44958</v>
      </c>
      <c r="BI160" s="7">
        <f t="shared" si="122"/>
        <v>44958</v>
      </c>
    </row>
    <row r="161" spans="5:61" x14ac:dyDescent="0.35">
      <c r="E161">
        <f t="shared" si="119"/>
        <v>3</v>
      </c>
      <c r="J161" t="str">
        <f t="shared" si="120"/>
        <v>date</v>
      </c>
      <c r="N161" s="78"/>
      <c r="O161" s="78"/>
      <c r="P161" s="7">
        <f t="shared" ref="P161:BI161" si="123">P15</f>
        <v>43891</v>
      </c>
      <c r="Q161" s="7">
        <f t="shared" si="123"/>
        <v>43891</v>
      </c>
      <c r="R161" s="7">
        <f t="shared" si="123"/>
        <v>43891</v>
      </c>
      <c r="S161" s="7">
        <f t="shared" si="123"/>
        <v>43891</v>
      </c>
      <c r="T161" s="7">
        <f t="shared" si="123"/>
        <v>43891</v>
      </c>
      <c r="U161" s="7">
        <f t="shared" si="123"/>
        <v>43891</v>
      </c>
      <c r="V161" s="7">
        <f t="shared" si="123"/>
        <v>43891</v>
      </c>
      <c r="W161" s="7">
        <f t="shared" si="123"/>
        <v>43891</v>
      </c>
      <c r="X161" s="7">
        <f t="shared" si="123"/>
        <v>43891</v>
      </c>
      <c r="Y161" s="7">
        <f t="shared" si="123"/>
        <v>43891</v>
      </c>
      <c r="Z161" s="7">
        <f t="shared" si="123"/>
        <v>43891</v>
      </c>
      <c r="AA161" s="7">
        <f t="shared" si="123"/>
        <v>43891</v>
      </c>
      <c r="AB161" s="7">
        <f t="shared" si="123"/>
        <v>44256</v>
      </c>
      <c r="AC161" s="7">
        <f t="shared" si="123"/>
        <v>44256</v>
      </c>
      <c r="AD161" s="7">
        <f t="shared" si="123"/>
        <v>44256</v>
      </c>
      <c r="AE161" s="7">
        <f t="shared" si="123"/>
        <v>44256</v>
      </c>
      <c r="AF161" s="7">
        <f t="shared" si="123"/>
        <v>44256</v>
      </c>
      <c r="AG161" s="7">
        <f t="shared" si="123"/>
        <v>44256</v>
      </c>
      <c r="AH161" s="7">
        <f t="shared" si="123"/>
        <v>44256</v>
      </c>
      <c r="AI161" s="7">
        <f t="shared" si="123"/>
        <v>44256</v>
      </c>
      <c r="AJ161" s="7">
        <f t="shared" si="123"/>
        <v>44256</v>
      </c>
      <c r="AK161" s="7">
        <f t="shared" si="123"/>
        <v>44256</v>
      </c>
      <c r="AL161" s="7">
        <f t="shared" si="123"/>
        <v>44256</v>
      </c>
      <c r="AM161" s="7">
        <f t="shared" si="123"/>
        <v>44256</v>
      </c>
      <c r="AN161" s="7">
        <f t="shared" si="123"/>
        <v>44621</v>
      </c>
      <c r="AO161" s="7">
        <f t="shared" si="123"/>
        <v>44621</v>
      </c>
      <c r="AP161" s="7">
        <f t="shared" si="123"/>
        <v>44621</v>
      </c>
      <c r="AQ161" s="7">
        <f t="shared" si="123"/>
        <v>44621</v>
      </c>
      <c r="AR161" s="7">
        <f t="shared" si="123"/>
        <v>44621</v>
      </c>
      <c r="AS161" s="7">
        <f t="shared" si="123"/>
        <v>44621</v>
      </c>
      <c r="AT161" s="7">
        <f t="shared" si="123"/>
        <v>44621</v>
      </c>
      <c r="AU161" s="7">
        <f t="shared" si="123"/>
        <v>44621</v>
      </c>
      <c r="AV161" s="7">
        <f t="shared" si="123"/>
        <v>44621</v>
      </c>
      <c r="AW161" s="7">
        <f t="shared" si="123"/>
        <v>44621</v>
      </c>
      <c r="AX161" s="7">
        <f t="shared" si="123"/>
        <v>44621</v>
      </c>
      <c r="AY161" s="7">
        <f t="shared" si="123"/>
        <v>44621</v>
      </c>
      <c r="AZ161" s="7">
        <f t="shared" si="123"/>
        <v>44986</v>
      </c>
      <c r="BA161" s="7">
        <f t="shared" si="123"/>
        <v>44986</v>
      </c>
      <c r="BB161" s="7">
        <f t="shared" si="123"/>
        <v>44986</v>
      </c>
      <c r="BC161" s="7">
        <f t="shared" si="123"/>
        <v>44986</v>
      </c>
      <c r="BD161" s="7">
        <f t="shared" si="123"/>
        <v>44986</v>
      </c>
      <c r="BE161" s="7">
        <f t="shared" si="123"/>
        <v>44986</v>
      </c>
      <c r="BF161" s="7">
        <f t="shared" si="123"/>
        <v>44986</v>
      </c>
      <c r="BG161" s="7">
        <f t="shared" si="123"/>
        <v>44986</v>
      </c>
      <c r="BH161" s="7">
        <f t="shared" si="123"/>
        <v>44986</v>
      </c>
      <c r="BI161" s="7">
        <f t="shared" si="123"/>
        <v>44986</v>
      </c>
    </row>
    <row r="162" spans="5:61" x14ac:dyDescent="0.35">
      <c r="E162">
        <f t="shared" si="119"/>
        <v>4</v>
      </c>
      <c r="J162" t="str">
        <f t="shared" si="120"/>
        <v>date</v>
      </c>
      <c r="N162" s="78"/>
      <c r="O162" s="78"/>
      <c r="P162" s="78"/>
      <c r="Q162" s="7">
        <f t="shared" ref="Q162:BI162" si="124">Q16</f>
        <v>43922</v>
      </c>
      <c r="R162" s="7">
        <f t="shared" si="124"/>
        <v>43922</v>
      </c>
      <c r="S162" s="7">
        <f t="shared" si="124"/>
        <v>43922</v>
      </c>
      <c r="T162" s="7">
        <f t="shared" si="124"/>
        <v>43922</v>
      </c>
      <c r="U162" s="7">
        <f t="shared" si="124"/>
        <v>43922</v>
      </c>
      <c r="V162" s="7">
        <f t="shared" si="124"/>
        <v>43922</v>
      </c>
      <c r="W162" s="7">
        <f t="shared" si="124"/>
        <v>43922</v>
      </c>
      <c r="X162" s="7">
        <f t="shared" si="124"/>
        <v>43922</v>
      </c>
      <c r="Y162" s="7">
        <f t="shared" si="124"/>
        <v>43922</v>
      </c>
      <c r="Z162" s="7">
        <f t="shared" si="124"/>
        <v>43922</v>
      </c>
      <c r="AA162" s="7">
        <f t="shared" si="124"/>
        <v>43922</v>
      </c>
      <c r="AB162" s="7">
        <f t="shared" si="124"/>
        <v>43922</v>
      </c>
      <c r="AC162" s="7">
        <f t="shared" si="124"/>
        <v>44287</v>
      </c>
      <c r="AD162" s="7">
        <f t="shared" si="124"/>
        <v>44287</v>
      </c>
      <c r="AE162" s="7">
        <f t="shared" si="124"/>
        <v>44287</v>
      </c>
      <c r="AF162" s="7">
        <f t="shared" si="124"/>
        <v>44287</v>
      </c>
      <c r="AG162" s="7">
        <f t="shared" si="124"/>
        <v>44287</v>
      </c>
      <c r="AH162" s="7">
        <f t="shared" si="124"/>
        <v>44287</v>
      </c>
      <c r="AI162" s="7">
        <f t="shared" si="124"/>
        <v>44287</v>
      </c>
      <c r="AJ162" s="7">
        <f t="shared" si="124"/>
        <v>44287</v>
      </c>
      <c r="AK162" s="7">
        <f t="shared" si="124"/>
        <v>44287</v>
      </c>
      <c r="AL162" s="7">
        <f t="shared" si="124"/>
        <v>44287</v>
      </c>
      <c r="AM162" s="7">
        <f t="shared" si="124"/>
        <v>44287</v>
      </c>
      <c r="AN162" s="7">
        <f t="shared" si="124"/>
        <v>44287</v>
      </c>
      <c r="AO162" s="7">
        <f t="shared" si="124"/>
        <v>44652</v>
      </c>
      <c r="AP162" s="7">
        <f t="shared" si="124"/>
        <v>44652</v>
      </c>
      <c r="AQ162" s="7">
        <f t="shared" si="124"/>
        <v>44652</v>
      </c>
      <c r="AR162" s="7">
        <f t="shared" si="124"/>
        <v>44652</v>
      </c>
      <c r="AS162" s="7">
        <f t="shared" si="124"/>
        <v>44652</v>
      </c>
      <c r="AT162" s="7">
        <f t="shared" si="124"/>
        <v>44652</v>
      </c>
      <c r="AU162" s="7">
        <f t="shared" si="124"/>
        <v>44652</v>
      </c>
      <c r="AV162" s="7">
        <f t="shared" si="124"/>
        <v>44652</v>
      </c>
      <c r="AW162" s="7">
        <f t="shared" si="124"/>
        <v>44652</v>
      </c>
      <c r="AX162" s="7">
        <f t="shared" si="124"/>
        <v>44652</v>
      </c>
      <c r="AY162" s="7">
        <f t="shared" si="124"/>
        <v>44652</v>
      </c>
      <c r="AZ162" s="7">
        <f t="shared" si="124"/>
        <v>44652</v>
      </c>
      <c r="BA162" s="7">
        <f t="shared" si="124"/>
        <v>45017</v>
      </c>
      <c r="BB162" s="7">
        <f t="shared" si="124"/>
        <v>45017</v>
      </c>
      <c r="BC162" s="7">
        <f t="shared" si="124"/>
        <v>45017</v>
      </c>
      <c r="BD162" s="7">
        <f t="shared" si="124"/>
        <v>45017</v>
      </c>
      <c r="BE162" s="7">
        <f t="shared" si="124"/>
        <v>45017</v>
      </c>
      <c r="BF162" s="7">
        <f t="shared" si="124"/>
        <v>45017</v>
      </c>
      <c r="BG162" s="7">
        <f t="shared" si="124"/>
        <v>45017</v>
      </c>
      <c r="BH162" s="7">
        <f t="shared" si="124"/>
        <v>45017</v>
      </c>
      <c r="BI162" s="7">
        <f t="shared" si="124"/>
        <v>45017</v>
      </c>
    </row>
    <row r="163" spans="5:61" x14ac:dyDescent="0.35">
      <c r="E163">
        <f t="shared" si="119"/>
        <v>5</v>
      </c>
      <c r="J163" t="str">
        <f t="shared" si="120"/>
        <v>date</v>
      </c>
      <c r="N163" s="78"/>
      <c r="O163" s="78"/>
      <c r="P163" s="78"/>
      <c r="Q163" s="78"/>
      <c r="R163" s="7">
        <f t="shared" ref="R163:BI163" si="125">R17</f>
        <v>43952</v>
      </c>
      <c r="S163" s="7">
        <f t="shared" si="125"/>
        <v>43952</v>
      </c>
      <c r="T163" s="7">
        <f t="shared" si="125"/>
        <v>43952</v>
      </c>
      <c r="U163" s="7">
        <f t="shared" si="125"/>
        <v>43952</v>
      </c>
      <c r="V163" s="7">
        <f t="shared" si="125"/>
        <v>43952</v>
      </c>
      <c r="W163" s="7">
        <f t="shared" si="125"/>
        <v>43952</v>
      </c>
      <c r="X163" s="7">
        <f t="shared" si="125"/>
        <v>43952</v>
      </c>
      <c r="Y163" s="7">
        <f t="shared" si="125"/>
        <v>43952</v>
      </c>
      <c r="Z163" s="7">
        <f t="shared" si="125"/>
        <v>43952</v>
      </c>
      <c r="AA163" s="7">
        <f t="shared" si="125"/>
        <v>43952</v>
      </c>
      <c r="AB163" s="7">
        <f t="shared" si="125"/>
        <v>43952</v>
      </c>
      <c r="AC163" s="7">
        <f t="shared" si="125"/>
        <v>43952</v>
      </c>
      <c r="AD163" s="7">
        <f t="shared" si="125"/>
        <v>44317</v>
      </c>
      <c r="AE163" s="7">
        <f t="shared" si="125"/>
        <v>44317</v>
      </c>
      <c r="AF163" s="7">
        <f t="shared" si="125"/>
        <v>44317</v>
      </c>
      <c r="AG163" s="7">
        <f t="shared" si="125"/>
        <v>44317</v>
      </c>
      <c r="AH163" s="7">
        <f t="shared" si="125"/>
        <v>44317</v>
      </c>
      <c r="AI163" s="7">
        <f t="shared" si="125"/>
        <v>44317</v>
      </c>
      <c r="AJ163" s="7">
        <f t="shared" si="125"/>
        <v>44317</v>
      </c>
      <c r="AK163" s="7">
        <f t="shared" si="125"/>
        <v>44317</v>
      </c>
      <c r="AL163" s="7">
        <f t="shared" si="125"/>
        <v>44317</v>
      </c>
      <c r="AM163" s="7">
        <f t="shared" si="125"/>
        <v>44317</v>
      </c>
      <c r="AN163" s="7">
        <f t="shared" si="125"/>
        <v>44317</v>
      </c>
      <c r="AO163" s="7">
        <f t="shared" si="125"/>
        <v>44317</v>
      </c>
      <c r="AP163" s="7">
        <f t="shared" si="125"/>
        <v>44682</v>
      </c>
      <c r="AQ163" s="7">
        <f t="shared" si="125"/>
        <v>44682</v>
      </c>
      <c r="AR163" s="7">
        <f t="shared" si="125"/>
        <v>44682</v>
      </c>
      <c r="AS163" s="7">
        <f t="shared" si="125"/>
        <v>44682</v>
      </c>
      <c r="AT163" s="7">
        <f t="shared" si="125"/>
        <v>44682</v>
      </c>
      <c r="AU163" s="7">
        <f t="shared" si="125"/>
        <v>44682</v>
      </c>
      <c r="AV163" s="7">
        <f t="shared" si="125"/>
        <v>44682</v>
      </c>
      <c r="AW163" s="7">
        <f t="shared" si="125"/>
        <v>44682</v>
      </c>
      <c r="AX163" s="7">
        <f t="shared" si="125"/>
        <v>44682</v>
      </c>
      <c r="AY163" s="7">
        <f t="shared" si="125"/>
        <v>44682</v>
      </c>
      <c r="AZ163" s="7">
        <f t="shared" si="125"/>
        <v>44682</v>
      </c>
      <c r="BA163" s="7">
        <f t="shared" si="125"/>
        <v>44682</v>
      </c>
      <c r="BB163" s="7">
        <f t="shared" si="125"/>
        <v>45047</v>
      </c>
      <c r="BC163" s="7">
        <f t="shared" si="125"/>
        <v>45047</v>
      </c>
      <c r="BD163" s="7">
        <f t="shared" si="125"/>
        <v>45047</v>
      </c>
      <c r="BE163" s="7">
        <f t="shared" si="125"/>
        <v>45047</v>
      </c>
      <c r="BF163" s="7">
        <f t="shared" si="125"/>
        <v>45047</v>
      </c>
      <c r="BG163" s="7">
        <f t="shared" si="125"/>
        <v>45047</v>
      </c>
      <c r="BH163" s="7">
        <f t="shared" si="125"/>
        <v>45047</v>
      </c>
      <c r="BI163" s="7">
        <f t="shared" si="125"/>
        <v>45047</v>
      </c>
    </row>
    <row r="164" spans="5:61" x14ac:dyDescent="0.35">
      <c r="E164">
        <f t="shared" si="119"/>
        <v>6</v>
      </c>
      <c r="J164" t="str">
        <f t="shared" si="120"/>
        <v>date</v>
      </c>
      <c r="N164" s="78"/>
      <c r="O164" s="78"/>
      <c r="P164" s="78"/>
      <c r="Q164" s="78"/>
      <c r="R164" s="78"/>
      <c r="S164" s="7">
        <f t="shared" ref="S164:BI164" si="126">S18</f>
        <v>43983</v>
      </c>
      <c r="T164" s="7">
        <f t="shared" si="126"/>
        <v>43983</v>
      </c>
      <c r="U164" s="7">
        <f t="shared" si="126"/>
        <v>43983</v>
      </c>
      <c r="V164" s="7">
        <f t="shared" si="126"/>
        <v>43983</v>
      </c>
      <c r="W164" s="7">
        <f t="shared" si="126"/>
        <v>43983</v>
      </c>
      <c r="X164" s="7">
        <f t="shared" si="126"/>
        <v>43983</v>
      </c>
      <c r="Y164" s="7">
        <f t="shared" si="126"/>
        <v>43983</v>
      </c>
      <c r="Z164" s="7">
        <f t="shared" si="126"/>
        <v>43983</v>
      </c>
      <c r="AA164" s="7">
        <f t="shared" si="126"/>
        <v>43983</v>
      </c>
      <c r="AB164" s="7">
        <f t="shared" si="126"/>
        <v>43983</v>
      </c>
      <c r="AC164" s="7">
        <f t="shared" si="126"/>
        <v>43983</v>
      </c>
      <c r="AD164" s="7">
        <f t="shared" si="126"/>
        <v>43983</v>
      </c>
      <c r="AE164" s="7">
        <f t="shared" si="126"/>
        <v>44348</v>
      </c>
      <c r="AF164" s="7">
        <f t="shared" si="126"/>
        <v>44348</v>
      </c>
      <c r="AG164" s="7">
        <f t="shared" si="126"/>
        <v>44348</v>
      </c>
      <c r="AH164" s="7">
        <f t="shared" si="126"/>
        <v>44348</v>
      </c>
      <c r="AI164" s="7">
        <f t="shared" si="126"/>
        <v>44348</v>
      </c>
      <c r="AJ164" s="7">
        <f t="shared" si="126"/>
        <v>44348</v>
      </c>
      <c r="AK164" s="7">
        <f t="shared" si="126"/>
        <v>44348</v>
      </c>
      <c r="AL164" s="7">
        <f t="shared" si="126"/>
        <v>44348</v>
      </c>
      <c r="AM164" s="7">
        <f t="shared" si="126"/>
        <v>44348</v>
      </c>
      <c r="AN164" s="7">
        <f t="shared" si="126"/>
        <v>44348</v>
      </c>
      <c r="AO164" s="7">
        <f t="shared" si="126"/>
        <v>44348</v>
      </c>
      <c r="AP164" s="7">
        <f t="shared" si="126"/>
        <v>44348</v>
      </c>
      <c r="AQ164" s="7">
        <f t="shared" si="126"/>
        <v>44713</v>
      </c>
      <c r="AR164" s="7">
        <f t="shared" si="126"/>
        <v>44713</v>
      </c>
      <c r="AS164" s="7">
        <f t="shared" si="126"/>
        <v>44713</v>
      </c>
      <c r="AT164" s="7">
        <f t="shared" si="126"/>
        <v>44713</v>
      </c>
      <c r="AU164" s="7">
        <f t="shared" si="126"/>
        <v>44713</v>
      </c>
      <c r="AV164" s="7">
        <f t="shared" si="126"/>
        <v>44713</v>
      </c>
      <c r="AW164" s="7">
        <f t="shared" si="126"/>
        <v>44713</v>
      </c>
      <c r="AX164" s="7">
        <f t="shared" si="126"/>
        <v>44713</v>
      </c>
      <c r="AY164" s="7">
        <f t="shared" si="126"/>
        <v>44713</v>
      </c>
      <c r="AZ164" s="7">
        <f t="shared" si="126"/>
        <v>44713</v>
      </c>
      <c r="BA164" s="7">
        <f t="shared" si="126"/>
        <v>44713</v>
      </c>
      <c r="BB164" s="7">
        <f t="shared" si="126"/>
        <v>44713</v>
      </c>
      <c r="BC164" s="7">
        <f t="shared" si="126"/>
        <v>45078</v>
      </c>
      <c r="BD164" s="7">
        <f t="shared" si="126"/>
        <v>45078</v>
      </c>
      <c r="BE164" s="7">
        <f t="shared" si="126"/>
        <v>45078</v>
      </c>
      <c r="BF164" s="7">
        <f t="shared" si="126"/>
        <v>45078</v>
      </c>
      <c r="BG164" s="7">
        <f t="shared" si="126"/>
        <v>45078</v>
      </c>
      <c r="BH164" s="7">
        <f t="shared" si="126"/>
        <v>45078</v>
      </c>
      <c r="BI164" s="7">
        <f t="shared" si="126"/>
        <v>45078</v>
      </c>
    </row>
    <row r="165" spans="5:61" x14ac:dyDescent="0.35">
      <c r="E165">
        <f t="shared" si="119"/>
        <v>7</v>
      </c>
      <c r="J165" t="str">
        <f t="shared" si="120"/>
        <v>date</v>
      </c>
      <c r="N165" s="78"/>
      <c r="O165" s="78"/>
      <c r="P165" s="78"/>
      <c r="Q165" s="78"/>
      <c r="R165" s="78"/>
      <c r="S165" s="78"/>
      <c r="T165" s="7">
        <f t="shared" ref="T165:BI165" si="127">T19</f>
        <v>44013</v>
      </c>
      <c r="U165" s="7">
        <f t="shared" si="127"/>
        <v>44013</v>
      </c>
      <c r="V165" s="7">
        <f t="shared" si="127"/>
        <v>44013</v>
      </c>
      <c r="W165" s="7">
        <f t="shared" si="127"/>
        <v>44013</v>
      </c>
      <c r="X165" s="7">
        <f t="shared" si="127"/>
        <v>44013</v>
      </c>
      <c r="Y165" s="7">
        <f t="shared" si="127"/>
        <v>44013</v>
      </c>
      <c r="Z165" s="7">
        <f t="shared" si="127"/>
        <v>44013</v>
      </c>
      <c r="AA165" s="7">
        <f t="shared" si="127"/>
        <v>44013</v>
      </c>
      <c r="AB165" s="7">
        <f t="shared" si="127"/>
        <v>44013</v>
      </c>
      <c r="AC165" s="7">
        <f t="shared" si="127"/>
        <v>44013</v>
      </c>
      <c r="AD165" s="7">
        <f t="shared" si="127"/>
        <v>44013</v>
      </c>
      <c r="AE165" s="7">
        <f t="shared" si="127"/>
        <v>44013</v>
      </c>
      <c r="AF165" s="7">
        <f t="shared" si="127"/>
        <v>44378</v>
      </c>
      <c r="AG165" s="7">
        <f t="shared" si="127"/>
        <v>44378</v>
      </c>
      <c r="AH165" s="7">
        <f t="shared" si="127"/>
        <v>44378</v>
      </c>
      <c r="AI165" s="7">
        <f t="shared" si="127"/>
        <v>44378</v>
      </c>
      <c r="AJ165" s="7">
        <f t="shared" si="127"/>
        <v>44378</v>
      </c>
      <c r="AK165" s="7">
        <f t="shared" si="127"/>
        <v>44378</v>
      </c>
      <c r="AL165" s="7">
        <f t="shared" si="127"/>
        <v>44378</v>
      </c>
      <c r="AM165" s="7">
        <f t="shared" si="127"/>
        <v>44378</v>
      </c>
      <c r="AN165" s="7">
        <f t="shared" si="127"/>
        <v>44378</v>
      </c>
      <c r="AO165" s="7">
        <f t="shared" si="127"/>
        <v>44378</v>
      </c>
      <c r="AP165" s="7">
        <f t="shared" si="127"/>
        <v>44378</v>
      </c>
      <c r="AQ165" s="7">
        <f t="shared" si="127"/>
        <v>44378</v>
      </c>
      <c r="AR165" s="7">
        <f t="shared" si="127"/>
        <v>44743</v>
      </c>
      <c r="AS165" s="7">
        <f t="shared" si="127"/>
        <v>44743</v>
      </c>
      <c r="AT165" s="7">
        <f t="shared" si="127"/>
        <v>44743</v>
      </c>
      <c r="AU165" s="7">
        <f t="shared" si="127"/>
        <v>44743</v>
      </c>
      <c r="AV165" s="7">
        <f t="shared" si="127"/>
        <v>44743</v>
      </c>
      <c r="AW165" s="7">
        <f t="shared" si="127"/>
        <v>44743</v>
      </c>
      <c r="AX165" s="7">
        <f t="shared" si="127"/>
        <v>44743</v>
      </c>
      <c r="AY165" s="7">
        <f t="shared" si="127"/>
        <v>44743</v>
      </c>
      <c r="AZ165" s="7">
        <f t="shared" si="127"/>
        <v>44743</v>
      </c>
      <c r="BA165" s="7">
        <f t="shared" si="127"/>
        <v>44743</v>
      </c>
      <c r="BB165" s="7">
        <f t="shared" si="127"/>
        <v>44743</v>
      </c>
      <c r="BC165" s="7">
        <f t="shared" si="127"/>
        <v>44743</v>
      </c>
      <c r="BD165" s="7">
        <f t="shared" si="127"/>
        <v>45108</v>
      </c>
      <c r="BE165" s="7">
        <f t="shared" si="127"/>
        <v>45108</v>
      </c>
      <c r="BF165" s="7">
        <f t="shared" si="127"/>
        <v>45108</v>
      </c>
      <c r="BG165" s="7">
        <f t="shared" si="127"/>
        <v>45108</v>
      </c>
      <c r="BH165" s="7">
        <f t="shared" si="127"/>
        <v>45108</v>
      </c>
      <c r="BI165" s="7">
        <f t="shared" si="127"/>
        <v>45108</v>
      </c>
    </row>
    <row r="166" spans="5:61" x14ac:dyDescent="0.35">
      <c r="E166">
        <f t="shared" si="119"/>
        <v>8</v>
      </c>
      <c r="J166" t="str">
        <f t="shared" si="120"/>
        <v>date</v>
      </c>
      <c r="N166" s="78"/>
      <c r="O166" s="78"/>
      <c r="P166" s="78"/>
      <c r="Q166" s="78"/>
      <c r="R166" s="78"/>
      <c r="S166" s="78"/>
      <c r="T166" s="78"/>
      <c r="U166" s="7">
        <f t="shared" ref="U166:BI166" si="128">U20</f>
        <v>44044</v>
      </c>
      <c r="V166" s="7">
        <f t="shared" si="128"/>
        <v>44044</v>
      </c>
      <c r="W166" s="7">
        <f t="shared" si="128"/>
        <v>44044</v>
      </c>
      <c r="X166" s="7">
        <f t="shared" si="128"/>
        <v>44044</v>
      </c>
      <c r="Y166" s="7">
        <f t="shared" si="128"/>
        <v>44044</v>
      </c>
      <c r="Z166" s="7">
        <f t="shared" si="128"/>
        <v>44044</v>
      </c>
      <c r="AA166" s="7">
        <f t="shared" si="128"/>
        <v>44044</v>
      </c>
      <c r="AB166" s="7">
        <f t="shared" si="128"/>
        <v>44044</v>
      </c>
      <c r="AC166" s="7">
        <f t="shared" si="128"/>
        <v>44044</v>
      </c>
      <c r="AD166" s="7">
        <f t="shared" si="128"/>
        <v>44044</v>
      </c>
      <c r="AE166" s="7">
        <f t="shared" si="128"/>
        <v>44044</v>
      </c>
      <c r="AF166" s="7">
        <f t="shared" si="128"/>
        <v>44044</v>
      </c>
      <c r="AG166" s="7">
        <f t="shared" si="128"/>
        <v>44409</v>
      </c>
      <c r="AH166" s="7">
        <f t="shared" si="128"/>
        <v>44409</v>
      </c>
      <c r="AI166" s="7">
        <f t="shared" si="128"/>
        <v>44409</v>
      </c>
      <c r="AJ166" s="7">
        <f t="shared" si="128"/>
        <v>44409</v>
      </c>
      <c r="AK166" s="7">
        <f t="shared" si="128"/>
        <v>44409</v>
      </c>
      <c r="AL166" s="7">
        <f t="shared" si="128"/>
        <v>44409</v>
      </c>
      <c r="AM166" s="7">
        <f t="shared" si="128"/>
        <v>44409</v>
      </c>
      <c r="AN166" s="7">
        <f t="shared" si="128"/>
        <v>44409</v>
      </c>
      <c r="AO166" s="7">
        <f t="shared" si="128"/>
        <v>44409</v>
      </c>
      <c r="AP166" s="7">
        <f t="shared" si="128"/>
        <v>44409</v>
      </c>
      <c r="AQ166" s="7">
        <f t="shared" si="128"/>
        <v>44409</v>
      </c>
      <c r="AR166" s="7">
        <f t="shared" si="128"/>
        <v>44409</v>
      </c>
      <c r="AS166" s="7">
        <f t="shared" si="128"/>
        <v>44774</v>
      </c>
      <c r="AT166" s="7">
        <f t="shared" si="128"/>
        <v>44774</v>
      </c>
      <c r="AU166" s="7">
        <f t="shared" si="128"/>
        <v>44774</v>
      </c>
      <c r="AV166" s="7">
        <f t="shared" si="128"/>
        <v>44774</v>
      </c>
      <c r="AW166" s="7">
        <f t="shared" si="128"/>
        <v>44774</v>
      </c>
      <c r="AX166" s="7">
        <f t="shared" si="128"/>
        <v>44774</v>
      </c>
      <c r="AY166" s="7">
        <f t="shared" si="128"/>
        <v>44774</v>
      </c>
      <c r="AZ166" s="7">
        <f t="shared" si="128"/>
        <v>44774</v>
      </c>
      <c r="BA166" s="7">
        <f t="shared" si="128"/>
        <v>44774</v>
      </c>
      <c r="BB166" s="7">
        <f t="shared" si="128"/>
        <v>44774</v>
      </c>
      <c r="BC166" s="7">
        <f t="shared" si="128"/>
        <v>44774</v>
      </c>
      <c r="BD166" s="7">
        <f t="shared" si="128"/>
        <v>44774</v>
      </c>
      <c r="BE166" s="7">
        <f t="shared" si="128"/>
        <v>45139</v>
      </c>
      <c r="BF166" s="7">
        <f t="shared" si="128"/>
        <v>45139</v>
      </c>
      <c r="BG166" s="7">
        <f t="shared" si="128"/>
        <v>45139</v>
      </c>
      <c r="BH166" s="7">
        <f t="shared" si="128"/>
        <v>45139</v>
      </c>
      <c r="BI166" s="7">
        <f t="shared" si="128"/>
        <v>45139</v>
      </c>
    </row>
    <row r="167" spans="5:61" x14ac:dyDescent="0.35">
      <c r="E167">
        <f t="shared" si="119"/>
        <v>9</v>
      </c>
      <c r="J167" t="str">
        <f t="shared" si="120"/>
        <v>date</v>
      </c>
      <c r="N167" s="78"/>
      <c r="O167" s="78"/>
      <c r="P167" s="78"/>
      <c r="Q167" s="78"/>
      <c r="R167" s="78"/>
      <c r="S167" s="78"/>
      <c r="T167" s="78"/>
      <c r="U167" s="78"/>
      <c r="V167" s="7">
        <f t="shared" ref="V167:BI167" si="129">V21</f>
        <v>44075</v>
      </c>
      <c r="W167" s="7">
        <f t="shared" si="129"/>
        <v>44075</v>
      </c>
      <c r="X167" s="7">
        <f t="shared" si="129"/>
        <v>44075</v>
      </c>
      <c r="Y167" s="7">
        <f t="shared" si="129"/>
        <v>44075</v>
      </c>
      <c r="Z167" s="7">
        <f t="shared" si="129"/>
        <v>44075</v>
      </c>
      <c r="AA167" s="7">
        <f t="shared" si="129"/>
        <v>44075</v>
      </c>
      <c r="AB167" s="7">
        <f t="shared" si="129"/>
        <v>44075</v>
      </c>
      <c r="AC167" s="7">
        <f t="shared" si="129"/>
        <v>44075</v>
      </c>
      <c r="AD167" s="7">
        <f t="shared" si="129"/>
        <v>44075</v>
      </c>
      <c r="AE167" s="7">
        <f t="shared" si="129"/>
        <v>44075</v>
      </c>
      <c r="AF167" s="7">
        <f t="shared" si="129"/>
        <v>44075</v>
      </c>
      <c r="AG167" s="7">
        <f t="shared" si="129"/>
        <v>44075</v>
      </c>
      <c r="AH167" s="7">
        <f t="shared" si="129"/>
        <v>44440</v>
      </c>
      <c r="AI167" s="7">
        <f t="shared" si="129"/>
        <v>44440</v>
      </c>
      <c r="AJ167" s="7">
        <f t="shared" si="129"/>
        <v>44440</v>
      </c>
      <c r="AK167" s="7">
        <f t="shared" si="129"/>
        <v>44440</v>
      </c>
      <c r="AL167" s="7">
        <f t="shared" si="129"/>
        <v>44440</v>
      </c>
      <c r="AM167" s="7">
        <f t="shared" si="129"/>
        <v>44440</v>
      </c>
      <c r="AN167" s="7">
        <f t="shared" si="129"/>
        <v>44440</v>
      </c>
      <c r="AO167" s="7">
        <f t="shared" si="129"/>
        <v>44440</v>
      </c>
      <c r="AP167" s="7">
        <f t="shared" si="129"/>
        <v>44440</v>
      </c>
      <c r="AQ167" s="7">
        <f t="shared" si="129"/>
        <v>44440</v>
      </c>
      <c r="AR167" s="7">
        <f t="shared" si="129"/>
        <v>44440</v>
      </c>
      <c r="AS167" s="7">
        <f t="shared" si="129"/>
        <v>44440</v>
      </c>
      <c r="AT167" s="7">
        <f t="shared" si="129"/>
        <v>44805</v>
      </c>
      <c r="AU167" s="7">
        <f t="shared" si="129"/>
        <v>44805</v>
      </c>
      <c r="AV167" s="7">
        <f t="shared" si="129"/>
        <v>44805</v>
      </c>
      <c r="AW167" s="7">
        <f t="shared" si="129"/>
        <v>44805</v>
      </c>
      <c r="AX167" s="7">
        <f t="shared" si="129"/>
        <v>44805</v>
      </c>
      <c r="AY167" s="7">
        <f t="shared" si="129"/>
        <v>44805</v>
      </c>
      <c r="AZ167" s="7">
        <f t="shared" si="129"/>
        <v>44805</v>
      </c>
      <c r="BA167" s="7">
        <f t="shared" si="129"/>
        <v>44805</v>
      </c>
      <c r="BB167" s="7">
        <f t="shared" si="129"/>
        <v>44805</v>
      </c>
      <c r="BC167" s="7">
        <f t="shared" si="129"/>
        <v>44805</v>
      </c>
      <c r="BD167" s="7">
        <f t="shared" si="129"/>
        <v>44805</v>
      </c>
      <c r="BE167" s="7">
        <f t="shared" si="129"/>
        <v>44805</v>
      </c>
      <c r="BF167" s="7">
        <f t="shared" si="129"/>
        <v>45170</v>
      </c>
      <c r="BG167" s="7">
        <f t="shared" si="129"/>
        <v>45170</v>
      </c>
      <c r="BH167" s="7">
        <f t="shared" si="129"/>
        <v>45170</v>
      </c>
      <c r="BI167" s="7">
        <f t="shared" si="129"/>
        <v>45170</v>
      </c>
    </row>
    <row r="168" spans="5:61" x14ac:dyDescent="0.35">
      <c r="E168">
        <f t="shared" si="119"/>
        <v>10</v>
      </c>
      <c r="J168" t="str">
        <f t="shared" si="120"/>
        <v>date</v>
      </c>
      <c r="N168" s="78"/>
      <c r="O168" s="78"/>
      <c r="P168" s="78"/>
      <c r="Q168" s="78"/>
      <c r="R168" s="78"/>
      <c r="S168" s="78"/>
      <c r="T168" s="78"/>
      <c r="U168" s="78"/>
      <c r="V168" s="78"/>
      <c r="W168" s="7">
        <f t="shared" ref="W168:BI168" si="130">W22</f>
        <v>44105</v>
      </c>
      <c r="X168" s="7">
        <f t="shared" si="130"/>
        <v>44105</v>
      </c>
      <c r="Y168" s="7">
        <f t="shared" si="130"/>
        <v>44105</v>
      </c>
      <c r="Z168" s="7">
        <f t="shared" si="130"/>
        <v>44105</v>
      </c>
      <c r="AA168" s="7">
        <f t="shared" si="130"/>
        <v>44105</v>
      </c>
      <c r="AB168" s="7">
        <f t="shared" si="130"/>
        <v>44105</v>
      </c>
      <c r="AC168" s="7">
        <f t="shared" si="130"/>
        <v>44105</v>
      </c>
      <c r="AD168" s="7">
        <f t="shared" si="130"/>
        <v>44105</v>
      </c>
      <c r="AE168" s="7">
        <f t="shared" si="130"/>
        <v>44105</v>
      </c>
      <c r="AF168" s="7">
        <f t="shared" si="130"/>
        <v>44105</v>
      </c>
      <c r="AG168" s="7">
        <f t="shared" si="130"/>
        <v>44105</v>
      </c>
      <c r="AH168" s="7">
        <f t="shared" si="130"/>
        <v>44105</v>
      </c>
      <c r="AI168" s="7">
        <f t="shared" si="130"/>
        <v>44470</v>
      </c>
      <c r="AJ168" s="7">
        <f t="shared" si="130"/>
        <v>44470</v>
      </c>
      <c r="AK168" s="7">
        <f t="shared" si="130"/>
        <v>44470</v>
      </c>
      <c r="AL168" s="7">
        <f t="shared" si="130"/>
        <v>44470</v>
      </c>
      <c r="AM168" s="7">
        <f t="shared" si="130"/>
        <v>44470</v>
      </c>
      <c r="AN168" s="7">
        <f t="shared" si="130"/>
        <v>44470</v>
      </c>
      <c r="AO168" s="7">
        <f t="shared" si="130"/>
        <v>44470</v>
      </c>
      <c r="AP168" s="7">
        <f t="shared" si="130"/>
        <v>44470</v>
      </c>
      <c r="AQ168" s="7">
        <f t="shared" si="130"/>
        <v>44470</v>
      </c>
      <c r="AR168" s="7">
        <f t="shared" si="130"/>
        <v>44470</v>
      </c>
      <c r="AS168" s="7">
        <f t="shared" si="130"/>
        <v>44470</v>
      </c>
      <c r="AT168" s="7">
        <f t="shared" si="130"/>
        <v>44470</v>
      </c>
      <c r="AU168" s="7">
        <f t="shared" si="130"/>
        <v>44835</v>
      </c>
      <c r="AV168" s="7">
        <f t="shared" si="130"/>
        <v>44835</v>
      </c>
      <c r="AW168" s="7">
        <f t="shared" si="130"/>
        <v>44835</v>
      </c>
      <c r="AX168" s="7">
        <f t="shared" si="130"/>
        <v>44835</v>
      </c>
      <c r="AY168" s="7">
        <f t="shared" si="130"/>
        <v>44835</v>
      </c>
      <c r="AZ168" s="7">
        <f t="shared" si="130"/>
        <v>44835</v>
      </c>
      <c r="BA168" s="7">
        <f t="shared" si="130"/>
        <v>44835</v>
      </c>
      <c r="BB168" s="7">
        <f t="shared" si="130"/>
        <v>44835</v>
      </c>
      <c r="BC168" s="7">
        <f t="shared" si="130"/>
        <v>44835</v>
      </c>
      <c r="BD168" s="7">
        <f t="shared" si="130"/>
        <v>44835</v>
      </c>
      <c r="BE168" s="7">
        <f t="shared" si="130"/>
        <v>44835</v>
      </c>
      <c r="BF168" s="7">
        <f t="shared" si="130"/>
        <v>44835</v>
      </c>
      <c r="BG168" s="7">
        <f t="shared" si="130"/>
        <v>45200</v>
      </c>
      <c r="BH168" s="7">
        <f t="shared" si="130"/>
        <v>45200</v>
      </c>
      <c r="BI168" s="7">
        <f t="shared" si="130"/>
        <v>45200</v>
      </c>
    </row>
    <row r="169" spans="5:61" x14ac:dyDescent="0.35">
      <c r="E169">
        <f t="shared" si="119"/>
        <v>11</v>
      </c>
      <c r="J169" t="str">
        <f t="shared" si="120"/>
        <v>date</v>
      </c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">
        <f t="shared" ref="X169:BI169" si="131">X23</f>
        <v>44136</v>
      </c>
      <c r="Y169" s="7">
        <f t="shared" si="131"/>
        <v>44136</v>
      </c>
      <c r="Z169" s="7">
        <f t="shared" si="131"/>
        <v>44136</v>
      </c>
      <c r="AA169" s="7">
        <f t="shared" si="131"/>
        <v>44136</v>
      </c>
      <c r="AB169" s="7">
        <f t="shared" si="131"/>
        <v>44136</v>
      </c>
      <c r="AC169" s="7">
        <f t="shared" si="131"/>
        <v>44136</v>
      </c>
      <c r="AD169" s="7">
        <f t="shared" si="131"/>
        <v>44136</v>
      </c>
      <c r="AE169" s="7">
        <f t="shared" si="131"/>
        <v>44136</v>
      </c>
      <c r="AF169" s="7">
        <f t="shared" si="131"/>
        <v>44136</v>
      </c>
      <c r="AG169" s="7">
        <f t="shared" si="131"/>
        <v>44136</v>
      </c>
      <c r="AH169" s="7">
        <f t="shared" si="131"/>
        <v>44136</v>
      </c>
      <c r="AI169" s="7">
        <f t="shared" si="131"/>
        <v>44136</v>
      </c>
      <c r="AJ169" s="7">
        <f t="shared" si="131"/>
        <v>44501</v>
      </c>
      <c r="AK169" s="7">
        <f t="shared" si="131"/>
        <v>44501</v>
      </c>
      <c r="AL169" s="7">
        <f t="shared" si="131"/>
        <v>44501</v>
      </c>
      <c r="AM169" s="7">
        <f t="shared" si="131"/>
        <v>44501</v>
      </c>
      <c r="AN169" s="7">
        <f t="shared" si="131"/>
        <v>44501</v>
      </c>
      <c r="AO169" s="7">
        <f t="shared" si="131"/>
        <v>44501</v>
      </c>
      <c r="AP169" s="7">
        <f t="shared" si="131"/>
        <v>44501</v>
      </c>
      <c r="AQ169" s="7">
        <f t="shared" si="131"/>
        <v>44501</v>
      </c>
      <c r="AR169" s="7">
        <f t="shared" si="131"/>
        <v>44501</v>
      </c>
      <c r="AS169" s="7">
        <f t="shared" si="131"/>
        <v>44501</v>
      </c>
      <c r="AT169" s="7">
        <f t="shared" si="131"/>
        <v>44501</v>
      </c>
      <c r="AU169" s="7">
        <f t="shared" si="131"/>
        <v>44501</v>
      </c>
      <c r="AV169" s="7">
        <f t="shared" si="131"/>
        <v>44866</v>
      </c>
      <c r="AW169" s="7">
        <f t="shared" si="131"/>
        <v>44866</v>
      </c>
      <c r="AX169" s="7">
        <f t="shared" si="131"/>
        <v>44866</v>
      </c>
      <c r="AY169" s="7">
        <f t="shared" si="131"/>
        <v>44866</v>
      </c>
      <c r="AZ169" s="7">
        <f t="shared" si="131"/>
        <v>44866</v>
      </c>
      <c r="BA169" s="7">
        <f t="shared" si="131"/>
        <v>44866</v>
      </c>
      <c r="BB169" s="7">
        <f t="shared" si="131"/>
        <v>44866</v>
      </c>
      <c r="BC169" s="7">
        <f t="shared" si="131"/>
        <v>44866</v>
      </c>
      <c r="BD169" s="7">
        <f t="shared" si="131"/>
        <v>44866</v>
      </c>
      <c r="BE169" s="7">
        <f t="shared" si="131"/>
        <v>44866</v>
      </c>
      <c r="BF169" s="7">
        <f t="shared" si="131"/>
        <v>44866</v>
      </c>
      <c r="BG169" s="7">
        <f t="shared" si="131"/>
        <v>44866</v>
      </c>
      <c r="BH169" s="7">
        <f t="shared" si="131"/>
        <v>45231</v>
      </c>
      <c r="BI169" s="7">
        <f t="shared" si="131"/>
        <v>45231</v>
      </c>
    </row>
    <row r="170" spans="5:61" x14ac:dyDescent="0.35">
      <c r="E170">
        <f t="shared" si="119"/>
        <v>12</v>
      </c>
      <c r="J170" t="str">
        <f t="shared" si="120"/>
        <v>date</v>
      </c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">
        <f t="shared" ref="Y170:BI170" si="132">Y24</f>
        <v>44166</v>
      </c>
      <c r="Z170" s="7">
        <f t="shared" si="132"/>
        <v>44166</v>
      </c>
      <c r="AA170" s="7">
        <f t="shared" si="132"/>
        <v>44166</v>
      </c>
      <c r="AB170" s="7">
        <f t="shared" si="132"/>
        <v>44166</v>
      </c>
      <c r="AC170" s="7">
        <f t="shared" si="132"/>
        <v>44166</v>
      </c>
      <c r="AD170" s="7">
        <f t="shared" si="132"/>
        <v>44166</v>
      </c>
      <c r="AE170" s="7">
        <f t="shared" si="132"/>
        <v>44166</v>
      </c>
      <c r="AF170" s="7">
        <f t="shared" si="132"/>
        <v>44166</v>
      </c>
      <c r="AG170" s="7">
        <f t="shared" si="132"/>
        <v>44166</v>
      </c>
      <c r="AH170" s="7">
        <f t="shared" si="132"/>
        <v>44166</v>
      </c>
      <c r="AI170" s="7">
        <f t="shared" si="132"/>
        <v>44166</v>
      </c>
      <c r="AJ170" s="7">
        <f t="shared" si="132"/>
        <v>44166</v>
      </c>
      <c r="AK170" s="7">
        <f t="shared" si="132"/>
        <v>44531</v>
      </c>
      <c r="AL170" s="7">
        <f t="shared" si="132"/>
        <v>44531</v>
      </c>
      <c r="AM170" s="7">
        <f t="shared" si="132"/>
        <v>44531</v>
      </c>
      <c r="AN170" s="7">
        <f t="shared" si="132"/>
        <v>44531</v>
      </c>
      <c r="AO170" s="7">
        <f t="shared" si="132"/>
        <v>44531</v>
      </c>
      <c r="AP170" s="7">
        <f t="shared" si="132"/>
        <v>44531</v>
      </c>
      <c r="AQ170" s="7">
        <f t="shared" si="132"/>
        <v>44531</v>
      </c>
      <c r="AR170" s="7">
        <f t="shared" si="132"/>
        <v>44531</v>
      </c>
      <c r="AS170" s="7">
        <f t="shared" si="132"/>
        <v>44531</v>
      </c>
      <c r="AT170" s="7">
        <f t="shared" si="132"/>
        <v>44531</v>
      </c>
      <c r="AU170" s="7">
        <f t="shared" si="132"/>
        <v>44531</v>
      </c>
      <c r="AV170" s="7">
        <f t="shared" si="132"/>
        <v>44531</v>
      </c>
      <c r="AW170" s="7">
        <f t="shared" si="132"/>
        <v>44896</v>
      </c>
      <c r="AX170" s="7">
        <f t="shared" si="132"/>
        <v>44896</v>
      </c>
      <c r="AY170" s="7">
        <f t="shared" si="132"/>
        <v>44896</v>
      </c>
      <c r="AZ170" s="7">
        <f t="shared" si="132"/>
        <v>44896</v>
      </c>
      <c r="BA170" s="7">
        <f t="shared" si="132"/>
        <v>44896</v>
      </c>
      <c r="BB170" s="7">
        <f t="shared" si="132"/>
        <v>44896</v>
      </c>
      <c r="BC170" s="7">
        <f t="shared" si="132"/>
        <v>44896</v>
      </c>
      <c r="BD170" s="7">
        <f t="shared" si="132"/>
        <v>44896</v>
      </c>
      <c r="BE170" s="7">
        <f t="shared" si="132"/>
        <v>44896</v>
      </c>
      <c r="BF170" s="7">
        <f t="shared" si="132"/>
        <v>44896</v>
      </c>
      <c r="BG170" s="7">
        <f t="shared" si="132"/>
        <v>44896</v>
      </c>
      <c r="BH170" s="7">
        <f t="shared" si="132"/>
        <v>44896</v>
      </c>
      <c r="BI170" s="7">
        <f t="shared" si="132"/>
        <v>45261</v>
      </c>
    </row>
    <row r="171" spans="5:61" x14ac:dyDescent="0.35"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</row>
    <row r="172" spans="5:61" x14ac:dyDescent="0.35">
      <c r="E172" s="12" t="s">
        <v>92</v>
      </c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</row>
    <row r="173" spans="5:61" x14ac:dyDescent="0.35">
      <c r="E173">
        <v>1</v>
      </c>
      <c r="J173" t="s">
        <v>51</v>
      </c>
      <c r="N173" s="41">
        <f>IFERROR(INDEX($N$157:$BI$157,1,MATCH(N159,$N$152:$BI$152,0)),0)</f>
        <v>3659.9066740506328</v>
      </c>
      <c r="O173" s="41">
        <f t="shared" ref="O173:BI173" si="133">IFERROR(INDEX($N$157:$BI$157,1,MATCH(O159,$N$152:$BI$152,0)),0)</f>
        <v>3659.9066740506328</v>
      </c>
      <c r="P173" s="41">
        <f t="shared" si="133"/>
        <v>3659.9066740506328</v>
      </c>
      <c r="Q173" s="41">
        <f t="shared" si="133"/>
        <v>3659.9066740506328</v>
      </c>
      <c r="R173" s="41">
        <f t="shared" si="133"/>
        <v>3659.9066740506328</v>
      </c>
      <c r="S173" s="41">
        <f t="shared" si="133"/>
        <v>3659.9066740506328</v>
      </c>
      <c r="T173" s="41">
        <f t="shared" si="133"/>
        <v>3659.9066740506328</v>
      </c>
      <c r="U173" s="41">
        <f t="shared" si="133"/>
        <v>3659.9066740506328</v>
      </c>
      <c r="V173" s="41">
        <f t="shared" si="133"/>
        <v>3659.9066740506328</v>
      </c>
      <c r="W173" s="41">
        <f t="shared" si="133"/>
        <v>3659.9066740506328</v>
      </c>
      <c r="X173" s="41">
        <f t="shared" si="133"/>
        <v>3659.9066740506328</v>
      </c>
      <c r="Y173" s="41">
        <f t="shared" si="133"/>
        <v>3659.9066740506328</v>
      </c>
      <c r="Z173" s="41">
        <f t="shared" si="133"/>
        <v>2461.6967020604948</v>
      </c>
      <c r="AA173" s="41">
        <f t="shared" si="133"/>
        <v>2461.6967020604948</v>
      </c>
      <c r="AB173" s="41">
        <f t="shared" si="133"/>
        <v>2461.6967020604948</v>
      </c>
      <c r="AC173" s="41">
        <f t="shared" si="133"/>
        <v>2461.6967020604948</v>
      </c>
      <c r="AD173" s="41">
        <f t="shared" si="133"/>
        <v>2461.6967020604948</v>
      </c>
      <c r="AE173" s="41">
        <f t="shared" si="133"/>
        <v>2461.6967020604948</v>
      </c>
      <c r="AF173" s="41">
        <f t="shared" si="133"/>
        <v>2461.6967020604948</v>
      </c>
      <c r="AG173" s="41">
        <f t="shared" si="133"/>
        <v>2461.6967020604948</v>
      </c>
      <c r="AH173" s="41">
        <f t="shared" si="133"/>
        <v>2461.6967020604948</v>
      </c>
      <c r="AI173" s="41">
        <f t="shared" si="133"/>
        <v>2461.6967020604948</v>
      </c>
      <c r="AJ173" s="41">
        <f t="shared" si="133"/>
        <v>2461.6967020604948</v>
      </c>
      <c r="AK173" s="41">
        <f t="shared" si="133"/>
        <v>2461.6967020604948</v>
      </c>
      <c r="AL173" s="41">
        <f t="shared" si="133"/>
        <v>3244.6355831767532</v>
      </c>
      <c r="AM173" s="41">
        <f t="shared" si="133"/>
        <v>3244.6355831767532</v>
      </c>
      <c r="AN173" s="41">
        <f t="shared" si="133"/>
        <v>3244.6355831767532</v>
      </c>
      <c r="AO173" s="41">
        <f t="shared" si="133"/>
        <v>3244.6355831767532</v>
      </c>
      <c r="AP173" s="41">
        <f t="shared" si="133"/>
        <v>3244.6355831767532</v>
      </c>
      <c r="AQ173" s="41">
        <f t="shared" si="133"/>
        <v>3244.6355831767532</v>
      </c>
      <c r="AR173" s="41">
        <f t="shared" si="133"/>
        <v>3244.6355831767532</v>
      </c>
      <c r="AS173" s="41">
        <f t="shared" si="133"/>
        <v>3244.6355831767532</v>
      </c>
      <c r="AT173" s="41">
        <f t="shared" si="133"/>
        <v>3244.6355831767532</v>
      </c>
      <c r="AU173" s="41">
        <f t="shared" si="133"/>
        <v>3244.6355831767532</v>
      </c>
      <c r="AV173" s="41">
        <f t="shared" si="133"/>
        <v>3244.6355831767532</v>
      </c>
      <c r="AW173" s="41">
        <f t="shared" si="133"/>
        <v>3244.6355831767532</v>
      </c>
      <c r="AX173" s="41">
        <f t="shared" si="133"/>
        <v>3341.9746506720558</v>
      </c>
      <c r="AY173" s="41">
        <f t="shared" si="133"/>
        <v>3341.9746506720558</v>
      </c>
      <c r="AZ173" s="41">
        <f t="shared" si="133"/>
        <v>3341.9746506720558</v>
      </c>
      <c r="BA173" s="41">
        <f t="shared" si="133"/>
        <v>3341.9746506720558</v>
      </c>
      <c r="BB173" s="41">
        <f t="shared" si="133"/>
        <v>3341.9746506720558</v>
      </c>
      <c r="BC173" s="41">
        <f t="shared" si="133"/>
        <v>3341.9746506720558</v>
      </c>
      <c r="BD173" s="41">
        <f t="shared" si="133"/>
        <v>3341.9746506720558</v>
      </c>
      <c r="BE173" s="41">
        <f t="shared" si="133"/>
        <v>3341.9746506720558</v>
      </c>
      <c r="BF173" s="41">
        <f t="shared" si="133"/>
        <v>3341.9746506720558</v>
      </c>
      <c r="BG173" s="41">
        <f t="shared" si="133"/>
        <v>3341.9746506720558</v>
      </c>
      <c r="BH173" s="41">
        <f t="shared" si="133"/>
        <v>3341.9746506720558</v>
      </c>
      <c r="BI173" s="41">
        <f t="shared" si="133"/>
        <v>3341.9746506720558</v>
      </c>
    </row>
    <row r="174" spans="5:61" x14ac:dyDescent="0.35">
      <c r="E174">
        <v>2</v>
      </c>
      <c r="J174" t="s">
        <v>51</v>
      </c>
      <c r="N174" s="41">
        <f t="shared" ref="N174:BI174" si="134">IFERROR(INDEX($N$157:$BI$157,1,MATCH(N160,$N$152:$BI$152,0)),0)</f>
        <v>0</v>
      </c>
      <c r="O174" s="41">
        <f t="shared" si="134"/>
        <v>3879.970305863847</v>
      </c>
      <c r="P174" s="41">
        <f t="shared" si="134"/>
        <v>3879.970305863847</v>
      </c>
      <c r="Q174" s="41">
        <f t="shared" si="134"/>
        <v>3879.970305863847</v>
      </c>
      <c r="R174" s="41">
        <f t="shared" si="134"/>
        <v>3879.970305863847</v>
      </c>
      <c r="S174" s="41">
        <f t="shared" si="134"/>
        <v>3879.970305863847</v>
      </c>
      <c r="T174" s="41">
        <f t="shared" si="134"/>
        <v>3879.970305863847</v>
      </c>
      <c r="U174" s="41">
        <f t="shared" si="134"/>
        <v>3879.970305863847</v>
      </c>
      <c r="V174" s="41">
        <f t="shared" si="134"/>
        <v>3879.970305863847</v>
      </c>
      <c r="W174" s="41">
        <f t="shared" si="134"/>
        <v>3879.970305863847</v>
      </c>
      <c r="X174" s="41">
        <f t="shared" si="134"/>
        <v>3879.970305863847</v>
      </c>
      <c r="Y174" s="41">
        <f t="shared" si="134"/>
        <v>3879.970305863847</v>
      </c>
      <c r="Z174" s="41">
        <f t="shared" si="134"/>
        <v>3879.970305863847</v>
      </c>
      <c r="AA174" s="41">
        <f t="shared" si="134"/>
        <v>2604.9544746546985</v>
      </c>
      <c r="AB174" s="41">
        <f t="shared" si="134"/>
        <v>2604.9544746546985</v>
      </c>
      <c r="AC174" s="41">
        <f t="shared" si="134"/>
        <v>2604.9544746546985</v>
      </c>
      <c r="AD174" s="41">
        <f t="shared" si="134"/>
        <v>2604.9544746546985</v>
      </c>
      <c r="AE174" s="41">
        <f t="shared" si="134"/>
        <v>2604.9544746546985</v>
      </c>
      <c r="AF174" s="41">
        <f t="shared" si="134"/>
        <v>2604.9544746546985</v>
      </c>
      <c r="AG174" s="41">
        <f t="shared" si="134"/>
        <v>2604.9544746546985</v>
      </c>
      <c r="AH174" s="41">
        <f t="shared" si="134"/>
        <v>2604.9544746546985</v>
      </c>
      <c r="AI174" s="41">
        <f t="shared" si="134"/>
        <v>2604.9544746546985</v>
      </c>
      <c r="AJ174" s="41">
        <f t="shared" si="134"/>
        <v>2604.9544746546985</v>
      </c>
      <c r="AK174" s="41">
        <f t="shared" si="134"/>
        <v>2604.9544746546985</v>
      </c>
      <c r="AL174" s="41">
        <f t="shared" si="134"/>
        <v>2604.9544746546985</v>
      </c>
      <c r="AM174" s="41">
        <f t="shared" si="134"/>
        <v>3244.6355831767532</v>
      </c>
      <c r="AN174" s="41">
        <f t="shared" si="134"/>
        <v>3244.6355831767532</v>
      </c>
      <c r="AO174" s="41">
        <f t="shared" si="134"/>
        <v>3244.6355831767532</v>
      </c>
      <c r="AP174" s="41">
        <f t="shared" si="134"/>
        <v>3244.6355831767532</v>
      </c>
      <c r="AQ174" s="41">
        <f t="shared" si="134"/>
        <v>3244.6355831767532</v>
      </c>
      <c r="AR174" s="41">
        <f t="shared" si="134"/>
        <v>3244.6355831767532</v>
      </c>
      <c r="AS174" s="41">
        <f t="shared" si="134"/>
        <v>3244.6355831767532</v>
      </c>
      <c r="AT174" s="41">
        <f t="shared" si="134"/>
        <v>3244.6355831767532</v>
      </c>
      <c r="AU174" s="41">
        <f t="shared" si="134"/>
        <v>3244.6355831767532</v>
      </c>
      <c r="AV174" s="41">
        <f t="shared" si="134"/>
        <v>3244.6355831767532</v>
      </c>
      <c r="AW174" s="41">
        <f t="shared" si="134"/>
        <v>3244.6355831767532</v>
      </c>
      <c r="AX174" s="41">
        <f t="shared" si="134"/>
        <v>3244.6355831767532</v>
      </c>
      <c r="AY174" s="41">
        <f t="shared" si="134"/>
        <v>3341.9746506720558</v>
      </c>
      <c r="AZ174" s="41">
        <f t="shared" si="134"/>
        <v>3341.9746506720558</v>
      </c>
      <c r="BA174" s="41">
        <f t="shared" si="134"/>
        <v>3341.9746506720558</v>
      </c>
      <c r="BB174" s="41">
        <f t="shared" si="134"/>
        <v>3341.9746506720558</v>
      </c>
      <c r="BC174" s="41">
        <f t="shared" si="134"/>
        <v>3341.9746506720558</v>
      </c>
      <c r="BD174" s="41">
        <f t="shared" si="134"/>
        <v>3341.9746506720558</v>
      </c>
      <c r="BE174" s="41">
        <f t="shared" si="134"/>
        <v>3341.9746506720558</v>
      </c>
      <c r="BF174" s="41">
        <f t="shared" si="134"/>
        <v>3341.9746506720558</v>
      </c>
      <c r="BG174" s="41">
        <f t="shared" si="134"/>
        <v>3341.9746506720558</v>
      </c>
      <c r="BH174" s="41">
        <f t="shared" si="134"/>
        <v>3341.9746506720558</v>
      </c>
      <c r="BI174" s="41">
        <f t="shared" si="134"/>
        <v>3341.9746506720558</v>
      </c>
    </row>
    <row r="175" spans="5:61" x14ac:dyDescent="0.35">
      <c r="E175">
        <v>3</v>
      </c>
      <c r="J175" t="s">
        <v>51</v>
      </c>
      <c r="N175" s="41">
        <f t="shared" ref="N175:BI175" si="135">IFERROR(INDEX($N$157:$BI$157,1,MATCH(N161,$N$152:$BI$152,0)),0)</f>
        <v>0</v>
      </c>
      <c r="O175" s="41">
        <f t="shared" si="135"/>
        <v>0</v>
      </c>
      <c r="P175" s="41">
        <f t="shared" si="135"/>
        <v>4087.3800281096278</v>
      </c>
      <c r="Q175" s="41">
        <f t="shared" si="135"/>
        <v>4087.3800281096278</v>
      </c>
      <c r="R175" s="41">
        <f t="shared" si="135"/>
        <v>4087.3800281096278</v>
      </c>
      <c r="S175" s="41">
        <f t="shared" si="135"/>
        <v>4087.3800281096278</v>
      </c>
      <c r="T175" s="41">
        <f t="shared" si="135"/>
        <v>4087.3800281096278</v>
      </c>
      <c r="U175" s="41">
        <f t="shared" si="135"/>
        <v>4087.3800281096278</v>
      </c>
      <c r="V175" s="41">
        <f t="shared" si="135"/>
        <v>4087.3800281096278</v>
      </c>
      <c r="W175" s="41">
        <f t="shared" si="135"/>
        <v>4087.3800281096278</v>
      </c>
      <c r="X175" s="41">
        <f t="shared" si="135"/>
        <v>4087.3800281096278</v>
      </c>
      <c r="Y175" s="41">
        <f t="shared" si="135"/>
        <v>4087.3800281096278</v>
      </c>
      <c r="Z175" s="41">
        <f t="shared" si="135"/>
        <v>4087.3800281096278</v>
      </c>
      <c r="AA175" s="41">
        <f t="shared" si="135"/>
        <v>4087.3800281096278</v>
      </c>
      <c r="AB175" s="41">
        <f t="shared" si="135"/>
        <v>3000.3617206059439</v>
      </c>
      <c r="AC175" s="41">
        <f t="shared" si="135"/>
        <v>3000.3617206059439</v>
      </c>
      <c r="AD175" s="41">
        <f t="shared" si="135"/>
        <v>3000.3617206059439</v>
      </c>
      <c r="AE175" s="41">
        <f t="shared" si="135"/>
        <v>3000.3617206059439</v>
      </c>
      <c r="AF175" s="41">
        <f t="shared" si="135"/>
        <v>3000.3617206059439</v>
      </c>
      <c r="AG175" s="41">
        <f t="shared" si="135"/>
        <v>3000.3617206059439</v>
      </c>
      <c r="AH175" s="41">
        <f t="shared" si="135"/>
        <v>3000.3617206059439</v>
      </c>
      <c r="AI175" s="41">
        <f t="shared" si="135"/>
        <v>3000.3617206059439</v>
      </c>
      <c r="AJ175" s="41">
        <f t="shared" si="135"/>
        <v>3000.3617206059439</v>
      </c>
      <c r="AK175" s="41">
        <f t="shared" si="135"/>
        <v>3000.3617206059439</v>
      </c>
      <c r="AL175" s="41">
        <f t="shared" si="135"/>
        <v>3000.3617206059439</v>
      </c>
      <c r="AM175" s="41">
        <f t="shared" si="135"/>
        <v>3000.3617206059439</v>
      </c>
      <c r="AN175" s="41">
        <f t="shared" si="135"/>
        <v>3244.6355831767532</v>
      </c>
      <c r="AO175" s="41">
        <f t="shared" si="135"/>
        <v>3244.6355831767532</v>
      </c>
      <c r="AP175" s="41">
        <f t="shared" si="135"/>
        <v>3244.6355831767532</v>
      </c>
      <c r="AQ175" s="41">
        <f t="shared" si="135"/>
        <v>3244.6355831767532</v>
      </c>
      <c r="AR175" s="41">
        <f t="shared" si="135"/>
        <v>3244.6355831767532</v>
      </c>
      <c r="AS175" s="41">
        <f t="shared" si="135"/>
        <v>3244.6355831767532</v>
      </c>
      <c r="AT175" s="41">
        <f t="shared" si="135"/>
        <v>3244.6355831767532</v>
      </c>
      <c r="AU175" s="41">
        <f t="shared" si="135"/>
        <v>3244.6355831767532</v>
      </c>
      <c r="AV175" s="41">
        <f t="shared" si="135"/>
        <v>3244.6355831767532</v>
      </c>
      <c r="AW175" s="41">
        <f t="shared" si="135"/>
        <v>3244.6355831767532</v>
      </c>
      <c r="AX175" s="41">
        <f t="shared" si="135"/>
        <v>3244.6355831767532</v>
      </c>
      <c r="AY175" s="41">
        <f t="shared" si="135"/>
        <v>3244.6355831767532</v>
      </c>
      <c r="AZ175" s="41">
        <f t="shared" si="135"/>
        <v>3341.9746506720558</v>
      </c>
      <c r="BA175" s="41">
        <f t="shared" si="135"/>
        <v>3341.9746506720558</v>
      </c>
      <c r="BB175" s="41">
        <f t="shared" si="135"/>
        <v>3341.9746506720558</v>
      </c>
      <c r="BC175" s="41">
        <f t="shared" si="135"/>
        <v>3341.9746506720558</v>
      </c>
      <c r="BD175" s="41">
        <f t="shared" si="135"/>
        <v>3341.9746506720558</v>
      </c>
      <c r="BE175" s="41">
        <f t="shared" si="135"/>
        <v>3341.9746506720558</v>
      </c>
      <c r="BF175" s="41">
        <f t="shared" si="135"/>
        <v>3341.9746506720558</v>
      </c>
      <c r="BG175" s="41">
        <f t="shared" si="135"/>
        <v>3341.9746506720558</v>
      </c>
      <c r="BH175" s="41">
        <f t="shared" si="135"/>
        <v>3341.9746506720558</v>
      </c>
      <c r="BI175" s="41">
        <f t="shared" si="135"/>
        <v>3341.9746506720558</v>
      </c>
    </row>
    <row r="176" spans="5:61" x14ac:dyDescent="0.35">
      <c r="E176">
        <v>4</v>
      </c>
      <c r="J176" t="s">
        <v>51</v>
      </c>
      <c r="N176" s="41">
        <f t="shared" ref="N176:BI176" si="136">IFERROR(INDEX($N$157:$BI$157,1,MATCH(N162,$N$152:$BI$152,0)),0)</f>
        <v>0</v>
      </c>
      <c r="O176" s="41">
        <f t="shared" si="136"/>
        <v>0</v>
      </c>
      <c r="P176" s="41">
        <f t="shared" si="136"/>
        <v>0</v>
      </c>
      <c r="Q176" s="41">
        <f t="shared" si="136"/>
        <v>4918.9572988171412</v>
      </c>
      <c r="R176" s="41">
        <f t="shared" si="136"/>
        <v>4918.9572988171412</v>
      </c>
      <c r="S176" s="41">
        <f t="shared" si="136"/>
        <v>4918.9572988171412</v>
      </c>
      <c r="T176" s="41">
        <f t="shared" si="136"/>
        <v>4918.9572988171412</v>
      </c>
      <c r="U176" s="41">
        <f t="shared" si="136"/>
        <v>4918.9572988171412</v>
      </c>
      <c r="V176" s="41">
        <f t="shared" si="136"/>
        <v>4918.9572988171412</v>
      </c>
      <c r="W176" s="41">
        <f t="shared" si="136"/>
        <v>4918.9572988171412</v>
      </c>
      <c r="X176" s="41">
        <f t="shared" si="136"/>
        <v>4918.9572988171412</v>
      </c>
      <c r="Y176" s="41">
        <f t="shared" si="136"/>
        <v>4918.9572988171412</v>
      </c>
      <c r="Z176" s="41">
        <f t="shared" si="136"/>
        <v>4918.9572988171412</v>
      </c>
      <c r="AA176" s="41">
        <f t="shared" si="136"/>
        <v>4918.9572988171412</v>
      </c>
      <c r="AB176" s="41">
        <f t="shared" si="136"/>
        <v>4918.9572988171412</v>
      </c>
      <c r="AC176" s="41">
        <f t="shared" si="136"/>
        <v>2891.259350236794</v>
      </c>
      <c r="AD176" s="41">
        <f t="shared" si="136"/>
        <v>2891.259350236794</v>
      </c>
      <c r="AE176" s="41">
        <f t="shared" si="136"/>
        <v>2891.259350236794</v>
      </c>
      <c r="AF176" s="41">
        <f t="shared" si="136"/>
        <v>2891.259350236794</v>
      </c>
      <c r="AG176" s="41">
        <f t="shared" si="136"/>
        <v>2891.259350236794</v>
      </c>
      <c r="AH176" s="41">
        <f t="shared" si="136"/>
        <v>2891.259350236794</v>
      </c>
      <c r="AI176" s="41">
        <f t="shared" si="136"/>
        <v>2891.259350236794</v>
      </c>
      <c r="AJ176" s="41">
        <f t="shared" si="136"/>
        <v>2891.259350236794</v>
      </c>
      <c r="AK176" s="41">
        <f t="shared" si="136"/>
        <v>2891.259350236794</v>
      </c>
      <c r="AL176" s="41">
        <f t="shared" si="136"/>
        <v>2891.259350236794</v>
      </c>
      <c r="AM176" s="41">
        <f t="shared" si="136"/>
        <v>2891.259350236794</v>
      </c>
      <c r="AN176" s="41">
        <f t="shared" si="136"/>
        <v>2891.259350236794</v>
      </c>
      <c r="AO176" s="41">
        <f t="shared" si="136"/>
        <v>3244.6355831767532</v>
      </c>
      <c r="AP176" s="41">
        <f t="shared" si="136"/>
        <v>3244.6355831767532</v>
      </c>
      <c r="AQ176" s="41">
        <f t="shared" si="136"/>
        <v>3244.6355831767532</v>
      </c>
      <c r="AR176" s="41">
        <f t="shared" si="136"/>
        <v>3244.6355831767532</v>
      </c>
      <c r="AS176" s="41">
        <f t="shared" si="136"/>
        <v>3244.6355831767532</v>
      </c>
      <c r="AT176" s="41">
        <f t="shared" si="136"/>
        <v>3244.6355831767532</v>
      </c>
      <c r="AU176" s="41">
        <f t="shared" si="136"/>
        <v>3244.6355831767532</v>
      </c>
      <c r="AV176" s="41">
        <f t="shared" si="136"/>
        <v>3244.6355831767532</v>
      </c>
      <c r="AW176" s="41">
        <f t="shared" si="136"/>
        <v>3244.6355831767532</v>
      </c>
      <c r="AX176" s="41">
        <f t="shared" si="136"/>
        <v>3244.6355831767532</v>
      </c>
      <c r="AY176" s="41">
        <f t="shared" si="136"/>
        <v>3244.6355831767532</v>
      </c>
      <c r="AZ176" s="41">
        <f t="shared" si="136"/>
        <v>3244.6355831767532</v>
      </c>
      <c r="BA176" s="41">
        <f t="shared" si="136"/>
        <v>3341.9746506720558</v>
      </c>
      <c r="BB176" s="41">
        <f t="shared" si="136"/>
        <v>3341.9746506720558</v>
      </c>
      <c r="BC176" s="41">
        <f t="shared" si="136"/>
        <v>3341.9746506720558</v>
      </c>
      <c r="BD176" s="41">
        <f t="shared" si="136"/>
        <v>3341.9746506720558</v>
      </c>
      <c r="BE176" s="41">
        <f t="shared" si="136"/>
        <v>3341.9746506720558</v>
      </c>
      <c r="BF176" s="41">
        <f t="shared" si="136"/>
        <v>3341.9746506720558</v>
      </c>
      <c r="BG176" s="41">
        <f t="shared" si="136"/>
        <v>3341.9746506720558</v>
      </c>
      <c r="BH176" s="41">
        <f t="shared" si="136"/>
        <v>3341.9746506720558</v>
      </c>
      <c r="BI176" s="41">
        <f t="shared" si="136"/>
        <v>3341.9746506720558</v>
      </c>
    </row>
    <row r="177" spans="5:61" x14ac:dyDescent="0.35">
      <c r="E177">
        <v>5</v>
      </c>
      <c r="J177" t="s">
        <v>51</v>
      </c>
      <c r="N177" s="41">
        <f t="shared" ref="N177:BI177" si="137">IFERROR(INDEX($N$157:$BI$157,1,MATCH(N163,$N$152:$BI$152,0)),0)</f>
        <v>0</v>
      </c>
      <c r="O177" s="41">
        <f t="shared" si="137"/>
        <v>0</v>
      </c>
      <c r="P177" s="41">
        <f t="shared" si="137"/>
        <v>0</v>
      </c>
      <c r="Q177" s="41">
        <f t="shared" si="137"/>
        <v>0</v>
      </c>
      <c r="R177" s="41">
        <f t="shared" si="137"/>
        <v>6142.1441969579791</v>
      </c>
      <c r="S177" s="41">
        <f t="shared" si="137"/>
        <v>6142.1441969579791</v>
      </c>
      <c r="T177" s="41">
        <f t="shared" si="137"/>
        <v>6142.1441969579791</v>
      </c>
      <c r="U177" s="41">
        <f t="shared" si="137"/>
        <v>6142.1441969579791</v>
      </c>
      <c r="V177" s="41">
        <f t="shared" si="137"/>
        <v>6142.1441969579791</v>
      </c>
      <c r="W177" s="41">
        <f t="shared" si="137"/>
        <v>6142.1441969579791</v>
      </c>
      <c r="X177" s="41">
        <f t="shared" si="137"/>
        <v>6142.1441969579791</v>
      </c>
      <c r="Y177" s="41">
        <f t="shared" si="137"/>
        <v>6142.1441969579791</v>
      </c>
      <c r="Z177" s="41">
        <f t="shared" si="137"/>
        <v>6142.1441969579791</v>
      </c>
      <c r="AA177" s="41">
        <f t="shared" si="137"/>
        <v>6142.1441969579791</v>
      </c>
      <c r="AB177" s="41">
        <f t="shared" si="137"/>
        <v>6142.1441969579791</v>
      </c>
      <c r="AC177" s="41">
        <f t="shared" si="137"/>
        <v>6142.1441969579791</v>
      </c>
      <c r="AD177" s="41">
        <f t="shared" si="137"/>
        <v>3106.0262082739418</v>
      </c>
      <c r="AE177" s="41">
        <f t="shared" si="137"/>
        <v>3106.0262082739418</v>
      </c>
      <c r="AF177" s="41">
        <f t="shared" si="137"/>
        <v>3106.0262082739418</v>
      </c>
      <c r="AG177" s="41">
        <f t="shared" si="137"/>
        <v>3106.0262082739418</v>
      </c>
      <c r="AH177" s="41">
        <f t="shared" si="137"/>
        <v>3106.0262082739418</v>
      </c>
      <c r="AI177" s="41">
        <f t="shared" si="137"/>
        <v>3106.0262082739418</v>
      </c>
      <c r="AJ177" s="41">
        <f t="shared" si="137"/>
        <v>3106.0262082739418</v>
      </c>
      <c r="AK177" s="41">
        <f t="shared" si="137"/>
        <v>3106.0262082739418</v>
      </c>
      <c r="AL177" s="41">
        <f t="shared" si="137"/>
        <v>3106.0262082739418</v>
      </c>
      <c r="AM177" s="41">
        <f t="shared" si="137"/>
        <v>3106.0262082739418</v>
      </c>
      <c r="AN177" s="41">
        <f t="shared" si="137"/>
        <v>3106.0262082739418</v>
      </c>
      <c r="AO177" s="41">
        <f t="shared" si="137"/>
        <v>3106.0262082739418</v>
      </c>
      <c r="AP177" s="41">
        <f t="shared" si="137"/>
        <v>3244.6355831767532</v>
      </c>
      <c r="AQ177" s="41">
        <f t="shared" si="137"/>
        <v>3244.6355831767532</v>
      </c>
      <c r="AR177" s="41">
        <f t="shared" si="137"/>
        <v>3244.6355831767532</v>
      </c>
      <c r="AS177" s="41">
        <f t="shared" si="137"/>
        <v>3244.6355831767532</v>
      </c>
      <c r="AT177" s="41">
        <f t="shared" si="137"/>
        <v>3244.6355831767532</v>
      </c>
      <c r="AU177" s="41">
        <f t="shared" si="137"/>
        <v>3244.6355831767532</v>
      </c>
      <c r="AV177" s="41">
        <f t="shared" si="137"/>
        <v>3244.6355831767532</v>
      </c>
      <c r="AW177" s="41">
        <f t="shared" si="137"/>
        <v>3244.6355831767532</v>
      </c>
      <c r="AX177" s="41">
        <f t="shared" si="137"/>
        <v>3244.6355831767532</v>
      </c>
      <c r="AY177" s="41">
        <f t="shared" si="137"/>
        <v>3244.6355831767532</v>
      </c>
      <c r="AZ177" s="41">
        <f t="shared" si="137"/>
        <v>3244.6355831767532</v>
      </c>
      <c r="BA177" s="41">
        <f t="shared" si="137"/>
        <v>3244.6355831767532</v>
      </c>
      <c r="BB177" s="41">
        <f t="shared" si="137"/>
        <v>3341.9746506720558</v>
      </c>
      <c r="BC177" s="41">
        <f t="shared" si="137"/>
        <v>3341.9746506720558</v>
      </c>
      <c r="BD177" s="41">
        <f t="shared" si="137"/>
        <v>3341.9746506720558</v>
      </c>
      <c r="BE177" s="41">
        <f t="shared" si="137"/>
        <v>3341.9746506720558</v>
      </c>
      <c r="BF177" s="41">
        <f t="shared" si="137"/>
        <v>3341.9746506720558</v>
      </c>
      <c r="BG177" s="41">
        <f t="shared" si="137"/>
        <v>3341.9746506720558</v>
      </c>
      <c r="BH177" s="41">
        <f t="shared" si="137"/>
        <v>3341.9746506720558</v>
      </c>
      <c r="BI177" s="41">
        <f t="shared" si="137"/>
        <v>3341.9746506720558</v>
      </c>
    </row>
    <row r="178" spans="5:61" x14ac:dyDescent="0.35">
      <c r="E178">
        <v>6</v>
      </c>
      <c r="J178" t="s">
        <v>51</v>
      </c>
      <c r="N178" s="41">
        <f t="shared" ref="N178:BI178" si="138">IFERROR(INDEX($N$157:$BI$157,1,MATCH(N164,$N$152:$BI$152,0)),0)</f>
        <v>0</v>
      </c>
      <c r="O178" s="41">
        <f t="shared" si="138"/>
        <v>0</v>
      </c>
      <c r="P178" s="41">
        <f t="shared" si="138"/>
        <v>0</v>
      </c>
      <c r="Q178" s="41">
        <f t="shared" si="138"/>
        <v>0</v>
      </c>
      <c r="R178" s="41">
        <f t="shared" si="138"/>
        <v>0</v>
      </c>
      <c r="S178" s="41">
        <f t="shared" si="138"/>
        <v>6059.1057616441185</v>
      </c>
      <c r="T178" s="41">
        <f t="shared" si="138"/>
        <v>6059.1057616441185</v>
      </c>
      <c r="U178" s="41">
        <f t="shared" si="138"/>
        <v>6059.1057616441185</v>
      </c>
      <c r="V178" s="41">
        <f t="shared" si="138"/>
        <v>6059.1057616441185</v>
      </c>
      <c r="W178" s="41">
        <f t="shared" si="138"/>
        <v>6059.1057616441185</v>
      </c>
      <c r="X178" s="41">
        <f t="shared" si="138"/>
        <v>6059.1057616441185</v>
      </c>
      <c r="Y178" s="41">
        <f t="shared" si="138"/>
        <v>6059.1057616441185</v>
      </c>
      <c r="Z178" s="41">
        <f t="shared" si="138"/>
        <v>6059.1057616441185</v>
      </c>
      <c r="AA178" s="41">
        <f t="shared" si="138"/>
        <v>6059.1057616441185</v>
      </c>
      <c r="AB178" s="41">
        <f t="shared" si="138"/>
        <v>6059.1057616441185</v>
      </c>
      <c r="AC178" s="41">
        <f t="shared" si="138"/>
        <v>6059.1057616441185</v>
      </c>
      <c r="AD178" s="41">
        <f t="shared" si="138"/>
        <v>6059.1057616441185</v>
      </c>
      <c r="AE178" s="41">
        <f t="shared" si="138"/>
        <v>3196.6461024097239</v>
      </c>
      <c r="AF178" s="41">
        <f t="shared" si="138"/>
        <v>3196.6461024097239</v>
      </c>
      <c r="AG178" s="41">
        <f t="shared" si="138"/>
        <v>3196.6461024097239</v>
      </c>
      <c r="AH178" s="41">
        <f t="shared" si="138"/>
        <v>3196.6461024097239</v>
      </c>
      <c r="AI178" s="41">
        <f t="shared" si="138"/>
        <v>3196.6461024097239</v>
      </c>
      <c r="AJ178" s="41">
        <f t="shared" si="138"/>
        <v>3196.6461024097239</v>
      </c>
      <c r="AK178" s="41">
        <f t="shared" si="138"/>
        <v>3196.6461024097239</v>
      </c>
      <c r="AL178" s="41">
        <f t="shared" si="138"/>
        <v>3196.6461024097239</v>
      </c>
      <c r="AM178" s="41">
        <f t="shared" si="138"/>
        <v>3196.6461024097239</v>
      </c>
      <c r="AN178" s="41">
        <f t="shared" si="138"/>
        <v>3196.6461024097239</v>
      </c>
      <c r="AO178" s="41">
        <f t="shared" si="138"/>
        <v>3196.6461024097239</v>
      </c>
      <c r="AP178" s="41">
        <f t="shared" si="138"/>
        <v>3196.6461024097239</v>
      </c>
      <c r="AQ178" s="41">
        <f t="shared" si="138"/>
        <v>3244.6355831767532</v>
      </c>
      <c r="AR178" s="41">
        <f t="shared" si="138"/>
        <v>3244.6355831767532</v>
      </c>
      <c r="AS178" s="41">
        <f t="shared" si="138"/>
        <v>3244.6355831767532</v>
      </c>
      <c r="AT178" s="41">
        <f t="shared" si="138"/>
        <v>3244.6355831767532</v>
      </c>
      <c r="AU178" s="41">
        <f t="shared" si="138"/>
        <v>3244.6355831767532</v>
      </c>
      <c r="AV178" s="41">
        <f t="shared" si="138"/>
        <v>3244.6355831767532</v>
      </c>
      <c r="AW178" s="41">
        <f t="shared" si="138"/>
        <v>3244.6355831767532</v>
      </c>
      <c r="AX178" s="41">
        <f t="shared" si="138"/>
        <v>3244.6355831767532</v>
      </c>
      <c r="AY178" s="41">
        <f t="shared" si="138"/>
        <v>3244.6355831767532</v>
      </c>
      <c r="AZ178" s="41">
        <f t="shared" si="138"/>
        <v>3244.6355831767532</v>
      </c>
      <c r="BA178" s="41">
        <f t="shared" si="138"/>
        <v>3244.6355831767532</v>
      </c>
      <c r="BB178" s="41">
        <f t="shared" si="138"/>
        <v>3244.6355831767532</v>
      </c>
      <c r="BC178" s="41">
        <f t="shared" si="138"/>
        <v>3341.9746506720558</v>
      </c>
      <c r="BD178" s="41">
        <f t="shared" si="138"/>
        <v>3341.9746506720558</v>
      </c>
      <c r="BE178" s="41">
        <f t="shared" si="138"/>
        <v>3341.9746506720558</v>
      </c>
      <c r="BF178" s="41">
        <f t="shared" si="138"/>
        <v>3341.9746506720558</v>
      </c>
      <c r="BG178" s="41">
        <f t="shared" si="138"/>
        <v>3341.9746506720558</v>
      </c>
      <c r="BH178" s="41">
        <f t="shared" si="138"/>
        <v>3341.9746506720558</v>
      </c>
      <c r="BI178" s="41">
        <f t="shared" si="138"/>
        <v>3341.9746506720558</v>
      </c>
    </row>
    <row r="179" spans="5:61" x14ac:dyDescent="0.35">
      <c r="E179">
        <v>7</v>
      </c>
      <c r="J179" t="s">
        <v>51</v>
      </c>
      <c r="N179" s="41">
        <f t="shared" ref="N179:BI179" si="139">IFERROR(INDEX($N$157:$BI$157,1,MATCH(N165,$N$152:$BI$152,0)),0)</f>
        <v>0</v>
      </c>
      <c r="O179" s="41">
        <f t="shared" si="139"/>
        <v>0</v>
      </c>
      <c r="P179" s="41">
        <f t="shared" si="139"/>
        <v>0</v>
      </c>
      <c r="Q179" s="41">
        <f t="shared" si="139"/>
        <v>0</v>
      </c>
      <c r="R179" s="41">
        <f t="shared" si="139"/>
        <v>0</v>
      </c>
      <c r="S179" s="41">
        <f t="shared" si="139"/>
        <v>0</v>
      </c>
      <c r="T179" s="41">
        <f t="shared" si="139"/>
        <v>5697.4498769530137</v>
      </c>
      <c r="U179" s="41">
        <f t="shared" si="139"/>
        <v>5697.4498769530137</v>
      </c>
      <c r="V179" s="41">
        <f t="shared" si="139"/>
        <v>5697.4498769530137</v>
      </c>
      <c r="W179" s="41">
        <f t="shared" si="139"/>
        <v>5697.4498769530137</v>
      </c>
      <c r="X179" s="41">
        <f t="shared" si="139"/>
        <v>5697.4498769530137</v>
      </c>
      <c r="Y179" s="41">
        <f t="shared" si="139"/>
        <v>5697.4498769530137</v>
      </c>
      <c r="Z179" s="41">
        <f t="shared" si="139"/>
        <v>5697.4498769530137</v>
      </c>
      <c r="AA179" s="41">
        <f t="shared" si="139"/>
        <v>5697.4498769530137</v>
      </c>
      <c r="AB179" s="41">
        <f t="shared" si="139"/>
        <v>5697.4498769530137</v>
      </c>
      <c r="AC179" s="41">
        <f t="shared" si="139"/>
        <v>5697.4498769530137</v>
      </c>
      <c r="AD179" s="41">
        <f t="shared" si="139"/>
        <v>5697.4498769530137</v>
      </c>
      <c r="AE179" s="41">
        <f t="shared" si="139"/>
        <v>5697.4498769530137</v>
      </c>
      <c r="AF179" s="41">
        <f t="shared" si="139"/>
        <v>3471.6453351365972</v>
      </c>
      <c r="AG179" s="41">
        <f t="shared" si="139"/>
        <v>3471.6453351365972</v>
      </c>
      <c r="AH179" s="41">
        <f t="shared" si="139"/>
        <v>3471.6453351365972</v>
      </c>
      <c r="AI179" s="41">
        <f t="shared" si="139"/>
        <v>3471.6453351365972</v>
      </c>
      <c r="AJ179" s="41">
        <f t="shared" si="139"/>
        <v>3471.6453351365972</v>
      </c>
      <c r="AK179" s="41">
        <f t="shared" si="139"/>
        <v>3471.6453351365972</v>
      </c>
      <c r="AL179" s="41">
        <f t="shared" si="139"/>
        <v>3471.6453351365972</v>
      </c>
      <c r="AM179" s="41">
        <f t="shared" si="139"/>
        <v>3471.6453351365972</v>
      </c>
      <c r="AN179" s="41">
        <f t="shared" si="139"/>
        <v>3471.6453351365972</v>
      </c>
      <c r="AO179" s="41">
        <f t="shared" si="139"/>
        <v>3471.6453351365972</v>
      </c>
      <c r="AP179" s="41">
        <f t="shared" si="139"/>
        <v>3471.6453351365972</v>
      </c>
      <c r="AQ179" s="41">
        <f t="shared" si="139"/>
        <v>3471.6453351365972</v>
      </c>
      <c r="AR179" s="41">
        <f t="shared" si="139"/>
        <v>3244.6355831767532</v>
      </c>
      <c r="AS179" s="41">
        <f t="shared" si="139"/>
        <v>3244.6355831767532</v>
      </c>
      <c r="AT179" s="41">
        <f t="shared" si="139"/>
        <v>3244.6355831767532</v>
      </c>
      <c r="AU179" s="41">
        <f t="shared" si="139"/>
        <v>3244.6355831767532</v>
      </c>
      <c r="AV179" s="41">
        <f t="shared" si="139"/>
        <v>3244.6355831767532</v>
      </c>
      <c r="AW179" s="41">
        <f t="shared" si="139"/>
        <v>3244.6355831767532</v>
      </c>
      <c r="AX179" s="41">
        <f t="shared" si="139"/>
        <v>3244.6355831767532</v>
      </c>
      <c r="AY179" s="41">
        <f t="shared" si="139"/>
        <v>3244.6355831767532</v>
      </c>
      <c r="AZ179" s="41">
        <f t="shared" si="139"/>
        <v>3244.6355831767532</v>
      </c>
      <c r="BA179" s="41">
        <f t="shared" si="139"/>
        <v>3244.6355831767532</v>
      </c>
      <c r="BB179" s="41">
        <f t="shared" si="139"/>
        <v>3244.6355831767532</v>
      </c>
      <c r="BC179" s="41">
        <f t="shared" si="139"/>
        <v>3244.6355831767532</v>
      </c>
      <c r="BD179" s="41">
        <f t="shared" si="139"/>
        <v>3341.9746506720558</v>
      </c>
      <c r="BE179" s="41">
        <f t="shared" si="139"/>
        <v>3341.9746506720558</v>
      </c>
      <c r="BF179" s="41">
        <f t="shared" si="139"/>
        <v>3341.9746506720558</v>
      </c>
      <c r="BG179" s="41">
        <f t="shared" si="139"/>
        <v>3341.9746506720558</v>
      </c>
      <c r="BH179" s="41">
        <f t="shared" si="139"/>
        <v>3341.9746506720558</v>
      </c>
      <c r="BI179" s="41">
        <f t="shared" si="139"/>
        <v>3341.9746506720558</v>
      </c>
    </row>
    <row r="180" spans="5:61" x14ac:dyDescent="0.35">
      <c r="E180">
        <v>8</v>
      </c>
      <c r="J180" t="s">
        <v>51</v>
      </c>
      <c r="N180" s="41">
        <f t="shared" ref="N180:BI180" si="140">IFERROR(INDEX($N$157:$BI$157,1,MATCH(N166,$N$152:$BI$152,0)),0)</f>
        <v>0</v>
      </c>
      <c r="O180" s="41">
        <f t="shared" si="140"/>
        <v>0</v>
      </c>
      <c r="P180" s="41">
        <f t="shared" si="140"/>
        <v>0</v>
      </c>
      <c r="Q180" s="41">
        <f t="shared" si="140"/>
        <v>0</v>
      </c>
      <c r="R180" s="41">
        <f t="shared" si="140"/>
        <v>0</v>
      </c>
      <c r="S180" s="41">
        <f t="shared" si="140"/>
        <v>0</v>
      </c>
      <c r="T180" s="41">
        <f t="shared" si="140"/>
        <v>0</v>
      </c>
      <c r="U180" s="41">
        <f t="shared" si="140"/>
        <v>2801.5513376987838</v>
      </c>
      <c r="V180" s="41">
        <f t="shared" si="140"/>
        <v>2801.5513376987838</v>
      </c>
      <c r="W180" s="41">
        <f t="shared" si="140"/>
        <v>2801.5513376987838</v>
      </c>
      <c r="X180" s="41">
        <f t="shared" si="140"/>
        <v>2801.5513376987838</v>
      </c>
      <c r="Y180" s="41">
        <f t="shared" si="140"/>
        <v>2801.5513376987838</v>
      </c>
      <c r="Z180" s="41">
        <f t="shared" si="140"/>
        <v>2801.5513376987838</v>
      </c>
      <c r="AA180" s="41">
        <f t="shared" si="140"/>
        <v>2801.5513376987838</v>
      </c>
      <c r="AB180" s="41">
        <f t="shared" si="140"/>
        <v>2801.5513376987838</v>
      </c>
      <c r="AC180" s="41">
        <f t="shared" si="140"/>
        <v>2801.5513376987838</v>
      </c>
      <c r="AD180" s="41">
        <f t="shared" si="140"/>
        <v>2801.5513376987838</v>
      </c>
      <c r="AE180" s="41">
        <f t="shared" si="140"/>
        <v>2801.5513376987838</v>
      </c>
      <c r="AF180" s="41">
        <f t="shared" si="140"/>
        <v>2801.5513376987838</v>
      </c>
      <c r="AG180" s="41">
        <f t="shared" si="140"/>
        <v>3159.2908218841399</v>
      </c>
      <c r="AH180" s="41">
        <f t="shared" si="140"/>
        <v>3159.2908218841399</v>
      </c>
      <c r="AI180" s="41">
        <f t="shared" si="140"/>
        <v>3159.2908218841399</v>
      </c>
      <c r="AJ180" s="41">
        <f t="shared" si="140"/>
        <v>3159.2908218841399</v>
      </c>
      <c r="AK180" s="41">
        <f t="shared" si="140"/>
        <v>3159.2908218841399</v>
      </c>
      <c r="AL180" s="41">
        <f t="shared" si="140"/>
        <v>3159.2908218841399</v>
      </c>
      <c r="AM180" s="41">
        <f t="shared" si="140"/>
        <v>3159.2908218841399</v>
      </c>
      <c r="AN180" s="41">
        <f t="shared" si="140"/>
        <v>3159.2908218841399</v>
      </c>
      <c r="AO180" s="41">
        <f t="shared" si="140"/>
        <v>3159.2908218841399</v>
      </c>
      <c r="AP180" s="41">
        <f t="shared" si="140"/>
        <v>3159.2908218841399</v>
      </c>
      <c r="AQ180" s="41">
        <f t="shared" si="140"/>
        <v>3159.2908218841399</v>
      </c>
      <c r="AR180" s="41">
        <f t="shared" si="140"/>
        <v>3159.2908218841399</v>
      </c>
      <c r="AS180" s="41">
        <f t="shared" si="140"/>
        <v>3244.6355831767528</v>
      </c>
      <c r="AT180" s="41">
        <f t="shared" si="140"/>
        <v>3244.6355831767528</v>
      </c>
      <c r="AU180" s="41">
        <f t="shared" si="140"/>
        <v>3244.6355831767528</v>
      </c>
      <c r="AV180" s="41">
        <f t="shared" si="140"/>
        <v>3244.6355831767528</v>
      </c>
      <c r="AW180" s="41">
        <f t="shared" si="140"/>
        <v>3244.6355831767528</v>
      </c>
      <c r="AX180" s="41">
        <f t="shared" si="140"/>
        <v>3244.6355831767528</v>
      </c>
      <c r="AY180" s="41">
        <f t="shared" si="140"/>
        <v>3244.6355831767528</v>
      </c>
      <c r="AZ180" s="41">
        <f t="shared" si="140"/>
        <v>3244.6355831767528</v>
      </c>
      <c r="BA180" s="41">
        <f t="shared" si="140"/>
        <v>3244.6355831767528</v>
      </c>
      <c r="BB180" s="41">
        <f t="shared" si="140"/>
        <v>3244.6355831767528</v>
      </c>
      <c r="BC180" s="41">
        <f t="shared" si="140"/>
        <v>3244.6355831767528</v>
      </c>
      <c r="BD180" s="41">
        <f t="shared" si="140"/>
        <v>3244.6355831767528</v>
      </c>
      <c r="BE180" s="41">
        <f t="shared" si="140"/>
        <v>3341.9746506720558</v>
      </c>
      <c r="BF180" s="41">
        <f t="shared" si="140"/>
        <v>3341.9746506720558</v>
      </c>
      <c r="BG180" s="41">
        <f t="shared" si="140"/>
        <v>3341.9746506720558</v>
      </c>
      <c r="BH180" s="41">
        <f t="shared" si="140"/>
        <v>3341.9746506720558</v>
      </c>
      <c r="BI180" s="41">
        <f t="shared" si="140"/>
        <v>3341.9746506720558</v>
      </c>
    </row>
    <row r="181" spans="5:61" x14ac:dyDescent="0.35">
      <c r="E181">
        <v>9</v>
      </c>
      <c r="J181" t="s">
        <v>51</v>
      </c>
      <c r="N181" s="41">
        <f t="shared" ref="N181:BI181" si="141">IFERROR(INDEX($N$157:$BI$157,1,MATCH(N167,$N$152:$BI$152,0)),0)</f>
        <v>0</v>
      </c>
      <c r="O181" s="41">
        <f t="shared" si="141"/>
        <v>0</v>
      </c>
      <c r="P181" s="41">
        <f t="shared" si="141"/>
        <v>0</v>
      </c>
      <c r="Q181" s="41">
        <f t="shared" si="141"/>
        <v>0</v>
      </c>
      <c r="R181" s="41">
        <f t="shared" si="141"/>
        <v>0</v>
      </c>
      <c r="S181" s="41">
        <f t="shared" si="141"/>
        <v>0</v>
      </c>
      <c r="T181" s="41">
        <f t="shared" si="141"/>
        <v>0</v>
      </c>
      <c r="U181" s="41">
        <f t="shared" si="141"/>
        <v>0</v>
      </c>
      <c r="V181" s="41">
        <f t="shared" si="141"/>
        <v>3265.2992001035464</v>
      </c>
      <c r="W181" s="41">
        <f t="shared" si="141"/>
        <v>3265.2992001035464</v>
      </c>
      <c r="X181" s="41">
        <f t="shared" si="141"/>
        <v>3265.2992001035464</v>
      </c>
      <c r="Y181" s="41">
        <f t="shared" si="141"/>
        <v>3265.2992001035464</v>
      </c>
      <c r="Z181" s="41">
        <f t="shared" si="141"/>
        <v>3265.2992001035464</v>
      </c>
      <c r="AA181" s="41">
        <f t="shared" si="141"/>
        <v>3265.2992001035464</v>
      </c>
      <c r="AB181" s="41">
        <f t="shared" si="141"/>
        <v>3265.2992001035464</v>
      </c>
      <c r="AC181" s="41">
        <f t="shared" si="141"/>
        <v>3265.2992001035464</v>
      </c>
      <c r="AD181" s="41">
        <f t="shared" si="141"/>
        <v>3265.2992001035464</v>
      </c>
      <c r="AE181" s="41">
        <f t="shared" si="141"/>
        <v>3265.2992001035464</v>
      </c>
      <c r="AF181" s="41">
        <f t="shared" si="141"/>
        <v>3265.2992001035464</v>
      </c>
      <c r="AG181" s="41">
        <f t="shared" si="141"/>
        <v>3265.2992001035464</v>
      </c>
      <c r="AH181" s="41">
        <f t="shared" si="141"/>
        <v>3202.6443999807761</v>
      </c>
      <c r="AI181" s="41">
        <f t="shared" si="141"/>
        <v>3202.6443999807761</v>
      </c>
      <c r="AJ181" s="41">
        <f t="shared" si="141"/>
        <v>3202.6443999807761</v>
      </c>
      <c r="AK181" s="41">
        <f t="shared" si="141"/>
        <v>3202.6443999807761</v>
      </c>
      <c r="AL181" s="41">
        <f t="shared" si="141"/>
        <v>3202.6443999807761</v>
      </c>
      <c r="AM181" s="41">
        <f t="shared" si="141"/>
        <v>3202.6443999807761</v>
      </c>
      <c r="AN181" s="41">
        <f t="shared" si="141"/>
        <v>3202.6443999807761</v>
      </c>
      <c r="AO181" s="41">
        <f t="shared" si="141"/>
        <v>3202.6443999807761</v>
      </c>
      <c r="AP181" s="41">
        <f t="shared" si="141"/>
        <v>3202.6443999807761</v>
      </c>
      <c r="AQ181" s="41">
        <f t="shared" si="141"/>
        <v>3202.6443999807761</v>
      </c>
      <c r="AR181" s="41">
        <f t="shared" si="141"/>
        <v>3202.6443999807761</v>
      </c>
      <c r="AS181" s="41">
        <f t="shared" si="141"/>
        <v>3202.6443999807761</v>
      </c>
      <c r="AT181" s="41">
        <f t="shared" si="141"/>
        <v>3244.6355831767532</v>
      </c>
      <c r="AU181" s="41">
        <f t="shared" si="141"/>
        <v>3244.6355831767532</v>
      </c>
      <c r="AV181" s="41">
        <f t="shared" si="141"/>
        <v>3244.6355831767532</v>
      </c>
      <c r="AW181" s="41">
        <f t="shared" si="141"/>
        <v>3244.6355831767532</v>
      </c>
      <c r="AX181" s="41">
        <f t="shared" si="141"/>
        <v>3244.6355831767532</v>
      </c>
      <c r="AY181" s="41">
        <f t="shared" si="141"/>
        <v>3244.6355831767532</v>
      </c>
      <c r="AZ181" s="41">
        <f t="shared" si="141"/>
        <v>3244.6355831767532</v>
      </c>
      <c r="BA181" s="41">
        <f t="shared" si="141"/>
        <v>3244.6355831767532</v>
      </c>
      <c r="BB181" s="41">
        <f t="shared" si="141"/>
        <v>3244.6355831767532</v>
      </c>
      <c r="BC181" s="41">
        <f t="shared" si="141"/>
        <v>3244.6355831767532</v>
      </c>
      <c r="BD181" s="41">
        <f t="shared" si="141"/>
        <v>3244.6355831767532</v>
      </c>
      <c r="BE181" s="41">
        <f t="shared" si="141"/>
        <v>3244.6355831767532</v>
      </c>
      <c r="BF181" s="41">
        <f t="shared" si="141"/>
        <v>3341.9746506720562</v>
      </c>
      <c r="BG181" s="41">
        <f t="shared" si="141"/>
        <v>3341.9746506720562</v>
      </c>
      <c r="BH181" s="41">
        <f t="shared" si="141"/>
        <v>3341.9746506720562</v>
      </c>
      <c r="BI181" s="41">
        <f t="shared" si="141"/>
        <v>3341.9746506720562</v>
      </c>
    </row>
    <row r="182" spans="5:61" x14ac:dyDescent="0.35">
      <c r="E182">
        <v>10</v>
      </c>
      <c r="J182" t="s">
        <v>51</v>
      </c>
      <c r="N182" s="41">
        <f t="shared" ref="N182:BI182" si="142">IFERROR(INDEX($N$157:$BI$157,1,MATCH(N168,$N$152:$BI$152,0)),0)</f>
        <v>0</v>
      </c>
      <c r="O182" s="41">
        <f t="shared" si="142"/>
        <v>0</v>
      </c>
      <c r="P182" s="41">
        <f t="shared" si="142"/>
        <v>0</v>
      </c>
      <c r="Q182" s="41">
        <f t="shared" si="142"/>
        <v>0</v>
      </c>
      <c r="R182" s="41">
        <f t="shared" si="142"/>
        <v>0</v>
      </c>
      <c r="S182" s="41">
        <f t="shared" si="142"/>
        <v>0</v>
      </c>
      <c r="T182" s="41">
        <f t="shared" si="142"/>
        <v>0</v>
      </c>
      <c r="U182" s="41">
        <f t="shared" si="142"/>
        <v>0</v>
      </c>
      <c r="V182" s="41">
        <f t="shared" si="142"/>
        <v>0</v>
      </c>
      <c r="W182" s="41">
        <f t="shared" si="142"/>
        <v>3299.0733589880633</v>
      </c>
      <c r="X182" s="41">
        <f t="shared" si="142"/>
        <v>3299.0733589880633</v>
      </c>
      <c r="Y182" s="41">
        <f t="shared" si="142"/>
        <v>3299.0733589880633</v>
      </c>
      <c r="Z182" s="41">
        <f t="shared" si="142"/>
        <v>3299.0733589880633</v>
      </c>
      <c r="AA182" s="41">
        <f t="shared" si="142"/>
        <v>3299.0733589880633</v>
      </c>
      <c r="AB182" s="41">
        <f t="shared" si="142"/>
        <v>3299.0733589880633</v>
      </c>
      <c r="AC182" s="41">
        <f t="shared" si="142"/>
        <v>3299.0733589880633</v>
      </c>
      <c r="AD182" s="41">
        <f t="shared" si="142"/>
        <v>3299.0733589880633</v>
      </c>
      <c r="AE182" s="41">
        <f t="shared" si="142"/>
        <v>3299.0733589880633</v>
      </c>
      <c r="AF182" s="41">
        <f t="shared" si="142"/>
        <v>3299.0733589880633</v>
      </c>
      <c r="AG182" s="41">
        <f t="shared" si="142"/>
        <v>3299.0733589880633</v>
      </c>
      <c r="AH182" s="41">
        <f t="shared" si="142"/>
        <v>3299.0733589880633</v>
      </c>
      <c r="AI182" s="41">
        <f t="shared" si="142"/>
        <v>3312.2907617996498</v>
      </c>
      <c r="AJ182" s="41">
        <f t="shared" si="142"/>
        <v>3312.2907617996498</v>
      </c>
      <c r="AK182" s="41">
        <f t="shared" si="142"/>
        <v>3312.2907617996498</v>
      </c>
      <c r="AL182" s="41">
        <f t="shared" si="142"/>
        <v>3312.2907617996498</v>
      </c>
      <c r="AM182" s="41">
        <f t="shared" si="142"/>
        <v>3312.2907617996498</v>
      </c>
      <c r="AN182" s="41">
        <f t="shared" si="142"/>
        <v>3312.2907617996498</v>
      </c>
      <c r="AO182" s="41">
        <f t="shared" si="142"/>
        <v>3312.2907617996498</v>
      </c>
      <c r="AP182" s="41">
        <f t="shared" si="142"/>
        <v>3312.2907617996498</v>
      </c>
      <c r="AQ182" s="41">
        <f t="shared" si="142"/>
        <v>3312.2907617996498</v>
      </c>
      <c r="AR182" s="41">
        <f t="shared" si="142"/>
        <v>3312.2907617996498</v>
      </c>
      <c r="AS182" s="41">
        <f t="shared" si="142"/>
        <v>3312.2907617996498</v>
      </c>
      <c r="AT182" s="41">
        <f t="shared" si="142"/>
        <v>3312.2907617996498</v>
      </c>
      <c r="AU182" s="41">
        <f t="shared" si="142"/>
        <v>3244.6355831767532</v>
      </c>
      <c r="AV182" s="41">
        <f t="shared" si="142"/>
        <v>3244.6355831767532</v>
      </c>
      <c r="AW182" s="41">
        <f t="shared" si="142"/>
        <v>3244.6355831767532</v>
      </c>
      <c r="AX182" s="41">
        <f t="shared" si="142"/>
        <v>3244.6355831767532</v>
      </c>
      <c r="AY182" s="41">
        <f t="shared" si="142"/>
        <v>3244.6355831767532</v>
      </c>
      <c r="AZ182" s="41">
        <f t="shared" si="142"/>
        <v>3244.6355831767532</v>
      </c>
      <c r="BA182" s="41">
        <f t="shared" si="142"/>
        <v>3244.6355831767532</v>
      </c>
      <c r="BB182" s="41">
        <f t="shared" si="142"/>
        <v>3244.6355831767532</v>
      </c>
      <c r="BC182" s="41">
        <f t="shared" si="142"/>
        <v>3244.6355831767532</v>
      </c>
      <c r="BD182" s="41">
        <f t="shared" si="142"/>
        <v>3244.6355831767532</v>
      </c>
      <c r="BE182" s="41">
        <f t="shared" si="142"/>
        <v>3244.6355831767532</v>
      </c>
      <c r="BF182" s="41">
        <f t="shared" si="142"/>
        <v>3244.6355831767532</v>
      </c>
      <c r="BG182" s="41">
        <f t="shared" si="142"/>
        <v>3341.9746506720558</v>
      </c>
      <c r="BH182" s="41">
        <f t="shared" si="142"/>
        <v>3341.9746506720558</v>
      </c>
      <c r="BI182" s="41">
        <f t="shared" si="142"/>
        <v>3341.9746506720558</v>
      </c>
    </row>
    <row r="183" spans="5:61" x14ac:dyDescent="0.35">
      <c r="E183">
        <v>11</v>
      </c>
      <c r="J183" t="s">
        <v>51</v>
      </c>
      <c r="N183" s="41">
        <f t="shared" ref="N183:BI183" si="143">IFERROR(INDEX($N$157:$BI$157,1,MATCH(N169,$N$152:$BI$152,0)),0)</f>
        <v>0</v>
      </c>
      <c r="O183" s="41">
        <f t="shared" si="143"/>
        <v>0</v>
      </c>
      <c r="P183" s="41">
        <f t="shared" si="143"/>
        <v>0</v>
      </c>
      <c r="Q183" s="41">
        <f t="shared" si="143"/>
        <v>0</v>
      </c>
      <c r="R183" s="41">
        <f t="shared" si="143"/>
        <v>0</v>
      </c>
      <c r="S183" s="41">
        <f t="shared" si="143"/>
        <v>0</v>
      </c>
      <c r="T183" s="41">
        <f t="shared" si="143"/>
        <v>0</v>
      </c>
      <c r="U183" s="41">
        <f t="shared" si="143"/>
        <v>0</v>
      </c>
      <c r="V183" s="41">
        <f t="shared" si="143"/>
        <v>0</v>
      </c>
      <c r="W183" s="41">
        <f t="shared" si="143"/>
        <v>0</v>
      </c>
      <c r="X183" s="41">
        <f t="shared" si="143"/>
        <v>2810.7127832697138</v>
      </c>
      <c r="Y183" s="41">
        <f t="shared" si="143"/>
        <v>2810.7127832697138</v>
      </c>
      <c r="Z183" s="41">
        <f t="shared" si="143"/>
        <v>2810.7127832697138</v>
      </c>
      <c r="AA183" s="41">
        <f t="shared" si="143"/>
        <v>2810.7127832697138</v>
      </c>
      <c r="AB183" s="41">
        <f t="shared" si="143"/>
        <v>2810.7127832697138</v>
      </c>
      <c r="AC183" s="41">
        <f t="shared" si="143"/>
        <v>2810.7127832697138</v>
      </c>
      <c r="AD183" s="41">
        <f t="shared" si="143"/>
        <v>2810.7127832697138</v>
      </c>
      <c r="AE183" s="41">
        <f t="shared" si="143"/>
        <v>2810.7127832697138</v>
      </c>
      <c r="AF183" s="41">
        <f t="shared" si="143"/>
        <v>2810.7127832697138</v>
      </c>
      <c r="AG183" s="41">
        <f t="shared" si="143"/>
        <v>2810.7127832697138</v>
      </c>
      <c r="AH183" s="41">
        <f t="shared" si="143"/>
        <v>2810.7127832697138</v>
      </c>
      <c r="AI183" s="41">
        <f t="shared" si="143"/>
        <v>2810.7127832697138</v>
      </c>
      <c r="AJ183" s="41">
        <f t="shared" si="143"/>
        <v>3646.4931143562981</v>
      </c>
      <c r="AK183" s="41">
        <f t="shared" si="143"/>
        <v>3646.4931143562981</v>
      </c>
      <c r="AL183" s="41">
        <f t="shared" si="143"/>
        <v>3646.4931143562981</v>
      </c>
      <c r="AM183" s="41">
        <f t="shared" si="143"/>
        <v>3646.4931143562981</v>
      </c>
      <c r="AN183" s="41">
        <f t="shared" si="143"/>
        <v>3646.4931143562981</v>
      </c>
      <c r="AO183" s="41">
        <f t="shared" si="143"/>
        <v>3646.4931143562981</v>
      </c>
      <c r="AP183" s="41">
        <f t="shared" si="143"/>
        <v>3646.4931143562981</v>
      </c>
      <c r="AQ183" s="41">
        <f t="shared" si="143"/>
        <v>3646.4931143562981</v>
      </c>
      <c r="AR183" s="41">
        <f t="shared" si="143"/>
        <v>3646.4931143562981</v>
      </c>
      <c r="AS183" s="41">
        <f t="shared" si="143"/>
        <v>3646.4931143562981</v>
      </c>
      <c r="AT183" s="41">
        <f t="shared" si="143"/>
        <v>3646.4931143562981</v>
      </c>
      <c r="AU183" s="41">
        <f t="shared" si="143"/>
        <v>3646.4931143562981</v>
      </c>
      <c r="AV183" s="41">
        <f t="shared" si="143"/>
        <v>3244.6355831767532</v>
      </c>
      <c r="AW183" s="41">
        <f t="shared" si="143"/>
        <v>3244.6355831767532</v>
      </c>
      <c r="AX183" s="41">
        <f t="shared" si="143"/>
        <v>3244.6355831767532</v>
      </c>
      <c r="AY183" s="41">
        <f t="shared" si="143"/>
        <v>3244.6355831767532</v>
      </c>
      <c r="AZ183" s="41">
        <f t="shared" si="143"/>
        <v>3244.6355831767532</v>
      </c>
      <c r="BA183" s="41">
        <f t="shared" si="143"/>
        <v>3244.6355831767532</v>
      </c>
      <c r="BB183" s="41">
        <f t="shared" si="143"/>
        <v>3244.6355831767532</v>
      </c>
      <c r="BC183" s="41">
        <f t="shared" si="143"/>
        <v>3244.6355831767532</v>
      </c>
      <c r="BD183" s="41">
        <f t="shared" si="143"/>
        <v>3244.6355831767532</v>
      </c>
      <c r="BE183" s="41">
        <f t="shared" si="143"/>
        <v>3244.6355831767532</v>
      </c>
      <c r="BF183" s="41">
        <f t="shared" si="143"/>
        <v>3244.6355831767532</v>
      </c>
      <c r="BG183" s="41">
        <f t="shared" si="143"/>
        <v>3244.6355831767532</v>
      </c>
      <c r="BH183" s="41">
        <f t="shared" si="143"/>
        <v>3341.9746506720558</v>
      </c>
      <c r="BI183" s="41">
        <f t="shared" si="143"/>
        <v>3341.9746506720558</v>
      </c>
    </row>
    <row r="184" spans="5:61" x14ac:dyDescent="0.35">
      <c r="E184">
        <v>12</v>
      </c>
      <c r="J184" t="s">
        <v>51</v>
      </c>
      <c r="N184" s="41">
        <f t="shared" ref="N184:BI184" si="144">IFERROR(INDEX($N$157:$BI$157,1,MATCH(N170,$N$152:$BI$152,0)),0)</f>
        <v>0</v>
      </c>
      <c r="O184" s="41">
        <f t="shared" si="144"/>
        <v>0</v>
      </c>
      <c r="P184" s="41">
        <f t="shared" si="144"/>
        <v>0</v>
      </c>
      <c r="Q184" s="41">
        <f t="shared" si="144"/>
        <v>0</v>
      </c>
      <c r="R184" s="41">
        <f t="shared" si="144"/>
        <v>0</v>
      </c>
      <c r="S184" s="41">
        <f t="shared" si="144"/>
        <v>0</v>
      </c>
      <c r="T184" s="41">
        <f t="shared" si="144"/>
        <v>0</v>
      </c>
      <c r="U184" s="41">
        <f t="shared" si="144"/>
        <v>0</v>
      </c>
      <c r="V184" s="41">
        <f t="shared" si="144"/>
        <v>0</v>
      </c>
      <c r="W184" s="41">
        <f t="shared" si="144"/>
        <v>0</v>
      </c>
      <c r="X184" s="41">
        <f t="shared" si="144"/>
        <v>0</v>
      </c>
      <c r="Y184" s="41">
        <f t="shared" si="144"/>
        <v>3041.5471648949497</v>
      </c>
      <c r="Z184" s="41">
        <f t="shared" si="144"/>
        <v>3041.5471648949497</v>
      </c>
      <c r="AA184" s="41">
        <f t="shared" si="144"/>
        <v>3041.5471648949497</v>
      </c>
      <c r="AB184" s="41">
        <f t="shared" si="144"/>
        <v>3041.5471648949497</v>
      </c>
      <c r="AC184" s="41">
        <f t="shared" si="144"/>
        <v>3041.5471648949497</v>
      </c>
      <c r="AD184" s="41">
        <f t="shared" si="144"/>
        <v>3041.5471648949497</v>
      </c>
      <c r="AE184" s="41">
        <f t="shared" si="144"/>
        <v>3041.5471648949497</v>
      </c>
      <c r="AF184" s="41">
        <f t="shared" si="144"/>
        <v>3041.5471648949497</v>
      </c>
      <c r="AG184" s="41">
        <f t="shared" si="144"/>
        <v>3041.5471648949497</v>
      </c>
      <c r="AH184" s="41">
        <f t="shared" si="144"/>
        <v>3041.5471648949497</v>
      </c>
      <c r="AI184" s="41">
        <f t="shared" si="144"/>
        <v>3041.5471648949497</v>
      </c>
      <c r="AJ184" s="41">
        <f t="shared" si="144"/>
        <v>3041.5471648949497</v>
      </c>
      <c r="AK184" s="41">
        <f t="shared" si="144"/>
        <v>3641.4259971967599</v>
      </c>
      <c r="AL184" s="41">
        <f t="shared" si="144"/>
        <v>3641.4259971967599</v>
      </c>
      <c r="AM184" s="41">
        <f t="shared" si="144"/>
        <v>3641.4259971967599</v>
      </c>
      <c r="AN184" s="41">
        <f t="shared" si="144"/>
        <v>3641.4259971967599</v>
      </c>
      <c r="AO184" s="41">
        <f t="shared" si="144"/>
        <v>3641.4259971967599</v>
      </c>
      <c r="AP184" s="41">
        <f t="shared" si="144"/>
        <v>3641.4259971967599</v>
      </c>
      <c r="AQ184" s="41">
        <f t="shared" si="144"/>
        <v>3641.4259971967599</v>
      </c>
      <c r="AR184" s="41">
        <f t="shared" si="144"/>
        <v>3641.4259971967599</v>
      </c>
      <c r="AS184" s="41">
        <f t="shared" si="144"/>
        <v>3641.4259971967599</v>
      </c>
      <c r="AT184" s="41">
        <f t="shared" si="144"/>
        <v>3641.4259971967599</v>
      </c>
      <c r="AU184" s="41">
        <f t="shared" si="144"/>
        <v>3641.4259971967599</v>
      </c>
      <c r="AV184" s="41">
        <f t="shared" si="144"/>
        <v>3641.4259971967599</v>
      </c>
      <c r="AW184" s="41">
        <f t="shared" si="144"/>
        <v>3244.6355831767532</v>
      </c>
      <c r="AX184" s="41">
        <f t="shared" si="144"/>
        <v>3244.6355831767532</v>
      </c>
      <c r="AY184" s="41">
        <f t="shared" si="144"/>
        <v>3244.6355831767532</v>
      </c>
      <c r="AZ184" s="41">
        <f t="shared" si="144"/>
        <v>3244.6355831767532</v>
      </c>
      <c r="BA184" s="41">
        <f t="shared" si="144"/>
        <v>3244.6355831767532</v>
      </c>
      <c r="BB184" s="41">
        <f t="shared" si="144"/>
        <v>3244.6355831767532</v>
      </c>
      <c r="BC184" s="41">
        <f t="shared" si="144"/>
        <v>3244.6355831767532</v>
      </c>
      <c r="BD184" s="41">
        <f t="shared" si="144"/>
        <v>3244.6355831767532</v>
      </c>
      <c r="BE184" s="41">
        <f t="shared" si="144"/>
        <v>3244.6355831767532</v>
      </c>
      <c r="BF184" s="41">
        <f t="shared" si="144"/>
        <v>3244.6355831767532</v>
      </c>
      <c r="BG184" s="41">
        <f t="shared" si="144"/>
        <v>3244.6355831767532</v>
      </c>
      <c r="BH184" s="41">
        <f t="shared" si="144"/>
        <v>3244.6355831767532</v>
      </c>
      <c r="BI184" s="41">
        <f t="shared" si="144"/>
        <v>3341.9746506720558</v>
      </c>
    </row>
    <row r="185" spans="5:61" x14ac:dyDescent="0.35"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</row>
    <row r="186" spans="5:61" x14ac:dyDescent="0.35">
      <c r="E186" s="12" t="s">
        <v>88</v>
      </c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</row>
    <row r="187" spans="5:61" x14ac:dyDescent="0.35">
      <c r="E187">
        <v>1</v>
      </c>
      <c r="J187" t="s">
        <v>50</v>
      </c>
      <c r="N187" s="41">
        <f>N127*N114*(1-$I$153)</f>
        <v>3657.7603366371081</v>
      </c>
      <c r="O187" s="41">
        <f t="shared" ref="O187:BI187" si="145">O127*O114*(1-$I$153)</f>
        <v>1511.4302455621553</v>
      </c>
      <c r="P187" s="41">
        <f t="shared" si="145"/>
        <v>467.76220415832279</v>
      </c>
      <c r="Q187" s="41">
        <f t="shared" si="145"/>
        <v>48.883424731842538</v>
      </c>
      <c r="R187" s="41">
        <f t="shared" si="145"/>
        <v>2.1330023608240252</v>
      </c>
      <c r="S187" s="41">
        <f t="shared" si="145"/>
        <v>3.0597023036061266E-2</v>
      </c>
      <c r="T187" s="41">
        <f t="shared" si="145"/>
        <v>1.8917167904142218E-4</v>
      </c>
      <c r="U187" s="41">
        <f t="shared" si="145"/>
        <v>3.5479843862873395E-7</v>
      </c>
      <c r="V187" s="41">
        <f t="shared" si="145"/>
        <v>2.3365309687051194E-10</v>
      </c>
      <c r="W187" s="41">
        <f t="shared" si="145"/>
        <v>0</v>
      </c>
      <c r="X187" s="41">
        <f t="shared" si="145"/>
        <v>0</v>
      </c>
      <c r="Y187" s="41">
        <f t="shared" si="145"/>
        <v>0</v>
      </c>
      <c r="Z187" s="41">
        <f t="shared" si="145"/>
        <v>30251.182758810923</v>
      </c>
      <c r="AA187" s="41">
        <f t="shared" si="145"/>
        <v>12237.219165264343</v>
      </c>
      <c r="AB187" s="41">
        <f t="shared" si="145"/>
        <v>4091.964405043143</v>
      </c>
      <c r="AC187" s="41">
        <f t="shared" si="145"/>
        <v>441.54977178131929</v>
      </c>
      <c r="AD187" s="41">
        <f t="shared" si="145"/>
        <v>19.887164516647331</v>
      </c>
      <c r="AE187" s="41">
        <f t="shared" si="145"/>
        <v>0.2948480757828339</v>
      </c>
      <c r="AF187" s="41">
        <f t="shared" si="145"/>
        <v>1.8828532150634402E-3</v>
      </c>
      <c r="AG187" s="41">
        <f t="shared" si="145"/>
        <v>3.6521399955247171E-6</v>
      </c>
      <c r="AH187" s="41">
        <f t="shared" si="145"/>
        <v>2.4912385154784999E-9</v>
      </c>
      <c r="AI187" s="41">
        <f t="shared" si="145"/>
        <v>0</v>
      </c>
      <c r="AJ187" s="41">
        <f t="shared" si="145"/>
        <v>0</v>
      </c>
      <c r="AK187" s="41">
        <f t="shared" si="145"/>
        <v>0</v>
      </c>
      <c r="AL187" s="41">
        <f t="shared" si="145"/>
        <v>39984.415364270862</v>
      </c>
      <c r="AM187" s="41">
        <f t="shared" si="145"/>
        <v>16174.509866561602</v>
      </c>
      <c r="AN187" s="41">
        <f t="shared" si="145"/>
        <v>5408.5423942441475</v>
      </c>
      <c r="AO187" s="41">
        <f t="shared" si="145"/>
        <v>583.61716365490111</v>
      </c>
      <c r="AP187" s="41">
        <f t="shared" si="145"/>
        <v>26.285803526793135</v>
      </c>
      <c r="AQ187" s="41">
        <f t="shared" si="145"/>
        <v>0.38971461134104246</v>
      </c>
      <c r="AR187" s="41">
        <f t="shared" si="145"/>
        <v>2.4886559187217916E-3</v>
      </c>
      <c r="AS187" s="41">
        <f t="shared" si="145"/>
        <v>4.8272057232867857E-6</v>
      </c>
      <c r="AT187" s="41">
        <f t="shared" si="145"/>
        <v>3.2927874711063775E-9</v>
      </c>
      <c r="AU187" s="41">
        <f t="shared" si="145"/>
        <v>0</v>
      </c>
      <c r="AV187" s="41">
        <f t="shared" si="145"/>
        <v>0</v>
      </c>
      <c r="AW187" s="41">
        <f t="shared" si="145"/>
        <v>0</v>
      </c>
      <c r="AX187" s="41">
        <f t="shared" si="145"/>
        <v>43982.85690069796</v>
      </c>
      <c r="AY187" s="41">
        <f t="shared" si="145"/>
        <v>17791.960853217766</v>
      </c>
      <c r="AZ187" s="41">
        <f t="shared" si="145"/>
        <v>5949.3966336685644</v>
      </c>
      <c r="BA187" s="41">
        <f t="shared" si="145"/>
        <v>641.97888002039133</v>
      </c>
      <c r="BB187" s="41">
        <f t="shared" si="145"/>
        <v>28.91438387947246</v>
      </c>
      <c r="BC187" s="41">
        <f t="shared" si="145"/>
        <v>0.42868607247514678</v>
      </c>
      <c r="BD187" s="41">
        <f t="shared" si="145"/>
        <v>2.7375215105939718E-3</v>
      </c>
      <c r="BE187" s="41">
        <f t="shared" si="145"/>
        <v>5.309926295615466E-6</v>
      </c>
      <c r="BF187" s="41">
        <f t="shared" si="145"/>
        <v>3.6220662182170165E-9</v>
      </c>
      <c r="BG187" s="41">
        <f t="shared" si="145"/>
        <v>0</v>
      </c>
      <c r="BH187" s="41">
        <f t="shared" si="145"/>
        <v>0</v>
      </c>
      <c r="BI187" s="41">
        <f t="shared" si="145"/>
        <v>0</v>
      </c>
    </row>
    <row r="188" spans="5:61" x14ac:dyDescent="0.35">
      <c r="E188">
        <v>2</v>
      </c>
      <c r="J188" t="s">
        <v>50</v>
      </c>
      <c r="N188" s="41">
        <f t="shared" ref="N188:BI188" si="146">N128*N115*(1-$I$153)</f>
        <v>0</v>
      </c>
      <c r="O188" s="41">
        <f t="shared" si="146"/>
        <v>6363.6843636973672</v>
      </c>
      <c r="P188" s="41">
        <f t="shared" si="146"/>
        <v>2995.6586477118376</v>
      </c>
      <c r="Q188" s="41">
        <f t="shared" si="146"/>
        <v>838.27186364296597</v>
      </c>
      <c r="R188" s="41">
        <f t="shared" si="146"/>
        <v>97.167366007375946</v>
      </c>
      <c r="S188" s="41">
        <f t="shared" si="146"/>
        <v>3.8527962696454625</v>
      </c>
      <c r="T188" s="41">
        <f t="shared" si="146"/>
        <v>6.4619513505006887E-2</v>
      </c>
      <c r="U188" s="41">
        <f t="shared" si="146"/>
        <v>3.4251448153022057E-4</v>
      </c>
      <c r="V188" s="41">
        <f t="shared" si="146"/>
        <v>6.4227615985679171E-7</v>
      </c>
      <c r="W188" s="41">
        <f t="shared" si="146"/>
        <v>5.453948292988287E-10</v>
      </c>
      <c r="X188" s="41">
        <f t="shared" si="146"/>
        <v>0</v>
      </c>
      <c r="Y188" s="41">
        <f t="shared" si="146"/>
        <v>0</v>
      </c>
      <c r="Z188" s="41">
        <f t="shared" si="146"/>
        <v>0</v>
      </c>
      <c r="AA188" s="41">
        <f t="shared" si="146"/>
        <v>31308.219656158544</v>
      </c>
      <c r="AB188" s="41">
        <f t="shared" si="146"/>
        <v>15420.974952641898</v>
      </c>
      <c r="AC188" s="41">
        <f t="shared" si="146"/>
        <v>4453.3678213641024</v>
      </c>
      <c r="AD188" s="41">
        <f t="shared" si="146"/>
        <v>532.6391037527161</v>
      </c>
      <c r="AE188" s="41">
        <f t="shared" si="146"/>
        <v>21.818536426315941</v>
      </c>
      <c r="AF188" s="41">
        <f t="shared" si="146"/>
        <v>0.37785485510211808</v>
      </c>
      <c r="AG188" s="41">
        <f t="shared" si="146"/>
        <v>2.0707819151148279E-3</v>
      </c>
      <c r="AH188" s="41">
        <f t="shared" si="146"/>
        <v>4.0158810774793002E-6</v>
      </c>
      <c r="AI188" s="41">
        <f t="shared" si="146"/>
        <v>3.5210752313830084E-9</v>
      </c>
      <c r="AJ188" s="41">
        <f t="shared" si="146"/>
        <v>0</v>
      </c>
      <c r="AK188" s="41">
        <f t="shared" si="146"/>
        <v>0</v>
      </c>
      <c r="AL188" s="41">
        <f t="shared" si="146"/>
        <v>0</v>
      </c>
      <c r="AM188" s="41">
        <f t="shared" si="146"/>
        <v>42052.666934261644</v>
      </c>
      <c r="AN188" s="41">
        <f t="shared" si="146"/>
        <v>20713.190676668764</v>
      </c>
      <c r="AO188" s="41">
        <f t="shared" si="146"/>
        <v>5981.6877415686749</v>
      </c>
      <c r="AP188" s="41">
        <f t="shared" si="146"/>
        <v>715.43176431849849</v>
      </c>
      <c r="AQ188" s="41">
        <f t="shared" si="146"/>
        <v>29.306286189557738</v>
      </c>
      <c r="AR188" s="41">
        <f t="shared" si="146"/>
        <v>0.50752820012163891</v>
      </c>
      <c r="AS188" s="41">
        <f t="shared" si="146"/>
        <v>2.7814389679831791E-3</v>
      </c>
      <c r="AT188" s="41">
        <f t="shared" si="146"/>
        <v>5.3940630049725994E-6</v>
      </c>
      <c r="AU188" s="41">
        <f t="shared" si="146"/>
        <v>4.7294482273986913E-9</v>
      </c>
      <c r="AV188" s="41">
        <f t="shared" si="146"/>
        <v>0</v>
      </c>
      <c r="AW188" s="41">
        <f t="shared" si="146"/>
        <v>0</v>
      </c>
      <c r="AX188" s="41">
        <f t="shared" si="146"/>
        <v>0</v>
      </c>
      <c r="AY188" s="41">
        <f t="shared" si="146"/>
        <v>46257.933627687809</v>
      </c>
      <c r="AZ188" s="41">
        <f t="shared" si="146"/>
        <v>22784.509744335643</v>
      </c>
      <c r="BA188" s="41">
        <f t="shared" si="146"/>
        <v>6579.8565157255434</v>
      </c>
      <c r="BB188" s="41">
        <f t="shared" si="146"/>
        <v>786.97494075034842</v>
      </c>
      <c r="BC188" s="41">
        <f t="shared" si="146"/>
        <v>32.236914808513518</v>
      </c>
      <c r="BD188" s="41">
        <f t="shared" si="146"/>
        <v>0.55828102013380287</v>
      </c>
      <c r="BE188" s="41">
        <f t="shared" si="146"/>
        <v>3.0595828647814972E-3</v>
      </c>
      <c r="BF188" s="41">
        <f t="shared" si="146"/>
        <v>5.9334693054698593E-6</v>
      </c>
      <c r="BG188" s="41">
        <f t="shared" si="146"/>
        <v>5.2023930501385606E-9</v>
      </c>
      <c r="BH188" s="41">
        <f t="shared" si="146"/>
        <v>0</v>
      </c>
      <c r="BI188" s="41">
        <f t="shared" si="146"/>
        <v>0</v>
      </c>
    </row>
    <row r="189" spans="5:61" x14ac:dyDescent="0.35">
      <c r="E189">
        <v>3</v>
      </c>
      <c r="J189" t="s">
        <v>50</v>
      </c>
      <c r="N189" s="41">
        <f t="shared" ref="N189:BI189" si="147">N129*N116*(1-$I$153)</f>
        <v>0</v>
      </c>
      <c r="O189" s="41">
        <f t="shared" si="147"/>
        <v>0</v>
      </c>
      <c r="P189" s="41">
        <f t="shared" si="147"/>
        <v>5765.0238470319991</v>
      </c>
      <c r="Q189" s="41">
        <f t="shared" si="147"/>
        <v>2430.1058638263307</v>
      </c>
      <c r="R189" s="41">
        <f t="shared" si="147"/>
        <v>696.2801993312579</v>
      </c>
      <c r="S189" s="41">
        <f t="shared" si="147"/>
        <v>70.469552636545629</v>
      </c>
      <c r="T189" s="41">
        <f t="shared" si="147"/>
        <v>2.9789457571908424</v>
      </c>
      <c r="U189" s="41">
        <f t="shared" si="147"/>
        <v>4.1385861719377394E-2</v>
      </c>
      <c r="V189" s="41">
        <f t="shared" si="147"/>
        <v>2.0510586716457891E-4</v>
      </c>
      <c r="W189" s="41">
        <f t="shared" si="147"/>
        <v>4.4880340254183083E-7</v>
      </c>
      <c r="X189" s="41">
        <f t="shared" si="147"/>
        <v>2.8565220189236132E-10</v>
      </c>
      <c r="Y189" s="41">
        <f t="shared" si="147"/>
        <v>0</v>
      </c>
      <c r="Z189" s="41">
        <f t="shared" si="147"/>
        <v>0</v>
      </c>
      <c r="AA189" s="41">
        <f t="shared" si="147"/>
        <v>0</v>
      </c>
      <c r="AB189" s="41">
        <f t="shared" si="147"/>
        <v>38931.41844376082</v>
      </c>
      <c r="AC189" s="41">
        <f t="shared" si="147"/>
        <v>16410.59443248728</v>
      </c>
      <c r="AD189" s="41">
        <f t="shared" si="147"/>
        <v>4702.0058396160757</v>
      </c>
      <c r="AE189" s="41">
        <f t="shared" si="147"/>
        <v>475.88348531297208</v>
      </c>
      <c r="AF189" s="41">
        <f t="shared" si="147"/>
        <v>20.116930453664935</v>
      </c>
      <c r="AG189" s="41">
        <f t="shared" si="147"/>
        <v>0.27948024899883134</v>
      </c>
      <c r="AH189" s="41">
        <f t="shared" si="147"/>
        <v>1.3850874778194688E-3</v>
      </c>
      <c r="AI189" s="41">
        <f t="shared" si="147"/>
        <v>3.0307859129385938E-6</v>
      </c>
      <c r="AJ189" s="41">
        <f t="shared" si="147"/>
        <v>1.9290198438604024E-9</v>
      </c>
      <c r="AK189" s="41">
        <f t="shared" si="147"/>
        <v>0</v>
      </c>
      <c r="AL189" s="41">
        <f t="shared" si="147"/>
        <v>0</v>
      </c>
      <c r="AM189" s="41">
        <f t="shared" si="147"/>
        <v>0</v>
      </c>
      <c r="AN189" s="41">
        <f t="shared" si="147"/>
        <v>47040.488663848075</v>
      </c>
      <c r="AO189" s="41">
        <f t="shared" si="147"/>
        <v>19828.776146021508</v>
      </c>
      <c r="AP189" s="41">
        <f t="shared" si="147"/>
        <v>5681.3920796470411</v>
      </c>
      <c r="AQ189" s="41">
        <f t="shared" si="147"/>
        <v>575.00580741786314</v>
      </c>
      <c r="AR189" s="41">
        <f t="shared" si="147"/>
        <v>24.307109188021428</v>
      </c>
      <c r="AS189" s="41">
        <f t="shared" si="147"/>
        <v>0.33769351362808864</v>
      </c>
      <c r="AT189" s="41">
        <f t="shared" si="147"/>
        <v>1.6735889521448063E-3</v>
      </c>
      <c r="AU189" s="41">
        <f t="shared" si="147"/>
        <v>3.6620718196047828E-6</v>
      </c>
      <c r="AV189" s="41">
        <f t="shared" si="147"/>
        <v>2.3308176204403266E-9</v>
      </c>
      <c r="AW189" s="41">
        <f t="shared" si="147"/>
        <v>0</v>
      </c>
      <c r="AX189" s="41">
        <f t="shared" si="147"/>
        <v>0</v>
      </c>
      <c r="AY189" s="41">
        <f t="shared" si="147"/>
        <v>0</v>
      </c>
      <c r="AZ189" s="41">
        <f t="shared" si="147"/>
        <v>51744.53753023289</v>
      </c>
      <c r="BA189" s="41">
        <f t="shared" si="147"/>
        <v>21811.653760623663</v>
      </c>
      <c r="BB189" s="41">
        <f t="shared" si="147"/>
        <v>6249.5312876117459</v>
      </c>
      <c r="BC189" s="41">
        <f t="shared" si="147"/>
        <v>632.50638815964953</v>
      </c>
      <c r="BD189" s="41">
        <f t="shared" si="147"/>
        <v>26.737820106823577</v>
      </c>
      <c r="BE189" s="41">
        <f t="shared" si="147"/>
        <v>0.37146286499089753</v>
      </c>
      <c r="BF189" s="41">
        <f t="shared" si="147"/>
        <v>1.840947847359287E-3</v>
      </c>
      <c r="BG189" s="41">
        <f t="shared" si="147"/>
        <v>4.0282790015652611E-6</v>
      </c>
      <c r="BH189" s="41">
        <f t="shared" si="147"/>
        <v>2.56389938248436E-9</v>
      </c>
      <c r="BI189" s="41">
        <f t="shared" si="147"/>
        <v>0</v>
      </c>
    </row>
    <row r="190" spans="5:61" x14ac:dyDescent="0.35">
      <c r="E190">
        <v>4</v>
      </c>
      <c r="J190" t="s">
        <v>50</v>
      </c>
      <c r="N190" s="41">
        <f t="shared" ref="N190:BI190" si="148">N130*N117*(1-$I$153)</f>
        <v>0</v>
      </c>
      <c r="O190" s="41">
        <f t="shared" si="148"/>
        <v>0</v>
      </c>
      <c r="P190" s="41">
        <f t="shared" si="148"/>
        <v>0</v>
      </c>
      <c r="Q190" s="41">
        <f t="shared" si="148"/>
        <v>2926.6119078143811</v>
      </c>
      <c r="R190" s="41">
        <f t="shared" si="148"/>
        <v>1316.1633074146532</v>
      </c>
      <c r="S190" s="41">
        <f t="shared" si="148"/>
        <v>356.87122768964832</v>
      </c>
      <c r="T190" s="41">
        <f t="shared" si="148"/>
        <v>40.089767280531696</v>
      </c>
      <c r="U190" s="41">
        <f t="shared" si="148"/>
        <v>1.5422571297894965</v>
      </c>
      <c r="V190" s="41">
        <f t="shared" si="148"/>
        <v>2.1404313652127506E-2</v>
      </c>
      <c r="W190" s="41">
        <f t="shared" si="148"/>
        <v>1.2812484238077239E-4</v>
      </c>
      <c r="X190" s="41">
        <f t="shared" si="148"/>
        <v>2.3231132677548062E-7</v>
      </c>
      <c r="Y190" s="41">
        <f t="shared" si="148"/>
        <v>1.9065649059513134E-10</v>
      </c>
      <c r="Z190" s="41">
        <f t="shared" si="148"/>
        <v>0</v>
      </c>
      <c r="AA190" s="41">
        <f t="shared" si="148"/>
        <v>0</v>
      </c>
      <c r="AB190" s="41">
        <f t="shared" si="148"/>
        <v>0</v>
      </c>
      <c r="AC190" s="41">
        <f t="shared" si="148"/>
        <v>38944.879227023826</v>
      </c>
      <c r="AD190" s="41">
        <f t="shared" si="148"/>
        <v>17514.389562018729</v>
      </c>
      <c r="AE190" s="41">
        <f t="shared" si="148"/>
        <v>4748.9408571266458</v>
      </c>
      <c r="AF190" s="41">
        <f t="shared" si="148"/>
        <v>533.48076005943142</v>
      </c>
      <c r="AG190" s="41">
        <f t="shared" si="148"/>
        <v>20.523055173900367</v>
      </c>
      <c r="AH190" s="41">
        <f t="shared" si="148"/>
        <v>0.28483052634811906</v>
      </c>
      <c r="AI190" s="41">
        <f t="shared" si="148"/>
        <v>1.7049771782781664E-3</v>
      </c>
      <c r="AJ190" s="41">
        <f t="shared" si="148"/>
        <v>3.0914029086615002E-6</v>
      </c>
      <c r="AK190" s="41">
        <f t="shared" si="148"/>
        <v>2.5370955336612155E-9</v>
      </c>
      <c r="AL190" s="41">
        <f t="shared" si="148"/>
        <v>0</v>
      </c>
      <c r="AM190" s="41">
        <f t="shared" si="148"/>
        <v>0</v>
      </c>
      <c r="AN190" s="41">
        <f t="shared" si="148"/>
        <v>0</v>
      </c>
      <c r="AO190" s="41">
        <f t="shared" si="148"/>
        <v>46125.56091986908</v>
      </c>
      <c r="AP190" s="41">
        <f t="shared" si="148"/>
        <v>20743.703890000503</v>
      </c>
      <c r="AQ190" s="41">
        <f t="shared" si="148"/>
        <v>5624.5536039113822</v>
      </c>
      <c r="AR190" s="41">
        <f t="shared" si="148"/>
        <v>631.84428315352204</v>
      </c>
      <c r="AS190" s="41">
        <f t="shared" si="148"/>
        <v>24.307109188021428</v>
      </c>
      <c r="AT190" s="41">
        <f t="shared" si="148"/>
        <v>0.33734776062143013</v>
      </c>
      <c r="AU190" s="41">
        <f t="shared" si="148"/>
        <v>2.019341958803295E-3</v>
      </c>
      <c r="AV190" s="41">
        <f t="shared" si="148"/>
        <v>3.6613977503974777E-6</v>
      </c>
      <c r="AW190" s="41">
        <f t="shared" si="148"/>
        <v>3.0048868277453692E-9</v>
      </c>
      <c r="AX190" s="41">
        <f t="shared" si="148"/>
        <v>0</v>
      </c>
      <c r="AY190" s="41">
        <f t="shared" si="148"/>
        <v>0</v>
      </c>
      <c r="AZ190" s="41">
        <f t="shared" si="148"/>
        <v>0</v>
      </c>
      <c r="BA190" s="41">
        <f t="shared" si="148"/>
        <v>50738.117011855997</v>
      </c>
      <c r="BB190" s="41">
        <f t="shared" si="148"/>
        <v>22818.074279000557</v>
      </c>
      <c r="BC190" s="41">
        <f t="shared" si="148"/>
        <v>6187.0089643025212</v>
      </c>
      <c r="BD190" s="41">
        <f t="shared" si="148"/>
        <v>695.02871146887435</v>
      </c>
      <c r="BE190" s="41">
        <f t="shared" si="148"/>
        <v>26.737820106823577</v>
      </c>
      <c r="BF190" s="41">
        <f t="shared" si="148"/>
        <v>0.37108253668357316</v>
      </c>
      <c r="BG190" s="41">
        <f t="shared" si="148"/>
        <v>2.2212761546836247E-3</v>
      </c>
      <c r="BH190" s="41">
        <f t="shared" si="148"/>
        <v>4.0275375254372262E-6</v>
      </c>
      <c r="BI190" s="41">
        <f t="shared" si="148"/>
        <v>3.3053755105199062E-9</v>
      </c>
    </row>
    <row r="191" spans="5:61" x14ac:dyDescent="0.35">
      <c r="E191">
        <v>5</v>
      </c>
      <c r="J191" t="s">
        <v>50</v>
      </c>
      <c r="N191" s="41">
        <f t="shared" ref="N191:BI191" si="149">N131*N118*(1-$I$153)</f>
        <v>0</v>
      </c>
      <c r="O191" s="41">
        <f t="shared" si="149"/>
        <v>0</v>
      </c>
      <c r="P191" s="41">
        <f t="shared" si="149"/>
        <v>0</v>
      </c>
      <c r="Q191" s="41">
        <f t="shared" si="149"/>
        <v>0</v>
      </c>
      <c r="R191" s="41">
        <f t="shared" si="149"/>
        <v>4490.0165651314383</v>
      </c>
      <c r="S191" s="41">
        <f t="shared" si="149"/>
        <v>1892.6574933806521</v>
      </c>
      <c r="T191" s="41">
        <f t="shared" si="149"/>
        <v>542.2891061551951</v>
      </c>
      <c r="U191" s="41">
        <f t="shared" si="149"/>
        <v>55.155411400789482</v>
      </c>
      <c r="V191" s="41">
        <f t="shared" si="149"/>
        <v>2.0490309783499181</v>
      </c>
      <c r="W191" s="41">
        <f t="shared" si="149"/>
        <v>3.2232859674624019E-2</v>
      </c>
      <c r="X191" s="41">
        <f t="shared" si="149"/>
        <v>1.5974413386836696E-4</v>
      </c>
      <c r="Y191" s="41">
        <f t="shared" si="149"/>
        <v>3.4954490482075332E-7</v>
      </c>
      <c r="Z191" s="41">
        <f t="shared" si="149"/>
        <v>2.2247663711283396E-10</v>
      </c>
      <c r="AA191" s="41">
        <f t="shared" si="149"/>
        <v>0</v>
      </c>
      <c r="AB191" s="41">
        <f t="shared" si="149"/>
        <v>0</v>
      </c>
      <c r="AC191" s="41">
        <f t="shared" si="149"/>
        <v>0</v>
      </c>
      <c r="AD191" s="41">
        <f t="shared" si="149"/>
        <v>34918.878504851789</v>
      </c>
      <c r="AE191" s="41">
        <f t="shared" si="149"/>
        <v>14719.205620730636</v>
      </c>
      <c r="AF191" s="41">
        <f t="shared" si="149"/>
        <v>4217.3847551904546</v>
      </c>
      <c r="AG191" s="41">
        <f t="shared" si="149"/>
        <v>428.94387618654713</v>
      </c>
      <c r="AH191" s="41">
        <f t="shared" si="149"/>
        <v>15.935322898654803</v>
      </c>
      <c r="AI191" s="41">
        <f t="shared" si="149"/>
        <v>0.25067509095240598</v>
      </c>
      <c r="AJ191" s="41">
        <f t="shared" si="149"/>
        <v>1.2423308291845904E-3</v>
      </c>
      <c r="AK191" s="41">
        <f t="shared" si="149"/>
        <v>2.7184122566970006E-6</v>
      </c>
      <c r="AL191" s="41">
        <f t="shared" si="149"/>
        <v>1.7302017818465744E-9</v>
      </c>
      <c r="AM191" s="41">
        <f t="shared" si="149"/>
        <v>0</v>
      </c>
      <c r="AN191" s="41">
        <f t="shared" si="149"/>
        <v>0</v>
      </c>
      <c r="AO191" s="41">
        <f t="shared" si="149"/>
        <v>0</v>
      </c>
      <c r="AP191" s="41">
        <f t="shared" si="149"/>
        <v>47040.488663848075</v>
      </c>
      <c r="AQ191" s="41">
        <f t="shared" si="149"/>
        <v>19828.776146021508</v>
      </c>
      <c r="AR191" s="41">
        <f t="shared" si="149"/>
        <v>5681.3920796470411</v>
      </c>
      <c r="AS191" s="41">
        <f t="shared" si="149"/>
        <v>577.84586473407899</v>
      </c>
      <c r="AT191" s="41">
        <f t="shared" si="149"/>
        <v>21.467051871805573</v>
      </c>
      <c r="AU191" s="41">
        <f t="shared" si="149"/>
        <v>0.33769351362808864</v>
      </c>
      <c r="AV191" s="41">
        <f t="shared" si="149"/>
        <v>1.6735889521448063E-3</v>
      </c>
      <c r="AW191" s="41">
        <f t="shared" si="149"/>
        <v>3.6620718196047828E-6</v>
      </c>
      <c r="AX191" s="41">
        <f t="shared" si="149"/>
        <v>2.3308176204403266E-9</v>
      </c>
      <c r="AY191" s="41">
        <f t="shared" si="149"/>
        <v>0</v>
      </c>
      <c r="AZ191" s="41">
        <f t="shared" si="149"/>
        <v>0</v>
      </c>
      <c r="BA191" s="41">
        <f t="shared" si="149"/>
        <v>0</v>
      </c>
      <c r="BB191" s="41">
        <f t="shared" si="149"/>
        <v>51744.53753023289</v>
      </c>
      <c r="BC191" s="41">
        <f t="shared" si="149"/>
        <v>21811.653760623663</v>
      </c>
      <c r="BD191" s="41">
        <f t="shared" si="149"/>
        <v>6249.5312876117459</v>
      </c>
      <c r="BE191" s="41">
        <f t="shared" si="149"/>
        <v>635.630451207487</v>
      </c>
      <c r="BF191" s="41">
        <f t="shared" si="149"/>
        <v>23.613757058986131</v>
      </c>
      <c r="BG191" s="41">
        <f t="shared" si="149"/>
        <v>0.37146286499089753</v>
      </c>
      <c r="BH191" s="41">
        <f t="shared" si="149"/>
        <v>1.840947847359287E-3</v>
      </c>
      <c r="BI191" s="41">
        <f t="shared" si="149"/>
        <v>4.0282790015652611E-6</v>
      </c>
    </row>
    <row r="192" spans="5:61" x14ac:dyDescent="0.35">
      <c r="E192">
        <v>6</v>
      </c>
      <c r="J192" t="s">
        <v>50</v>
      </c>
      <c r="N192" s="41">
        <f t="shared" ref="N192:BI192" si="150">N132*N119*(1-$I$153)</f>
        <v>0</v>
      </c>
      <c r="O192" s="41">
        <f t="shared" si="150"/>
        <v>0</v>
      </c>
      <c r="P192" s="41">
        <f t="shared" si="150"/>
        <v>0</v>
      </c>
      <c r="Q192" s="41">
        <f t="shared" si="150"/>
        <v>0</v>
      </c>
      <c r="R192" s="41">
        <f t="shared" si="150"/>
        <v>0</v>
      </c>
      <c r="S192" s="41">
        <f t="shared" si="150"/>
        <v>10990.259105435971</v>
      </c>
      <c r="T192" s="41">
        <f t="shared" si="150"/>
        <v>4942.56711487147</v>
      </c>
      <c r="U192" s="41">
        <f t="shared" si="150"/>
        <v>1353.6956470484029</v>
      </c>
      <c r="V192" s="41">
        <f t="shared" si="150"/>
        <v>137.00565770096804</v>
      </c>
      <c r="W192" s="41">
        <f t="shared" si="150"/>
        <v>5.7916136465975168</v>
      </c>
      <c r="X192" s="41">
        <f t="shared" si="150"/>
        <v>8.0379278298836773E-2</v>
      </c>
      <c r="Y192" s="41">
        <f t="shared" si="150"/>
        <v>4.8114518083111071E-4</v>
      </c>
      <c r="Z192" s="41">
        <f t="shared" si="150"/>
        <v>8.7255563634425221E-7</v>
      </c>
      <c r="AA192" s="41">
        <f t="shared" si="150"/>
        <v>5.5535995802102887E-10</v>
      </c>
      <c r="AB192" s="41">
        <f t="shared" si="150"/>
        <v>0</v>
      </c>
      <c r="AC192" s="41">
        <f t="shared" si="150"/>
        <v>0</v>
      </c>
      <c r="AD192" s="41">
        <f t="shared" si="150"/>
        <v>0</v>
      </c>
      <c r="AE192" s="41">
        <f t="shared" si="150"/>
        <v>39965.249250341702</v>
      </c>
      <c r="AF192" s="41">
        <f t="shared" si="150"/>
        <v>17973.272949013404</v>
      </c>
      <c r="AG192" s="41">
        <f t="shared" si="150"/>
        <v>4922.6122354688459</v>
      </c>
      <c r="AH192" s="41">
        <f t="shared" si="150"/>
        <v>498.21075246696654</v>
      </c>
      <c r="AI192" s="41">
        <f t="shared" si="150"/>
        <v>21.060766695979392</v>
      </c>
      <c r="AJ192" s="41">
        <f t="shared" si="150"/>
        <v>0.29229318990183739</v>
      </c>
      <c r="AK192" s="41">
        <f t="shared" si="150"/>
        <v>1.7496482014700665E-3</v>
      </c>
      <c r="AL192" s="41">
        <f t="shared" si="150"/>
        <v>3.1729828347759615E-6</v>
      </c>
      <c r="AM192" s="41">
        <f t="shared" si="150"/>
        <v>2.0195246475118725E-9</v>
      </c>
      <c r="AN192" s="41">
        <f t="shared" si="150"/>
        <v>0</v>
      </c>
      <c r="AO192" s="41">
        <f t="shared" si="150"/>
        <v>0</v>
      </c>
      <c r="AP192" s="41">
        <f t="shared" si="150"/>
        <v>0</v>
      </c>
      <c r="AQ192" s="41">
        <f t="shared" si="150"/>
        <v>43819.282873875629</v>
      </c>
      <c r="AR192" s="41">
        <f t="shared" si="150"/>
        <v>19706.518695500476</v>
      </c>
      <c r="AS192" s="41">
        <f t="shared" si="150"/>
        <v>5397.3224756646896</v>
      </c>
      <c r="AT192" s="41">
        <f t="shared" si="150"/>
        <v>546.25551704697</v>
      </c>
      <c r="AU192" s="41">
        <f t="shared" si="150"/>
        <v>23.091753728620358</v>
      </c>
      <c r="AV192" s="41">
        <f t="shared" si="150"/>
        <v>0.32048037259035861</v>
      </c>
      <c r="AW192" s="41">
        <f t="shared" si="150"/>
        <v>1.9183748608631304E-3</v>
      </c>
      <c r="AX192" s="41">
        <f t="shared" si="150"/>
        <v>3.4789682286245437E-6</v>
      </c>
      <c r="AY192" s="41">
        <f t="shared" si="150"/>
        <v>2.2142767394183103E-9</v>
      </c>
      <c r="AZ192" s="41">
        <f t="shared" si="150"/>
        <v>0</v>
      </c>
      <c r="BA192" s="41">
        <f t="shared" si="150"/>
        <v>0</v>
      </c>
      <c r="BB192" s="41">
        <f t="shared" si="150"/>
        <v>0</v>
      </c>
      <c r="BC192" s="41">
        <f t="shared" si="150"/>
        <v>48201.211161263192</v>
      </c>
      <c r="BD192" s="41">
        <f t="shared" si="150"/>
        <v>21677.170565050528</v>
      </c>
      <c r="BE192" s="41">
        <f t="shared" si="150"/>
        <v>5937.0547232311592</v>
      </c>
      <c r="BF192" s="41">
        <f t="shared" si="150"/>
        <v>600.88106875166704</v>
      </c>
      <c r="BG192" s="41">
        <f t="shared" si="150"/>
        <v>25.400929101482397</v>
      </c>
      <c r="BH192" s="41">
        <f t="shared" si="150"/>
        <v>0.35252840984939449</v>
      </c>
      <c r="BI192" s="41">
        <f t="shared" si="150"/>
        <v>2.1102123469494433E-3</v>
      </c>
    </row>
    <row r="193" spans="4:61" x14ac:dyDescent="0.35">
      <c r="E193">
        <v>7</v>
      </c>
      <c r="J193" t="s">
        <v>50</v>
      </c>
      <c r="N193" s="41">
        <f t="shared" ref="N193:BI193" si="151">N133*N120*(1-$I$153)</f>
        <v>0</v>
      </c>
      <c r="O193" s="41">
        <f t="shared" si="151"/>
        <v>0</v>
      </c>
      <c r="P193" s="41">
        <f t="shared" si="151"/>
        <v>0</v>
      </c>
      <c r="Q193" s="41">
        <f t="shared" si="151"/>
        <v>0</v>
      </c>
      <c r="R193" s="41">
        <f t="shared" si="151"/>
        <v>0</v>
      </c>
      <c r="S193" s="41">
        <f t="shared" si="151"/>
        <v>0</v>
      </c>
      <c r="T193" s="41">
        <f t="shared" si="151"/>
        <v>10112.66556361712</v>
      </c>
      <c r="U193" s="41">
        <f t="shared" si="151"/>
        <v>4343.0794402703677</v>
      </c>
      <c r="V193" s="41">
        <f t="shared" si="151"/>
        <v>1141.0430054230919</v>
      </c>
      <c r="W193" s="41">
        <f t="shared" si="151"/>
        <v>124.22409169966419</v>
      </c>
      <c r="X193" s="41">
        <f t="shared" si="151"/>
        <v>4.6149417742598766</v>
      </c>
      <c r="Y193" s="41">
        <f t="shared" si="151"/>
        <v>7.2596643090320365E-2</v>
      </c>
      <c r="Z193" s="41">
        <f t="shared" si="151"/>
        <v>3.5994086349196988E-4</v>
      </c>
      <c r="AA193" s="41">
        <f t="shared" si="151"/>
        <v>6.3071110294465888E-7</v>
      </c>
      <c r="AB193" s="41">
        <f t="shared" si="151"/>
        <v>8.3279593221519126E-10</v>
      </c>
      <c r="AC193" s="41">
        <f t="shared" si="151"/>
        <v>0</v>
      </c>
      <c r="AD193" s="41">
        <f t="shared" si="151"/>
        <v>0</v>
      </c>
      <c r="AE193" s="41">
        <f t="shared" si="151"/>
        <v>0</v>
      </c>
      <c r="AF193" s="41">
        <f t="shared" si="151"/>
        <v>32095.110675349817</v>
      </c>
      <c r="AG193" s="41">
        <f t="shared" si="151"/>
        <v>13783.864840622287</v>
      </c>
      <c r="AH193" s="41">
        <f t="shared" si="151"/>
        <v>3621.3895647992654</v>
      </c>
      <c r="AI193" s="41">
        <f t="shared" si="151"/>
        <v>394.25668203541903</v>
      </c>
      <c r="AJ193" s="41">
        <f t="shared" si="151"/>
        <v>14.646688953904967</v>
      </c>
      <c r="AK193" s="41">
        <f t="shared" si="151"/>
        <v>0.23040387126273199</v>
      </c>
      <c r="AL193" s="41">
        <f t="shared" si="151"/>
        <v>1.1423636802465054E-3</v>
      </c>
      <c r="AM193" s="41">
        <f t="shared" si="151"/>
        <v>2.0017217543522037E-6</v>
      </c>
      <c r="AN193" s="41">
        <f t="shared" si="151"/>
        <v>2.6430892474671452E-9</v>
      </c>
      <c r="AO193" s="41">
        <f t="shared" si="151"/>
        <v>0</v>
      </c>
      <c r="AP193" s="41">
        <f t="shared" si="151"/>
        <v>0</v>
      </c>
      <c r="AQ193" s="41">
        <f t="shared" si="151"/>
        <v>0</v>
      </c>
      <c r="AR193" s="41">
        <f t="shared" si="151"/>
        <v>37632.390931078458</v>
      </c>
      <c r="AS193" s="41">
        <f t="shared" si="151"/>
        <v>16161.956737598686</v>
      </c>
      <c r="AT193" s="41">
        <f t="shared" si="151"/>
        <v>4246.1778429361557</v>
      </c>
      <c r="AU193" s="41">
        <f t="shared" si="151"/>
        <v>462.27669178726325</v>
      </c>
      <c r="AV193" s="41">
        <f t="shared" si="151"/>
        <v>17.173641497444461</v>
      </c>
      <c r="AW193" s="41">
        <f t="shared" si="151"/>
        <v>0.2701548109024709</v>
      </c>
      <c r="AX193" s="41">
        <f t="shared" si="151"/>
        <v>1.3394525114854877E-3</v>
      </c>
      <c r="AY193" s="41">
        <f t="shared" si="151"/>
        <v>2.3470732460468541E-6</v>
      </c>
      <c r="AZ193" s="41">
        <f t="shared" si="151"/>
        <v>3.0990940904530618E-9</v>
      </c>
      <c r="BA193" s="41">
        <f t="shared" si="151"/>
        <v>0</v>
      </c>
      <c r="BB193" s="41">
        <f t="shared" si="151"/>
        <v>0</v>
      </c>
      <c r="BC193" s="41">
        <f t="shared" si="151"/>
        <v>0</v>
      </c>
      <c r="BD193" s="41">
        <f t="shared" si="151"/>
        <v>41395.630024186314</v>
      </c>
      <c r="BE193" s="41">
        <f t="shared" si="151"/>
        <v>17778.152411358558</v>
      </c>
      <c r="BF193" s="41">
        <f t="shared" si="151"/>
        <v>4670.7956272297715</v>
      </c>
      <c r="BG193" s="41">
        <f t="shared" si="151"/>
        <v>508.50436096598969</v>
      </c>
      <c r="BH193" s="41">
        <f t="shared" si="151"/>
        <v>18.891005647188909</v>
      </c>
      <c r="BI193" s="41">
        <f t="shared" si="151"/>
        <v>0.29717029199271805</v>
      </c>
    </row>
    <row r="194" spans="4:61" x14ac:dyDescent="0.35">
      <c r="E194">
        <v>8</v>
      </c>
      <c r="J194" t="s">
        <v>50</v>
      </c>
      <c r="N194" s="41">
        <f t="shared" ref="N194:BI194" si="152">N134*N121*(1-$I$153)</f>
        <v>0</v>
      </c>
      <c r="O194" s="41">
        <f t="shared" si="152"/>
        <v>0</v>
      </c>
      <c r="P194" s="41">
        <f t="shared" si="152"/>
        <v>0</v>
      </c>
      <c r="Q194" s="41">
        <f t="shared" si="152"/>
        <v>0</v>
      </c>
      <c r="R194" s="41">
        <f t="shared" si="152"/>
        <v>0</v>
      </c>
      <c r="S194" s="41">
        <f t="shared" si="152"/>
        <v>0</v>
      </c>
      <c r="T194" s="41">
        <f t="shared" si="152"/>
        <v>0</v>
      </c>
      <c r="U194" s="41">
        <f t="shared" si="152"/>
        <v>6186.9395567485262</v>
      </c>
      <c r="V194" s="41">
        <f t="shared" si="152"/>
        <v>2607.9541897704526</v>
      </c>
      <c r="W194" s="41">
        <f t="shared" si="152"/>
        <v>747.23776035048161</v>
      </c>
      <c r="X194" s="41">
        <f t="shared" si="152"/>
        <v>75.626896665462581</v>
      </c>
      <c r="Y194" s="41">
        <f t="shared" si="152"/>
        <v>3.1969611629726038</v>
      </c>
      <c r="Z194" s="41">
        <f t="shared" si="152"/>
        <v>4.4414703521749255E-2</v>
      </c>
      <c r="AA194" s="41">
        <f t="shared" si="152"/>
        <v>2.1985114139799755E-4</v>
      </c>
      <c r="AB194" s="41">
        <f t="shared" si="152"/>
        <v>7.4693176743689804E-7</v>
      </c>
      <c r="AC194" s="41">
        <f t="shared" si="152"/>
        <v>5.095054378401187E-10</v>
      </c>
      <c r="AD194" s="41">
        <f t="shared" si="152"/>
        <v>0</v>
      </c>
      <c r="AE194" s="41">
        <f t="shared" si="152"/>
        <v>0</v>
      </c>
      <c r="AF194" s="41">
        <f t="shared" si="152"/>
        <v>0</v>
      </c>
      <c r="AG194" s="41">
        <f t="shared" si="152"/>
        <v>23547.989686195255</v>
      </c>
      <c r="AH194" s="41">
        <f t="shared" si="152"/>
        <v>9926.0834536193088</v>
      </c>
      <c r="AI194" s="41">
        <f t="shared" si="152"/>
        <v>2844.0470304377964</v>
      </c>
      <c r="AJ194" s="41">
        <f t="shared" si="152"/>
        <v>287.84205281830458</v>
      </c>
      <c r="AK194" s="41">
        <f t="shared" si="152"/>
        <v>12.167891378659151</v>
      </c>
      <c r="AL194" s="41">
        <f t="shared" si="152"/>
        <v>0.16904593472305071</v>
      </c>
      <c r="AM194" s="41">
        <f t="shared" si="152"/>
        <v>8.3677113096916058E-4</v>
      </c>
      <c r="AN194" s="41">
        <f t="shared" si="152"/>
        <v>2.8428823967918682E-6</v>
      </c>
      <c r="AO194" s="41">
        <f t="shared" si="152"/>
        <v>1.9392186856315165E-9</v>
      </c>
      <c r="AP194" s="41">
        <f t="shared" si="152"/>
        <v>0</v>
      </c>
      <c r="AQ194" s="41">
        <f t="shared" si="152"/>
        <v>0</v>
      </c>
      <c r="AR194" s="41">
        <f t="shared" si="152"/>
        <v>0</v>
      </c>
      <c r="AS194" s="41">
        <f t="shared" si="152"/>
        <v>28224.293198308842</v>
      </c>
      <c r="AT194" s="41">
        <f t="shared" si="152"/>
        <v>11897.265687612906</v>
      </c>
      <c r="AU194" s="41">
        <f t="shared" si="152"/>
        <v>3408.8352477882245</v>
      </c>
      <c r="AV194" s="41">
        <f t="shared" si="152"/>
        <v>345.00348445071785</v>
      </c>
      <c r="AW194" s="41">
        <f t="shared" si="152"/>
        <v>14.584265512812856</v>
      </c>
      <c r="AX194" s="41">
        <f t="shared" si="152"/>
        <v>0.20261610817685313</v>
      </c>
      <c r="AY194" s="41">
        <f t="shared" si="152"/>
        <v>1.002942249214566E-3</v>
      </c>
      <c r="AZ194" s="41">
        <f t="shared" si="152"/>
        <v>3.4074393340847901E-6</v>
      </c>
      <c r="BA194" s="41">
        <f t="shared" si="152"/>
        <v>2.3243205678397963E-9</v>
      </c>
      <c r="BB194" s="41">
        <f t="shared" si="152"/>
        <v>0</v>
      </c>
      <c r="BC194" s="41">
        <f t="shared" si="152"/>
        <v>0</v>
      </c>
      <c r="BD194" s="41">
        <f t="shared" si="152"/>
        <v>0</v>
      </c>
      <c r="BE194" s="41">
        <f t="shared" si="152"/>
        <v>31046.722518139733</v>
      </c>
      <c r="BF194" s="41">
        <f t="shared" si="152"/>
        <v>13086.992256374197</v>
      </c>
      <c r="BG194" s="41">
        <f t="shared" si="152"/>
        <v>3749.7187725670478</v>
      </c>
      <c r="BH194" s="41">
        <f t="shared" si="152"/>
        <v>379.50383289578969</v>
      </c>
      <c r="BI194" s="41">
        <f t="shared" si="152"/>
        <v>16.042692064094144</v>
      </c>
    </row>
    <row r="195" spans="4:61" x14ac:dyDescent="0.35">
      <c r="E195">
        <v>9</v>
      </c>
      <c r="J195" t="s">
        <v>50</v>
      </c>
      <c r="N195" s="41">
        <f t="shared" ref="N195:BI195" si="153">N135*N122*(1-$I$153)</f>
        <v>0</v>
      </c>
      <c r="O195" s="41">
        <f t="shared" si="153"/>
        <v>0</v>
      </c>
      <c r="P195" s="41">
        <f t="shared" si="153"/>
        <v>0</v>
      </c>
      <c r="Q195" s="41">
        <f t="shared" si="153"/>
        <v>0</v>
      </c>
      <c r="R195" s="41">
        <f t="shared" si="153"/>
        <v>0</v>
      </c>
      <c r="S195" s="41">
        <f t="shared" si="153"/>
        <v>0</v>
      </c>
      <c r="T195" s="41">
        <f t="shared" si="153"/>
        <v>0</v>
      </c>
      <c r="U195" s="41">
        <f t="shared" si="153"/>
        <v>0</v>
      </c>
      <c r="V195" s="41">
        <f t="shared" si="153"/>
        <v>10961.316462950314</v>
      </c>
      <c r="W195" s="41">
        <f t="shared" si="153"/>
        <v>4929.5509565084403</v>
      </c>
      <c r="X195" s="41">
        <f t="shared" si="153"/>
        <v>1336.6235723920024</v>
      </c>
      <c r="Y195" s="41">
        <f t="shared" si="153"/>
        <v>150.15199825935034</v>
      </c>
      <c r="Z195" s="41">
        <f t="shared" si="153"/>
        <v>5.7763615400201909</v>
      </c>
      <c r="AA195" s="41">
        <f t="shared" si="153"/>
        <v>7.9951227314137008E-2</v>
      </c>
      <c r="AB195" s="41">
        <f t="shared" si="153"/>
        <v>6.9577206085730259E-4</v>
      </c>
      <c r="AC195" s="41">
        <f t="shared" si="153"/>
        <v>1.349315363941006E-6</v>
      </c>
      <c r="AD195" s="41">
        <f t="shared" si="153"/>
        <v>1.1830631474474274E-9</v>
      </c>
      <c r="AE195" s="41">
        <f t="shared" si="153"/>
        <v>0</v>
      </c>
      <c r="AF195" s="41">
        <f t="shared" si="153"/>
        <v>0</v>
      </c>
      <c r="AG195" s="41">
        <f t="shared" si="153"/>
        <v>0</v>
      </c>
      <c r="AH195" s="41">
        <f t="shared" si="153"/>
        <v>35425.226899650399</v>
      </c>
      <c r="AI195" s="41">
        <f t="shared" si="153"/>
        <v>15931.522617557668</v>
      </c>
      <c r="AJ195" s="41">
        <f t="shared" si="153"/>
        <v>4319.7542458931384</v>
      </c>
      <c r="AK195" s="41">
        <f t="shared" si="153"/>
        <v>485.26731490258487</v>
      </c>
      <c r="AL195" s="41">
        <f t="shared" si="153"/>
        <v>18.668279389732355</v>
      </c>
      <c r="AM195" s="41">
        <f t="shared" si="153"/>
        <v>0.25838961753198936</v>
      </c>
      <c r="AN195" s="41">
        <f t="shared" si="153"/>
        <v>2.2486243517937043E-3</v>
      </c>
      <c r="AO195" s="41">
        <f t="shared" si="153"/>
        <v>4.3607720923266589E-6</v>
      </c>
      <c r="AP195" s="41">
        <f t="shared" si="153"/>
        <v>3.8234714394569382E-9</v>
      </c>
      <c r="AQ195" s="41">
        <f t="shared" si="153"/>
        <v>0</v>
      </c>
      <c r="AR195" s="41">
        <f t="shared" si="153"/>
        <v>0</v>
      </c>
      <c r="AS195" s="41">
        <f t="shared" si="153"/>
        <v>0</v>
      </c>
      <c r="AT195" s="41">
        <f t="shared" si="153"/>
        <v>41513.004827882171</v>
      </c>
      <c r="AU195" s="41">
        <f t="shared" si="153"/>
        <v>18669.333501000452</v>
      </c>
      <c r="AV195" s="41">
        <f t="shared" si="153"/>
        <v>5062.0982435202441</v>
      </c>
      <c r="AW195" s="41">
        <f t="shared" si="153"/>
        <v>568.65985483816985</v>
      </c>
      <c r="AX195" s="41">
        <f t="shared" si="153"/>
        <v>21.87639826921929</v>
      </c>
      <c r="AY195" s="41">
        <f t="shared" si="153"/>
        <v>0.30279352819574912</v>
      </c>
      <c r="AZ195" s="41">
        <f t="shared" si="153"/>
        <v>2.6350474433524855E-3</v>
      </c>
      <c r="BA195" s="41">
        <f t="shared" si="153"/>
        <v>5.1101649520793049E-6</v>
      </c>
      <c r="BB195" s="41">
        <f t="shared" si="153"/>
        <v>4.4805298996408651E-9</v>
      </c>
      <c r="BC195" s="41">
        <f t="shared" si="153"/>
        <v>0</v>
      </c>
      <c r="BD195" s="41">
        <f t="shared" si="153"/>
        <v>0</v>
      </c>
      <c r="BE195" s="41">
        <f t="shared" si="153"/>
        <v>0</v>
      </c>
      <c r="BF195" s="41">
        <f t="shared" si="153"/>
        <v>45664.305310670396</v>
      </c>
      <c r="BG195" s="41">
        <f t="shared" si="153"/>
        <v>20536.266851100503</v>
      </c>
      <c r="BH195" s="41">
        <f t="shared" si="153"/>
        <v>5568.308067872269</v>
      </c>
      <c r="BI195" s="41">
        <f t="shared" si="153"/>
        <v>625.52584032198695</v>
      </c>
    </row>
    <row r="196" spans="4:61" x14ac:dyDescent="0.35">
      <c r="E196">
        <v>10</v>
      </c>
      <c r="J196" t="s">
        <v>50</v>
      </c>
      <c r="N196" s="41">
        <f t="shared" ref="N196:BI196" si="154">N136*N123*(1-$I$153)</f>
        <v>0</v>
      </c>
      <c r="O196" s="41">
        <f t="shared" si="154"/>
        <v>0</v>
      </c>
      <c r="P196" s="41">
        <f t="shared" si="154"/>
        <v>0</v>
      </c>
      <c r="Q196" s="41">
        <f t="shared" si="154"/>
        <v>0</v>
      </c>
      <c r="R196" s="41">
        <f t="shared" si="154"/>
        <v>0</v>
      </c>
      <c r="S196" s="41">
        <f t="shared" si="154"/>
        <v>0</v>
      </c>
      <c r="T196" s="41">
        <f t="shared" si="154"/>
        <v>0</v>
      </c>
      <c r="U196" s="41">
        <f t="shared" si="154"/>
        <v>0</v>
      </c>
      <c r="V196" s="41">
        <f t="shared" si="154"/>
        <v>0</v>
      </c>
      <c r="W196" s="41">
        <f t="shared" si="154"/>
        <v>16242.886684765892</v>
      </c>
      <c r="X196" s="41">
        <f t="shared" si="154"/>
        <v>6846.794605791184</v>
      </c>
      <c r="Y196" s="41">
        <f t="shared" si="154"/>
        <v>1961.7612482915122</v>
      </c>
      <c r="Z196" s="41">
        <f t="shared" si="154"/>
        <v>199.52779336983204</v>
      </c>
      <c r="AA196" s="41">
        <f t="shared" si="154"/>
        <v>7.3703409130813959</v>
      </c>
      <c r="AB196" s="41">
        <f t="shared" si="154"/>
        <v>0.15848524394983993</v>
      </c>
      <c r="AC196" s="41">
        <f t="shared" si="154"/>
        <v>8.3966225318649057E-4</v>
      </c>
      <c r="AD196" s="41">
        <f t="shared" si="154"/>
        <v>1.9609579095525298E-6</v>
      </c>
      <c r="AE196" s="41">
        <f t="shared" si="154"/>
        <v>1.3376305063594884E-9</v>
      </c>
      <c r="AF196" s="41">
        <f t="shared" si="154"/>
        <v>0</v>
      </c>
      <c r="AG196" s="41">
        <f t="shared" si="154"/>
        <v>0</v>
      </c>
      <c r="AH196" s="41">
        <f t="shared" si="154"/>
        <v>0</v>
      </c>
      <c r="AI196" s="41">
        <f t="shared" si="154"/>
        <v>44573.166507295398</v>
      </c>
      <c r="AJ196" s="41">
        <f t="shared" si="154"/>
        <v>18788.736382148869</v>
      </c>
      <c r="AK196" s="41">
        <f t="shared" si="154"/>
        <v>5383.3972042462428</v>
      </c>
      <c r="AL196" s="41">
        <f t="shared" si="154"/>
        <v>547.53725303323051</v>
      </c>
      <c r="AM196" s="41">
        <f t="shared" si="154"/>
        <v>20.22543400751697</v>
      </c>
      <c r="AN196" s="41">
        <f t="shared" si="154"/>
        <v>0.43490971184026089</v>
      </c>
      <c r="AO196" s="41">
        <f t="shared" si="154"/>
        <v>2.3041720445094449E-3</v>
      </c>
      <c r="AP196" s="41">
        <f t="shared" si="154"/>
        <v>5.3811927099300938E-6</v>
      </c>
      <c r="AQ196" s="41">
        <f t="shared" si="154"/>
        <v>3.6706792605478711E-9</v>
      </c>
      <c r="AR196" s="41">
        <f t="shared" si="154"/>
        <v>0</v>
      </c>
      <c r="AS196" s="41">
        <f t="shared" si="154"/>
        <v>0</v>
      </c>
      <c r="AT196" s="41">
        <f t="shared" si="154"/>
        <v>0</v>
      </c>
      <c r="AU196" s="41">
        <f t="shared" si="154"/>
        <v>47040.488663848075</v>
      </c>
      <c r="AV196" s="41">
        <f t="shared" si="154"/>
        <v>19828.776146021508</v>
      </c>
      <c r="AW196" s="41">
        <f t="shared" si="154"/>
        <v>5681.3920796470411</v>
      </c>
      <c r="AX196" s="41">
        <f t="shared" si="154"/>
        <v>577.84586473407899</v>
      </c>
      <c r="AY196" s="41">
        <f t="shared" si="154"/>
        <v>21.34500134730812</v>
      </c>
      <c r="AZ196" s="41">
        <f t="shared" si="154"/>
        <v>0.45898389036979809</v>
      </c>
      <c r="BA196" s="41">
        <f t="shared" si="154"/>
        <v>2.4317181711010333E-3</v>
      </c>
      <c r="BB196" s="41">
        <f t="shared" si="154"/>
        <v>5.6790655568079843E-6</v>
      </c>
      <c r="BC196" s="41">
        <f t="shared" si="154"/>
        <v>3.8738676130663274E-9</v>
      </c>
      <c r="BD196" s="41">
        <f t="shared" si="154"/>
        <v>0</v>
      </c>
      <c r="BE196" s="41">
        <f t="shared" si="154"/>
        <v>0</v>
      </c>
      <c r="BF196" s="41">
        <f t="shared" si="154"/>
        <v>0</v>
      </c>
      <c r="BG196" s="41">
        <f t="shared" si="154"/>
        <v>51744.53753023289</v>
      </c>
      <c r="BH196" s="41">
        <f t="shared" si="154"/>
        <v>21811.653760623663</v>
      </c>
      <c r="BI196" s="41">
        <f t="shared" si="154"/>
        <v>6249.5312876117459</v>
      </c>
    </row>
    <row r="197" spans="4:61" x14ac:dyDescent="0.35">
      <c r="E197">
        <v>11</v>
      </c>
      <c r="J197" t="s">
        <v>50</v>
      </c>
      <c r="N197" s="41">
        <f t="shared" ref="N197:BI197" si="155">N137*N124*(1-$I$153)</f>
        <v>0</v>
      </c>
      <c r="O197" s="41">
        <f t="shared" si="155"/>
        <v>0</v>
      </c>
      <c r="P197" s="41">
        <f t="shared" si="155"/>
        <v>0</v>
      </c>
      <c r="Q197" s="41">
        <f t="shared" si="155"/>
        <v>0</v>
      </c>
      <c r="R197" s="41">
        <f t="shared" si="155"/>
        <v>0</v>
      </c>
      <c r="S197" s="41">
        <f t="shared" si="155"/>
        <v>0</v>
      </c>
      <c r="T197" s="41">
        <f t="shared" si="155"/>
        <v>0</v>
      </c>
      <c r="U197" s="41">
        <f t="shared" si="155"/>
        <v>0</v>
      </c>
      <c r="V197" s="41">
        <f t="shared" si="155"/>
        <v>0</v>
      </c>
      <c r="W197" s="41">
        <f t="shared" si="155"/>
        <v>0</v>
      </c>
      <c r="X197" s="41">
        <f t="shared" si="155"/>
        <v>17394.528133879892</v>
      </c>
      <c r="Y197" s="41">
        <f t="shared" si="155"/>
        <v>7822.7111761812175</v>
      </c>
      <c r="Z197" s="41">
        <f t="shared" si="155"/>
        <v>2142.5242836765774</v>
      </c>
      <c r="AA197" s="41">
        <f t="shared" si="155"/>
        <v>214.3003908167839</v>
      </c>
      <c r="AB197" s="41">
        <f t="shared" si="155"/>
        <v>11.662007683325822</v>
      </c>
      <c r="AC197" s="41">
        <f t="shared" si="155"/>
        <v>0.17290149746158603</v>
      </c>
      <c r="AD197" s="41">
        <f t="shared" si="155"/>
        <v>1.104121637967237E-3</v>
      </c>
      <c r="AE197" s="41">
        <f t="shared" si="155"/>
        <v>2.1412304022860874E-6</v>
      </c>
      <c r="AF197" s="41">
        <f t="shared" si="155"/>
        <v>1.8774045318359355E-9</v>
      </c>
      <c r="AG197" s="41">
        <f t="shared" si="155"/>
        <v>0</v>
      </c>
      <c r="AH197" s="41">
        <f t="shared" si="155"/>
        <v>0</v>
      </c>
      <c r="AI197" s="41">
        <f t="shared" si="155"/>
        <v>0</v>
      </c>
      <c r="AJ197" s="41">
        <f t="shared" si="155"/>
        <v>38822.298623555165</v>
      </c>
      <c r="AK197" s="41">
        <f t="shared" si="155"/>
        <v>17459.262303069423</v>
      </c>
      <c r="AL197" s="41">
        <f t="shared" si="155"/>
        <v>4781.8323618162858</v>
      </c>
      <c r="AM197" s="41">
        <f t="shared" si="155"/>
        <v>478.29028205883554</v>
      </c>
      <c r="AN197" s="41">
        <f t="shared" si="155"/>
        <v>26.028067064977847</v>
      </c>
      <c r="AO197" s="41">
        <f t="shared" si="155"/>
        <v>0.38589339792664645</v>
      </c>
      <c r="AP197" s="41">
        <f t="shared" si="155"/>
        <v>2.4642542537503089E-3</v>
      </c>
      <c r="AQ197" s="41">
        <f t="shared" si="155"/>
        <v>4.7789445887569396E-6</v>
      </c>
      <c r="AR197" s="41">
        <f t="shared" si="155"/>
        <v>4.1901199510085979E-9</v>
      </c>
      <c r="AS197" s="41">
        <f t="shared" si="155"/>
        <v>0</v>
      </c>
      <c r="AT197" s="41">
        <f t="shared" si="155"/>
        <v>0</v>
      </c>
      <c r="AU197" s="41">
        <f t="shared" si="155"/>
        <v>0</v>
      </c>
      <c r="AV197" s="41">
        <f t="shared" si="155"/>
        <v>46125.56091986908</v>
      </c>
      <c r="AW197" s="41">
        <f t="shared" si="155"/>
        <v>20743.703890000503</v>
      </c>
      <c r="AX197" s="41">
        <f t="shared" si="155"/>
        <v>5681.3920796470411</v>
      </c>
      <c r="AY197" s="41">
        <f t="shared" si="155"/>
        <v>568.26639134398351</v>
      </c>
      <c r="AZ197" s="41">
        <f t="shared" si="155"/>
        <v>30.924474737403692</v>
      </c>
      <c r="BA197" s="41">
        <f t="shared" si="155"/>
        <v>0.45848777804828528</v>
      </c>
      <c r="BB197" s="41">
        <f t="shared" si="155"/>
        <v>2.9278304926138726E-3</v>
      </c>
      <c r="BC197" s="41">
        <f t="shared" si="155"/>
        <v>5.677961057865894E-6</v>
      </c>
      <c r="BD197" s="41">
        <f t="shared" si="155"/>
        <v>4.9783665551565167E-9</v>
      </c>
      <c r="BE197" s="41">
        <f t="shared" si="155"/>
        <v>0</v>
      </c>
      <c r="BF197" s="41">
        <f t="shared" si="155"/>
        <v>0</v>
      </c>
      <c r="BG197" s="41">
        <f t="shared" si="155"/>
        <v>0</v>
      </c>
      <c r="BH197" s="41">
        <f t="shared" si="155"/>
        <v>50738.117011855997</v>
      </c>
      <c r="BI197" s="41">
        <f t="shared" si="155"/>
        <v>22818.074279000557</v>
      </c>
    </row>
    <row r="198" spans="4:61" x14ac:dyDescent="0.35">
      <c r="E198">
        <v>12</v>
      </c>
      <c r="J198" t="s">
        <v>50</v>
      </c>
      <c r="N198" s="41">
        <f t="shared" ref="N198:BI198" si="156">N138*N125*(1-$I$153)</f>
        <v>0</v>
      </c>
      <c r="O198" s="41">
        <f t="shared" si="156"/>
        <v>0</v>
      </c>
      <c r="P198" s="41">
        <f t="shared" si="156"/>
        <v>0</v>
      </c>
      <c r="Q198" s="41">
        <f t="shared" si="156"/>
        <v>0</v>
      </c>
      <c r="R198" s="41">
        <f t="shared" si="156"/>
        <v>0</v>
      </c>
      <c r="S198" s="41">
        <f t="shared" si="156"/>
        <v>0</v>
      </c>
      <c r="T198" s="41">
        <f t="shared" si="156"/>
        <v>0</v>
      </c>
      <c r="U198" s="41">
        <f t="shared" si="156"/>
        <v>0</v>
      </c>
      <c r="V198" s="41">
        <f t="shared" si="156"/>
        <v>0</v>
      </c>
      <c r="W198" s="41">
        <f t="shared" si="156"/>
        <v>0</v>
      </c>
      <c r="X198" s="41">
        <f t="shared" si="156"/>
        <v>0</v>
      </c>
      <c r="Y198" s="41">
        <f t="shared" si="156"/>
        <v>16169.962981851924</v>
      </c>
      <c r="Z198" s="41">
        <f t="shared" si="156"/>
        <v>6944.5027460489782</v>
      </c>
      <c r="AA198" s="41">
        <f t="shared" si="156"/>
        <v>1783.8268521989476</v>
      </c>
      <c r="AB198" s="41">
        <f t="shared" si="156"/>
        <v>237.24189800577443</v>
      </c>
      <c r="AC198" s="41">
        <f t="shared" si="156"/>
        <v>9.4069103362426443</v>
      </c>
      <c r="AD198" s="41">
        <f t="shared" si="156"/>
        <v>0.15777371212237939</v>
      </c>
      <c r="AE198" s="41">
        <f t="shared" si="156"/>
        <v>8.3589252420371849E-4</v>
      </c>
      <c r="AF198" s="41">
        <f t="shared" si="156"/>
        <v>1.952154036521936E-6</v>
      </c>
      <c r="AG198" s="41">
        <f t="shared" si="156"/>
        <v>1.3316251101791467E-9</v>
      </c>
      <c r="AH198" s="41">
        <f t="shared" si="156"/>
        <v>0</v>
      </c>
      <c r="AI198" s="41">
        <f t="shared" si="156"/>
        <v>0</v>
      </c>
      <c r="AJ198" s="41">
        <f t="shared" si="156"/>
        <v>0</v>
      </c>
      <c r="AK198" s="41">
        <f t="shared" si="156"/>
        <v>46660.173433547519</v>
      </c>
      <c r="AL198" s="41">
        <f t="shared" si="156"/>
        <v>20039.112204775214</v>
      </c>
      <c r="AM198" s="41">
        <f t="shared" si="156"/>
        <v>5147.4249132442592</v>
      </c>
      <c r="AN198" s="41">
        <f t="shared" si="156"/>
        <v>684.58710258504379</v>
      </c>
      <c r="AO198" s="41">
        <f t="shared" si="156"/>
        <v>27.1446550777844</v>
      </c>
      <c r="AP198" s="41">
        <f t="shared" si="156"/>
        <v>0.45527307509282183</v>
      </c>
      <c r="AQ198" s="41">
        <f t="shared" si="156"/>
        <v>2.4120580977783023E-3</v>
      </c>
      <c r="AR198" s="41">
        <f t="shared" si="156"/>
        <v>5.6331511714247105E-6</v>
      </c>
      <c r="AS198" s="41">
        <f t="shared" si="156"/>
        <v>3.8425479798043232E-9</v>
      </c>
      <c r="AT198" s="41">
        <f t="shared" si="156"/>
        <v>0</v>
      </c>
      <c r="AU198" s="41">
        <f t="shared" si="156"/>
        <v>0</v>
      </c>
      <c r="AV198" s="41">
        <f t="shared" si="156"/>
        <v>0</v>
      </c>
      <c r="AW198" s="41">
        <f t="shared" si="156"/>
        <v>51744.53753023289</v>
      </c>
      <c r="AX198" s="41">
        <f t="shared" si="156"/>
        <v>22222.690514198195</v>
      </c>
      <c r="AY198" s="41">
        <f t="shared" si="156"/>
        <v>5708.3182939033704</v>
      </c>
      <c r="AZ198" s="41">
        <f t="shared" si="156"/>
        <v>759.18369812480091</v>
      </c>
      <c r="BA198" s="41">
        <f t="shared" si="156"/>
        <v>30.102494698568297</v>
      </c>
      <c r="BB198" s="41">
        <f t="shared" si="156"/>
        <v>0.50488227940677799</v>
      </c>
      <c r="BC198" s="41">
        <f t="shared" si="156"/>
        <v>2.6748899882111368E-3</v>
      </c>
      <c r="BD198" s="41">
        <f t="shared" si="156"/>
        <v>6.2469721124887822E-6</v>
      </c>
      <c r="BE198" s="41">
        <f t="shared" si="156"/>
        <v>4.2612543743729604E-9</v>
      </c>
      <c r="BF198" s="41">
        <f t="shared" si="156"/>
        <v>0</v>
      </c>
      <c r="BG198" s="41">
        <f t="shared" si="156"/>
        <v>0</v>
      </c>
      <c r="BH198" s="41">
        <f t="shared" si="156"/>
        <v>0</v>
      </c>
      <c r="BI198" s="41">
        <f t="shared" si="156"/>
        <v>56918.991283256182</v>
      </c>
    </row>
    <row r="199" spans="4:61" x14ac:dyDescent="0.35"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</row>
    <row r="200" spans="4:61" x14ac:dyDescent="0.35">
      <c r="E200" t="s">
        <v>94</v>
      </c>
      <c r="J200" t="s">
        <v>51</v>
      </c>
      <c r="N200" s="41">
        <f>SUMPRODUCT(N173:N184,N187:N198)</f>
        <v>13387061.468135841</v>
      </c>
      <c r="O200" s="41">
        <f t="shared" ref="O200:BI200" si="157">SUMPRODUCT(O173:O184,O187:O198)</f>
        <v>30222600.010130774</v>
      </c>
      <c r="P200" s="41">
        <f t="shared" si="157"/>
        <v>36898875.94642818</v>
      </c>
      <c r="Q200" s="41">
        <f t="shared" si="157"/>
        <v>27760023.890346926</v>
      </c>
      <c r="R200" s="41">
        <f t="shared" si="157"/>
        <v>37283255.162308425</v>
      </c>
      <c r="S200" s="41">
        <f t="shared" si="157"/>
        <v>80274648.397093683</v>
      </c>
      <c r="T200" s="41">
        <f t="shared" si="157"/>
        <v>91104387.291481957</v>
      </c>
      <c r="U200" s="41">
        <f t="shared" si="157"/>
        <v>50626220.585600071</v>
      </c>
      <c r="V200" s="41">
        <f t="shared" si="157"/>
        <v>50442154.099838138</v>
      </c>
      <c r="W200" s="41">
        <f t="shared" si="157"/>
        <v>72519409.623552054</v>
      </c>
      <c r="X200" s="41">
        <f t="shared" si="157"/>
        <v>76082230.18686761</v>
      </c>
      <c r="Y200" s="41">
        <f t="shared" si="157"/>
        <v>78140757.82138668</v>
      </c>
      <c r="Z200" s="41">
        <f t="shared" si="157"/>
        <v>102290534.72454576</v>
      </c>
      <c r="AA200" s="41">
        <f t="shared" si="157"/>
        <v>117733316.2807554</v>
      </c>
      <c r="AB200" s="41">
        <f t="shared" si="157"/>
        <v>167807336.71961361</v>
      </c>
      <c r="AC200" s="41">
        <f t="shared" si="157"/>
        <v>174554347.91956198</v>
      </c>
      <c r="AD200" s="41">
        <f t="shared" si="157"/>
        <v>174642252.48575875</v>
      </c>
      <c r="AE200" s="41">
        <f t="shared" si="157"/>
        <v>188688803.58965015</v>
      </c>
      <c r="AF200" s="41">
        <f t="shared" si="157"/>
        <v>183580119.99619186</v>
      </c>
      <c r="AG200" s="41">
        <f t="shared" si="157"/>
        <v>139375979.32131356</v>
      </c>
      <c r="AH200" s="41">
        <f t="shared" si="157"/>
        <v>159028895.76560292</v>
      </c>
      <c r="AI200" s="41">
        <f t="shared" si="157"/>
        <v>209084287.75167251</v>
      </c>
      <c r="AJ200" s="41">
        <f t="shared" si="157"/>
        <v>218594802.39420682</v>
      </c>
      <c r="AK200" s="41">
        <f t="shared" si="157"/>
        <v>252999411.2093381</v>
      </c>
      <c r="AL200" s="41">
        <f t="shared" si="157"/>
        <v>222016648.27472091</v>
      </c>
      <c r="AM200" s="41">
        <f t="shared" si="157"/>
        <v>209481841.57260922</v>
      </c>
      <c r="AN200" s="41">
        <f t="shared" si="157"/>
        <v>239973980.18285999</v>
      </c>
      <c r="AO200" s="41">
        <f t="shared" si="157"/>
        <v>235400070.87507883</v>
      </c>
      <c r="AP200" s="41">
        <f t="shared" si="157"/>
        <v>240777320.10095528</v>
      </c>
      <c r="AQ200" s="41">
        <f t="shared" si="157"/>
        <v>226726429.66375583</v>
      </c>
      <c r="AR200" s="41">
        <f t="shared" si="157"/>
        <v>206608540.37346491</v>
      </c>
      <c r="AS200" s="41">
        <f t="shared" si="157"/>
        <v>163484422.20276999</v>
      </c>
      <c r="AT200" s="41">
        <f t="shared" si="157"/>
        <v>188917316.81009197</v>
      </c>
      <c r="AU200" s="41">
        <f t="shared" si="157"/>
        <v>225840801.2880336</v>
      </c>
      <c r="AV200" s="41">
        <f t="shared" si="157"/>
        <v>231598631.06964281</v>
      </c>
      <c r="AW200" s="41">
        <f t="shared" si="157"/>
        <v>255525271.79439864</v>
      </c>
      <c r="AX200" s="41">
        <f t="shared" si="157"/>
        <v>239474714.09349138</v>
      </c>
      <c r="AY200" s="41">
        <f t="shared" si="157"/>
        <v>234488596.21133733</v>
      </c>
      <c r="AZ200" s="41">
        <f t="shared" si="157"/>
        <v>271522030.35538626</v>
      </c>
      <c r="BA200" s="41">
        <f t="shared" si="157"/>
        <v>266693852.81543246</v>
      </c>
      <c r="BB200" s="41">
        <f t="shared" si="157"/>
        <v>272800462.8139993</v>
      </c>
      <c r="BC200" s="41">
        <f t="shared" si="157"/>
        <v>256881043.53524208</v>
      </c>
      <c r="BD200" s="41">
        <f t="shared" si="157"/>
        <v>234087476.24016291</v>
      </c>
      <c r="BE200" s="41">
        <f t="shared" si="157"/>
        <v>185227850.3557364</v>
      </c>
      <c r="BF200" s="41">
        <f t="shared" si="157"/>
        <v>214043319.94583425</v>
      </c>
      <c r="BG200" s="41">
        <f t="shared" si="157"/>
        <v>255877627.85934216</v>
      </c>
      <c r="BH200" s="41">
        <f t="shared" si="157"/>
        <v>262401249.00190538</v>
      </c>
      <c r="BI200" s="41">
        <f t="shared" si="157"/>
        <v>289510132.94305366</v>
      </c>
    </row>
    <row r="201" spans="4:61" x14ac:dyDescent="0.35"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</row>
    <row r="202" spans="4:61" x14ac:dyDescent="0.35">
      <c r="D202" s="1" t="s">
        <v>93</v>
      </c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</row>
    <row r="203" spans="4:61" x14ac:dyDescent="0.35"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</row>
    <row r="204" spans="4:61" s="4" customFormat="1" x14ac:dyDescent="0.35">
      <c r="E204" s="4" t="str">
        <f>Time!E$38</f>
        <v>Bool-Projeté</v>
      </c>
      <c r="J204" s="4" t="str">
        <f>Time!J$38</f>
        <v>booléen</v>
      </c>
      <c r="N204" s="83">
        <f>Time!N$38</f>
        <v>0</v>
      </c>
      <c r="O204" s="83">
        <f>Time!O$38</f>
        <v>0</v>
      </c>
      <c r="P204" s="83">
        <f>Time!P$38</f>
        <v>0</v>
      </c>
      <c r="Q204" s="83">
        <f>Time!Q$38</f>
        <v>0</v>
      </c>
      <c r="R204" s="83">
        <f>Time!R$38</f>
        <v>0</v>
      </c>
      <c r="S204" s="83">
        <f>Time!S$38</f>
        <v>0</v>
      </c>
      <c r="T204" s="83">
        <f>Time!T$38</f>
        <v>0</v>
      </c>
      <c r="U204" s="83">
        <f>Time!U$38</f>
        <v>0</v>
      </c>
      <c r="V204" s="83">
        <f>Time!V$38</f>
        <v>0</v>
      </c>
      <c r="W204" s="83">
        <f>Time!W$38</f>
        <v>0</v>
      </c>
      <c r="X204" s="83">
        <f>Time!X$38</f>
        <v>0</v>
      </c>
      <c r="Y204" s="83">
        <f>Time!Y$38</f>
        <v>0</v>
      </c>
      <c r="Z204" s="83">
        <f>Time!Z$38</f>
        <v>0</v>
      </c>
      <c r="AA204" s="83">
        <f>Time!AA$38</f>
        <v>0</v>
      </c>
      <c r="AB204" s="83">
        <f>Time!AB$38</f>
        <v>0</v>
      </c>
      <c r="AC204" s="83">
        <f>Time!AC$38</f>
        <v>0</v>
      </c>
      <c r="AD204" s="83">
        <f>Time!AD$38</f>
        <v>0</v>
      </c>
      <c r="AE204" s="83">
        <f>Time!AE$38</f>
        <v>0</v>
      </c>
      <c r="AF204" s="83">
        <f>Time!AF$38</f>
        <v>0</v>
      </c>
      <c r="AG204" s="83">
        <f>Time!AG$38</f>
        <v>0</v>
      </c>
      <c r="AH204" s="83">
        <f>Time!AH$38</f>
        <v>0</v>
      </c>
      <c r="AI204" s="83">
        <f>Time!AI$38</f>
        <v>0</v>
      </c>
      <c r="AJ204" s="83">
        <f>Time!AJ$38</f>
        <v>0</v>
      </c>
      <c r="AK204" s="83">
        <f>Time!AK$38</f>
        <v>0</v>
      </c>
      <c r="AL204" s="83">
        <f>Time!AL$38</f>
        <v>1</v>
      </c>
      <c r="AM204" s="83">
        <f>Time!AM$38</f>
        <v>1</v>
      </c>
      <c r="AN204" s="83">
        <f>Time!AN$38</f>
        <v>1</v>
      </c>
      <c r="AO204" s="83">
        <f>Time!AO$38</f>
        <v>1</v>
      </c>
      <c r="AP204" s="83">
        <f>Time!AP$38</f>
        <v>1</v>
      </c>
      <c r="AQ204" s="83">
        <f>Time!AQ$38</f>
        <v>1</v>
      </c>
      <c r="AR204" s="83">
        <f>Time!AR$38</f>
        <v>1</v>
      </c>
      <c r="AS204" s="83">
        <f>Time!AS$38</f>
        <v>1</v>
      </c>
      <c r="AT204" s="83">
        <f>Time!AT$38</f>
        <v>1</v>
      </c>
      <c r="AU204" s="83">
        <f>Time!AU$38</f>
        <v>1</v>
      </c>
      <c r="AV204" s="83">
        <f>Time!AV$38</f>
        <v>1</v>
      </c>
      <c r="AW204" s="83">
        <f>Time!AW$38</f>
        <v>1</v>
      </c>
      <c r="AX204" s="83">
        <f>Time!AX$38</f>
        <v>1</v>
      </c>
      <c r="AY204" s="83">
        <f>Time!AY$38</f>
        <v>1</v>
      </c>
      <c r="AZ204" s="83">
        <f>Time!AZ$38</f>
        <v>1</v>
      </c>
      <c r="BA204" s="83">
        <f>Time!BA$38</f>
        <v>1</v>
      </c>
      <c r="BB204" s="83">
        <f>Time!BB$38</f>
        <v>1</v>
      </c>
      <c r="BC204" s="83">
        <f>Time!BC$38</f>
        <v>1</v>
      </c>
      <c r="BD204" s="83">
        <f>Time!BD$38</f>
        <v>1</v>
      </c>
      <c r="BE204" s="83">
        <f>Time!BE$38</f>
        <v>1</v>
      </c>
      <c r="BF204" s="83">
        <f>Time!BF$38</f>
        <v>1</v>
      </c>
      <c r="BG204" s="83">
        <f>Time!BG$38</f>
        <v>1</v>
      </c>
      <c r="BH204" s="83">
        <f>Time!BH$38</f>
        <v>1</v>
      </c>
      <c r="BI204" s="83">
        <f>Time!BI$38</f>
        <v>1</v>
      </c>
    </row>
    <row r="205" spans="4:61" s="4" customFormat="1" x14ac:dyDescent="0.35">
      <c r="E205" s="4" t="str">
        <f>Données_historiques!E11</f>
        <v>Engagement-Exécution</v>
      </c>
      <c r="J205" s="4" t="str">
        <f>Données_historiques!J11</f>
        <v>Volume</v>
      </c>
      <c r="N205" s="85">
        <f>Données_historiques!N11</f>
        <v>0</v>
      </c>
      <c r="O205" s="85">
        <f>Données_historiques!O11</f>
        <v>0</v>
      </c>
      <c r="P205" s="85">
        <f>Données_historiques!P11</f>
        <v>0</v>
      </c>
      <c r="Q205" s="85">
        <f>Données_historiques!Q11</f>
        <v>726</v>
      </c>
      <c r="R205" s="85">
        <f>Données_historiques!R11</f>
        <v>4807</v>
      </c>
      <c r="S205" s="85">
        <f>Données_historiques!S11</f>
        <v>7112</v>
      </c>
      <c r="T205" s="85">
        <f>Données_historiques!T11</f>
        <v>17956</v>
      </c>
      <c r="U205" s="85">
        <f>Données_historiques!U11</f>
        <v>27791</v>
      </c>
      <c r="V205" s="85">
        <f>Données_historiques!V11</f>
        <v>13787</v>
      </c>
      <c r="W205" s="85">
        <f>Données_historiques!W11</f>
        <v>14792</v>
      </c>
      <c r="X205" s="85">
        <f>Données_historiques!X11</f>
        <v>20452</v>
      </c>
      <c r="Y205" s="85">
        <f>Données_historiques!Y11</f>
        <v>31303</v>
      </c>
      <c r="Z205" s="85">
        <f>Données_historiques!Z11</f>
        <v>33518</v>
      </c>
      <c r="AA205" s="85">
        <f>Données_historiques!AA11</f>
        <v>39754</v>
      </c>
      <c r="AB205" s="85">
        <f>Données_historiques!AB11</f>
        <v>45141</v>
      </c>
      <c r="AC205" s="85">
        <f>Données_historiques!AC11</f>
        <v>57254</v>
      </c>
      <c r="AD205" s="85">
        <f>Données_historiques!AD11</f>
        <v>55077</v>
      </c>
      <c r="AE205" s="85">
        <f>Données_historiques!AE11</f>
        <v>71050</v>
      </c>
      <c r="AF205" s="85">
        <f>Données_historiques!AF11</f>
        <v>60529</v>
      </c>
      <c r="AG205" s="85">
        <f>Données_historiques!AG11</f>
        <v>51721</v>
      </c>
      <c r="AH205" s="85">
        <f>Données_historiques!AH11</f>
        <v>51153</v>
      </c>
      <c r="AI205" s="85">
        <f>Données_historiques!AI11</f>
        <v>63159</v>
      </c>
      <c r="AJ205" s="85">
        <f>Données_historiques!AJ11</f>
        <v>62431</v>
      </c>
      <c r="AK205" s="85">
        <f>Données_historiques!AK11</f>
        <v>70804</v>
      </c>
      <c r="AL205" s="85">
        <f>Données_historiques!AL11</f>
        <v>0</v>
      </c>
      <c r="AM205" s="85">
        <f>Données_historiques!AM11</f>
        <v>0</v>
      </c>
      <c r="AN205" s="85">
        <f>Données_historiques!AN11</f>
        <v>0</v>
      </c>
      <c r="AO205" s="85">
        <f>Données_historiques!AO11</f>
        <v>0</v>
      </c>
      <c r="AP205" s="85">
        <f>Données_historiques!AP11</f>
        <v>0</v>
      </c>
      <c r="AQ205" s="85">
        <f>Données_historiques!AQ11</f>
        <v>0</v>
      </c>
      <c r="AR205" s="85">
        <f>Données_historiques!AR11</f>
        <v>0</v>
      </c>
      <c r="AS205" s="85">
        <f>Données_historiques!AS11</f>
        <v>0</v>
      </c>
      <c r="AT205" s="85">
        <f>Données_historiques!AT11</f>
        <v>0</v>
      </c>
      <c r="AU205" s="85">
        <f>Données_historiques!AU11</f>
        <v>0</v>
      </c>
      <c r="AV205" s="85">
        <f>Données_historiques!AV11</f>
        <v>0</v>
      </c>
      <c r="AW205" s="85">
        <f>Données_historiques!AW11</f>
        <v>0</v>
      </c>
      <c r="AX205" s="85">
        <f>Données_historiques!AX11</f>
        <v>0</v>
      </c>
      <c r="AY205" s="85">
        <f>Données_historiques!AY11</f>
        <v>0</v>
      </c>
      <c r="AZ205" s="85">
        <f>Données_historiques!AZ11</f>
        <v>0</v>
      </c>
      <c r="BA205" s="85">
        <f>Données_historiques!BA11</f>
        <v>0</v>
      </c>
      <c r="BB205" s="85">
        <f>Données_historiques!BB11</f>
        <v>0</v>
      </c>
      <c r="BC205" s="85">
        <f>Données_historiques!BC11</f>
        <v>0</v>
      </c>
      <c r="BD205" s="85">
        <f>Données_historiques!BD11</f>
        <v>0</v>
      </c>
      <c r="BE205" s="85">
        <f>Données_historiques!BE11</f>
        <v>0</v>
      </c>
      <c r="BF205" s="85">
        <f>Données_historiques!BF11</f>
        <v>0</v>
      </c>
      <c r="BG205" s="85">
        <f>Données_historiques!BG11</f>
        <v>0</v>
      </c>
      <c r="BH205" s="85">
        <f>Données_historiques!BH11</f>
        <v>0</v>
      </c>
      <c r="BI205" s="85">
        <f>Données_historiques!BI11</f>
        <v>0</v>
      </c>
    </row>
    <row r="206" spans="4:61" s="4" customFormat="1" x14ac:dyDescent="0.35">
      <c r="E206" s="4" t="str">
        <f>Données_historiques!E12</f>
        <v>Rejet de l'engagement-Exécution</v>
      </c>
      <c r="J206" s="4" t="str">
        <f>Données_historiques!J12</f>
        <v>Volume</v>
      </c>
      <c r="N206" s="85">
        <f>Données_historiques!N12</f>
        <v>0</v>
      </c>
      <c r="O206" s="85">
        <f>Données_historiques!O12</f>
        <v>0</v>
      </c>
      <c r="P206" s="85">
        <f>Données_historiques!P12</f>
        <v>0</v>
      </c>
      <c r="Q206" s="85">
        <f>Données_historiques!Q12</f>
        <v>0</v>
      </c>
      <c r="R206" s="85">
        <f>Données_historiques!R12</f>
        <v>0</v>
      </c>
      <c r="S206" s="85">
        <f>Données_historiques!S12</f>
        <v>38</v>
      </c>
      <c r="T206" s="85">
        <f>Données_historiques!T12</f>
        <v>259</v>
      </c>
      <c r="U206" s="85">
        <f>Données_historiques!U12</f>
        <v>357</v>
      </c>
      <c r="V206" s="85">
        <f>Données_historiques!V12</f>
        <v>1196</v>
      </c>
      <c r="W206" s="85">
        <f>Données_historiques!W12</f>
        <v>4629</v>
      </c>
      <c r="X206" s="85">
        <f>Données_historiques!X12</f>
        <v>2287</v>
      </c>
      <c r="Y206" s="85">
        <f>Données_historiques!Y12</f>
        <v>2766</v>
      </c>
      <c r="Z206" s="85">
        <f>Données_historiques!Z12</f>
        <v>3246</v>
      </c>
      <c r="AA206" s="85">
        <f>Données_historiques!AA12</f>
        <v>4936</v>
      </c>
      <c r="AB206" s="85">
        <f>Données_historiques!AB12</f>
        <v>7071</v>
      </c>
      <c r="AC206" s="85">
        <f>Données_historiques!AC12</f>
        <v>7763</v>
      </c>
      <c r="AD206" s="85">
        <f>Données_historiques!AD12</f>
        <v>5182</v>
      </c>
      <c r="AE206" s="85">
        <f>Données_historiques!AE12</f>
        <v>6280</v>
      </c>
      <c r="AF206" s="85">
        <f>Données_historiques!AF12</f>
        <v>5842</v>
      </c>
      <c r="AG206" s="85">
        <f>Données_historiques!AG12</f>
        <v>6114</v>
      </c>
      <c r="AH206" s="85">
        <f>Données_historiques!AH12</f>
        <v>5310</v>
      </c>
      <c r="AI206" s="85">
        <f>Données_historiques!AI12</f>
        <v>7488</v>
      </c>
      <c r="AJ206" s="85">
        <f>Données_historiques!AJ12</f>
        <v>7460</v>
      </c>
      <c r="AK206" s="85">
        <f>Données_historiques!AK12</f>
        <v>7494</v>
      </c>
      <c r="AL206" s="85">
        <f>Données_historiques!AL12</f>
        <v>0</v>
      </c>
      <c r="AM206" s="85">
        <f>Données_historiques!AM12</f>
        <v>0</v>
      </c>
      <c r="AN206" s="85">
        <f>Données_historiques!AN12</f>
        <v>0</v>
      </c>
      <c r="AO206" s="85">
        <f>Données_historiques!AO12</f>
        <v>0</v>
      </c>
      <c r="AP206" s="85">
        <f>Données_historiques!AP12</f>
        <v>0</v>
      </c>
      <c r="AQ206" s="85">
        <f>Données_historiques!AQ12</f>
        <v>0</v>
      </c>
      <c r="AR206" s="85">
        <f>Données_historiques!AR12</f>
        <v>0</v>
      </c>
      <c r="AS206" s="85">
        <f>Données_historiques!AS12</f>
        <v>0</v>
      </c>
      <c r="AT206" s="85">
        <f>Données_historiques!AT12</f>
        <v>0</v>
      </c>
      <c r="AU206" s="85">
        <f>Données_historiques!AU12</f>
        <v>0</v>
      </c>
      <c r="AV206" s="85">
        <f>Données_historiques!AV12</f>
        <v>0</v>
      </c>
      <c r="AW206" s="85">
        <f>Données_historiques!AW12</f>
        <v>0</v>
      </c>
      <c r="AX206" s="85">
        <f>Données_historiques!AX12</f>
        <v>0</v>
      </c>
      <c r="AY206" s="85">
        <f>Données_historiques!AY12</f>
        <v>0</v>
      </c>
      <c r="AZ206" s="85">
        <f>Données_historiques!AZ12</f>
        <v>0</v>
      </c>
      <c r="BA206" s="85">
        <f>Données_historiques!BA12</f>
        <v>0</v>
      </c>
      <c r="BB206" s="85">
        <f>Données_historiques!BB12</f>
        <v>0</v>
      </c>
      <c r="BC206" s="85">
        <f>Données_historiques!BC12</f>
        <v>0</v>
      </c>
      <c r="BD206" s="85">
        <f>Données_historiques!BD12</f>
        <v>0</v>
      </c>
      <c r="BE206" s="85">
        <f>Données_historiques!BE12</f>
        <v>0</v>
      </c>
      <c r="BF206" s="85">
        <f>Données_historiques!BF12</f>
        <v>0</v>
      </c>
      <c r="BG206" s="85">
        <f>Données_historiques!BG12</f>
        <v>0</v>
      </c>
      <c r="BH206" s="85">
        <f>Données_historiques!BH12</f>
        <v>0</v>
      </c>
      <c r="BI206" s="85">
        <f>Données_historiques!BI12</f>
        <v>0</v>
      </c>
    </row>
    <row r="207" spans="4:61" s="4" customFormat="1" x14ac:dyDescent="0.35">
      <c r="E207" s="4" t="str">
        <f>Données_historiques!E25</f>
        <v>Engagement-Exécution</v>
      </c>
      <c r="J207" s="4" t="str">
        <f>Données_historiques!J25</f>
        <v>EUR</v>
      </c>
      <c r="N207" s="85">
        <f>Données_historiques!N25</f>
        <v>0</v>
      </c>
      <c r="O207" s="85">
        <f>Données_historiques!O25</f>
        <v>0</v>
      </c>
      <c r="P207" s="85">
        <f>Données_historiques!P25</f>
        <v>0</v>
      </c>
      <c r="Q207" s="85">
        <f>Données_historiques!Q25</f>
        <v>1695772.18</v>
      </c>
      <c r="R207" s="85">
        <f>Données_historiques!R25</f>
        <v>10857056.4</v>
      </c>
      <c r="S207" s="85">
        <f>Données_historiques!S25</f>
        <v>20903722.16</v>
      </c>
      <c r="T207" s="85">
        <f>Données_historiques!T25</f>
        <v>86869565.299999997</v>
      </c>
      <c r="U207" s="85">
        <f>Données_historiques!U25</f>
        <v>172653794.88999999</v>
      </c>
      <c r="V207" s="85">
        <f>Données_historiques!V25</f>
        <v>56745854.399999999</v>
      </c>
      <c r="W207" s="85">
        <f>Données_historiques!W25</f>
        <v>49226405.049999997</v>
      </c>
      <c r="X207" s="85">
        <f>Données_historiques!X25</f>
        <v>62967540.109999999</v>
      </c>
      <c r="Y207" s="85">
        <f>Données_historiques!Y25</f>
        <v>99522693.840000004</v>
      </c>
      <c r="Z207" s="85">
        <f>Données_historiques!Z25</f>
        <v>98951762.090000004</v>
      </c>
      <c r="AA207" s="85">
        <f>Données_historiques!AA25</f>
        <v>91501313.090000004</v>
      </c>
      <c r="AB207" s="85">
        <f>Données_historiques!AB25</f>
        <v>125765957.95</v>
      </c>
      <c r="AC207" s="85">
        <f>Données_historiques!AC25</f>
        <v>148151497.30000001</v>
      </c>
      <c r="AD207" s="85">
        <f>Données_historiques!AD25</f>
        <v>163744048.12</v>
      </c>
      <c r="AE207" s="85">
        <f>Données_historiques!AE25</f>
        <v>220443813.47999999</v>
      </c>
      <c r="AF207" s="85">
        <f>Données_historiques!AF25</f>
        <v>217255838.49000001</v>
      </c>
      <c r="AG207" s="85">
        <f>Données_historiques!AG25</f>
        <v>184361005.40000001</v>
      </c>
      <c r="AH207" s="85">
        <f>Données_historiques!AH25</f>
        <v>171496786</v>
      </c>
      <c r="AI207" s="85">
        <f>Données_historiques!AI25</f>
        <v>197482118.59999999</v>
      </c>
      <c r="AJ207" s="85">
        <f>Données_historiques!AJ25</f>
        <v>216834248.84999999</v>
      </c>
      <c r="AK207" s="85">
        <f>Données_historiques!AK25</f>
        <v>258729610.41999999</v>
      </c>
      <c r="AL207" s="85">
        <f>Données_historiques!AL25</f>
        <v>0</v>
      </c>
      <c r="AM207" s="85">
        <f>Données_historiques!AM25</f>
        <v>0</v>
      </c>
      <c r="AN207" s="85">
        <f>Données_historiques!AN25</f>
        <v>0</v>
      </c>
      <c r="AO207" s="85">
        <f>Données_historiques!AO25</f>
        <v>0</v>
      </c>
      <c r="AP207" s="85">
        <f>Données_historiques!AP25</f>
        <v>0</v>
      </c>
      <c r="AQ207" s="85">
        <f>Données_historiques!AQ25</f>
        <v>0</v>
      </c>
      <c r="AR207" s="85">
        <f>Données_historiques!AR25</f>
        <v>0</v>
      </c>
      <c r="AS207" s="85">
        <f>Données_historiques!AS25</f>
        <v>0</v>
      </c>
      <c r="AT207" s="85">
        <f>Données_historiques!AT25</f>
        <v>0</v>
      </c>
      <c r="AU207" s="85">
        <f>Données_historiques!AU25</f>
        <v>0</v>
      </c>
      <c r="AV207" s="85">
        <f>Données_historiques!AV25</f>
        <v>0</v>
      </c>
      <c r="AW207" s="85">
        <f>Données_historiques!AW25</f>
        <v>0</v>
      </c>
      <c r="AX207" s="85">
        <f>Données_historiques!AX25</f>
        <v>0</v>
      </c>
      <c r="AY207" s="85">
        <f>Données_historiques!AY25</f>
        <v>0</v>
      </c>
      <c r="AZ207" s="85">
        <f>Données_historiques!AZ25</f>
        <v>0</v>
      </c>
      <c r="BA207" s="85">
        <f>Données_historiques!BA25</f>
        <v>0</v>
      </c>
      <c r="BB207" s="85">
        <f>Données_historiques!BB25</f>
        <v>0</v>
      </c>
      <c r="BC207" s="85">
        <f>Données_historiques!BC25</f>
        <v>0</v>
      </c>
      <c r="BD207" s="85">
        <f>Données_historiques!BD25</f>
        <v>0</v>
      </c>
      <c r="BE207" s="85">
        <f>Données_historiques!BE25</f>
        <v>0</v>
      </c>
      <c r="BF207" s="85">
        <f>Données_historiques!BF25</f>
        <v>0</v>
      </c>
      <c r="BG207" s="85">
        <f>Données_historiques!BG25</f>
        <v>0</v>
      </c>
      <c r="BH207" s="85">
        <f>Données_historiques!BH25</f>
        <v>0</v>
      </c>
      <c r="BI207" s="85">
        <f>Données_historiques!BI25</f>
        <v>0</v>
      </c>
    </row>
    <row r="208" spans="4:61" x14ac:dyDescent="0.35"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</row>
    <row r="209" spans="4:61" x14ac:dyDescent="0.35">
      <c r="E209" t="str">
        <f>E147</f>
        <v>Volumes-Engagement-Trajectoire</v>
      </c>
      <c r="J209" t="str">
        <f>J147</f>
        <v>Volume</v>
      </c>
      <c r="N209" s="41">
        <f t="shared" ref="N209:BI209" si="158">N147</f>
        <v>3657.7603366371081</v>
      </c>
      <c r="O209" s="41">
        <f t="shared" si="158"/>
        <v>7875.1146092595236</v>
      </c>
      <c r="P209" s="41">
        <f t="shared" si="158"/>
        <v>9228.4446989021599</v>
      </c>
      <c r="Q209" s="41">
        <f t="shared" si="158"/>
        <v>6243.8730600155213</v>
      </c>
      <c r="R209" s="41">
        <f t="shared" si="158"/>
        <v>6601.7604402455481</v>
      </c>
      <c r="S209" s="41">
        <f t="shared" si="158"/>
        <v>13314.140772435499</v>
      </c>
      <c r="T209" s="41">
        <f t="shared" si="158"/>
        <v>15640.655306366691</v>
      </c>
      <c r="U209" s="41">
        <f t="shared" si="158"/>
        <v>11940.454041328876</v>
      </c>
      <c r="V209" s="41">
        <f t="shared" si="158"/>
        <v>14849.389956885205</v>
      </c>
      <c r="W209" s="41">
        <f t="shared" si="158"/>
        <v>22049.72346840494</v>
      </c>
      <c r="X209" s="41">
        <f t="shared" si="158"/>
        <v>25658.268689757828</v>
      </c>
      <c r="Y209" s="41">
        <f t="shared" si="158"/>
        <v>26107.857443884983</v>
      </c>
      <c r="Z209" s="41">
        <f t="shared" si="158"/>
        <v>39543.558718963504</v>
      </c>
      <c r="AA209" s="41">
        <f t="shared" si="158"/>
        <v>45551.016577061419</v>
      </c>
      <c r="AB209" s="41">
        <f t="shared" si="158"/>
        <v>58693.420888898734</v>
      </c>
      <c r="AC209" s="41">
        <f t="shared" si="158"/>
        <v>60259.971905502316</v>
      </c>
      <c r="AD209" s="41">
        <f t="shared" si="158"/>
        <v>57687.959054551859</v>
      </c>
      <c r="AE209" s="41">
        <f t="shared" si="158"/>
        <v>59931.39343604914</v>
      </c>
      <c r="AF209" s="41">
        <f t="shared" si="158"/>
        <v>54839.745809729124</v>
      </c>
      <c r="AG209" s="41">
        <f t="shared" si="158"/>
        <v>42704.215248331224</v>
      </c>
      <c r="AH209" s="41">
        <f t="shared" si="158"/>
        <v>49487.132213066798</v>
      </c>
      <c r="AI209" s="41">
        <f t="shared" si="158"/>
        <v>63764.305987124702</v>
      </c>
      <c r="AJ209" s="41">
        <f t="shared" si="158"/>
        <v>62233.571531983442</v>
      </c>
      <c r="AK209" s="41">
        <f t="shared" si="158"/>
        <v>70000.500303384848</v>
      </c>
      <c r="AL209" s="41">
        <f t="shared" si="158"/>
        <v>65371.735654758428</v>
      </c>
      <c r="AM209" s="41">
        <f t="shared" si="158"/>
        <v>63873.376658526257</v>
      </c>
      <c r="AN209" s="41">
        <f t="shared" si="158"/>
        <v>73873.274065592719</v>
      </c>
      <c r="AO209" s="41">
        <f t="shared" si="158"/>
        <v>72547.17482812464</v>
      </c>
      <c r="AP209" s="41">
        <f t="shared" si="158"/>
        <v>74207.759944055273</v>
      </c>
      <c r="AQ209" s="41">
        <f t="shared" si="158"/>
        <v>69877.316848867995</v>
      </c>
      <c r="AR209" s="41">
        <f t="shared" si="158"/>
        <v>63676.963121060908</v>
      </c>
      <c r="AS209" s="41">
        <f t="shared" si="158"/>
        <v>50386.06586527796</v>
      </c>
      <c r="AT209" s="41">
        <f t="shared" si="158"/>
        <v>58224.509954096939</v>
      </c>
      <c r="AU209" s="41">
        <f t="shared" si="158"/>
        <v>69604.36557467503</v>
      </c>
      <c r="AV209" s="41">
        <f t="shared" si="158"/>
        <v>71378.934592984268</v>
      </c>
      <c r="AW209" s="41">
        <f t="shared" si="158"/>
        <v>78753.149697082248</v>
      </c>
      <c r="AX209" s="41">
        <f t="shared" si="158"/>
        <v>72486.86571658848</v>
      </c>
      <c r="AY209" s="41">
        <f t="shared" si="158"/>
        <v>70348.127966319968</v>
      </c>
      <c r="AZ209" s="41">
        <f t="shared" si="158"/>
        <v>81269.01370344765</v>
      </c>
      <c r="BA209" s="41">
        <f t="shared" si="158"/>
        <v>79802.169587532859</v>
      </c>
      <c r="BB209" s="41">
        <f t="shared" si="158"/>
        <v>81628.540237268462</v>
      </c>
      <c r="BC209" s="41">
        <f t="shared" si="158"/>
        <v>76865.048555801855</v>
      </c>
      <c r="BD209" s="41">
        <f t="shared" si="158"/>
        <v>70044.659433217879</v>
      </c>
      <c r="BE209" s="41">
        <f t="shared" si="158"/>
        <v>55424.672451805804</v>
      </c>
      <c r="BF209" s="41">
        <f t="shared" si="158"/>
        <v>64046.96094950664</v>
      </c>
      <c r="BG209" s="41">
        <f t="shared" si="158"/>
        <v>76564.802132142533</v>
      </c>
      <c r="BH209" s="41">
        <f t="shared" si="158"/>
        <v>78516.828052282712</v>
      </c>
      <c r="BI209" s="41">
        <f t="shared" si="158"/>
        <v>86628.464666790489</v>
      </c>
    </row>
    <row r="210" spans="4:61" x14ac:dyDescent="0.35">
      <c r="E210" t="str">
        <f>E148</f>
        <v>Volumes-Rejet de l'engagement-Trajectoire</v>
      </c>
      <c r="J210" t="str">
        <f>J148</f>
        <v>Volume</v>
      </c>
      <c r="N210" s="41">
        <f t="shared" ref="N210:BI210" si="159">N148</f>
        <v>406.41781518190095</v>
      </c>
      <c r="O210" s="41">
        <f t="shared" si="159"/>
        <v>875.01273436216934</v>
      </c>
      <c r="P210" s="41">
        <f t="shared" si="159"/>
        <v>1025.3827443224623</v>
      </c>
      <c r="Q210" s="41">
        <f t="shared" si="159"/>
        <v>693.76367333505789</v>
      </c>
      <c r="R210" s="41">
        <f t="shared" si="159"/>
        <v>733.52893780506099</v>
      </c>
      <c r="S210" s="41">
        <f t="shared" si="159"/>
        <v>1479.3489747150554</v>
      </c>
      <c r="T210" s="41">
        <f t="shared" si="159"/>
        <v>1737.850589596299</v>
      </c>
      <c r="U210" s="41">
        <f t="shared" si="159"/>
        <v>1326.7171157032085</v>
      </c>
      <c r="V210" s="41">
        <f t="shared" si="159"/>
        <v>1649.9322174316894</v>
      </c>
      <c r="W210" s="41">
        <f t="shared" si="159"/>
        <v>2449.9692742672155</v>
      </c>
      <c r="X210" s="41">
        <f t="shared" si="159"/>
        <v>2850.9187433064253</v>
      </c>
      <c r="Y210" s="41">
        <f t="shared" si="159"/>
        <v>2900.8730493205539</v>
      </c>
      <c r="Z210" s="41">
        <f t="shared" si="159"/>
        <v>4393.7287465515001</v>
      </c>
      <c r="AA210" s="41">
        <f t="shared" si="159"/>
        <v>5061.224064117936</v>
      </c>
      <c r="AB210" s="41">
        <f t="shared" si="159"/>
        <v>6521.4912098776367</v>
      </c>
      <c r="AC210" s="41">
        <f t="shared" si="159"/>
        <v>6695.552433944702</v>
      </c>
      <c r="AD210" s="41">
        <f t="shared" si="159"/>
        <v>6409.7732282835404</v>
      </c>
      <c r="AE210" s="41">
        <f t="shared" si="159"/>
        <v>6659.0437151165715</v>
      </c>
      <c r="AF210" s="41">
        <f t="shared" si="159"/>
        <v>6093.3050899699028</v>
      </c>
      <c r="AG210" s="41">
        <f t="shared" si="159"/>
        <v>4744.9128053701361</v>
      </c>
      <c r="AH210" s="41">
        <f t="shared" si="159"/>
        <v>5498.5702458963106</v>
      </c>
      <c r="AI210" s="41">
        <f t="shared" si="159"/>
        <v>7084.9228874583005</v>
      </c>
      <c r="AJ210" s="41">
        <f t="shared" si="159"/>
        <v>6914.8412813314935</v>
      </c>
      <c r="AK210" s="41">
        <f t="shared" si="159"/>
        <v>7777.8333670427601</v>
      </c>
      <c r="AL210" s="41">
        <f t="shared" si="159"/>
        <v>7263.5261838620472</v>
      </c>
      <c r="AM210" s="41">
        <f t="shared" si="159"/>
        <v>7097.041850947362</v>
      </c>
      <c r="AN210" s="41">
        <f t="shared" si="159"/>
        <v>8208.1415628436353</v>
      </c>
      <c r="AO210" s="41">
        <f t="shared" si="159"/>
        <v>8060.7972031249592</v>
      </c>
      <c r="AP210" s="41">
        <f t="shared" si="159"/>
        <v>8245.3066604505857</v>
      </c>
      <c r="AQ210" s="41">
        <f t="shared" si="159"/>
        <v>7764.1463165408877</v>
      </c>
      <c r="AR210" s="41">
        <f t="shared" si="159"/>
        <v>7075.2181245623233</v>
      </c>
      <c r="AS210" s="41">
        <f t="shared" si="159"/>
        <v>5598.4517628086624</v>
      </c>
      <c r="AT210" s="41">
        <f t="shared" si="159"/>
        <v>6469.3899948996595</v>
      </c>
      <c r="AU210" s="41">
        <f t="shared" si="159"/>
        <v>7733.8183971861145</v>
      </c>
      <c r="AV210" s="41">
        <f t="shared" si="159"/>
        <v>7930.9927325538074</v>
      </c>
      <c r="AW210" s="41">
        <f t="shared" si="159"/>
        <v>8750.3499663424718</v>
      </c>
      <c r="AX210" s="41">
        <f t="shared" si="159"/>
        <v>8054.0961907320525</v>
      </c>
      <c r="AY210" s="41">
        <f t="shared" si="159"/>
        <v>7816.4586629244413</v>
      </c>
      <c r="AZ210" s="41">
        <f t="shared" si="159"/>
        <v>9029.8904114941834</v>
      </c>
      <c r="BA210" s="41">
        <f t="shared" si="159"/>
        <v>8866.9077319480966</v>
      </c>
      <c r="BB210" s="41">
        <f t="shared" si="159"/>
        <v>9069.8378041409396</v>
      </c>
      <c r="BC210" s="41">
        <f t="shared" si="159"/>
        <v>8540.5609506446508</v>
      </c>
      <c r="BD210" s="41">
        <f t="shared" si="159"/>
        <v>7782.7399370242092</v>
      </c>
      <c r="BE210" s="41">
        <f t="shared" si="159"/>
        <v>6158.2969390895341</v>
      </c>
      <c r="BF210" s="41">
        <f t="shared" si="159"/>
        <v>7116.328994389627</v>
      </c>
      <c r="BG210" s="41">
        <f t="shared" si="159"/>
        <v>8507.2002369047259</v>
      </c>
      <c r="BH210" s="41">
        <f t="shared" si="159"/>
        <v>8724.0920058091906</v>
      </c>
      <c r="BI210" s="41">
        <f t="shared" si="159"/>
        <v>9625.384962976721</v>
      </c>
    </row>
    <row r="211" spans="4:61" x14ac:dyDescent="0.35">
      <c r="E211" t="str">
        <f>E200</f>
        <v>Montant engagé - Trajectoire</v>
      </c>
      <c r="J211" t="str">
        <f>J200</f>
        <v>EUR</v>
      </c>
      <c r="N211" s="41">
        <f t="shared" ref="N211:BI211" si="160">N200</f>
        <v>13387061.468135841</v>
      </c>
      <c r="O211" s="41">
        <f t="shared" si="160"/>
        <v>30222600.010130774</v>
      </c>
      <c r="P211" s="41">
        <f t="shared" si="160"/>
        <v>36898875.94642818</v>
      </c>
      <c r="Q211" s="41">
        <f t="shared" si="160"/>
        <v>27760023.890346926</v>
      </c>
      <c r="R211" s="41">
        <f t="shared" si="160"/>
        <v>37283255.162308425</v>
      </c>
      <c r="S211" s="41">
        <f t="shared" si="160"/>
        <v>80274648.397093683</v>
      </c>
      <c r="T211" s="41">
        <f t="shared" si="160"/>
        <v>91104387.291481957</v>
      </c>
      <c r="U211" s="41">
        <f t="shared" si="160"/>
        <v>50626220.585600071</v>
      </c>
      <c r="V211" s="41">
        <f t="shared" si="160"/>
        <v>50442154.099838138</v>
      </c>
      <c r="W211" s="41">
        <f t="shared" si="160"/>
        <v>72519409.623552054</v>
      </c>
      <c r="X211" s="41">
        <f t="shared" si="160"/>
        <v>76082230.18686761</v>
      </c>
      <c r="Y211" s="41">
        <f t="shared" si="160"/>
        <v>78140757.82138668</v>
      </c>
      <c r="Z211" s="41">
        <f t="shared" si="160"/>
        <v>102290534.72454576</v>
      </c>
      <c r="AA211" s="41">
        <f t="shared" si="160"/>
        <v>117733316.2807554</v>
      </c>
      <c r="AB211" s="41">
        <f t="shared" si="160"/>
        <v>167807336.71961361</v>
      </c>
      <c r="AC211" s="41">
        <f t="shared" si="160"/>
        <v>174554347.91956198</v>
      </c>
      <c r="AD211" s="41">
        <f t="shared" si="160"/>
        <v>174642252.48575875</v>
      </c>
      <c r="AE211" s="41">
        <f t="shared" si="160"/>
        <v>188688803.58965015</v>
      </c>
      <c r="AF211" s="41">
        <f t="shared" si="160"/>
        <v>183580119.99619186</v>
      </c>
      <c r="AG211" s="41">
        <f t="shared" si="160"/>
        <v>139375979.32131356</v>
      </c>
      <c r="AH211" s="41">
        <f t="shared" si="160"/>
        <v>159028895.76560292</v>
      </c>
      <c r="AI211" s="41">
        <f t="shared" si="160"/>
        <v>209084287.75167251</v>
      </c>
      <c r="AJ211" s="41">
        <f t="shared" si="160"/>
        <v>218594802.39420682</v>
      </c>
      <c r="AK211" s="41">
        <f t="shared" si="160"/>
        <v>252999411.2093381</v>
      </c>
      <c r="AL211" s="41">
        <f t="shared" si="160"/>
        <v>222016648.27472091</v>
      </c>
      <c r="AM211" s="41">
        <f t="shared" si="160"/>
        <v>209481841.57260922</v>
      </c>
      <c r="AN211" s="41">
        <f t="shared" si="160"/>
        <v>239973980.18285999</v>
      </c>
      <c r="AO211" s="41">
        <f t="shared" si="160"/>
        <v>235400070.87507883</v>
      </c>
      <c r="AP211" s="41">
        <f t="shared" si="160"/>
        <v>240777320.10095528</v>
      </c>
      <c r="AQ211" s="41">
        <f t="shared" si="160"/>
        <v>226726429.66375583</v>
      </c>
      <c r="AR211" s="41">
        <f t="shared" si="160"/>
        <v>206608540.37346491</v>
      </c>
      <c r="AS211" s="41">
        <f t="shared" si="160"/>
        <v>163484422.20276999</v>
      </c>
      <c r="AT211" s="41">
        <f t="shared" si="160"/>
        <v>188917316.81009197</v>
      </c>
      <c r="AU211" s="41">
        <f t="shared" si="160"/>
        <v>225840801.2880336</v>
      </c>
      <c r="AV211" s="41">
        <f t="shared" si="160"/>
        <v>231598631.06964281</v>
      </c>
      <c r="AW211" s="41">
        <f t="shared" si="160"/>
        <v>255525271.79439864</v>
      </c>
      <c r="AX211" s="41">
        <f t="shared" si="160"/>
        <v>239474714.09349138</v>
      </c>
      <c r="AY211" s="41">
        <f t="shared" si="160"/>
        <v>234488596.21133733</v>
      </c>
      <c r="AZ211" s="41">
        <f t="shared" si="160"/>
        <v>271522030.35538626</v>
      </c>
      <c r="BA211" s="41">
        <f t="shared" si="160"/>
        <v>266693852.81543246</v>
      </c>
      <c r="BB211" s="41">
        <f t="shared" si="160"/>
        <v>272800462.8139993</v>
      </c>
      <c r="BC211" s="41">
        <f t="shared" si="160"/>
        <v>256881043.53524208</v>
      </c>
      <c r="BD211" s="41">
        <f t="shared" si="160"/>
        <v>234087476.24016291</v>
      </c>
      <c r="BE211" s="41">
        <f t="shared" si="160"/>
        <v>185227850.3557364</v>
      </c>
      <c r="BF211" s="41">
        <f t="shared" si="160"/>
        <v>214043319.94583425</v>
      </c>
      <c r="BG211" s="41">
        <f t="shared" si="160"/>
        <v>255877627.85934216</v>
      </c>
      <c r="BH211" s="41">
        <f t="shared" si="160"/>
        <v>262401249.00190538</v>
      </c>
      <c r="BI211" s="41">
        <f t="shared" si="160"/>
        <v>289510132.94305366</v>
      </c>
    </row>
    <row r="213" spans="4:61" s="8" customFormat="1" x14ac:dyDescent="0.35">
      <c r="E213" s="28" t="str">
        <f>"Volumes-"&amp;Paramétrage_général!I26&amp;"-Projection"</f>
        <v>Volumes-Engagement-Projection</v>
      </c>
      <c r="F213" s="28"/>
      <c r="G213" s="28"/>
      <c r="H213" s="28"/>
      <c r="I213" s="28"/>
      <c r="J213" s="28" t="s">
        <v>50</v>
      </c>
      <c r="K213" s="28"/>
      <c r="L213" s="28"/>
      <c r="M213" s="28"/>
      <c r="N213" s="88">
        <f>(1-N$204)*N205+N$204*N209</f>
        <v>0</v>
      </c>
      <c r="O213" s="88">
        <f t="shared" ref="O213:BI213" si="161">(1-O$204)*O205+O$204*O209</f>
        <v>0</v>
      </c>
      <c r="P213" s="88">
        <f t="shared" si="161"/>
        <v>0</v>
      </c>
      <c r="Q213" s="88">
        <f t="shared" si="161"/>
        <v>726</v>
      </c>
      <c r="R213" s="88">
        <f t="shared" si="161"/>
        <v>4807</v>
      </c>
      <c r="S213" s="88">
        <f t="shared" si="161"/>
        <v>7112</v>
      </c>
      <c r="T213" s="88">
        <f t="shared" si="161"/>
        <v>17956</v>
      </c>
      <c r="U213" s="88">
        <f t="shared" si="161"/>
        <v>27791</v>
      </c>
      <c r="V213" s="88">
        <f t="shared" si="161"/>
        <v>13787</v>
      </c>
      <c r="W213" s="88">
        <f t="shared" si="161"/>
        <v>14792</v>
      </c>
      <c r="X213" s="88">
        <f t="shared" si="161"/>
        <v>20452</v>
      </c>
      <c r="Y213" s="88">
        <f t="shared" si="161"/>
        <v>31303</v>
      </c>
      <c r="Z213" s="88">
        <f t="shared" si="161"/>
        <v>33518</v>
      </c>
      <c r="AA213" s="88">
        <f t="shared" si="161"/>
        <v>39754</v>
      </c>
      <c r="AB213" s="88">
        <f t="shared" si="161"/>
        <v>45141</v>
      </c>
      <c r="AC213" s="88">
        <f t="shared" si="161"/>
        <v>57254</v>
      </c>
      <c r="AD213" s="88">
        <f t="shared" si="161"/>
        <v>55077</v>
      </c>
      <c r="AE213" s="88">
        <f t="shared" si="161"/>
        <v>71050</v>
      </c>
      <c r="AF213" s="88">
        <f t="shared" si="161"/>
        <v>60529</v>
      </c>
      <c r="AG213" s="88">
        <f t="shared" si="161"/>
        <v>51721</v>
      </c>
      <c r="AH213" s="88">
        <f t="shared" si="161"/>
        <v>51153</v>
      </c>
      <c r="AI213" s="88">
        <f t="shared" si="161"/>
        <v>63159</v>
      </c>
      <c r="AJ213" s="88">
        <f t="shared" si="161"/>
        <v>62431</v>
      </c>
      <c r="AK213" s="88">
        <f t="shared" si="161"/>
        <v>70804</v>
      </c>
      <c r="AL213" s="88">
        <f t="shared" si="161"/>
        <v>65371.735654758428</v>
      </c>
      <c r="AM213" s="88">
        <f t="shared" si="161"/>
        <v>63873.376658526257</v>
      </c>
      <c r="AN213" s="88">
        <f t="shared" si="161"/>
        <v>73873.274065592719</v>
      </c>
      <c r="AO213" s="88">
        <f t="shared" si="161"/>
        <v>72547.17482812464</v>
      </c>
      <c r="AP213" s="88">
        <f t="shared" si="161"/>
        <v>74207.759944055273</v>
      </c>
      <c r="AQ213" s="88">
        <f t="shared" si="161"/>
        <v>69877.316848867995</v>
      </c>
      <c r="AR213" s="88">
        <f t="shared" si="161"/>
        <v>63676.963121060908</v>
      </c>
      <c r="AS213" s="88">
        <f t="shared" si="161"/>
        <v>50386.06586527796</v>
      </c>
      <c r="AT213" s="88">
        <f t="shared" si="161"/>
        <v>58224.509954096939</v>
      </c>
      <c r="AU213" s="88">
        <f t="shared" si="161"/>
        <v>69604.36557467503</v>
      </c>
      <c r="AV213" s="88">
        <f t="shared" si="161"/>
        <v>71378.934592984268</v>
      </c>
      <c r="AW213" s="88">
        <f t="shared" si="161"/>
        <v>78753.149697082248</v>
      </c>
      <c r="AX213" s="88">
        <f t="shared" si="161"/>
        <v>72486.86571658848</v>
      </c>
      <c r="AY213" s="88">
        <f t="shared" si="161"/>
        <v>70348.127966319968</v>
      </c>
      <c r="AZ213" s="88">
        <f t="shared" si="161"/>
        <v>81269.01370344765</v>
      </c>
      <c r="BA213" s="88">
        <f t="shared" si="161"/>
        <v>79802.169587532859</v>
      </c>
      <c r="BB213" s="88">
        <f t="shared" si="161"/>
        <v>81628.540237268462</v>
      </c>
      <c r="BC213" s="88">
        <f t="shared" si="161"/>
        <v>76865.048555801855</v>
      </c>
      <c r="BD213" s="88">
        <f t="shared" si="161"/>
        <v>70044.659433217879</v>
      </c>
      <c r="BE213" s="88">
        <f t="shared" si="161"/>
        <v>55424.672451805804</v>
      </c>
      <c r="BF213" s="88">
        <f t="shared" si="161"/>
        <v>64046.96094950664</v>
      </c>
      <c r="BG213" s="88">
        <f t="shared" si="161"/>
        <v>76564.802132142533</v>
      </c>
      <c r="BH213" s="88">
        <f t="shared" si="161"/>
        <v>78516.828052282712</v>
      </c>
      <c r="BI213" s="88">
        <f t="shared" si="161"/>
        <v>86628.464666790489</v>
      </c>
    </row>
    <row r="214" spans="4:61" s="8" customFormat="1" x14ac:dyDescent="0.35">
      <c r="E214" s="27" t="str">
        <f>"Volumes-"&amp;Paramétrage_général!I27&amp;"-Projection"</f>
        <v>Volumes-Rejet de l'engagement-Projection</v>
      </c>
      <c r="F214" s="27"/>
      <c r="G214" s="27"/>
      <c r="H214" s="27"/>
      <c r="I214" s="27"/>
      <c r="J214" s="27" t="s">
        <v>50</v>
      </c>
      <c r="K214" s="27"/>
      <c r="L214" s="27"/>
      <c r="M214" s="27"/>
      <c r="N214" s="89">
        <f t="shared" ref="N214:BI214" si="162">(1-N$204)*N206+N$204*N210</f>
        <v>0</v>
      </c>
      <c r="O214" s="89">
        <f t="shared" si="162"/>
        <v>0</v>
      </c>
      <c r="P214" s="89">
        <f t="shared" si="162"/>
        <v>0</v>
      </c>
      <c r="Q214" s="89">
        <f t="shared" si="162"/>
        <v>0</v>
      </c>
      <c r="R214" s="89">
        <f t="shared" si="162"/>
        <v>0</v>
      </c>
      <c r="S214" s="89">
        <f t="shared" si="162"/>
        <v>38</v>
      </c>
      <c r="T214" s="89">
        <f t="shared" si="162"/>
        <v>259</v>
      </c>
      <c r="U214" s="89">
        <f t="shared" si="162"/>
        <v>357</v>
      </c>
      <c r="V214" s="89">
        <f t="shared" si="162"/>
        <v>1196</v>
      </c>
      <c r="W214" s="89">
        <f t="shared" si="162"/>
        <v>4629</v>
      </c>
      <c r="X214" s="89">
        <f t="shared" si="162"/>
        <v>2287</v>
      </c>
      <c r="Y214" s="89">
        <f t="shared" si="162"/>
        <v>2766</v>
      </c>
      <c r="Z214" s="89">
        <f t="shared" si="162"/>
        <v>3246</v>
      </c>
      <c r="AA214" s="89">
        <f t="shared" si="162"/>
        <v>4936</v>
      </c>
      <c r="AB214" s="89">
        <f t="shared" si="162"/>
        <v>7071</v>
      </c>
      <c r="AC214" s="89">
        <f t="shared" si="162"/>
        <v>7763</v>
      </c>
      <c r="AD214" s="89">
        <f t="shared" si="162"/>
        <v>5182</v>
      </c>
      <c r="AE214" s="89">
        <f t="shared" si="162"/>
        <v>6280</v>
      </c>
      <c r="AF214" s="89">
        <f t="shared" si="162"/>
        <v>5842</v>
      </c>
      <c r="AG214" s="89">
        <f t="shared" si="162"/>
        <v>6114</v>
      </c>
      <c r="AH214" s="89">
        <f t="shared" si="162"/>
        <v>5310</v>
      </c>
      <c r="AI214" s="89">
        <f t="shared" si="162"/>
        <v>7488</v>
      </c>
      <c r="AJ214" s="89">
        <f t="shared" si="162"/>
        <v>7460</v>
      </c>
      <c r="AK214" s="89">
        <f t="shared" si="162"/>
        <v>7494</v>
      </c>
      <c r="AL214" s="89">
        <f t="shared" si="162"/>
        <v>7263.5261838620472</v>
      </c>
      <c r="AM214" s="89">
        <f t="shared" si="162"/>
        <v>7097.041850947362</v>
      </c>
      <c r="AN214" s="89">
        <f t="shared" si="162"/>
        <v>8208.1415628436353</v>
      </c>
      <c r="AO214" s="89">
        <f t="shared" si="162"/>
        <v>8060.7972031249592</v>
      </c>
      <c r="AP214" s="89">
        <f t="shared" si="162"/>
        <v>8245.3066604505857</v>
      </c>
      <c r="AQ214" s="89">
        <f t="shared" si="162"/>
        <v>7764.1463165408877</v>
      </c>
      <c r="AR214" s="89">
        <f t="shared" si="162"/>
        <v>7075.2181245623233</v>
      </c>
      <c r="AS214" s="89">
        <f t="shared" si="162"/>
        <v>5598.4517628086624</v>
      </c>
      <c r="AT214" s="89">
        <f t="shared" si="162"/>
        <v>6469.3899948996595</v>
      </c>
      <c r="AU214" s="89">
        <f t="shared" si="162"/>
        <v>7733.8183971861145</v>
      </c>
      <c r="AV214" s="89">
        <f t="shared" si="162"/>
        <v>7930.9927325538074</v>
      </c>
      <c r="AW214" s="89">
        <f t="shared" si="162"/>
        <v>8750.3499663424718</v>
      </c>
      <c r="AX214" s="89">
        <f t="shared" si="162"/>
        <v>8054.0961907320525</v>
      </c>
      <c r="AY214" s="89">
        <f t="shared" si="162"/>
        <v>7816.4586629244413</v>
      </c>
      <c r="AZ214" s="89">
        <f t="shared" si="162"/>
        <v>9029.8904114941834</v>
      </c>
      <c r="BA214" s="89">
        <f t="shared" si="162"/>
        <v>8866.9077319480966</v>
      </c>
      <c r="BB214" s="89">
        <f t="shared" si="162"/>
        <v>9069.8378041409396</v>
      </c>
      <c r="BC214" s="89">
        <f t="shared" si="162"/>
        <v>8540.5609506446508</v>
      </c>
      <c r="BD214" s="89">
        <f t="shared" si="162"/>
        <v>7782.7399370242092</v>
      </c>
      <c r="BE214" s="89">
        <f t="shared" si="162"/>
        <v>6158.2969390895341</v>
      </c>
      <c r="BF214" s="89">
        <f t="shared" si="162"/>
        <v>7116.328994389627</v>
      </c>
      <c r="BG214" s="89">
        <f t="shared" si="162"/>
        <v>8507.2002369047259</v>
      </c>
      <c r="BH214" s="89">
        <f t="shared" si="162"/>
        <v>8724.0920058091906</v>
      </c>
      <c r="BI214" s="89">
        <f t="shared" si="162"/>
        <v>9625.384962976721</v>
      </c>
    </row>
    <row r="215" spans="4:61" s="8" customFormat="1" x14ac:dyDescent="0.35">
      <c r="E215" s="18" t="str">
        <f>"Montant-"&amp;Paramétrage_général!I$26&amp;"-Projection"</f>
        <v>Montant-Engagement-Projection</v>
      </c>
      <c r="F215" s="18"/>
      <c r="G215" s="18"/>
      <c r="H215" s="18"/>
      <c r="I215" s="18"/>
      <c r="J215" s="18" t="s">
        <v>51</v>
      </c>
      <c r="K215" s="18"/>
      <c r="L215" s="18"/>
      <c r="M215" s="18"/>
      <c r="N215" s="90">
        <f t="shared" ref="N215:BI215" si="163">(1-N$204)*N207+N$204*N211</f>
        <v>0</v>
      </c>
      <c r="O215" s="90">
        <f t="shared" si="163"/>
        <v>0</v>
      </c>
      <c r="P215" s="90">
        <f t="shared" si="163"/>
        <v>0</v>
      </c>
      <c r="Q215" s="90">
        <f t="shared" si="163"/>
        <v>1695772.18</v>
      </c>
      <c r="R215" s="90">
        <f t="shared" si="163"/>
        <v>10857056.4</v>
      </c>
      <c r="S215" s="90">
        <f t="shared" si="163"/>
        <v>20903722.16</v>
      </c>
      <c r="T215" s="90">
        <f t="shared" si="163"/>
        <v>86869565.299999997</v>
      </c>
      <c r="U215" s="90">
        <f t="shared" si="163"/>
        <v>172653794.88999999</v>
      </c>
      <c r="V215" s="90">
        <f t="shared" si="163"/>
        <v>56745854.399999999</v>
      </c>
      <c r="W215" s="90">
        <f t="shared" si="163"/>
        <v>49226405.049999997</v>
      </c>
      <c r="X215" s="90">
        <f t="shared" si="163"/>
        <v>62967540.109999999</v>
      </c>
      <c r="Y215" s="90">
        <f t="shared" si="163"/>
        <v>99522693.840000004</v>
      </c>
      <c r="Z215" s="90">
        <f t="shared" si="163"/>
        <v>98951762.090000004</v>
      </c>
      <c r="AA215" s="90">
        <f t="shared" si="163"/>
        <v>91501313.090000004</v>
      </c>
      <c r="AB215" s="90">
        <f t="shared" si="163"/>
        <v>125765957.95</v>
      </c>
      <c r="AC215" s="90">
        <f t="shared" si="163"/>
        <v>148151497.30000001</v>
      </c>
      <c r="AD215" s="90">
        <f t="shared" si="163"/>
        <v>163744048.12</v>
      </c>
      <c r="AE215" s="90">
        <f t="shared" si="163"/>
        <v>220443813.47999999</v>
      </c>
      <c r="AF215" s="90">
        <f t="shared" si="163"/>
        <v>217255838.49000001</v>
      </c>
      <c r="AG215" s="90">
        <f t="shared" si="163"/>
        <v>184361005.40000001</v>
      </c>
      <c r="AH215" s="90">
        <f t="shared" si="163"/>
        <v>171496786</v>
      </c>
      <c r="AI215" s="90">
        <f t="shared" si="163"/>
        <v>197482118.59999999</v>
      </c>
      <c r="AJ215" s="90">
        <f t="shared" si="163"/>
        <v>216834248.84999999</v>
      </c>
      <c r="AK215" s="90">
        <f t="shared" si="163"/>
        <v>258729610.41999999</v>
      </c>
      <c r="AL215" s="90">
        <f t="shared" si="163"/>
        <v>222016648.27472091</v>
      </c>
      <c r="AM215" s="90">
        <f t="shared" si="163"/>
        <v>209481841.57260922</v>
      </c>
      <c r="AN215" s="90">
        <f t="shared" si="163"/>
        <v>239973980.18285999</v>
      </c>
      <c r="AO215" s="90">
        <f t="shared" si="163"/>
        <v>235400070.87507883</v>
      </c>
      <c r="AP215" s="90">
        <f t="shared" si="163"/>
        <v>240777320.10095528</v>
      </c>
      <c r="AQ215" s="90">
        <f t="shared" si="163"/>
        <v>226726429.66375583</v>
      </c>
      <c r="AR215" s="90">
        <f t="shared" si="163"/>
        <v>206608540.37346491</v>
      </c>
      <c r="AS215" s="90">
        <f t="shared" si="163"/>
        <v>163484422.20276999</v>
      </c>
      <c r="AT215" s="90">
        <f t="shared" si="163"/>
        <v>188917316.81009197</v>
      </c>
      <c r="AU215" s="90">
        <f t="shared" si="163"/>
        <v>225840801.2880336</v>
      </c>
      <c r="AV215" s="90">
        <f t="shared" si="163"/>
        <v>231598631.06964281</v>
      </c>
      <c r="AW215" s="90">
        <f t="shared" si="163"/>
        <v>255525271.79439864</v>
      </c>
      <c r="AX215" s="90">
        <f t="shared" si="163"/>
        <v>239474714.09349138</v>
      </c>
      <c r="AY215" s="90">
        <f t="shared" si="163"/>
        <v>234488596.21133733</v>
      </c>
      <c r="AZ215" s="90">
        <f t="shared" si="163"/>
        <v>271522030.35538626</v>
      </c>
      <c r="BA215" s="90">
        <f t="shared" si="163"/>
        <v>266693852.81543246</v>
      </c>
      <c r="BB215" s="90">
        <f t="shared" si="163"/>
        <v>272800462.8139993</v>
      </c>
      <c r="BC215" s="90">
        <f t="shared" si="163"/>
        <v>256881043.53524208</v>
      </c>
      <c r="BD215" s="90">
        <f t="shared" si="163"/>
        <v>234087476.24016291</v>
      </c>
      <c r="BE215" s="90">
        <f t="shared" si="163"/>
        <v>185227850.3557364</v>
      </c>
      <c r="BF215" s="90">
        <f t="shared" si="163"/>
        <v>214043319.94583425</v>
      </c>
      <c r="BG215" s="90">
        <f t="shared" si="163"/>
        <v>255877627.85934216</v>
      </c>
      <c r="BH215" s="90">
        <f t="shared" si="163"/>
        <v>262401249.00190538</v>
      </c>
      <c r="BI215" s="90">
        <f t="shared" si="163"/>
        <v>289510132.94305366</v>
      </c>
    </row>
    <row r="217" spans="4:61" x14ac:dyDescent="0.35">
      <c r="D217" s="1" t="s">
        <v>25</v>
      </c>
      <c r="AT217" s="16"/>
    </row>
    <row r="218" spans="4:61" x14ac:dyDescent="0.35"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</row>
    <row r="219" spans="4:61" x14ac:dyDescent="0.35"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</row>
    <row r="220" spans="4:61" x14ac:dyDescent="0.35">
      <c r="AT220" s="57"/>
    </row>
    <row r="221" spans="4:61" x14ac:dyDescent="0.35">
      <c r="AT221" s="13"/>
    </row>
    <row r="222" spans="4:61" x14ac:dyDescent="0.35">
      <c r="AT222" s="57"/>
    </row>
    <row r="223" spans="4:61" x14ac:dyDescent="0.35"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</row>
    <row r="224" spans="4:61" x14ac:dyDescent="0.35"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</row>
    <row r="225" spans="46:46" x14ac:dyDescent="0.35">
      <c r="AT225" s="16"/>
    </row>
    <row r="226" spans="46:46" x14ac:dyDescent="0.35">
      <c r="AT226" s="13"/>
    </row>
  </sheetData>
  <sheetProtection algorithmName="SHA-512" hashValue="dxcbC6ADJ3mPmfAiiQBoL4sLpZ7+w7m9v85c2KMD1jyW5IFGp0MCgCNXlmLTWEhCKcXMudCffi8ykK8I8iSHRg==" saltValue="eW7sfgC/zP0GJgHXD7UoMg==" spinCount="100000" sheet="1" objects="1" scenarios="1"/>
  <conditionalFormatting sqref="G2">
    <cfRule type="cellIs" dxfId="43" priority="4" operator="greaterThan">
      <formula>0</formula>
    </cfRule>
    <cfRule type="cellIs" dxfId="42" priority="5" operator="equal">
      <formula>0</formula>
    </cfRule>
  </conditionalFormatting>
  <conditionalFormatting sqref="G1">
    <cfRule type="cellIs" dxfId="41" priority="2" operator="greaterThan">
      <formula>0</formula>
    </cfRule>
    <cfRule type="cellIs" dxfId="40" priority="3" operator="equal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90CC45B8-751D-41FA-B513-B26D0A2E0022}">
            <xm:f>Paramétrage_général!$I$20</xm:f>
            <x14:dxf>
              <font>
                <b/>
                <i val="0"/>
                <color theme="0"/>
              </font>
              <fill>
                <patternFill>
                  <bgColor rgb="FF002060"/>
                </patternFill>
              </fill>
            </x14:dxf>
          </x14:cfRule>
          <xm:sqref>N4:BI4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BFBFBF"/>
  </sheetPr>
  <dimension ref="B1:BJ218"/>
  <sheetViews>
    <sheetView zoomScale="70" zoomScaleNormal="70" workbookViewId="0">
      <pane xSplit="10" ySplit="6" topLeftCell="M7" activePane="bottomRight" state="frozen"/>
      <selection activeCell="I37" sqref="I37"/>
      <selection pane="topRight" activeCell="I37" sqref="I37"/>
      <selection pane="bottomLeft" activeCell="I37" sqref="I37"/>
      <selection pane="bottomRight" activeCell="N4" sqref="N4:BI4"/>
    </sheetView>
  </sheetViews>
  <sheetFormatPr baseColWidth="10" defaultRowHeight="14.5" x14ac:dyDescent="0.35"/>
  <cols>
    <col min="1" max="4" width="2.6328125" customWidth="1"/>
    <col min="14" max="61" width="13.1796875" bestFit="1" customWidth="1"/>
  </cols>
  <sheetData>
    <row r="1" spans="2:61" s="6" customFormat="1" x14ac:dyDescent="0.35">
      <c r="B1" s="9" t="str">
        <f ca="1">RIGHT(CELL("nomfichier",A1),LEN(CELL("nomfichier",A1))-FIND("]",CELL("nomfichier",A1),1))</f>
        <v>Avances</v>
      </c>
      <c r="F1" s="54" t="str">
        <f>Controles!F1</f>
        <v>Erreurs</v>
      </c>
      <c r="G1">
        <f>Controles!G1</f>
        <v>0</v>
      </c>
    </row>
    <row r="2" spans="2:61" x14ac:dyDescent="0.35">
      <c r="F2" s="55" t="str">
        <f>Controles!F2</f>
        <v>Alertes</v>
      </c>
      <c r="G2">
        <f>Controles!G2</f>
        <v>0</v>
      </c>
    </row>
    <row r="3" spans="2:61" x14ac:dyDescent="0.35">
      <c r="N3" s="3">
        <f>Time!N20</f>
        <v>43861</v>
      </c>
      <c r="O3" s="3">
        <f>Time!O20</f>
        <v>43890</v>
      </c>
      <c r="P3" s="3">
        <f>Time!P20</f>
        <v>43921</v>
      </c>
      <c r="Q3" s="3">
        <f>Time!Q20</f>
        <v>43951</v>
      </c>
      <c r="R3" s="3">
        <f>Time!R20</f>
        <v>43982</v>
      </c>
      <c r="S3" s="3">
        <f>Time!S20</f>
        <v>44012</v>
      </c>
      <c r="T3" s="3">
        <f>Time!T20</f>
        <v>44043</v>
      </c>
      <c r="U3" s="3">
        <f>Time!U20</f>
        <v>44074</v>
      </c>
      <c r="V3" s="3">
        <f>Time!V20</f>
        <v>44104</v>
      </c>
      <c r="W3" s="3">
        <f>Time!W20</f>
        <v>44135</v>
      </c>
      <c r="X3" s="3">
        <f>Time!X20</f>
        <v>44165</v>
      </c>
      <c r="Y3" s="3">
        <f>Time!Y20</f>
        <v>44196</v>
      </c>
      <c r="Z3" s="3">
        <f>Time!Z20</f>
        <v>44227</v>
      </c>
      <c r="AA3" s="3">
        <f>Time!AA20</f>
        <v>44255</v>
      </c>
      <c r="AB3" s="3">
        <f>Time!AB20</f>
        <v>44286</v>
      </c>
      <c r="AC3" s="3">
        <f>Time!AC20</f>
        <v>44316</v>
      </c>
      <c r="AD3" s="3">
        <f>Time!AD20</f>
        <v>44347</v>
      </c>
      <c r="AE3" s="3">
        <f>Time!AE20</f>
        <v>44377</v>
      </c>
      <c r="AF3" s="3">
        <f>Time!AF20</f>
        <v>44408</v>
      </c>
      <c r="AG3" s="3">
        <f>Time!AG20</f>
        <v>44439</v>
      </c>
      <c r="AH3" s="3">
        <f>Time!AH20</f>
        <v>44469</v>
      </c>
      <c r="AI3" s="3">
        <f>Time!AI20</f>
        <v>44500</v>
      </c>
      <c r="AJ3" s="3">
        <f>Time!AJ20</f>
        <v>44530</v>
      </c>
      <c r="AK3" s="3">
        <f>Time!AK20</f>
        <v>44561</v>
      </c>
      <c r="AL3" s="3">
        <f>Time!AL20</f>
        <v>44592</v>
      </c>
      <c r="AM3" s="3">
        <f>Time!AM20</f>
        <v>44620</v>
      </c>
      <c r="AN3" s="3">
        <f>Time!AN20</f>
        <v>44651</v>
      </c>
      <c r="AO3" s="3">
        <f>Time!AO20</f>
        <v>44681</v>
      </c>
      <c r="AP3" s="3">
        <f>Time!AP20</f>
        <v>44712</v>
      </c>
      <c r="AQ3" s="3">
        <f>Time!AQ20</f>
        <v>44742</v>
      </c>
      <c r="AR3" s="3">
        <f>Time!AR20</f>
        <v>44773</v>
      </c>
      <c r="AS3" s="3">
        <f>Time!AS20</f>
        <v>44804</v>
      </c>
      <c r="AT3" s="3">
        <f>Time!AT20</f>
        <v>44834</v>
      </c>
      <c r="AU3" s="3">
        <f>Time!AU20</f>
        <v>44865</v>
      </c>
      <c r="AV3" s="3">
        <f>Time!AV20</f>
        <v>44895</v>
      </c>
      <c r="AW3" s="3">
        <f>Time!AW20</f>
        <v>44926</v>
      </c>
      <c r="AX3" s="3">
        <f>Time!AX20</f>
        <v>44957</v>
      </c>
      <c r="AY3" s="3">
        <f>Time!AY20</f>
        <v>44985</v>
      </c>
      <c r="AZ3" s="3">
        <f>Time!AZ20</f>
        <v>45016</v>
      </c>
      <c r="BA3" s="3">
        <f>Time!BA20</f>
        <v>45046</v>
      </c>
      <c r="BB3" s="3">
        <f>Time!BB20</f>
        <v>45077</v>
      </c>
      <c r="BC3" s="3">
        <f>Time!BC20</f>
        <v>45107</v>
      </c>
      <c r="BD3" s="3">
        <f>Time!BD20</f>
        <v>45138</v>
      </c>
      <c r="BE3" s="3">
        <f>Time!BE20</f>
        <v>45169</v>
      </c>
      <c r="BF3" s="3">
        <f>Time!BF20</f>
        <v>45199</v>
      </c>
      <c r="BG3" s="3">
        <f>Time!BG20</f>
        <v>45230</v>
      </c>
      <c r="BH3" s="3">
        <f>Time!BH20</f>
        <v>45260</v>
      </c>
      <c r="BI3" s="3">
        <f>Time!BI20</f>
        <v>45291</v>
      </c>
    </row>
    <row r="4" spans="2:61" x14ac:dyDescent="0.35">
      <c r="N4" t="str">
        <f>Time!N41</f>
        <v>Exécution</v>
      </c>
      <c r="O4" t="str">
        <f>Time!O41</f>
        <v>Exécution</v>
      </c>
      <c r="P4" t="str">
        <f>Time!P41</f>
        <v>Exécution</v>
      </c>
      <c r="Q4" t="str">
        <f>Time!Q41</f>
        <v>Exécution</v>
      </c>
      <c r="R4" t="str">
        <f>Time!R41</f>
        <v>Exécution</v>
      </c>
      <c r="S4" s="11" t="str">
        <f>Time!S41</f>
        <v>Exécution</v>
      </c>
      <c r="T4" s="11" t="str">
        <f>Time!T41</f>
        <v>Exécution</v>
      </c>
      <c r="U4" s="11" t="str">
        <f>Time!U41</f>
        <v>Exécution</v>
      </c>
      <c r="V4" s="11" t="str">
        <f>Time!V41</f>
        <v>Exécution</v>
      </c>
      <c r="W4" s="11" t="str">
        <f>Time!W41</f>
        <v>Exécution</v>
      </c>
      <c r="X4" s="11" t="str">
        <f>Time!X41</f>
        <v>Exécution</v>
      </c>
      <c r="Y4" s="11" t="str">
        <f>Time!Y41</f>
        <v>Exécution</v>
      </c>
      <c r="Z4" s="11" t="str">
        <f>Time!Z41</f>
        <v>Exécution</v>
      </c>
      <c r="AA4" s="11" t="str">
        <f>Time!AA41</f>
        <v>Exécution</v>
      </c>
      <c r="AB4" s="11" t="str">
        <f>Time!AB41</f>
        <v>Exécution</v>
      </c>
      <c r="AC4" s="11" t="str">
        <f>Time!AC41</f>
        <v>Exécution</v>
      </c>
      <c r="AD4" s="11" t="str">
        <f>Time!AD41</f>
        <v>Exécution</v>
      </c>
      <c r="AE4" s="11" t="str">
        <f>Time!AE41</f>
        <v>Exécution</v>
      </c>
      <c r="AF4" s="11" t="str">
        <f>Time!AF41</f>
        <v>Exécution</v>
      </c>
      <c r="AG4" s="11" t="str">
        <f>Time!AG41</f>
        <v>Exécution</v>
      </c>
      <c r="AH4" s="11" t="str">
        <f>Time!AH41</f>
        <v>Exécution</v>
      </c>
      <c r="AI4" s="11" t="str">
        <f>Time!AI41</f>
        <v>Exécution</v>
      </c>
      <c r="AJ4" s="11" t="str">
        <f>Time!AJ41</f>
        <v>Exécution</v>
      </c>
      <c r="AK4" s="11" t="str">
        <f>Time!AK41</f>
        <v>Exécution</v>
      </c>
      <c r="AL4" s="11" t="str">
        <f>Time!AL41</f>
        <v>Trajectoire</v>
      </c>
      <c r="AM4" s="11" t="str">
        <f>Time!AM41</f>
        <v>Trajectoire</v>
      </c>
      <c r="AN4" s="11" t="str">
        <f>Time!AN41</f>
        <v>Trajectoire</v>
      </c>
      <c r="AO4" s="11" t="str">
        <f>Time!AO41</f>
        <v>Trajectoire</v>
      </c>
      <c r="AP4" s="11" t="str">
        <f>Time!AP41</f>
        <v>Trajectoire</v>
      </c>
      <c r="AQ4" s="11" t="str">
        <f>Time!AQ41</f>
        <v>Trajectoire</v>
      </c>
      <c r="AR4" s="11" t="str">
        <f>Time!AR41</f>
        <v>Trajectoire</v>
      </c>
      <c r="AS4" s="11" t="str">
        <f>Time!AS41</f>
        <v>Trajectoire</v>
      </c>
      <c r="AT4" s="11" t="str">
        <f>Time!AT41</f>
        <v>Trajectoire</v>
      </c>
      <c r="AU4" s="11" t="str">
        <f>Time!AU41</f>
        <v>Trajectoire</v>
      </c>
      <c r="AV4" s="11" t="str">
        <f>Time!AV41</f>
        <v>Trajectoire</v>
      </c>
      <c r="AW4" s="11" t="str">
        <f>Time!AW41</f>
        <v>Trajectoire</v>
      </c>
      <c r="AX4" s="11" t="str">
        <f>Time!AX41</f>
        <v>Trajectoire</v>
      </c>
      <c r="AY4" s="11" t="str">
        <f>Time!AY41</f>
        <v>Trajectoire</v>
      </c>
      <c r="AZ4" s="11" t="str">
        <f>Time!AZ41</f>
        <v>Trajectoire</v>
      </c>
      <c r="BA4" s="11" t="str">
        <f>Time!BA41</f>
        <v>Trajectoire</v>
      </c>
      <c r="BB4" s="11" t="str">
        <f>Time!BB41</f>
        <v>Trajectoire</v>
      </c>
      <c r="BC4" s="11" t="str">
        <f>Time!BC41</f>
        <v>Trajectoire</v>
      </c>
      <c r="BD4" s="11" t="str">
        <f>Time!BD41</f>
        <v>Trajectoire</v>
      </c>
      <c r="BE4" s="11" t="str">
        <f>Time!BE41</f>
        <v>Trajectoire</v>
      </c>
      <c r="BF4" s="11" t="str">
        <f>Time!BF41</f>
        <v>Trajectoire</v>
      </c>
      <c r="BG4" s="11" t="str">
        <f>Time!BG41</f>
        <v>Trajectoire</v>
      </c>
      <c r="BH4" s="11" t="str">
        <f>Time!BH41</f>
        <v>Trajectoire</v>
      </c>
      <c r="BI4" s="11" t="str">
        <f>Time!BI41</f>
        <v>Trajectoire</v>
      </c>
    </row>
    <row r="5" spans="2:61" x14ac:dyDescent="0.35">
      <c r="N5" s="3">
        <f>Time!N54</f>
        <v>44196</v>
      </c>
      <c r="O5" s="3">
        <f>Time!O54</f>
        <v>44196</v>
      </c>
      <c r="P5" s="3">
        <f>Time!P54</f>
        <v>44196</v>
      </c>
      <c r="Q5" s="3">
        <f>Time!Q54</f>
        <v>44196</v>
      </c>
      <c r="R5" s="3">
        <f>Time!R54</f>
        <v>44196</v>
      </c>
      <c r="S5" s="3">
        <f>Time!S54</f>
        <v>44196</v>
      </c>
      <c r="T5" s="3">
        <f>Time!T54</f>
        <v>44196</v>
      </c>
      <c r="U5" s="3">
        <f>Time!U54</f>
        <v>44196</v>
      </c>
      <c r="V5" s="3">
        <f>Time!V54</f>
        <v>44196</v>
      </c>
      <c r="W5" s="3">
        <f>Time!W54</f>
        <v>44196</v>
      </c>
      <c r="X5" s="3">
        <f>Time!X54</f>
        <v>44196</v>
      </c>
      <c r="Y5" s="3">
        <f>Time!Y54</f>
        <v>44196</v>
      </c>
      <c r="Z5" s="3">
        <f>Time!Z54</f>
        <v>44561</v>
      </c>
      <c r="AA5" s="3">
        <f>Time!AA54</f>
        <v>44561</v>
      </c>
      <c r="AB5" s="3">
        <f>Time!AB54</f>
        <v>44561</v>
      </c>
      <c r="AC5" s="3">
        <f>Time!AC54</f>
        <v>44561</v>
      </c>
      <c r="AD5" s="3">
        <f>Time!AD54</f>
        <v>44561</v>
      </c>
      <c r="AE5" s="3">
        <f>Time!AE54</f>
        <v>44561</v>
      </c>
      <c r="AF5" s="3">
        <f>Time!AF54</f>
        <v>44561</v>
      </c>
      <c r="AG5" s="3">
        <f>Time!AG54</f>
        <v>44561</v>
      </c>
      <c r="AH5" s="3">
        <f>Time!AH54</f>
        <v>44561</v>
      </c>
      <c r="AI5" s="3">
        <f>Time!AI54</f>
        <v>44561</v>
      </c>
      <c r="AJ5" s="3">
        <f>Time!AJ54</f>
        <v>44561</v>
      </c>
      <c r="AK5" s="3">
        <f>Time!AK54</f>
        <v>44561</v>
      </c>
      <c r="AL5" s="3">
        <f>Time!AL54</f>
        <v>44926</v>
      </c>
      <c r="AM5" s="3">
        <f>Time!AM54</f>
        <v>44926</v>
      </c>
      <c r="AN5" s="3">
        <f>Time!AN54</f>
        <v>44926</v>
      </c>
      <c r="AO5" s="3">
        <f>Time!AO54</f>
        <v>44926</v>
      </c>
      <c r="AP5" s="3">
        <f>Time!AP54</f>
        <v>44926</v>
      </c>
      <c r="AQ5" s="3">
        <f>Time!AQ54</f>
        <v>44926</v>
      </c>
      <c r="AR5" s="3">
        <f>Time!AR54</f>
        <v>44926</v>
      </c>
      <c r="AS5" s="3">
        <f>Time!AS54</f>
        <v>44926</v>
      </c>
      <c r="AT5" s="3">
        <f>Time!AT54</f>
        <v>44926</v>
      </c>
      <c r="AU5" s="3">
        <f>Time!AU54</f>
        <v>44926</v>
      </c>
      <c r="AV5" s="3">
        <f>Time!AV54</f>
        <v>44926</v>
      </c>
      <c r="AW5" s="3">
        <f>Time!AW54</f>
        <v>44926</v>
      </c>
      <c r="AX5" s="3">
        <f>Time!AX54</f>
        <v>45291</v>
      </c>
      <c r="AY5" s="3">
        <f>Time!AY54</f>
        <v>45291</v>
      </c>
      <c r="AZ5" s="3">
        <f>Time!AZ54</f>
        <v>45291</v>
      </c>
      <c r="BA5" s="3">
        <f>Time!BA54</f>
        <v>45291</v>
      </c>
      <c r="BB5" s="3">
        <f>Time!BB54</f>
        <v>45291</v>
      </c>
      <c r="BC5" s="3">
        <f>Time!BC54</f>
        <v>45291</v>
      </c>
      <c r="BD5" s="3">
        <f>Time!BD54</f>
        <v>45291</v>
      </c>
      <c r="BE5" s="3">
        <f>Time!BE54</f>
        <v>45291</v>
      </c>
      <c r="BF5" s="3">
        <f>Time!BF54</f>
        <v>45291</v>
      </c>
      <c r="BG5" s="3">
        <f>Time!BG54</f>
        <v>45291</v>
      </c>
      <c r="BH5" s="3">
        <f>Time!BH54</f>
        <v>45291</v>
      </c>
      <c r="BI5" s="3">
        <f>Time!BI54</f>
        <v>45291</v>
      </c>
    </row>
    <row r="6" spans="2:61" s="2" customFormat="1" x14ac:dyDescent="0.35">
      <c r="I6" s="2" t="s">
        <v>0</v>
      </c>
      <c r="J6" s="2" t="s">
        <v>1</v>
      </c>
      <c r="K6" s="2" t="s">
        <v>2</v>
      </c>
    </row>
    <row r="8" spans="2:61" x14ac:dyDescent="0.35">
      <c r="D8" s="1" t="s">
        <v>81</v>
      </c>
    </row>
    <row r="9" spans="2:61" s="4" customFormat="1" x14ac:dyDescent="0.35"/>
    <row r="10" spans="2:61" s="4" customFormat="1" x14ac:dyDescent="0.35">
      <c r="E10" s="4" t="str">
        <f>Time!E19</f>
        <v>Frise mensuelle-début de période</v>
      </c>
      <c r="I10" s="14"/>
      <c r="J10" s="4" t="str">
        <f>Time!J19</f>
        <v>date</v>
      </c>
      <c r="N10" s="5">
        <f>Time!N19</f>
        <v>43831</v>
      </c>
      <c r="O10" s="5">
        <f>Time!O19</f>
        <v>43862</v>
      </c>
      <c r="P10" s="5">
        <f>Time!P19</f>
        <v>43891</v>
      </c>
      <c r="Q10" s="5">
        <f>Time!Q19</f>
        <v>43922</v>
      </c>
      <c r="R10" s="5">
        <f>Time!R19</f>
        <v>43952</v>
      </c>
      <c r="S10" s="5">
        <f>Time!S19</f>
        <v>43983</v>
      </c>
      <c r="T10" s="5">
        <f>Time!T19</f>
        <v>44013</v>
      </c>
      <c r="U10" s="5">
        <f>Time!U19</f>
        <v>44044</v>
      </c>
      <c r="V10" s="5">
        <f>Time!V19</f>
        <v>44075</v>
      </c>
      <c r="W10" s="5">
        <f>Time!W19</f>
        <v>44105</v>
      </c>
      <c r="X10" s="5">
        <f>Time!X19</f>
        <v>44136</v>
      </c>
      <c r="Y10" s="5">
        <f>Time!Y19</f>
        <v>44166</v>
      </c>
      <c r="Z10" s="5">
        <f>Time!Z19</f>
        <v>44197</v>
      </c>
      <c r="AA10" s="5">
        <f>Time!AA19</f>
        <v>44228</v>
      </c>
      <c r="AB10" s="5">
        <f>Time!AB19</f>
        <v>44256</v>
      </c>
      <c r="AC10" s="5">
        <f>Time!AC19</f>
        <v>44287</v>
      </c>
      <c r="AD10" s="5">
        <f>Time!AD19</f>
        <v>44317</v>
      </c>
      <c r="AE10" s="5">
        <f>Time!AE19</f>
        <v>44348</v>
      </c>
      <c r="AF10" s="5">
        <f>Time!AF19</f>
        <v>44378</v>
      </c>
      <c r="AG10" s="5">
        <f>Time!AG19</f>
        <v>44409</v>
      </c>
      <c r="AH10" s="5">
        <f>Time!AH19</f>
        <v>44440</v>
      </c>
      <c r="AI10" s="5">
        <f>Time!AI19</f>
        <v>44470</v>
      </c>
      <c r="AJ10" s="5">
        <f>Time!AJ19</f>
        <v>44501</v>
      </c>
      <c r="AK10" s="5">
        <f>Time!AK19</f>
        <v>44531</v>
      </c>
      <c r="AL10" s="5">
        <f>Time!AL19</f>
        <v>44562</v>
      </c>
      <c r="AM10" s="5">
        <f>Time!AM19</f>
        <v>44593</v>
      </c>
      <c r="AN10" s="5">
        <f>Time!AN19</f>
        <v>44621</v>
      </c>
      <c r="AO10" s="5">
        <f>Time!AO19</f>
        <v>44652</v>
      </c>
      <c r="AP10" s="5">
        <f>Time!AP19</f>
        <v>44682</v>
      </c>
      <c r="AQ10" s="5">
        <f>Time!AQ19</f>
        <v>44713</v>
      </c>
      <c r="AR10" s="5">
        <f>Time!AR19</f>
        <v>44743</v>
      </c>
      <c r="AS10" s="5">
        <f>Time!AS19</f>
        <v>44774</v>
      </c>
      <c r="AT10" s="5">
        <f>Time!AT19</f>
        <v>44805</v>
      </c>
      <c r="AU10" s="5">
        <f>Time!AU19</f>
        <v>44835</v>
      </c>
      <c r="AV10" s="5">
        <f>Time!AV19</f>
        <v>44866</v>
      </c>
      <c r="AW10" s="5">
        <f>Time!AW19</f>
        <v>44896</v>
      </c>
      <c r="AX10" s="5">
        <f>Time!AX19</f>
        <v>44927</v>
      </c>
      <c r="AY10" s="5">
        <f>Time!AY19</f>
        <v>44958</v>
      </c>
      <c r="AZ10" s="5">
        <f>Time!AZ19</f>
        <v>44986</v>
      </c>
      <c r="BA10" s="5">
        <f>Time!BA19</f>
        <v>45017</v>
      </c>
      <c r="BB10" s="5">
        <f>Time!BB19</f>
        <v>45047</v>
      </c>
      <c r="BC10" s="5">
        <f>Time!BC19</f>
        <v>45078</v>
      </c>
      <c r="BD10" s="5">
        <f>Time!BD19</f>
        <v>45108</v>
      </c>
      <c r="BE10" s="5">
        <f>Time!BE19</f>
        <v>45139</v>
      </c>
      <c r="BF10" s="5">
        <f>Time!BF19</f>
        <v>45170</v>
      </c>
      <c r="BG10" s="5">
        <f>Time!BG19</f>
        <v>45200</v>
      </c>
      <c r="BH10" s="5">
        <f>Time!BH19</f>
        <v>45231</v>
      </c>
      <c r="BI10" s="5">
        <f>Time!BI19</f>
        <v>45261</v>
      </c>
    </row>
    <row r="11" spans="2:61" s="4" customFormat="1" x14ac:dyDescent="0.35">
      <c r="E11" s="4" t="str">
        <f>Time!E21</f>
        <v>N° de mois</v>
      </c>
      <c r="J11" s="4" t="str">
        <f>Time!J21</f>
        <v>N° mois</v>
      </c>
      <c r="N11" s="4">
        <f>Time!N21</f>
        <v>1</v>
      </c>
      <c r="O11" s="4">
        <f>Time!O21</f>
        <v>2</v>
      </c>
      <c r="P11" s="4">
        <f>Time!P21</f>
        <v>3</v>
      </c>
      <c r="Q11" s="4">
        <f>Time!Q21</f>
        <v>4</v>
      </c>
      <c r="R11" s="4">
        <f>Time!R21</f>
        <v>5</v>
      </c>
      <c r="S11" s="4">
        <f>Time!S21</f>
        <v>6</v>
      </c>
      <c r="T11" s="4">
        <f>Time!T21</f>
        <v>7</v>
      </c>
      <c r="U11" s="4">
        <f>Time!U21</f>
        <v>8</v>
      </c>
      <c r="V11" s="4">
        <f>Time!V21</f>
        <v>9</v>
      </c>
      <c r="W11" s="4">
        <f>Time!W21</f>
        <v>10</v>
      </c>
      <c r="X11" s="4">
        <f>Time!X21</f>
        <v>11</v>
      </c>
      <c r="Y11" s="4">
        <f>Time!Y21</f>
        <v>12</v>
      </c>
      <c r="Z11" s="4">
        <f>Time!Z21</f>
        <v>1</v>
      </c>
      <c r="AA11" s="4">
        <f>Time!AA21</f>
        <v>2</v>
      </c>
      <c r="AB11" s="4">
        <f>Time!AB21</f>
        <v>3</v>
      </c>
      <c r="AC11" s="4">
        <f>Time!AC21</f>
        <v>4</v>
      </c>
      <c r="AD11" s="4">
        <f>Time!AD21</f>
        <v>5</v>
      </c>
      <c r="AE11" s="4">
        <f>Time!AE21</f>
        <v>6</v>
      </c>
      <c r="AF11" s="4">
        <f>Time!AF21</f>
        <v>7</v>
      </c>
      <c r="AG11" s="4">
        <f>Time!AG21</f>
        <v>8</v>
      </c>
      <c r="AH11" s="4">
        <f>Time!AH21</f>
        <v>9</v>
      </c>
      <c r="AI11" s="4">
        <f>Time!AI21</f>
        <v>10</v>
      </c>
      <c r="AJ11" s="4">
        <f>Time!AJ21</f>
        <v>11</v>
      </c>
      <c r="AK11" s="4">
        <f>Time!AK21</f>
        <v>12</v>
      </c>
      <c r="AL11" s="4">
        <f>Time!AL21</f>
        <v>1</v>
      </c>
      <c r="AM11" s="4">
        <f>Time!AM21</f>
        <v>2</v>
      </c>
      <c r="AN11" s="4">
        <f>Time!AN21</f>
        <v>3</v>
      </c>
      <c r="AO11" s="4">
        <f>Time!AO21</f>
        <v>4</v>
      </c>
      <c r="AP11" s="4">
        <f>Time!AP21</f>
        <v>5</v>
      </c>
      <c r="AQ11" s="4">
        <f>Time!AQ21</f>
        <v>6</v>
      </c>
      <c r="AR11" s="4">
        <f>Time!AR21</f>
        <v>7</v>
      </c>
      <c r="AS11" s="4">
        <f>Time!AS21</f>
        <v>8</v>
      </c>
      <c r="AT11" s="4">
        <f>Time!AT21</f>
        <v>9</v>
      </c>
      <c r="AU11" s="4">
        <f>Time!AU21</f>
        <v>10</v>
      </c>
      <c r="AV11" s="4">
        <f>Time!AV21</f>
        <v>11</v>
      </c>
      <c r="AW11" s="4">
        <f>Time!AW21</f>
        <v>12</v>
      </c>
      <c r="AX11" s="4">
        <f>Time!AX21</f>
        <v>1</v>
      </c>
      <c r="AY11" s="4">
        <f>Time!AY21</f>
        <v>2</v>
      </c>
      <c r="AZ11" s="4">
        <f>Time!AZ21</f>
        <v>3</v>
      </c>
      <c r="BA11" s="4">
        <f>Time!BA21</f>
        <v>4</v>
      </c>
      <c r="BB11" s="4">
        <f>Time!BB21</f>
        <v>5</v>
      </c>
      <c r="BC11" s="4">
        <f>Time!BC21</f>
        <v>6</v>
      </c>
      <c r="BD11" s="4">
        <f>Time!BD21</f>
        <v>7</v>
      </c>
      <c r="BE11" s="4">
        <f>Time!BE21</f>
        <v>8</v>
      </c>
      <c r="BF11" s="4">
        <f>Time!BF21</f>
        <v>9</v>
      </c>
      <c r="BG11" s="4">
        <f>Time!BG21</f>
        <v>10</v>
      </c>
      <c r="BH11" s="4">
        <f>Time!BH21</f>
        <v>11</v>
      </c>
      <c r="BI11" s="4">
        <f>Time!BI21</f>
        <v>12</v>
      </c>
    </row>
    <row r="12" spans="2:61" s="4" customFormat="1" x14ac:dyDescent="0.35"/>
    <row r="13" spans="2:61" s="6" customFormat="1" x14ac:dyDescent="0.35">
      <c r="E13" s="6">
        <v>1</v>
      </c>
      <c r="J13" s="6" t="s">
        <v>6</v>
      </c>
      <c r="N13" s="7">
        <f>IF(N$11=$E13,N$10,M13)</f>
        <v>43831</v>
      </c>
      <c r="O13" s="7">
        <f t="shared" ref="O13:BI13" si="0">IF(O$11=$E13,O$10,N13)</f>
        <v>43831</v>
      </c>
      <c r="P13" s="7">
        <f t="shared" si="0"/>
        <v>43831</v>
      </c>
      <c r="Q13" s="7">
        <f t="shared" si="0"/>
        <v>43831</v>
      </c>
      <c r="R13" s="7">
        <f t="shared" si="0"/>
        <v>43831</v>
      </c>
      <c r="S13" s="7">
        <f t="shared" si="0"/>
        <v>43831</v>
      </c>
      <c r="T13" s="7">
        <f t="shared" si="0"/>
        <v>43831</v>
      </c>
      <c r="U13" s="7">
        <f t="shared" si="0"/>
        <v>43831</v>
      </c>
      <c r="V13" s="7">
        <f t="shared" si="0"/>
        <v>43831</v>
      </c>
      <c r="W13" s="7">
        <f t="shared" si="0"/>
        <v>43831</v>
      </c>
      <c r="X13" s="7">
        <f t="shared" si="0"/>
        <v>43831</v>
      </c>
      <c r="Y13" s="7">
        <f t="shared" si="0"/>
        <v>43831</v>
      </c>
      <c r="Z13" s="7">
        <f t="shared" si="0"/>
        <v>44197</v>
      </c>
      <c r="AA13" s="7">
        <f t="shared" si="0"/>
        <v>44197</v>
      </c>
      <c r="AB13" s="7">
        <f t="shared" si="0"/>
        <v>44197</v>
      </c>
      <c r="AC13" s="7">
        <f t="shared" si="0"/>
        <v>44197</v>
      </c>
      <c r="AD13" s="7">
        <f t="shared" si="0"/>
        <v>44197</v>
      </c>
      <c r="AE13" s="7">
        <f t="shared" si="0"/>
        <v>44197</v>
      </c>
      <c r="AF13" s="7">
        <f t="shared" si="0"/>
        <v>44197</v>
      </c>
      <c r="AG13" s="7">
        <f t="shared" si="0"/>
        <v>44197</v>
      </c>
      <c r="AH13" s="7">
        <f t="shared" si="0"/>
        <v>44197</v>
      </c>
      <c r="AI13" s="7">
        <f t="shared" si="0"/>
        <v>44197</v>
      </c>
      <c r="AJ13" s="7">
        <f t="shared" si="0"/>
        <v>44197</v>
      </c>
      <c r="AK13" s="7">
        <f t="shared" si="0"/>
        <v>44197</v>
      </c>
      <c r="AL13" s="7">
        <f t="shared" si="0"/>
        <v>44562</v>
      </c>
      <c r="AM13" s="7">
        <f t="shared" si="0"/>
        <v>44562</v>
      </c>
      <c r="AN13" s="7">
        <f t="shared" si="0"/>
        <v>44562</v>
      </c>
      <c r="AO13" s="7">
        <f t="shared" si="0"/>
        <v>44562</v>
      </c>
      <c r="AP13" s="7">
        <f t="shared" si="0"/>
        <v>44562</v>
      </c>
      <c r="AQ13" s="7">
        <f t="shared" si="0"/>
        <v>44562</v>
      </c>
      <c r="AR13" s="7">
        <f t="shared" si="0"/>
        <v>44562</v>
      </c>
      <c r="AS13" s="7">
        <f t="shared" si="0"/>
        <v>44562</v>
      </c>
      <c r="AT13" s="7">
        <f t="shared" si="0"/>
        <v>44562</v>
      </c>
      <c r="AU13" s="7">
        <f t="shared" si="0"/>
        <v>44562</v>
      </c>
      <c r="AV13" s="7">
        <f t="shared" si="0"/>
        <v>44562</v>
      </c>
      <c r="AW13" s="7">
        <f t="shared" si="0"/>
        <v>44562</v>
      </c>
      <c r="AX13" s="7">
        <f t="shared" si="0"/>
        <v>44927</v>
      </c>
      <c r="AY13" s="7">
        <f t="shared" si="0"/>
        <v>44927</v>
      </c>
      <c r="AZ13" s="7">
        <f t="shared" si="0"/>
        <v>44927</v>
      </c>
      <c r="BA13" s="7">
        <f t="shared" si="0"/>
        <v>44927</v>
      </c>
      <c r="BB13" s="7">
        <f t="shared" si="0"/>
        <v>44927</v>
      </c>
      <c r="BC13" s="7">
        <f t="shared" si="0"/>
        <v>44927</v>
      </c>
      <c r="BD13" s="7">
        <f t="shared" si="0"/>
        <v>44927</v>
      </c>
      <c r="BE13" s="7">
        <f t="shared" si="0"/>
        <v>44927</v>
      </c>
      <c r="BF13" s="7">
        <f t="shared" si="0"/>
        <v>44927</v>
      </c>
      <c r="BG13" s="7">
        <f t="shared" si="0"/>
        <v>44927</v>
      </c>
      <c r="BH13" s="7">
        <f t="shared" si="0"/>
        <v>44927</v>
      </c>
      <c r="BI13" s="7">
        <f t="shared" si="0"/>
        <v>44927</v>
      </c>
    </row>
    <row r="14" spans="2:61" s="6" customFormat="1" x14ac:dyDescent="0.35">
      <c r="E14" s="6">
        <v>2</v>
      </c>
      <c r="J14" s="6" t="s">
        <v>6</v>
      </c>
      <c r="M14" s="26"/>
      <c r="N14" s="78"/>
      <c r="O14" s="7">
        <f t="shared" ref="O14:BI14" si="1">IF(O$11=$E14,O$10,N14)</f>
        <v>43862</v>
      </c>
      <c r="P14" s="7">
        <f t="shared" si="1"/>
        <v>43862</v>
      </c>
      <c r="Q14" s="7">
        <f t="shared" si="1"/>
        <v>43862</v>
      </c>
      <c r="R14" s="7">
        <f t="shared" si="1"/>
        <v>43862</v>
      </c>
      <c r="S14" s="7">
        <f t="shared" si="1"/>
        <v>43862</v>
      </c>
      <c r="T14" s="7">
        <f t="shared" si="1"/>
        <v>43862</v>
      </c>
      <c r="U14" s="7">
        <f t="shared" si="1"/>
        <v>43862</v>
      </c>
      <c r="V14" s="7">
        <f t="shared" si="1"/>
        <v>43862</v>
      </c>
      <c r="W14" s="7">
        <f t="shared" si="1"/>
        <v>43862</v>
      </c>
      <c r="X14" s="7">
        <f t="shared" si="1"/>
        <v>43862</v>
      </c>
      <c r="Y14" s="7">
        <f t="shared" si="1"/>
        <v>43862</v>
      </c>
      <c r="Z14" s="7">
        <f t="shared" si="1"/>
        <v>43862</v>
      </c>
      <c r="AA14" s="7">
        <f t="shared" si="1"/>
        <v>44228</v>
      </c>
      <c r="AB14" s="7">
        <f t="shared" si="1"/>
        <v>44228</v>
      </c>
      <c r="AC14" s="7">
        <f t="shared" si="1"/>
        <v>44228</v>
      </c>
      <c r="AD14" s="7">
        <f t="shared" si="1"/>
        <v>44228</v>
      </c>
      <c r="AE14" s="7">
        <f t="shared" si="1"/>
        <v>44228</v>
      </c>
      <c r="AF14" s="7">
        <f t="shared" si="1"/>
        <v>44228</v>
      </c>
      <c r="AG14" s="7">
        <f t="shared" si="1"/>
        <v>44228</v>
      </c>
      <c r="AH14" s="7">
        <f t="shared" si="1"/>
        <v>44228</v>
      </c>
      <c r="AI14" s="7">
        <f t="shared" si="1"/>
        <v>44228</v>
      </c>
      <c r="AJ14" s="7">
        <f t="shared" si="1"/>
        <v>44228</v>
      </c>
      <c r="AK14" s="7">
        <f t="shared" si="1"/>
        <v>44228</v>
      </c>
      <c r="AL14" s="7">
        <f t="shared" si="1"/>
        <v>44228</v>
      </c>
      <c r="AM14" s="7">
        <f t="shared" si="1"/>
        <v>44593</v>
      </c>
      <c r="AN14" s="7">
        <f t="shared" si="1"/>
        <v>44593</v>
      </c>
      <c r="AO14" s="7">
        <f t="shared" si="1"/>
        <v>44593</v>
      </c>
      <c r="AP14" s="7">
        <f t="shared" si="1"/>
        <v>44593</v>
      </c>
      <c r="AQ14" s="7">
        <f t="shared" si="1"/>
        <v>44593</v>
      </c>
      <c r="AR14" s="7">
        <f t="shared" si="1"/>
        <v>44593</v>
      </c>
      <c r="AS14" s="7">
        <f t="shared" si="1"/>
        <v>44593</v>
      </c>
      <c r="AT14" s="7">
        <f t="shared" si="1"/>
        <v>44593</v>
      </c>
      <c r="AU14" s="7">
        <f t="shared" si="1"/>
        <v>44593</v>
      </c>
      <c r="AV14" s="7">
        <f t="shared" si="1"/>
        <v>44593</v>
      </c>
      <c r="AW14" s="7">
        <f t="shared" si="1"/>
        <v>44593</v>
      </c>
      <c r="AX14" s="7">
        <f t="shared" si="1"/>
        <v>44593</v>
      </c>
      <c r="AY14" s="7">
        <f t="shared" si="1"/>
        <v>44958</v>
      </c>
      <c r="AZ14" s="7">
        <f t="shared" si="1"/>
        <v>44958</v>
      </c>
      <c r="BA14" s="7">
        <f t="shared" si="1"/>
        <v>44958</v>
      </c>
      <c r="BB14" s="7">
        <f t="shared" si="1"/>
        <v>44958</v>
      </c>
      <c r="BC14" s="7">
        <f t="shared" si="1"/>
        <v>44958</v>
      </c>
      <c r="BD14" s="7">
        <f t="shared" si="1"/>
        <v>44958</v>
      </c>
      <c r="BE14" s="7">
        <f t="shared" si="1"/>
        <v>44958</v>
      </c>
      <c r="BF14" s="7">
        <f t="shared" si="1"/>
        <v>44958</v>
      </c>
      <c r="BG14" s="7">
        <f t="shared" si="1"/>
        <v>44958</v>
      </c>
      <c r="BH14" s="7">
        <f t="shared" si="1"/>
        <v>44958</v>
      </c>
      <c r="BI14" s="7">
        <f t="shared" si="1"/>
        <v>44958</v>
      </c>
    </row>
    <row r="15" spans="2:61" s="6" customFormat="1" x14ac:dyDescent="0.35">
      <c r="E15" s="6">
        <v>3</v>
      </c>
      <c r="J15" s="6" t="s">
        <v>6</v>
      </c>
      <c r="M15" s="26"/>
      <c r="N15" s="78"/>
      <c r="O15" s="78"/>
      <c r="P15" s="7">
        <f t="shared" ref="P15:BI15" si="2">IF(P$11=$E15,P$10,O15)</f>
        <v>43891</v>
      </c>
      <c r="Q15" s="7">
        <f t="shared" si="2"/>
        <v>43891</v>
      </c>
      <c r="R15" s="7">
        <f t="shared" si="2"/>
        <v>43891</v>
      </c>
      <c r="S15" s="7">
        <f t="shared" si="2"/>
        <v>43891</v>
      </c>
      <c r="T15" s="7">
        <f t="shared" si="2"/>
        <v>43891</v>
      </c>
      <c r="U15" s="7">
        <f t="shared" si="2"/>
        <v>43891</v>
      </c>
      <c r="V15" s="7">
        <f t="shared" si="2"/>
        <v>43891</v>
      </c>
      <c r="W15" s="7">
        <f t="shared" si="2"/>
        <v>43891</v>
      </c>
      <c r="X15" s="7">
        <f t="shared" si="2"/>
        <v>43891</v>
      </c>
      <c r="Y15" s="7">
        <f t="shared" si="2"/>
        <v>43891</v>
      </c>
      <c r="Z15" s="7">
        <f t="shared" si="2"/>
        <v>43891</v>
      </c>
      <c r="AA15" s="7">
        <f t="shared" si="2"/>
        <v>43891</v>
      </c>
      <c r="AB15" s="7">
        <f t="shared" si="2"/>
        <v>44256</v>
      </c>
      <c r="AC15" s="7">
        <f t="shared" si="2"/>
        <v>44256</v>
      </c>
      <c r="AD15" s="7">
        <f t="shared" si="2"/>
        <v>44256</v>
      </c>
      <c r="AE15" s="7">
        <f t="shared" si="2"/>
        <v>44256</v>
      </c>
      <c r="AF15" s="7">
        <f t="shared" si="2"/>
        <v>44256</v>
      </c>
      <c r="AG15" s="7">
        <f t="shared" si="2"/>
        <v>44256</v>
      </c>
      <c r="AH15" s="7">
        <f t="shared" si="2"/>
        <v>44256</v>
      </c>
      <c r="AI15" s="7">
        <f t="shared" si="2"/>
        <v>44256</v>
      </c>
      <c r="AJ15" s="7">
        <f t="shared" si="2"/>
        <v>44256</v>
      </c>
      <c r="AK15" s="7">
        <f t="shared" si="2"/>
        <v>44256</v>
      </c>
      <c r="AL15" s="7">
        <f t="shared" si="2"/>
        <v>44256</v>
      </c>
      <c r="AM15" s="7">
        <f t="shared" si="2"/>
        <v>44256</v>
      </c>
      <c r="AN15" s="7">
        <f t="shared" si="2"/>
        <v>44621</v>
      </c>
      <c r="AO15" s="7">
        <f t="shared" si="2"/>
        <v>44621</v>
      </c>
      <c r="AP15" s="7">
        <f t="shared" si="2"/>
        <v>44621</v>
      </c>
      <c r="AQ15" s="7">
        <f t="shared" si="2"/>
        <v>44621</v>
      </c>
      <c r="AR15" s="7">
        <f t="shared" si="2"/>
        <v>44621</v>
      </c>
      <c r="AS15" s="7">
        <f t="shared" si="2"/>
        <v>44621</v>
      </c>
      <c r="AT15" s="7">
        <f t="shared" si="2"/>
        <v>44621</v>
      </c>
      <c r="AU15" s="7">
        <f t="shared" si="2"/>
        <v>44621</v>
      </c>
      <c r="AV15" s="7">
        <f t="shared" si="2"/>
        <v>44621</v>
      </c>
      <c r="AW15" s="7">
        <f t="shared" si="2"/>
        <v>44621</v>
      </c>
      <c r="AX15" s="7">
        <f t="shared" si="2"/>
        <v>44621</v>
      </c>
      <c r="AY15" s="7">
        <f t="shared" si="2"/>
        <v>44621</v>
      </c>
      <c r="AZ15" s="7">
        <f t="shared" si="2"/>
        <v>44986</v>
      </c>
      <c r="BA15" s="7">
        <f t="shared" si="2"/>
        <v>44986</v>
      </c>
      <c r="BB15" s="7">
        <f t="shared" si="2"/>
        <v>44986</v>
      </c>
      <c r="BC15" s="7">
        <f t="shared" si="2"/>
        <v>44986</v>
      </c>
      <c r="BD15" s="7">
        <f t="shared" si="2"/>
        <v>44986</v>
      </c>
      <c r="BE15" s="7">
        <f t="shared" si="2"/>
        <v>44986</v>
      </c>
      <c r="BF15" s="7">
        <f t="shared" si="2"/>
        <v>44986</v>
      </c>
      <c r="BG15" s="7">
        <f t="shared" si="2"/>
        <v>44986</v>
      </c>
      <c r="BH15" s="7">
        <f t="shared" si="2"/>
        <v>44986</v>
      </c>
      <c r="BI15" s="7">
        <f t="shared" si="2"/>
        <v>44986</v>
      </c>
    </row>
    <row r="16" spans="2:61" s="6" customFormat="1" x14ac:dyDescent="0.35">
      <c r="E16" s="6">
        <v>4</v>
      </c>
      <c r="J16" s="6" t="s">
        <v>6</v>
      </c>
      <c r="M16" s="26"/>
      <c r="N16" s="78"/>
      <c r="O16" s="78"/>
      <c r="P16" s="78"/>
      <c r="Q16" s="7">
        <f t="shared" ref="Q16:BI16" si="3">IF(Q$11=$E16,Q$10,P16)</f>
        <v>43922</v>
      </c>
      <c r="R16" s="7">
        <f t="shared" si="3"/>
        <v>43922</v>
      </c>
      <c r="S16" s="7">
        <f t="shared" si="3"/>
        <v>43922</v>
      </c>
      <c r="T16" s="7">
        <f t="shared" si="3"/>
        <v>43922</v>
      </c>
      <c r="U16" s="7">
        <f t="shared" si="3"/>
        <v>43922</v>
      </c>
      <c r="V16" s="7">
        <f t="shared" si="3"/>
        <v>43922</v>
      </c>
      <c r="W16" s="7">
        <f t="shared" si="3"/>
        <v>43922</v>
      </c>
      <c r="X16" s="7">
        <f t="shared" si="3"/>
        <v>43922</v>
      </c>
      <c r="Y16" s="7">
        <f t="shared" si="3"/>
        <v>43922</v>
      </c>
      <c r="Z16" s="7">
        <f t="shared" si="3"/>
        <v>43922</v>
      </c>
      <c r="AA16" s="7">
        <f t="shared" si="3"/>
        <v>43922</v>
      </c>
      <c r="AB16" s="7">
        <f t="shared" si="3"/>
        <v>43922</v>
      </c>
      <c r="AC16" s="7">
        <f t="shared" si="3"/>
        <v>44287</v>
      </c>
      <c r="AD16" s="7">
        <f t="shared" si="3"/>
        <v>44287</v>
      </c>
      <c r="AE16" s="7">
        <f t="shared" si="3"/>
        <v>44287</v>
      </c>
      <c r="AF16" s="7">
        <f t="shared" si="3"/>
        <v>44287</v>
      </c>
      <c r="AG16" s="7">
        <f t="shared" si="3"/>
        <v>44287</v>
      </c>
      <c r="AH16" s="7">
        <f t="shared" si="3"/>
        <v>44287</v>
      </c>
      <c r="AI16" s="7">
        <f t="shared" si="3"/>
        <v>44287</v>
      </c>
      <c r="AJ16" s="7">
        <f t="shared" si="3"/>
        <v>44287</v>
      </c>
      <c r="AK16" s="7">
        <f t="shared" si="3"/>
        <v>44287</v>
      </c>
      <c r="AL16" s="7">
        <f t="shared" si="3"/>
        <v>44287</v>
      </c>
      <c r="AM16" s="7">
        <f t="shared" si="3"/>
        <v>44287</v>
      </c>
      <c r="AN16" s="7">
        <f t="shared" si="3"/>
        <v>44287</v>
      </c>
      <c r="AO16" s="7">
        <f t="shared" si="3"/>
        <v>44652</v>
      </c>
      <c r="AP16" s="7">
        <f t="shared" si="3"/>
        <v>44652</v>
      </c>
      <c r="AQ16" s="7">
        <f t="shared" si="3"/>
        <v>44652</v>
      </c>
      <c r="AR16" s="7">
        <f t="shared" si="3"/>
        <v>44652</v>
      </c>
      <c r="AS16" s="7">
        <f t="shared" si="3"/>
        <v>44652</v>
      </c>
      <c r="AT16" s="7">
        <f t="shared" si="3"/>
        <v>44652</v>
      </c>
      <c r="AU16" s="7">
        <f t="shared" si="3"/>
        <v>44652</v>
      </c>
      <c r="AV16" s="7">
        <f t="shared" si="3"/>
        <v>44652</v>
      </c>
      <c r="AW16" s="7">
        <f t="shared" si="3"/>
        <v>44652</v>
      </c>
      <c r="AX16" s="7">
        <f t="shared" si="3"/>
        <v>44652</v>
      </c>
      <c r="AY16" s="7">
        <f t="shared" si="3"/>
        <v>44652</v>
      </c>
      <c r="AZ16" s="7">
        <f t="shared" si="3"/>
        <v>44652</v>
      </c>
      <c r="BA16" s="7">
        <f t="shared" si="3"/>
        <v>45017</v>
      </c>
      <c r="BB16" s="7">
        <f t="shared" si="3"/>
        <v>45017</v>
      </c>
      <c r="BC16" s="7">
        <f t="shared" si="3"/>
        <v>45017</v>
      </c>
      <c r="BD16" s="7">
        <f t="shared" si="3"/>
        <v>45017</v>
      </c>
      <c r="BE16" s="7">
        <f t="shared" si="3"/>
        <v>45017</v>
      </c>
      <c r="BF16" s="7">
        <f t="shared" si="3"/>
        <v>45017</v>
      </c>
      <c r="BG16" s="7">
        <f t="shared" si="3"/>
        <v>45017</v>
      </c>
      <c r="BH16" s="7">
        <f t="shared" si="3"/>
        <v>45017</v>
      </c>
      <c r="BI16" s="7">
        <f t="shared" si="3"/>
        <v>45017</v>
      </c>
    </row>
    <row r="17" spans="4:62" s="6" customFormat="1" x14ac:dyDescent="0.35">
      <c r="E17" s="6">
        <v>5</v>
      </c>
      <c r="J17" s="6" t="s">
        <v>6</v>
      </c>
      <c r="M17" s="26"/>
      <c r="N17" s="78"/>
      <c r="O17" s="78"/>
      <c r="P17" s="78"/>
      <c r="Q17" s="78"/>
      <c r="R17" s="7">
        <f t="shared" ref="R17:BI17" si="4">IF(R$11=$E17,R$10,Q17)</f>
        <v>43952</v>
      </c>
      <c r="S17" s="7">
        <f t="shared" si="4"/>
        <v>43952</v>
      </c>
      <c r="T17" s="7">
        <f t="shared" si="4"/>
        <v>43952</v>
      </c>
      <c r="U17" s="7">
        <f t="shared" si="4"/>
        <v>43952</v>
      </c>
      <c r="V17" s="7">
        <f t="shared" si="4"/>
        <v>43952</v>
      </c>
      <c r="W17" s="7">
        <f t="shared" si="4"/>
        <v>43952</v>
      </c>
      <c r="X17" s="7">
        <f t="shared" si="4"/>
        <v>43952</v>
      </c>
      <c r="Y17" s="7">
        <f t="shared" si="4"/>
        <v>43952</v>
      </c>
      <c r="Z17" s="7">
        <f t="shared" si="4"/>
        <v>43952</v>
      </c>
      <c r="AA17" s="7">
        <f t="shared" si="4"/>
        <v>43952</v>
      </c>
      <c r="AB17" s="7">
        <f t="shared" si="4"/>
        <v>43952</v>
      </c>
      <c r="AC17" s="7">
        <f t="shared" si="4"/>
        <v>43952</v>
      </c>
      <c r="AD17" s="7">
        <f t="shared" si="4"/>
        <v>44317</v>
      </c>
      <c r="AE17" s="7">
        <f t="shared" si="4"/>
        <v>44317</v>
      </c>
      <c r="AF17" s="7">
        <f t="shared" si="4"/>
        <v>44317</v>
      </c>
      <c r="AG17" s="7">
        <f t="shared" si="4"/>
        <v>44317</v>
      </c>
      <c r="AH17" s="7">
        <f t="shared" si="4"/>
        <v>44317</v>
      </c>
      <c r="AI17" s="7">
        <f t="shared" si="4"/>
        <v>44317</v>
      </c>
      <c r="AJ17" s="7">
        <f t="shared" si="4"/>
        <v>44317</v>
      </c>
      <c r="AK17" s="7">
        <f t="shared" si="4"/>
        <v>44317</v>
      </c>
      <c r="AL17" s="7">
        <f t="shared" si="4"/>
        <v>44317</v>
      </c>
      <c r="AM17" s="7">
        <f t="shared" si="4"/>
        <v>44317</v>
      </c>
      <c r="AN17" s="7">
        <f t="shared" si="4"/>
        <v>44317</v>
      </c>
      <c r="AO17" s="7">
        <f t="shared" si="4"/>
        <v>44317</v>
      </c>
      <c r="AP17" s="7">
        <f t="shared" si="4"/>
        <v>44682</v>
      </c>
      <c r="AQ17" s="7">
        <f t="shared" si="4"/>
        <v>44682</v>
      </c>
      <c r="AR17" s="7">
        <f t="shared" si="4"/>
        <v>44682</v>
      </c>
      <c r="AS17" s="7">
        <f t="shared" si="4"/>
        <v>44682</v>
      </c>
      <c r="AT17" s="7">
        <f t="shared" si="4"/>
        <v>44682</v>
      </c>
      <c r="AU17" s="7">
        <f t="shared" si="4"/>
        <v>44682</v>
      </c>
      <c r="AV17" s="7">
        <f t="shared" si="4"/>
        <v>44682</v>
      </c>
      <c r="AW17" s="7">
        <f t="shared" si="4"/>
        <v>44682</v>
      </c>
      <c r="AX17" s="7">
        <f t="shared" si="4"/>
        <v>44682</v>
      </c>
      <c r="AY17" s="7">
        <f t="shared" si="4"/>
        <v>44682</v>
      </c>
      <c r="AZ17" s="7">
        <f t="shared" si="4"/>
        <v>44682</v>
      </c>
      <c r="BA17" s="7">
        <f t="shared" si="4"/>
        <v>44682</v>
      </c>
      <c r="BB17" s="7">
        <f t="shared" si="4"/>
        <v>45047</v>
      </c>
      <c r="BC17" s="7">
        <f t="shared" si="4"/>
        <v>45047</v>
      </c>
      <c r="BD17" s="7">
        <f t="shared" si="4"/>
        <v>45047</v>
      </c>
      <c r="BE17" s="7">
        <f t="shared" si="4"/>
        <v>45047</v>
      </c>
      <c r="BF17" s="7">
        <f t="shared" si="4"/>
        <v>45047</v>
      </c>
      <c r="BG17" s="7">
        <f t="shared" si="4"/>
        <v>45047</v>
      </c>
      <c r="BH17" s="7">
        <f t="shared" si="4"/>
        <v>45047</v>
      </c>
      <c r="BI17" s="7">
        <f t="shared" si="4"/>
        <v>45047</v>
      </c>
    </row>
    <row r="18" spans="4:62" s="6" customFormat="1" x14ac:dyDescent="0.35">
      <c r="E18" s="6">
        <v>6</v>
      </c>
      <c r="J18" s="6" t="s">
        <v>6</v>
      </c>
      <c r="M18" s="26"/>
      <c r="N18" s="78"/>
      <c r="O18" s="78"/>
      <c r="P18" s="78"/>
      <c r="Q18" s="78"/>
      <c r="R18" s="78"/>
      <c r="S18" s="7">
        <f t="shared" ref="S18:BI18" si="5">IF(S$11=$E18,S$10,R18)</f>
        <v>43983</v>
      </c>
      <c r="T18" s="7">
        <f t="shared" si="5"/>
        <v>43983</v>
      </c>
      <c r="U18" s="7">
        <f t="shared" si="5"/>
        <v>43983</v>
      </c>
      <c r="V18" s="7">
        <f t="shared" si="5"/>
        <v>43983</v>
      </c>
      <c r="W18" s="7">
        <f t="shared" si="5"/>
        <v>43983</v>
      </c>
      <c r="X18" s="7">
        <f t="shared" si="5"/>
        <v>43983</v>
      </c>
      <c r="Y18" s="7">
        <f t="shared" si="5"/>
        <v>43983</v>
      </c>
      <c r="Z18" s="7">
        <f t="shared" si="5"/>
        <v>43983</v>
      </c>
      <c r="AA18" s="7">
        <f t="shared" si="5"/>
        <v>43983</v>
      </c>
      <c r="AB18" s="7">
        <f t="shared" si="5"/>
        <v>43983</v>
      </c>
      <c r="AC18" s="7">
        <f t="shared" si="5"/>
        <v>43983</v>
      </c>
      <c r="AD18" s="7">
        <f t="shared" si="5"/>
        <v>43983</v>
      </c>
      <c r="AE18" s="7">
        <f t="shared" si="5"/>
        <v>44348</v>
      </c>
      <c r="AF18" s="7">
        <f t="shared" si="5"/>
        <v>44348</v>
      </c>
      <c r="AG18" s="7">
        <f t="shared" si="5"/>
        <v>44348</v>
      </c>
      <c r="AH18" s="7">
        <f t="shared" si="5"/>
        <v>44348</v>
      </c>
      <c r="AI18" s="7">
        <f t="shared" si="5"/>
        <v>44348</v>
      </c>
      <c r="AJ18" s="7">
        <f t="shared" si="5"/>
        <v>44348</v>
      </c>
      <c r="AK18" s="7">
        <f t="shared" si="5"/>
        <v>44348</v>
      </c>
      <c r="AL18" s="7">
        <f t="shared" si="5"/>
        <v>44348</v>
      </c>
      <c r="AM18" s="7">
        <f t="shared" si="5"/>
        <v>44348</v>
      </c>
      <c r="AN18" s="7">
        <f t="shared" si="5"/>
        <v>44348</v>
      </c>
      <c r="AO18" s="7">
        <f t="shared" si="5"/>
        <v>44348</v>
      </c>
      <c r="AP18" s="7">
        <f t="shared" si="5"/>
        <v>44348</v>
      </c>
      <c r="AQ18" s="7">
        <f t="shared" si="5"/>
        <v>44713</v>
      </c>
      <c r="AR18" s="7">
        <f t="shared" si="5"/>
        <v>44713</v>
      </c>
      <c r="AS18" s="7">
        <f t="shared" si="5"/>
        <v>44713</v>
      </c>
      <c r="AT18" s="7">
        <f t="shared" si="5"/>
        <v>44713</v>
      </c>
      <c r="AU18" s="7">
        <f t="shared" si="5"/>
        <v>44713</v>
      </c>
      <c r="AV18" s="7">
        <f t="shared" si="5"/>
        <v>44713</v>
      </c>
      <c r="AW18" s="7">
        <f t="shared" si="5"/>
        <v>44713</v>
      </c>
      <c r="AX18" s="7">
        <f t="shared" si="5"/>
        <v>44713</v>
      </c>
      <c r="AY18" s="7">
        <f t="shared" si="5"/>
        <v>44713</v>
      </c>
      <c r="AZ18" s="7">
        <f t="shared" si="5"/>
        <v>44713</v>
      </c>
      <c r="BA18" s="7">
        <f t="shared" si="5"/>
        <v>44713</v>
      </c>
      <c r="BB18" s="7">
        <f t="shared" si="5"/>
        <v>44713</v>
      </c>
      <c r="BC18" s="7">
        <f t="shared" si="5"/>
        <v>45078</v>
      </c>
      <c r="BD18" s="7">
        <f t="shared" si="5"/>
        <v>45078</v>
      </c>
      <c r="BE18" s="7">
        <f t="shared" si="5"/>
        <v>45078</v>
      </c>
      <c r="BF18" s="7">
        <f t="shared" si="5"/>
        <v>45078</v>
      </c>
      <c r="BG18" s="7">
        <f t="shared" si="5"/>
        <v>45078</v>
      </c>
      <c r="BH18" s="7">
        <f t="shared" si="5"/>
        <v>45078</v>
      </c>
      <c r="BI18" s="7">
        <f t="shared" si="5"/>
        <v>45078</v>
      </c>
    </row>
    <row r="19" spans="4:62" s="6" customFormat="1" x14ac:dyDescent="0.35">
      <c r="E19" s="6">
        <v>7</v>
      </c>
      <c r="J19" s="6" t="s">
        <v>6</v>
      </c>
      <c r="M19" s="26"/>
      <c r="N19" s="78"/>
      <c r="O19" s="78"/>
      <c r="P19" s="78"/>
      <c r="Q19" s="78"/>
      <c r="R19" s="78"/>
      <c r="S19" s="78"/>
      <c r="T19" s="7">
        <f t="shared" ref="T19:BI19" si="6">IF(T$11=$E19,T$10,S19)</f>
        <v>44013</v>
      </c>
      <c r="U19" s="7">
        <f t="shared" si="6"/>
        <v>44013</v>
      </c>
      <c r="V19" s="7">
        <f t="shared" si="6"/>
        <v>44013</v>
      </c>
      <c r="W19" s="7">
        <f t="shared" si="6"/>
        <v>44013</v>
      </c>
      <c r="X19" s="7">
        <f t="shared" si="6"/>
        <v>44013</v>
      </c>
      <c r="Y19" s="7">
        <f t="shared" si="6"/>
        <v>44013</v>
      </c>
      <c r="Z19" s="7">
        <f t="shared" si="6"/>
        <v>44013</v>
      </c>
      <c r="AA19" s="7">
        <f t="shared" si="6"/>
        <v>44013</v>
      </c>
      <c r="AB19" s="7">
        <f t="shared" si="6"/>
        <v>44013</v>
      </c>
      <c r="AC19" s="7">
        <f t="shared" si="6"/>
        <v>44013</v>
      </c>
      <c r="AD19" s="7">
        <f t="shared" si="6"/>
        <v>44013</v>
      </c>
      <c r="AE19" s="7">
        <f t="shared" si="6"/>
        <v>44013</v>
      </c>
      <c r="AF19" s="7">
        <f t="shared" si="6"/>
        <v>44378</v>
      </c>
      <c r="AG19" s="7">
        <f t="shared" si="6"/>
        <v>44378</v>
      </c>
      <c r="AH19" s="7">
        <f t="shared" si="6"/>
        <v>44378</v>
      </c>
      <c r="AI19" s="7">
        <f t="shared" si="6"/>
        <v>44378</v>
      </c>
      <c r="AJ19" s="7">
        <f t="shared" si="6"/>
        <v>44378</v>
      </c>
      <c r="AK19" s="7">
        <f t="shared" si="6"/>
        <v>44378</v>
      </c>
      <c r="AL19" s="7">
        <f t="shared" si="6"/>
        <v>44378</v>
      </c>
      <c r="AM19" s="7">
        <f t="shared" si="6"/>
        <v>44378</v>
      </c>
      <c r="AN19" s="7">
        <f t="shared" si="6"/>
        <v>44378</v>
      </c>
      <c r="AO19" s="7">
        <f t="shared" si="6"/>
        <v>44378</v>
      </c>
      <c r="AP19" s="7">
        <f t="shared" si="6"/>
        <v>44378</v>
      </c>
      <c r="AQ19" s="7">
        <f t="shared" si="6"/>
        <v>44378</v>
      </c>
      <c r="AR19" s="7">
        <f t="shared" si="6"/>
        <v>44743</v>
      </c>
      <c r="AS19" s="7">
        <f t="shared" si="6"/>
        <v>44743</v>
      </c>
      <c r="AT19" s="7">
        <f t="shared" si="6"/>
        <v>44743</v>
      </c>
      <c r="AU19" s="7">
        <f t="shared" si="6"/>
        <v>44743</v>
      </c>
      <c r="AV19" s="7">
        <f t="shared" si="6"/>
        <v>44743</v>
      </c>
      <c r="AW19" s="7">
        <f t="shared" si="6"/>
        <v>44743</v>
      </c>
      <c r="AX19" s="7">
        <f t="shared" si="6"/>
        <v>44743</v>
      </c>
      <c r="AY19" s="7">
        <f t="shared" si="6"/>
        <v>44743</v>
      </c>
      <c r="AZ19" s="7">
        <f t="shared" si="6"/>
        <v>44743</v>
      </c>
      <c r="BA19" s="7">
        <f t="shared" si="6"/>
        <v>44743</v>
      </c>
      <c r="BB19" s="7">
        <f t="shared" si="6"/>
        <v>44743</v>
      </c>
      <c r="BC19" s="7">
        <f t="shared" si="6"/>
        <v>44743</v>
      </c>
      <c r="BD19" s="7">
        <f t="shared" si="6"/>
        <v>45108</v>
      </c>
      <c r="BE19" s="7">
        <f t="shared" si="6"/>
        <v>45108</v>
      </c>
      <c r="BF19" s="7">
        <f t="shared" si="6"/>
        <v>45108</v>
      </c>
      <c r="BG19" s="7">
        <f t="shared" si="6"/>
        <v>45108</v>
      </c>
      <c r="BH19" s="7">
        <f t="shared" si="6"/>
        <v>45108</v>
      </c>
      <c r="BI19" s="7">
        <f t="shared" si="6"/>
        <v>45108</v>
      </c>
    </row>
    <row r="20" spans="4:62" s="6" customFormat="1" x14ac:dyDescent="0.35">
      <c r="E20" s="6">
        <v>8</v>
      </c>
      <c r="J20" s="6" t="s">
        <v>6</v>
      </c>
      <c r="M20" s="26"/>
      <c r="N20" s="78"/>
      <c r="O20" s="78"/>
      <c r="P20" s="78"/>
      <c r="Q20" s="78"/>
      <c r="R20" s="78"/>
      <c r="S20" s="78"/>
      <c r="T20" s="78"/>
      <c r="U20" s="7">
        <f t="shared" ref="U20:BI20" si="7">IF(U$11=$E20,U$10,T20)</f>
        <v>44044</v>
      </c>
      <c r="V20" s="7">
        <f t="shared" si="7"/>
        <v>44044</v>
      </c>
      <c r="W20" s="7">
        <f t="shared" si="7"/>
        <v>44044</v>
      </c>
      <c r="X20" s="7">
        <f t="shared" si="7"/>
        <v>44044</v>
      </c>
      <c r="Y20" s="7">
        <f t="shared" si="7"/>
        <v>44044</v>
      </c>
      <c r="Z20" s="7">
        <f t="shared" si="7"/>
        <v>44044</v>
      </c>
      <c r="AA20" s="7">
        <f t="shared" si="7"/>
        <v>44044</v>
      </c>
      <c r="AB20" s="7">
        <f t="shared" si="7"/>
        <v>44044</v>
      </c>
      <c r="AC20" s="7">
        <f t="shared" si="7"/>
        <v>44044</v>
      </c>
      <c r="AD20" s="7">
        <f t="shared" si="7"/>
        <v>44044</v>
      </c>
      <c r="AE20" s="7">
        <f t="shared" si="7"/>
        <v>44044</v>
      </c>
      <c r="AF20" s="7">
        <f t="shared" si="7"/>
        <v>44044</v>
      </c>
      <c r="AG20" s="7">
        <f t="shared" si="7"/>
        <v>44409</v>
      </c>
      <c r="AH20" s="7">
        <f t="shared" si="7"/>
        <v>44409</v>
      </c>
      <c r="AI20" s="7">
        <f t="shared" si="7"/>
        <v>44409</v>
      </c>
      <c r="AJ20" s="7">
        <f t="shared" si="7"/>
        <v>44409</v>
      </c>
      <c r="AK20" s="7">
        <f t="shared" si="7"/>
        <v>44409</v>
      </c>
      <c r="AL20" s="7">
        <f t="shared" si="7"/>
        <v>44409</v>
      </c>
      <c r="AM20" s="7">
        <f t="shared" si="7"/>
        <v>44409</v>
      </c>
      <c r="AN20" s="7">
        <f t="shared" si="7"/>
        <v>44409</v>
      </c>
      <c r="AO20" s="7">
        <f t="shared" si="7"/>
        <v>44409</v>
      </c>
      <c r="AP20" s="7">
        <f t="shared" si="7"/>
        <v>44409</v>
      </c>
      <c r="AQ20" s="7">
        <f t="shared" si="7"/>
        <v>44409</v>
      </c>
      <c r="AR20" s="7">
        <f t="shared" si="7"/>
        <v>44409</v>
      </c>
      <c r="AS20" s="7">
        <f t="shared" si="7"/>
        <v>44774</v>
      </c>
      <c r="AT20" s="7">
        <f t="shared" si="7"/>
        <v>44774</v>
      </c>
      <c r="AU20" s="7">
        <f t="shared" si="7"/>
        <v>44774</v>
      </c>
      <c r="AV20" s="7">
        <f t="shared" si="7"/>
        <v>44774</v>
      </c>
      <c r="AW20" s="7">
        <f t="shared" si="7"/>
        <v>44774</v>
      </c>
      <c r="AX20" s="7">
        <f t="shared" si="7"/>
        <v>44774</v>
      </c>
      <c r="AY20" s="7">
        <f t="shared" si="7"/>
        <v>44774</v>
      </c>
      <c r="AZ20" s="7">
        <f t="shared" si="7"/>
        <v>44774</v>
      </c>
      <c r="BA20" s="7">
        <f t="shared" si="7"/>
        <v>44774</v>
      </c>
      <c r="BB20" s="7">
        <f t="shared" si="7"/>
        <v>44774</v>
      </c>
      <c r="BC20" s="7">
        <f t="shared" si="7"/>
        <v>44774</v>
      </c>
      <c r="BD20" s="7">
        <f t="shared" si="7"/>
        <v>44774</v>
      </c>
      <c r="BE20" s="7">
        <f t="shared" si="7"/>
        <v>45139</v>
      </c>
      <c r="BF20" s="7">
        <f t="shared" si="7"/>
        <v>45139</v>
      </c>
      <c r="BG20" s="7">
        <f t="shared" si="7"/>
        <v>45139</v>
      </c>
      <c r="BH20" s="7">
        <f t="shared" si="7"/>
        <v>45139</v>
      </c>
      <c r="BI20" s="7">
        <f t="shared" si="7"/>
        <v>45139</v>
      </c>
    </row>
    <row r="21" spans="4:62" s="6" customFormat="1" x14ac:dyDescent="0.35">
      <c r="E21" s="6">
        <v>9</v>
      </c>
      <c r="J21" s="6" t="s">
        <v>6</v>
      </c>
      <c r="M21" s="26"/>
      <c r="N21" s="78"/>
      <c r="O21" s="78"/>
      <c r="P21" s="78"/>
      <c r="Q21" s="78"/>
      <c r="R21" s="78"/>
      <c r="S21" s="78"/>
      <c r="T21" s="78"/>
      <c r="U21" s="78"/>
      <c r="V21" s="7">
        <f t="shared" ref="V21:BI21" si="8">IF(V$11=$E21,V$10,U21)</f>
        <v>44075</v>
      </c>
      <c r="W21" s="7">
        <f t="shared" si="8"/>
        <v>44075</v>
      </c>
      <c r="X21" s="7">
        <f t="shared" si="8"/>
        <v>44075</v>
      </c>
      <c r="Y21" s="7">
        <f t="shared" si="8"/>
        <v>44075</v>
      </c>
      <c r="Z21" s="7">
        <f t="shared" si="8"/>
        <v>44075</v>
      </c>
      <c r="AA21" s="7">
        <f t="shared" si="8"/>
        <v>44075</v>
      </c>
      <c r="AB21" s="7">
        <f t="shared" si="8"/>
        <v>44075</v>
      </c>
      <c r="AC21" s="7">
        <f t="shared" si="8"/>
        <v>44075</v>
      </c>
      <c r="AD21" s="7">
        <f t="shared" si="8"/>
        <v>44075</v>
      </c>
      <c r="AE21" s="7">
        <f t="shared" si="8"/>
        <v>44075</v>
      </c>
      <c r="AF21" s="7">
        <f t="shared" si="8"/>
        <v>44075</v>
      </c>
      <c r="AG21" s="7">
        <f t="shared" si="8"/>
        <v>44075</v>
      </c>
      <c r="AH21" s="7">
        <f t="shared" si="8"/>
        <v>44440</v>
      </c>
      <c r="AI21" s="7">
        <f t="shared" si="8"/>
        <v>44440</v>
      </c>
      <c r="AJ21" s="7">
        <f t="shared" si="8"/>
        <v>44440</v>
      </c>
      <c r="AK21" s="7">
        <f t="shared" si="8"/>
        <v>44440</v>
      </c>
      <c r="AL21" s="7">
        <f t="shared" si="8"/>
        <v>44440</v>
      </c>
      <c r="AM21" s="7">
        <f t="shared" si="8"/>
        <v>44440</v>
      </c>
      <c r="AN21" s="7">
        <f t="shared" si="8"/>
        <v>44440</v>
      </c>
      <c r="AO21" s="7">
        <f t="shared" si="8"/>
        <v>44440</v>
      </c>
      <c r="AP21" s="7">
        <f t="shared" si="8"/>
        <v>44440</v>
      </c>
      <c r="AQ21" s="7">
        <f t="shared" si="8"/>
        <v>44440</v>
      </c>
      <c r="AR21" s="7">
        <f t="shared" si="8"/>
        <v>44440</v>
      </c>
      <c r="AS21" s="7">
        <f t="shared" si="8"/>
        <v>44440</v>
      </c>
      <c r="AT21" s="7">
        <f t="shared" si="8"/>
        <v>44805</v>
      </c>
      <c r="AU21" s="7">
        <f t="shared" si="8"/>
        <v>44805</v>
      </c>
      <c r="AV21" s="7">
        <f t="shared" si="8"/>
        <v>44805</v>
      </c>
      <c r="AW21" s="7">
        <f t="shared" si="8"/>
        <v>44805</v>
      </c>
      <c r="AX21" s="7">
        <f t="shared" si="8"/>
        <v>44805</v>
      </c>
      <c r="AY21" s="7">
        <f t="shared" si="8"/>
        <v>44805</v>
      </c>
      <c r="AZ21" s="7">
        <f t="shared" si="8"/>
        <v>44805</v>
      </c>
      <c r="BA21" s="7">
        <f t="shared" si="8"/>
        <v>44805</v>
      </c>
      <c r="BB21" s="7">
        <f t="shared" si="8"/>
        <v>44805</v>
      </c>
      <c r="BC21" s="7">
        <f t="shared" si="8"/>
        <v>44805</v>
      </c>
      <c r="BD21" s="7">
        <f t="shared" si="8"/>
        <v>44805</v>
      </c>
      <c r="BE21" s="7">
        <f t="shared" si="8"/>
        <v>44805</v>
      </c>
      <c r="BF21" s="7">
        <f t="shared" si="8"/>
        <v>45170</v>
      </c>
      <c r="BG21" s="7">
        <f t="shared" si="8"/>
        <v>45170</v>
      </c>
      <c r="BH21" s="7">
        <f t="shared" si="8"/>
        <v>45170</v>
      </c>
      <c r="BI21" s="7">
        <f t="shared" si="8"/>
        <v>45170</v>
      </c>
    </row>
    <row r="22" spans="4:62" s="6" customFormat="1" x14ac:dyDescent="0.35">
      <c r="E22" s="6">
        <v>10</v>
      </c>
      <c r="J22" s="6" t="s">
        <v>6</v>
      </c>
      <c r="M22" s="26"/>
      <c r="N22" s="78"/>
      <c r="O22" s="78"/>
      <c r="P22" s="78"/>
      <c r="Q22" s="78"/>
      <c r="R22" s="78"/>
      <c r="S22" s="78"/>
      <c r="T22" s="78"/>
      <c r="U22" s="78"/>
      <c r="V22" s="78"/>
      <c r="W22" s="7">
        <f t="shared" ref="W22:BI22" si="9">IF(W$11=$E22,W$10,V22)</f>
        <v>44105</v>
      </c>
      <c r="X22" s="7">
        <f t="shared" si="9"/>
        <v>44105</v>
      </c>
      <c r="Y22" s="7">
        <f t="shared" si="9"/>
        <v>44105</v>
      </c>
      <c r="Z22" s="7">
        <f t="shared" si="9"/>
        <v>44105</v>
      </c>
      <c r="AA22" s="7">
        <f t="shared" si="9"/>
        <v>44105</v>
      </c>
      <c r="AB22" s="7">
        <f t="shared" si="9"/>
        <v>44105</v>
      </c>
      <c r="AC22" s="7">
        <f t="shared" si="9"/>
        <v>44105</v>
      </c>
      <c r="AD22" s="7">
        <f t="shared" si="9"/>
        <v>44105</v>
      </c>
      <c r="AE22" s="7">
        <f t="shared" si="9"/>
        <v>44105</v>
      </c>
      <c r="AF22" s="7">
        <f t="shared" si="9"/>
        <v>44105</v>
      </c>
      <c r="AG22" s="7">
        <f t="shared" si="9"/>
        <v>44105</v>
      </c>
      <c r="AH22" s="7">
        <f t="shared" si="9"/>
        <v>44105</v>
      </c>
      <c r="AI22" s="7">
        <f t="shared" si="9"/>
        <v>44470</v>
      </c>
      <c r="AJ22" s="7">
        <f t="shared" si="9"/>
        <v>44470</v>
      </c>
      <c r="AK22" s="7">
        <f t="shared" si="9"/>
        <v>44470</v>
      </c>
      <c r="AL22" s="7">
        <f t="shared" si="9"/>
        <v>44470</v>
      </c>
      <c r="AM22" s="7">
        <f t="shared" si="9"/>
        <v>44470</v>
      </c>
      <c r="AN22" s="7">
        <f t="shared" si="9"/>
        <v>44470</v>
      </c>
      <c r="AO22" s="7">
        <f t="shared" si="9"/>
        <v>44470</v>
      </c>
      <c r="AP22" s="7">
        <f t="shared" si="9"/>
        <v>44470</v>
      </c>
      <c r="AQ22" s="7">
        <f t="shared" si="9"/>
        <v>44470</v>
      </c>
      <c r="AR22" s="7">
        <f t="shared" si="9"/>
        <v>44470</v>
      </c>
      <c r="AS22" s="7">
        <f t="shared" si="9"/>
        <v>44470</v>
      </c>
      <c r="AT22" s="7">
        <f t="shared" si="9"/>
        <v>44470</v>
      </c>
      <c r="AU22" s="7">
        <f t="shared" si="9"/>
        <v>44835</v>
      </c>
      <c r="AV22" s="7">
        <f t="shared" si="9"/>
        <v>44835</v>
      </c>
      <c r="AW22" s="7">
        <f t="shared" si="9"/>
        <v>44835</v>
      </c>
      <c r="AX22" s="7">
        <f t="shared" si="9"/>
        <v>44835</v>
      </c>
      <c r="AY22" s="7">
        <f t="shared" si="9"/>
        <v>44835</v>
      </c>
      <c r="AZ22" s="7">
        <f t="shared" si="9"/>
        <v>44835</v>
      </c>
      <c r="BA22" s="7">
        <f t="shared" si="9"/>
        <v>44835</v>
      </c>
      <c r="BB22" s="7">
        <f t="shared" si="9"/>
        <v>44835</v>
      </c>
      <c r="BC22" s="7">
        <f t="shared" si="9"/>
        <v>44835</v>
      </c>
      <c r="BD22" s="7">
        <f t="shared" si="9"/>
        <v>44835</v>
      </c>
      <c r="BE22" s="7">
        <f t="shared" si="9"/>
        <v>44835</v>
      </c>
      <c r="BF22" s="7">
        <f t="shared" si="9"/>
        <v>44835</v>
      </c>
      <c r="BG22" s="7">
        <f t="shared" si="9"/>
        <v>45200</v>
      </c>
      <c r="BH22" s="7">
        <f t="shared" si="9"/>
        <v>45200</v>
      </c>
      <c r="BI22" s="7">
        <f t="shared" si="9"/>
        <v>45200</v>
      </c>
    </row>
    <row r="23" spans="4:62" s="6" customFormat="1" x14ac:dyDescent="0.35">
      <c r="E23" s="6">
        <v>11</v>
      </c>
      <c r="J23" s="6" t="s">
        <v>6</v>
      </c>
      <c r="M23" s="26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">
        <f t="shared" ref="X23:BI23" si="10">IF(X$11=$E23,X$10,W23)</f>
        <v>44136</v>
      </c>
      <c r="Y23" s="7">
        <f t="shared" si="10"/>
        <v>44136</v>
      </c>
      <c r="Z23" s="7">
        <f t="shared" si="10"/>
        <v>44136</v>
      </c>
      <c r="AA23" s="7">
        <f t="shared" si="10"/>
        <v>44136</v>
      </c>
      <c r="AB23" s="7">
        <f t="shared" si="10"/>
        <v>44136</v>
      </c>
      <c r="AC23" s="7">
        <f t="shared" si="10"/>
        <v>44136</v>
      </c>
      <c r="AD23" s="7">
        <f t="shared" si="10"/>
        <v>44136</v>
      </c>
      <c r="AE23" s="7">
        <f t="shared" si="10"/>
        <v>44136</v>
      </c>
      <c r="AF23" s="7">
        <f t="shared" si="10"/>
        <v>44136</v>
      </c>
      <c r="AG23" s="7">
        <f t="shared" si="10"/>
        <v>44136</v>
      </c>
      <c r="AH23" s="7">
        <f t="shared" si="10"/>
        <v>44136</v>
      </c>
      <c r="AI23" s="7">
        <f t="shared" si="10"/>
        <v>44136</v>
      </c>
      <c r="AJ23" s="7">
        <f t="shared" si="10"/>
        <v>44501</v>
      </c>
      <c r="AK23" s="7">
        <f t="shared" si="10"/>
        <v>44501</v>
      </c>
      <c r="AL23" s="7">
        <f t="shared" si="10"/>
        <v>44501</v>
      </c>
      <c r="AM23" s="7">
        <f t="shared" si="10"/>
        <v>44501</v>
      </c>
      <c r="AN23" s="7">
        <f t="shared" si="10"/>
        <v>44501</v>
      </c>
      <c r="AO23" s="7">
        <f t="shared" si="10"/>
        <v>44501</v>
      </c>
      <c r="AP23" s="7">
        <f t="shared" si="10"/>
        <v>44501</v>
      </c>
      <c r="AQ23" s="7">
        <f t="shared" si="10"/>
        <v>44501</v>
      </c>
      <c r="AR23" s="7">
        <f t="shared" si="10"/>
        <v>44501</v>
      </c>
      <c r="AS23" s="7">
        <f t="shared" si="10"/>
        <v>44501</v>
      </c>
      <c r="AT23" s="7">
        <f t="shared" si="10"/>
        <v>44501</v>
      </c>
      <c r="AU23" s="7">
        <f t="shared" si="10"/>
        <v>44501</v>
      </c>
      <c r="AV23" s="7">
        <f t="shared" si="10"/>
        <v>44866</v>
      </c>
      <c r="AW23" s="7">
        <f t="shared" si="10"/>
        <v>44866</v>
      </c>
      <c r="AX23" s="7">
        <f t="shared" si="10"/>
        <v>44866</v>
      </c>
      <c r="AY23" s="7">
        <f t="shared" si="10"/>
        <v>44866</v>
      </c>
      <c r="AZ23" s="7">
        <f t="shared" si="10"/>
        <v>44866</v>
      </c>
      <c r="BA23" s="7">
        <f t="shared" si="10"/>
        <v>44866</v>
      </c>
      <c r="BB23" s="7">
        <f t="shared" si="10"/>
        <v>44866</v>
      </c>
      <c r="BC23" s="7">
        <f t="shared" si="10"/>
        <v>44866</v>
      </c>
      <c r="BD23" s="7">
        <f t="shared" si="10"/>
        <v>44866</v>
      </c>
      <c r="BE23" s="7">
        <f t="shared" si="10"/>
        <v>44866</v>
      </c>
      <c r="BF23" s="7">
        <f t="shared" si="10"/>
        <v>44866</v>
      </c>
      <c r="BG23" s="7">
        <f t="shared" si="10"/>
        <v>44866</v>
      </c>
      <c r="BH23" s="7">
        <f t="shared" si="10"/>
        <v>45231</v>
      </c>
      <c r="BI23" s="7">
        <f t="shared" si="10"/>
        <v>45231</v>
      </c>
    </row>
    <row r="24" spans="4:62" s="6" customFormat="1" x14ac:dyDescent="0.35">
      <c r="E24" s="6">
        <v>12</v>
      </c>
      <c r="J24" s="6" t="s">
        <v>6</v>
      </c>
      <c r="M24" s="26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">
        <f t="shared" ref="Y24:BI24" si="11">IF(Y$11=$E24,Y$10,X24)</f>
        <v>44166</v>
      </c>
      <c r="Z24" s="7">
        <f t="shared" si="11"/>
        <v>44166</v>
      </c>
      <c r="AA24" s="7">
        <f t="shared" si="11"/>
        <v>44166</v>
      </c>
      <c r="AB24" s="7">
        <f t="shared" si="11"/>
        <v>44166</v>
      </c>
      <c r="AC24" s="7">
        <f t="shared" si="11"/>
        <v>44166</v>
      </c>
      <c r="AD24" s="7">
        <f t="shared" si="11"/>
        <v>44166</v>
      </c>
      <c r="AE24" s="7">
        <f t="shared" si="11"/>
        <v>44166</v>
      </c>
      <c r="AF24" s="7">
        <f t="shared" si="11"/>
        <v>44166</v>
      </c>
      <c r="AG24" s="7">
        <f t="shared" si="11"/>
        <v>44166</v>
      </c>
      <c r="AH24" s="7">
        <f t="shared" si="11"/>
        <v>44166</v>
      </c>
      <c r="AI24" s="7">
        <f t="shared" si="11"/>
        <v>44166</v>
      </c>
      <c r="AJ24" s="7">
        <f t="shared" si="11"/>
        <v>44166</v>
      </c>
      <c r="AK24" s="7">
        <f t="shared" si="11"/>
        <v>44531</v>
      </c>
      <c r="AL24" s="7">
        <f t="shared" si="11"/>
        <v>44531</v>
      </c>
      <c r="AM24" s="7">
        <f t="shared" si="11"/>
        <v>44531</v>
      </c>
      <c r="AN24" s="7">
        <f t="shared" si="11"/>
        <v>44531</v>
      </c>
      <c r="AO24" s="7">
        <f t="shared" si="11"/>
        <v>44531</v>
      </c>
      <c r="AP24" s="7">
        <f t="shared" si="11"/>
        <v>44531</v>
      </c>
      <c r="AQ24" s="7">
        <f t="shared" si="11"/>
        <v>44531</v>
      </c>
      <c r="AR24" s="7">
        <f t="shared" si="11"/>
        <v>44531</v>
      </c>
      <c r="AS24" s="7">
        <f t="shared" si="11"/>
        <v>44531</v>
      </c>
      <c r="AT24" s="7">
        <f t="shared" si="11"/>
        <v>44531</v>
      </c>
      <c r="AU24" s="7">
        <f t="shared" si="11"/>
        <v>44531</v>
      </c>
      <c r="AV24" s="7">
        <f t="shared" si="11"/>
        <v>44531</v>
      </c>
      <c r="AW24" s="7">
        <f t="shared" si="11"/>
        <v>44896</v>
      </c>
      <c r="AX24" s="7">
        <f t="shared" si="11"/>
        <v>44896</v>
      </c>
      <c r="AY24" s="7">
        <f t="shared" si="11"/>
        <v>44896</v>
      </c>
      <c r="AZ24" s="7">
        <f t="shared" si="11"/>
        <v>44896</v>
      </c>
      <c r="BA24" s="7">
        <f t="shared" si="11"/>
        <v>44896</v>
      </c>
      <c r="BB24" s="7">
        <f t="shared" si="11"/>
        <v>44896</v>
      </c>
      <c r="BC24" s="7">
        <f t="shared" si="11"/>
        <v>44896</v>
      </c>
      <c r="BD24" s="7">
        <f t="shared" si="11"/>
        <v>44896</v>
      </c>
      <c r="BE24" s="7">
        <f t="shared" si="11"/>
        <v>44896</v>
      </c>
      <c r="BF24" s="7">
        <f t="shared" si="11"/>
        <v>44896</v>
      </c>
      <c r="BG24" s="7">
        <f t="shared" si="11"/>
        <v>44896</v>
      </c>
      <c r="BH24" s="7">
        <f t="shared" si="11"/>
        <v>44896</v>
      </c>
      <c r="BI24" s="7">
        <f t="shared" si="11"/>
        <v>45261</v>
      </c>
    </row>
    <row r="25" spans="4:62" s="4" customFormat="1" x14ac:dyDescent="0.35"/>
    <row r="26" spans="4:62" x14ac:dyDescent="0.35">
      <c r="D26" s="1" t="s">
        <v>82</v>
      </c>
    </row>
    <row r="28" spans="4:62" s="4" customFormat="1" x14ac:dyDescent="0.35">
      <c r="E28" s="4" t="str">
        <f>Hypothèses_trajectoire!E70</f>
        <v>Délai engagement-Paiement de l'avance</v>
      </c>
      <c r="I28" s="85">
        <f>Hypothèses_trajectoire!I70</f>
        <v>74</v>
      </c>
      <c r="J28" s="4" t="str">
        <f>Hypothèses_trajectoire!J70</f>
        <v>jours calendaires</v>
      </c>
    </row>
    <row r="29" spans="4:62" s="4" customFormat="1" x14ac:dyDescent="0.35">
      <c r="E29" s="4" t="str">
        <f>Hypothèses_trajectoire!E71</f>
        <v>Etalements autour de la moyenne</v>
      </c>
      <c r="I29" s="85">
        <f>Hypothèses_trajectoire!I71</f>
        <v>10</v>
      </c>
      <c r="J29" s="4" t="str">
        <f>Hypothèses_trajectoire!J71</f>
        <v>jours calendaires</v>
      </c>
    </row>
    <row r="31" spans="4:62" x14ac:dyDescent="0.35">
      <c r="E31">
        <f t="shared" ref="E31:E42" si="12">E13</f>
        <v>1</v>
      </c>
      <c r="J31" t="str">
        <f t="shared" ref="J31:J42" si="13">J13</f>
        <v>date</v>
      </c>
      <c r="N31" s="7">
        <f t="shared" ref="N31:BI31" si="14">N13</f>
        <v>43831</v>
      </c>
      <c r="O31" s="7">
        <f t="shared" si="14"/>
        <v>43831</v>
      </c>
      <c r="P31" s="7">
        <f t="shared" si="14"/>
        <v>43831</v>
      </c>
      <c r="Q31" s="7">
        <f t="shared" si="14"/>
        <v>43831</v>
      </c>
      <c r="R31" s="7">
        <f t="shared" si="14"/>
        <v>43831</v>
      </c>
      <c r="S31" s="7">
        <f t="shared" si="14"/>
        <v>43831</v>
      </c>
      <c r="T31" s="7">
        <f t="shared" si="14"/>
        <v>43831</v>
      </c>
      <c r="U31" s="7">
        <f t="shared" si="14"/>
        <v>43831</v>
      </c>
      <c r="V31" s="7">
        <f t="shared" si="14"/>
        <v>43831</v>
      </c>
      <c r="W31" s="7">
        <f t="shared" si="14"/>
        <v>43831</v>
      </c>
      <c r="X31" s="7">
        <f t="shared" si="14"/>
        <v>43831</v>
      </c>
      <c r="Y31" s="7">
        <f t="shared" si="14"/>
        <v>43831</v>
      </c>
      <c r="Z31" s="7">
        <f t="shared" si="14"/>
        <v>44197</v>
      </c>
      <c r="AA31" s="7">
        <f t="shared" si="14"/>
        <v>44197</v>
      </c>
      <c r="AB31" s="7">
        <f t="shared" si="14"/>
        <v>44197</v>
      </c>
      <c r="AC31" s="7">
        <f t="shared" si="14"/>
        <v>44197</v>
      </c>
      <c r="AD31" s="7">
        <f t="shared" si="14"/>
        <v>44197</v>
      </c>
      <c r="AE31" s="7">
        <f t="shared" si="14"/>
        <v>44197</v>
      </c>
      <c r="AF31" s="7">
        <f t="shared" si="14"/>
        <v>44197</v>
      </c>
      <c r="AG31" s="7">
        <f t="shared" si="14"/>
        <v>44197</v>
      </c>
      <c r="AH31" s="7">
        <f t="shared" si="14"/>
        <v>44197</v>
      </c>
      <c r="AI31" s="7">
        <f t="shared" si="14"/>
        <v>44197</v>
      </c>
      <c r="AJ31" s="7">
        <f t="shared" si="14"/>
        <v>44197</v>
      </c>
      <c r="AK31" s="7">
        <f t="shared" si="14"/>
        <v>44197</v>
      </c>
      <c r="AL31" s="7">
        <f t="shared" si="14"/>
        <v>44562</v>
      </c>
      <c r="AM31" s="7">
        <f t="shared" si="14"/>
        <v>44562</v>
      </c>
      <c r="AN31" s="7">
        <f t="shared" si="14"/>
        <v>44562</v>
      </c>
      <c r="AO31" s="7">
        <f t="shared" si="14"/>
        <v>44562</v>
      </c>
      <c r="AP31" s="7">
        <f t="shared" si="14"/>
        <v>44562</v>
      </c>
      <c r="AQ31" s="7">
        <f t="shared" si="14"/>
        <v>44562</v>
      </c>
      <c r="AR31" s="7">
        <f t="shared" si="14"/>
        <v>44562</v>
      </c>
      <c r="AS31" s="7">
        <f t="shared" si="14"/>
        <v>44562</v>
      </c>
      <c r="AT31" s="7">
        <f t="shared" si="14"/>
        <v>44562</v>
      </c>
      <c r="AU31" s="7">
        <f t="shared" si="14"/>
        <v>44562</v>
      </c>
      <c r="AV31" s="7">
        <f t="shared" si="14"/>
        <v>44562</v>
      </c>
      <c r="AW31" s="7">
        <f t="shared" si="14"/>
        <v>44562</v>
      </c>
      <c r="AX31" s="7">
        <f t="shared" si="14"/>
        <v>44927</v>
      </c>
      <c r="AY31" s="7">
        <f t="shared" si="14"/>
        <v>44927</v>
      </c>
      <c r="AZ31" s="7">
        <f t="shared" si="14"/>
        <v>44927</v>
      </c>
      <c r="BA31" s="7">
        <f t="shared" si="14"/>
        <v>44927</v>
      </c>
      <c r="BB31" s="7">
        <f t="shared" si="14"/>
        <v>44927</v>
      </c>
      <c r="BC31" s="7">
        <f t="shared" si="14"/>
        <v>44927</v>
      </c>
      <c r="BD31" s="7">
        <f t="shared" si="14"/>
        <v>44927</v>
      </c>
      <c r="BE31" s="7">
        <f t="shared" si="14"/>
        <v>44927</v>
      </c>
      <c r="BF31" s="7">
        <f t="shared" si="14"/>
        <v>44927</v>
      </c>
      <c r="BG31" s="7">
        <f t="shared" si="14"/>
        <v>44927</v>
      </c>
      <c r="BH31" s="7">
        <f t="shared" si="14"/>
        <v>44927</v>
      </c>
      <c r="BI31" s="7">
        <f t="shared" si="14"/>
        <v>44927</v>
      </c>
      <c r="BJ31" s="3"/>
    </row>
    <row r="32" spans="4:62" x14ac:dyDescent="0.35">
      <c r="E32">
        <f t="shared" si="12"/>
        <v>2</v>
      </c>
      <c r="J32" t="str">
        <f t="shared" si="13"/>
        <v>date</v>
      </c>
      <c r="N32" s="78"/>
      <c r="O32" s="7">
        <f t="shared" ref="O32:BI32" si="15">O14</f>
        <v>43862</v>
      </c>
      <c r="P32" s="7">
        <f t="shared" si="15"/>
        <v>43862</v>
      </c>
      <c r="Q32" s="7">
        <f t="shared" si="15"/>
        <v>43862</v>
      </c>
      <c r="R32" s="7">
        <f t="shared" si="15"/>
        <v>43862</v>
      </c>
      <c r="S32" s="7">
        <f t="shared" si="15"/>
        <v>43862</v>
      </c>
      <c r="T32" s="7">
        <f t="shared" si="15"/>
        <v>43862</v>
      </c>
      <c r="U32" s="7">
        <f t="shared" si="15"/>
        <v>43862</v>
      </c>
      <c r="V32" s="7">
        <f t="shared" si="15"/>
        <v>43862</v>
      </c>
      <c r="W32" s="7">
        <f t="shared" si="15"/>
        <v>43862</v>
      </c>
      <c r="X32" s="7">
        <f t="shared" si="15"/>
        <v>43862</v>
      </c>
      <c r="Y32" s="7">
        <f t="shared" si="15"/>
        <v>43862</v>
      </c>
      <c r="Z32" s="7">
        <f t="shared" si="15"/>
        <v>43862</v>
      </c>
      <c r="AA32" s="7">
        <f t="shared" si="15"/>
        <v>44228</v>
      </c>
      <c r="AB32" s="7">
        <f t="shared" si="15"/>
        <v>44228</v>
      </c>
      <c r="AC32" s="7">
        <f t="shared" si="15"/>
        <v>44228</v>
      </c>
      <c r="AD32" s="7">
        <f t="shared" si="15"/>
        <v>44228</v>
      </c>
      <c r="AE32" s="7">
        <f t="shared" si="15"/>
        <v>44228</v>
      </c>
      <c r="AF32" s="7">
        <f t="shared" si="15"/>
        <v>44228</v>
      </c>
      <c r="AG32" s="7">
        <f t="shared" si="15"/>
        <v>44228</v>
      </c>
      <c r="AH32" s="7">
        <f t="shared" si="15"/>
        <v>44228</v>
      </c>
      <c r="AI32" s="7">
        <f t="shared" si="15"/>
        <v>44228</v>
      </c>
      <c r="AJ32" s="7">
        <f t="shared" si="15"/>
        <v>44228</v>
      </c>
      <c r="AK32" s="7">
        <f t="shared" si="15"/>
        <v>44228</v>
      </c>
      <c r="AL32" s="7">
        <f t="shared" si="15"/>
        <v>44228</v>
      </c>
      <c r="AM32" s="7">
        <f t="shared" si="15"/>
        <v>44593</v>
      </c>
      <c r="AN32" s="7">
        <f t="shared" si="15"/>
        <v>44593</v>
      </c>
      <c r="AO32" s="7">
        <f t="shared" si="15"/>
        <v>44593</v>
      </c>
      <c r="AP32" s="7">
        <f t="shared" si="15"/>
        <v>44593</v>
      </c>
      <c r="AQ32" s="7">
        <f t="shared" si="15"/>
        <v>44593</v>
      </c>
      <c r="AR32" s="7">
        <f t="shared" si="15"/>
        <v>44593</v>
      </c>
      <c r="AS32" s="7">
        <f t="shared" si="15"/>
        <v>44593</v>
      </c>
      <c r="AT32" s="7">
        <f t="shared" si="15"/>
        <v>44593</v>
      </c>
      <c r="AU32" s="7">
        <f t="shared" si="15"/>
        <v>44593</v>
      </c>
      <c r="AV32" s="7">
        <f t="shared" si="15"/>
        <v>44593</v>
      </c>
      <c r="AW32" s="7">
        <f t="shared" si="15"/>
        <v>44593</v>
      </c>
      <c r="AX32" s="7">
        <f t="shared" si="15"/>
        <v>44593</v>
      </c>
      <c r="AY32" s="7">
        <f t="shared" si="15"/>
        <v>44958</v>
      </c>
      <c r="AZ32" s="7">
        <f t="shared" si="15"/>
        <v>44958</v>
      </c>
      <c r="BA32" s="7">
        <f t="shared" si="15"/>
        <v>44958</v>
      </c>
      <c r="BB32" s="7">
        <f t="shared" si="15"/>
        <v>44958</v>
      </c>
      <c r="BC32" s="7">
        <f t="shared" si="15"/>
        <v>44958</v>
      </c>
      <c r="BD32" s="7">
        <f t="shared" si="15"/>
        <v>44958</v>
      </c>
      <c r="BE32" s="7">
        <f t="shared" si="15"/>
        <v>44958</v>
      </c>
      <c r="BF32" s="7">
        <f t="shared" si="15"/>
        <v>44958</v>
      </c>
      <c r="BG32" s="7">
        <f t="shared" si="15"/>
        <v>44958</v>
      </c>
      <c r="BH32" s="7">
        <f t="shared" si="15"/>
        <v>44958</v>
      </c>
      <c r="BI32" s="7">
        <f t="shared" si="15"/>
        <v>44958</v>
      </c>
      <c r="BJ32" s="3"/>
    </row>
    <row r="33" spans="5:62" x14ac:dyDescent="0.35">
      <c r="E33">
        <f t="shared" si="12"/>
        <v>3</v>
      </c>
      <c r="J33" t="str">
        <f t="shared" si="13"/>
        <v>date</v>
      </c>
      <c r="N33" s="78"/>
      <c r="O33" s="78"/>
      <c r="P33" s="7">
        <f t="shared" ref="P33:BI33" si="16">P15</f>
        <v>43891</v>
      </c>
      <c r="Q33" s="7">
        <f t="shared" si="16"/>
        <v>43891</v>
      </c>
      <c r="R33" s="7">
        <f t="shared" si="16"/>
        <v>43891</v>
      </c>
      <c r="S33" s="7">
        <f t="shared" si="16"/>
        <v>43891</v>
      </c>
      <c r="T33" s="7">
        <f t="shared" si="16"/>
        <v>43891</v>
      </c>
      <c r="U33" s="7">
        <f t="shared" si="16"/>
        <v>43891</v>
      </c>
      <c r="V33" s="7">
        <f t="shared" si="16"/>
        <v>43891</v>
      </c>
      <c r="W33" s="7">
        <f t="shared" si="16"/>
        <v>43891</v>
      </c>
      <c r="X33" s="7">
        <f t="shared" si="16"/>
        <v>43891</v>
      </c>
      <c r="Y33" s="7">
        <f t="shared" si="16"/>
        <v>43891</v>
      </c>
      <c r="Z33" s="7">
        <f t="shared" si="16"/>
        <v>43891</v>
      </c>
      <c r="AA33" s="7">
        <f t="shared" si="16"/>
        <v>43891</v>
      </c>
      <c r="AB33" s="7">
        <f t="shared" si="16"/>
        <v>44256</v>
      </c>
      <c r="AC33" s="7">
        <f t="shared" si="16"/>
        <v>44256</v>
      </c>
      <c r="AD33" s="7">
        <f t="shared" si="16"/>
        <v>44256</v>
      </c>
      <c r="AE33" s="7">
        <f t="shared" si="16"/>
        <v>44256</v>
      </c>
      <c r="AF33" s="7">
        <f t="shared" si="16"/>
        <v>44256</v>
      </c>
      <c r="AG33" s="7">
        <f t="shared" si="16"/>
        <v>44256</v>
      </c>
      <c r="AH33" s="7">
        <f t="shared" si="16"/>
        <v>44256</v>
      </c>
      <c r="AI33" s="7">
        <f t="shared" si="16"/>
        <v>44256</v>
      </c>
      <c r="AJ33" s="7">
        <f t="shared" si="16"/>
        <v>44256</v>
      </c>
      <c r="AK33" s="7">
        <f t="shared" si="16"/>
        <v>44256</v>
      </c>
      <c r="AL33" s="7">
        <f t="shared" si="16"/>
        <v>44256</v>
      </c>
      <c r="AM33" s="7">
        <f t="shared" si="16"/>
        <v>44256</v>
      </c>
      <c r="AN33" s="7">
        <f t="shared" si="16"/>
        <v>44621</v>
      </c>
      <c r="AO33" s="7">
        <f t="shared" si="16"/>
        <v>44621</v>
      </c>
      <c r="AP33" s="7">
        <f t="shared" si="16"/>
        <v>44621</v>
      </c>
      <c r="AQ33" s="7">
        <f t="shared" si="16"/>
        <v>44621</v>
      </c>
      <c r="AR33" s="7">
        <f t="shared" si="16"/>
        <v>44621</v>
      </c>
      <c r="AS33" s="7">
        <f t="shared" si="16"/>
        <v>44621</v>
      </c>
      <c r="AT33" s="7">
        <f t="shared" si="16"/>
        <v>44621</v>
      </c>
      <c r="AU33" s="7">
        <f t="shared" si="16"/>
        <v>44621</v>
      </c>
      <c r="AV33" s="7">
        <f t="shared" si="16"/>
        <v>44621</v>
      </c>
      <c r="AW33" s="7">
        <f t="shared" si="16"/>
        <v>44621</v>
      </c>
      <c r="AX33" s="7">
        <f t="shared" si="16"/>
        <v>44621</v>
      </c>
      <c r="AY33" s="7">
        <f t="shared" si="16"/>
        <v>44621</v>
      </c>
      <c r="AZ33" s="7">
        <f t="shared" si="16"/>
        <v>44986</v>
      </c>
      <c r="BA33" s="7">
        <f t="shared" si="16"/>
        <v>44986</v>
      </c>
      <c r="BB33" s="7">
        <f t="shared" si="16"/>
        <v>44986</v>
      </c>
      <c r="BC33" s="7">
        <f t="shared" si="16"/>
        <v>44986</v>
      </c>
      <c r="BD33" s="7">
        <f t="shared" si="16"/>
        <v>44986</v>
      </c>
      <c r="BE33" s="7">
        <f t="shared" si="16"/>
        <v>44986</v>
      </c>
      <c r="BF33" s="7">
        <f t="shared" si="16"/>
        <v>44986</v>
      </c>
      <c r="BG33" s="7">
        <f t="shared" si="16"/>
        <v>44986</v>
      </c>
      <c r="BH33" s="7">
        <f t="shared" si="16"/>
        <v>44986</v>
      </c>
      <c r="BI33" s="7">
        <f t="shared" si="16"/>
        <v>44986</v>
      </c>
      <c r="BJ33" s="3"/>
    </row>
    <row r="34" spans="5:62" x14ac:dyDescent="0.35">
      <c r="E34">
        <f t="shared" si="12"/>
        <v>4</v>
      </c>
      <c r="J34" t="str">
        <f t="shared" si="13"/>
        <v>date</v>
      </c>
      <c r="N34" s="78"/>
      <c r="O34" s="78"/>
      <c r="P34" s="78"/>
      <c r="Q34" s="7">
        <f t="shared" ref="Q34:BI34" si="17">Q16</f>
        <v>43922</v>
      </c>
      <c r="R34" s="7">
        <f t="shared" si="17"/>
        <v>43922</v>
      </c>
      <c r="S34" s="7">
        <f t="shared" si="17"/>
        <v>43922</v>
      </c>
      <c r="T34" s="7">
        <f t="shared" si="17"/>
        <v>43922</v>
      </c>
      <c r="U34" s="7">
        <f t="shared" si="17"/>
        <v>43922</v>
      </c>
      <c r="V34" s="7">
        <f t="shared" si="17"/>
        <v>43922</v>
      </c>
      <c r="W34" s="7">
        <f t="shared" si="17"/>
        <v>43922</v>
      </c>
      <c r="X34" s="7">
        <f t="shared" si="17"/>
        <v>43922</v>
      </c>
      <c r="Y34" s="7">
        <f t="shared" si="17"/>
        <v>43922</v>
      </c>
      <c r="Z34" s="7">
        <f t="shared" si="17"/>
        <v>43922</v>
      </c>
      <c r="AA34" s="7">
        <f t="shared" si="17"/>
        <v>43922</v>
      </c>
      <c r="AB34" s="7">
        <f t="shared" si="17"/>
        <v>43922</v>
      </c>
      <c r="AC34" s="7">
        <f t="shared" si="17"/>
        <v>44287</v>
      </c>
      <c r="AD34" s="7">
        <f t="shared" si="17"/>
        <v>44287</v>
      </c>
      <c r="AE34" s="7">
        <f t="shared" si="17"/>
        <v>44287</v>
      </c>
      <c r="AF34" s="7">
        <f t="shared" si="17"/>
        <v>44287</v>
      </c>
      <c r="AG34" s="7">
        <f t="shared" si="17"/>
        <v>44287</v>
      </c>
      <c r="AH34" s="7">
        <f t="shared" si="17"/>
        <v>44287</v>
      </c>
      <c r="AI34" s="7">
        <f t="shared" si="17"/>
        <v>44287</v>
      </c>
      <c r="AJ34" s="7">
        <f t="shared" si="17"/>
        <v>44287</v>
      </c>
      <c r="AK34" s="7">
        <f t="shared" si="17"/>
        <v>44287</v>
      </c>
      <c r="AL34" s="7">
        <f t="shared" si="17"/>
        <v>44287</v>
      </c>
      <c r="AM34" s="7">
        <f t="shared" si="17"/>
        <v>44287</v>
      </c>
      <c r="AN34" s="7">
        <f t="shared" si="17"/>
        <v>44287</v>
      </c>
      <c r="AO34" s="7">
        <f t="shared" si="17"/>
        <v>44652</v>
      </c>
      <c r="AP34" s="7">
        <f t="shared" si="17"/>
        <v>44652</v>
      </c>
      <c r="AQ34" s="7">
        <f t="shared" si="17"/>
        <v>44652</v>
      </c>
      <c r="AR34" s="7">
        <f t="shared" si="17"/>
        <v>44652</v>
      </c>
      <c r="AS34" s="7">
        <f t="shared" si="17"/>
        <v>44652</v>
      </c>
      <c r="AT34" s="7">
        <f t="shared" si="17"/>
        <v>44652</v>
      </c>
      <c r="AU34" s="7">
        <f t="shared" si="17"/>
        <v>44652</v>
      </c>
      <c r="AV34" s="7">
        <f t="shared" si="17"/>
        <v>44652</v>
      </c>
      <c r="AW34" s="7">
        <f t="shared" si="17"/>
        <v>44652</v>
      </c>
      <c r="AX34" s="7">
        <f t="shared" si="17"/>
        <v>44652</v>
      </c>
      <c r="AY34" s="7">
        <f t="shared" si="17"/>
        <v>44652</v>
      </c>
      <c r="AZ34" s="7">
        <f t="shared" si="17"/>
        <v>44652</v>
      </c>
      <c r="BA34" s="7">
        <f t="shared" si="17"/>
        <v>45017</v>
      </c>
      <c r="BB34" s="7">
        <f t="shared" si="17"/>
        <v>45017</v>
      </c>
      <c r="BC34" s="7">
        <f t="shared" si="17"/>
        <v>45017</v>
      </c>
      <c r="BD34" s="7">
        <f t="shared" si="17"/>
        <v>45017</v>
      </c>
      <c r="BE34" s="7">
        <f t="shared" si="17"/>
        <v>45017</v>
      </c>
      <c r="BF34" s="7">
        <f t="shared" si="17"/>
        <v>45017</v>
      </c>
      <c r="BG34" s="7">
        <f t="shared" si="17"/>
        <v>45017</v>
      </c>
      <c r="BH34" s="7">
        <f t="shared" si="17"/>
        <v>45017</v>
      </c>
      <c r="BI34" s="7">
        <f t="shared" si="17"/>
        <v>45017</v>
      </c>
      <c r="BJ34" s="3"/>
    </row>
    <row r="35" spans="5:62" x14ac:dyDescent="0.35">
      <c r="E35">
        <f t="shared" si="12"/>
        <v>5</v>
      </c>
      <c r="J35" t="str">
        <f t="shared" si="13"/>
        <v>date</v>
      </c>
      <c r="N35" s="78"/>
      <c r="O35" s="78"/>
      <c r="P35" s="78"/>
      <c r="Q35" s="78"/>
      <c r="R35" s="7">
        <f t="shared" ref="R35:BI35" si="18">R17</f>
        <v>43952</v>
      </c>
      <c r="S35" s="7">
        <f t="shared" si="18"/>
        <v>43952</v>
      </c>
      <c r="T35" s="7">
        <f t="shared" si="18"/>
        <v>43952</v>
      </c>
      <c r="U35" s="7">
        <f t="shared" si="18"/>
        <v>43952</v>
      </c>
      <c r="V35" s="7">
        <f t="shared" si="18"/>
        <v>43952</v>
      </c>
      <c r="W35" s="7">
        <f t="shared" si="18"/>
        <v>43952</v>
      </c>
      <c r="X35" s="7">
        <f t="shared" si="18"/>
        <v>43952</v>
      </c>
      <c r="Y35" s="7">
        <f t="shared" si="18"/>
        <v>43952</v>
      </c>
      <c r="Z35" s="7">
        <f t="shared" si="18"/>
        <v>43952</v>
      </c>
      <c r="AA35" s="7">
        <f t="shared" si="18"/>
        <v>43952</v>
      </c>
      <c r="AB35" s="7">
        <f t="shared" si="18"/>
        <v>43952</v>
      </c>
      <c r="AC35" s="7">
        <f t="shared" si="18"/>
        <v>43952</v>
      </c>
      <c r="AD35" s="7">
        <f t="shared" si="18"/>
        <v>44317</v>
      </c>
      <c r="AE35" s="7">
        <f t="shared" si="18"/>
        <v>44317</v>
      </c>
      <c r="AF35" s="7">
        <f t="shared" si="18"/>
        <v>44317</v>
      </c>
      <c r="AG35" s="7">
        <f t="shared" si="18"/>
        <v>44317</v>
      </c>
      <c r="AH35" s="7">
        <f t="shared" si="18"/>
        <v>44317</v>
      </c>
      <c r="AI35" s="7">
        <f t="shared" si="18"/>
        <v>44317</v>
      </c>
      <c r="AJ35" s="7">
        <f t="shared" si="18"/>
        <v>44317</v>
      </c>
      <c r="AK35" s="7">
        <f t="shared" si="18"/>
        <v>44317</v>
      </c>
      <c r="AL35" s="7">
        <f t="shared" si="18"/>
        <v>44317</v>
      </c>
      <c r="AM35" s="7">
        <f t="shared" si="18"/>
        <v>44317</v>
      </c>
      <c r="AN35" s="7">
        <f t="shared" si="18"/>
        <v>44317</v>
      </c>
      <c r="AO35" s="7">
        <f t="shared" si="18"/>
        <v>44317</v>
      </c>
      <c r="AP35" s="7">
        <f t="shared" si="18"/>
        <v>44682</v>
      </c>
      <c r="AQ35" s="7">
        <f t="shared" si="18"/>
        <v>44682</v>
      </c>
      <c r="AR35" s="7">
        <f t="shared" si="18"/>
        <v>44682</v>
      </c>
      <c r="AS35" s="7">
        <f t="shared" si="18"/>
        <v>44682</v>
      </c>
      <c r="AT35" s="7">
        <f t="shared" si="18"/>
        <v>44682</v>
      </c>
      <c r="AU35" s="7">
        <f t="shared" si="18"/>
        <v>44682</v>
      </c>
      <c r="AV35" s="7">
        <f t="shared" si="18"/>
        <v>44682</v>
      </c>
      <c r="AW35" s="7">
        <f t="shared" si="18"/>
        <v>44682</v>
      </c>
      <c r="AX35" s="7">
        <f t="shared" si="18"/>
        <v>44682</v>
      </c>
      <c r="AY35" s="7">
        <f t="shared" si="18"/>
        <v>44682</v>
      </c>
      <c r="AZ35" s="7">
        <f t="shared" si="18"/>
        <v>44682</v>
      </c>
      <c r="BA35" s="7">
        <f t="shared" si="18"/>
        <v>44682</v>
      </c>
      <c r="BB35" s="7">
        <f t="shared" si="18"/>
        <v>45047</v>
      </c>
      <c r="BC35" s="7">
        <f t="shared" si="18"/>
        <v>45047</v>
      </c>
      <c r="BD35" s="7">
        <f t="shared" si="18"/>
        <v>45047</v>
      </c>
      <c r="BE35" s="7">
        <f t="shared" si="18"/>
        <v>45047</v>
      </c>
      <c r="BF35" s="7">
        <f t="shared" si="18"/>
        <v>45047</v>
      </c>
      <c r="BG35" s="7">
        <f t="shared" si="18"/>
        <v>45047</v>
      </c>
      <c r="BH35" s="7">
        <f t="shared" si="18"/>
        <v>45047</v>
      </c>
      <c r="BI35" s="7">
        <f t="shared" si="18"/>
        <v>45047</v>
      </c>
      <c r="BJ35" s="3"/>
    </row>
    <row r="36" spans="5:62" x14ac:dyDescent="0.35">
      <c r="E36">
        <f t="shared" si="12"/>
        <v>6</v>
      </c>
      <c r="J36" t="str">
        <f t="shared" si="13"/>
        <v>date</v>
      </c>
      <c r="N36" s="78"/>
      <c r="O36" s="78"/>
      <c r="P36" s="78"/>
      <c r="Q36" s="78"/>
      <c r="R36" s="78"/>
      <c r="S36" s="7">
        <f t="shared" ref="S36:BI36" si="19">S18</f>
        <v>43983</v>
      </c>
      <c r="T36" s="7">
        <f t="shared" si="19"/>
        <v>43983</v>
      </c>
      <c r="U36" s="7">
        <f t="shared" si="19"/>
        <v>43983</v>
      </c>
      <c r="V36" s="7">
        <f t="shared" si="19"/>
        <v>43983</v>
      </c>
      <c r="W36" s="7">
        <f t="shared" si="19"/>
        <v>43983</v>
      </c>
      <c r="X36" s="7">
        <f t="shared" si="19"/>
        <v>43983</v>
      </c>
      <c r="Y36" s="7">
        <f t="shared" si="19"/>
        <v>43983</v>
      </c>
      <c r="Z36" s="7">
        <f t="shared" si="19"/>
        <v>43983</v>
      </c>
      <c r="AA36" s="7">
        <f t="shared" si="19"/>
        <v>43983</v>
      </c>
      <c r="AB36" s="7">
        <f t="shared" si="19"/>
        <v>43983</v>
      </c>
      <c r="AC36" s="7">
        <f t="shared" si="19"/>
        <v>43983</v>
      </c>
      <c r="AD36" s="7">
        <f t="shared" si="19"/>
        <v>43983</v>
      </c>
      <c r="AE36" s="7">
        <f t="shared" si="19"/>
        <v>44348</v>
      </c>
      <c r="AF36" s="7">
        <f t="shared" si="19"/>
        <v>44348</v>
      </c>
      <c r="AG36" s="7">
        <f t="shared" si="19"/>
        <v>44348</v>
      </c>
      <c r="AH36" s="7">
        <f t="shared" si="19"/>
        <v>44348</v>
      </c>
      <c r="AI36" s="7">
        <f t="shared" si="19"/>
        <v>44348</v>
      </c>
      <c r="AJ36" s="7">
        <f t="shared" si="19"/>
        <v>44348</v>
      </c>
      <c r="AK36" s="7">
        <f t="shared" si="19"/>
        <v>44348</v>
      </c>
      <c r="AL36" s="7">
        <f t="shared" si="19"/>
        <v>44348</v>
      </c>
      <c r="AM36" s="7">
        <f t="shared" si="19"/>
        <v>44348</v>
      </c>
      <c r="AN36" s="7">
        <f t="shared" si="19"/>
        <v>44348</v>
      </c>
      <c r="AO36" s="7">
        <f t="shared" si="19"/>
        <v>44348</v>
      </c>
      <c r="AP36" s="7">
        <f t="shared" si="19"/>
        <v>44348</v>
      </c>
      <c r="AQ36" s="7">
        <f t="shared" si="19"/>
        <v>44713</v>
      </c>
      <c r="AR36" s="7">
        <f t="shared" si="19"/>
        <v>44713</v>
      </c>
      <c r="AS36" s="7">
        <f t="shared" si="19"/>
        <v>44713</v>
      </c>
      <c r="AT36" s="7">
        <f t="shared" si="19"/>
        <v>44713</v>
      </c>
      <c r="AU36" s="7">
        <f t="shared" si="19"/>
        <v>44713</v>
      </c>
      <c r="AV36" s="7">
        <f t="shared" si="19"/>
        <v>44713</v>
      </c>
      <c r="AW36" s="7">
        <f t="shared" si="19"/>
        <v>44713</v>
      </c>
      <c r="AX36" s="7">
        <f t="shared" si="19"/>
        <v>44713</v>
      </c>
      <c r="AY36" s="7">
        <f t="shared" si="19"/>
        <v>44713</v>
      </c>
      <c r="AZ36" s="7">
        <f t="shared" si="19"/>
        <v>44713</v>
      </c>
      <c r="BA36" s="7">
        <f t="shared" si="19"/>
        <v>44713</v>
      </c>
      <c r="BB36" s="7">
        <f t="shared" si="19"/>
        <v>44713</v>
      </c>
      <c r="BC36" s="7">
        <f t="shared" si="19"/>
        <v>45078</v>
      </c>
      <c r="BD36" s="7">
        <f t="shared" si="19"/>
        <v>45078</v>
      </c>
      <c r="BE36" s="7">
        <f t="shared" si="19"/>
        <v>45078</v>
      </c>
      <c r="BF36" s="7">
        <f t="shared" si="19"/>
        <v>45078</v>
      </c>
      <c r="BG36" s="7">
        <f t="shared" si="19"/>
        <v>45078</v>
      </c>
      <c r="BH36" s="7">
        <f t="shared" si="19"/>
        <v>45078</v>
      </c>
      <c r="BI36" s="7">
        <f t="shared" si="19"/>
        <v>45078</v>
      </c>
      <c r="BJ36" s="3"/>
    </row>
    <row r="37" spans="5:62" x14ac:dyDescent="0.35">
      <c r="E37">
        <f t="shared" si="12"/>
        <v>7</v>
      </c>
      <c r="J37" t="str">
        <f t="shared" si="13"/>
        <v>date</v>
      </c>
      <c r="N37" s="78"/>
      <c r="O37" s="78"/>
      <c r="P37" s="78"/>
      <c r="Q37" s="78"/>
      <c r="R37" s="78"/>
      <c r="S37" s="78"/>
      <c r="T37" s="7">
        <f t="shared" ref="T37:BI37" si="20">T19</f>
        <v>44013</v>
      </c>
      <c r="U37" s="7">
        <f t="shared" si="20"/>
        <v>44013</v>
      </c>
      <c r="V37" s="7">
        <f t="shared" si="20"/>
        <v>44013</v>
      </c>
      <c r="W37" s="7">
        <f t="shared" si="20"/>
        <v>44013</v>
      </c>
      <c r="X37" s="7">
        <f t="shared" si="20"/>
        <v>44013</v>
      </c>
      <c r="Y37" s="7">
        <f t="shared" si="20"/>
        <v>44013</v>
      </c>
      <c r="Z37" s="7">
        <f t="shared" si="20"/>
        <v>44013</v>
      </c>
      <c r="AA37" s="7">
        <f t="shared" si="20"/>
        <v>44013</v>
      </c>
      <c r="AB37" s="7">
        <f t="shared" si="20"/>
        <v>44013</v>
      </c>
      <c r="AC37" s="7">
        <f t="shared" si="20"/>
        <v>44013</v>
      </c>
      <c r="AD37" s="7">
        <f t="shared" si="20"/>
        <v>44013</v>
      </c>
      <c r="AE37" s="7">
        <f t="shared" si="20"/>
        <v>44013</v>
      </c>
      <c r="AF37" s="7">
        <f t="shared" si="20"/>
        <v>44378</v>
      </c>
      <c r="AG37" s="7">
        <f t="shared" si="20"/>
        <v>44378</v>
      </c>
      <c r="AH37" s="7">
        <f t="shared" si="20"/>
        <v>44378</v>
      </c>
      <c r="AI37" s="7">
        <f t="shared" si="20"/>
        <v>44378</v>
      </c>
      <c r="AJ37" s="7">
        <f t="shared" si="20"/>
        <v>44378</v>
      </c>
      <c r="AK37" s="7">
        <f t="shared" si="20"/>
        <v>44378</v>
      </c>
      <c r="AL37" s="7">
        <f t="shared" si="20"/>
        <v>44378</v>
      </c>
      <c r="AM37" s="7">
        <f t="shared" si="20"/>
        <v>44378</v>
      </c>
      <c r="AN37" s="7">
        <f t="shared" si="20"/>
        <v>44378</v>
      </c>
      <c r="AO37" s="7">
        <f t="shared" si="20"/>
        <v>44378</v>
      </c>
      <c r="AP37" s="7">
        <f t="shared" si="20"/>
        <v>44378</v>
      </c>
      <c r="AQ37" s="7">
        <f t="shared" si="20"/>
        <v>44378</v>
      </c>
      <c r="AR37" s="7">
        <f t="shared" si="20"/>
        <v>44743</v>
      </c>
      <c r="AS37" s="7">
        <f t="shared" si="20"/>
        <v>44743</v>
      </c>
      <c r="AT37" s="7">
        <f t="shared" si="20"/>
        <v>44743</v>
      </c>
      <c r="AU37" s="7">
        <f t="shared" si="20"/>
        <v>44743</v>
      </c>
      <c r="AV37" s="7">
        <f t="shared" si="20"/>
        <v>44743</v>
      </c>
      <c r="AW37" s="7">
        <f t="shared" si="20"/>
        <v>44743</v>
      </c>
      <c r="AX37" s="7">
        <f t="shared" si="20"/>
        <v>44743</v>
      </c>
      <c r="AY37" s="7">
        <f t="shared" si="20"/>
        <v>44743</v>
      </c>
      <c r="AZ37" s="7">
        <f t="shared" si="20"/>
        <v>44743</v>
      </c>
      <c r="BA37" s="7">
        <f t="shared" si="20"/>
        <v>44743</v>
      </c>
      <c r="BB37" s="7">
        <f t="shared" si="20"/>
        <v>44743</v>
      </c>
      <c r="BC37" s="7">
        <f t="shared" si="20"/>
        <v>44743</v>
      </c>
      <c r="BD37" s="7">
        <f t="shared" si="20"/>
        <v>45108</v>
      </c>
      <c r="BE37" s="7">
        <f t="shared" si="20"/>
        <v>45108</v>
      </c>
      <c r="BF37" s="7">
        <f t="shared" si="20"/>
        <v>45108</v>
      </c>
      <c r="BG37" s="7">
        <f t="shared" si="20"/>
        <v>45108</v>
      </c>
      <c r="BH37" s="7">
        <f t="shared" si="20"/>
        <v>45108</v>
      </c>
      <c r="BI37" s="7">
        <f t="shared" si="20"/>
        <v>45108</v>
      </c>
      <c r="BJ37" s="3"/>
    </row>
    <row r="38" spans="5:62" x14ac:dyDescent="0.35">
      <c r="E38">
        <f t="shared" si="12"/>
        <v>8</v>
      </c>
      <c r="J38" t="str">
        <f t="shared" si="13"/>
        <v>date</v>
      </c>
      <c r="N38" s="78"/>
      <c r="O38" s="78"/>
      <c r="P38" s="78"/>
      <c r="Q38" s="78"/>
      <c r="R38" s="78"/>
      <c r="S38" s="78"/>
      <c r="T38" s="78"/>
      <c r="U38" s="7">
        <f t="shared" ref="U38:BI38" si="21">U20</f>
        <v>44044</v>
      </c>
      <c r="V38" s="7">
        <f t="shared" si="21"/>
        <v>44044</v>
      </c>
      <c r="W38" s="7">
        <f t="shared" si="21"/>
        <v>44044</v>
      </c>
      <c r="X38" s="7">
        <f t="shared" si="21"/>
        <v>44044</v>
      </c>
      <c r="Y38" s="7">
        <f t="shared" si="21"/>
        <v>44044</v>
      </c>
      <c r="Z38" s="7">
        <f t="shared" si="21"/>
        <v>44044</v>
      </c>
      <c r="AA38" s="7">
        <f t="shared" si="21"/>
        <v>44044</v>
      </c>
      <c r="AB38" s="7">
        <f t="shared" si="21"/>
        <v>44044</v>
      </c>
      <c r="AC38" s="7">
        <f t="shared" si="21"/>
        <v>44044</v>
      </c>
      <c r="AD38" s="7">
        <f t="shared" si="21"/>
        <v>44044</v>
      </c>
      <c r="AE38" s="7">
        <f t="shared" si="21"/>
        <v>44044</v>
      </c>
      <c r="AF38" s="7">
        <f t="shared" si="21"/>
        <v>44044</v>
      </c>
      <c r="AG38" s="7">
        <f t="shared" si="21"/>
        <v>44409</v>
      </c>
      <c r="AH38" s="7">
        <f t="shared" si="21"/>
        <v>44409</v>
      </c>
      <c r="AI38" s="7">
        <f t="shared" si="21"/>
        <v>44409</v>
      </c>
      <c r="AJ38" s="7">
        <f t="shared" si="21"/>
        <v>44409</v>
      </c>
      <c r="AK38" s="7">
        <f t="shared" si="21"/>
        <v>44409</v>
      </c>
      <c r="AL38" s="7">
        <f t="shared" si="21"/>
        <v>44409</v>
      </c>
      <c r="AM38" s="7">
        <f t="shared" si="21"/>
        <v>44409</v>
      </c>
      <c r="AN38" s="7">
        <f t="shared" si="21"/>
        <v>44409</v>
      </c>
      <c r="AO38" s="7">
        <f t="shared" si="21"/>
        <v>44409</v>
      </c>
      <c r="AP38" s="7">
        <f t="shared" si="21"/>
        <v>44409</v>
      </c>
      <c r="AQ38" s="7">
        <f t="shared" si="21"/>
        <v>44409</v>
      </c>
      <c r="AR38" s="7">
        <f t="shared" si="21"/>
        <v>44409</v>
      </c>
      <c r="AS38" s="7">
        <f t="shared" si="21"/>
        <v>44774</v>
      </c>
      <c r="AT38" s="7">
        <f t="shared" si="21"/>
        <v>44774</v>
      </c>
      <c r="AU38" s="7">
        <f t="shared" si="21"/>
        <v>44774</v>
      </c>
      <c r="AV38" s="7">
        <f t="shared" si="21"/>
        <v>44774</v>
      </c>
      <c r="AW38" s="7">
        <f t="shared" si="21"/>
        <v>44774</v>
      </c>
      <c r="AX38" s="7">
        <f t="shared" si="21"/>
        <v>44774</v>
      </c>
      <c r="AY38" s="7">
        <f t="shared" si="21"/>
        <v>44774</v>
      </c>
      <c r="AZ38" s="7">
        <f t="shared" si="21"/>
        <v>44774</v>
      </c>
      <c r="BA38" s="7">
        <f t="shared" si="21"/>
        <v>44774</v>
      </c>
      <c r="BB38" s="7">
        <f t="shared" si="21"/>
        <v>44774</v>
      </c>
      <c r="BC38" s="7">
        <f t="shared" si="21"/>
        <v>44774</v>
      </c>
      <c r="BD38" s="7">
        <f t="shared" si="21"/>
        <v>44774</v>
      </c>
      <c r="BE38" s="7">
        <f t="shared" si="21"/>
        <v>45139</v>
      </c>
      <c r="BF38" s="7">
        <f t="shared" si="21"/>
        <v>45139</v>
      </c>
      <c r="BG38" s="7">
        <f t="shared" si="21"/>
        <v>45139</v>
      </c>
      <c r="BH38" s="7">
        <f t="shared" si="21"/>
        <v>45139</v>
      </c>
      <c r="BI38" s="7">
        <f t="shared" si="21"/>
        <v>45139</v>
      </c>
      <c r="BJ38" s="3"/>
    </row>
    <row r="39" spans="5:62" x14ac:dyDescent="0.35">
      <c r="E39">
        <f t="shared" si="12"/>
        <v>9</v>
      </c>
      <c r="J39" t="str">
        <f t="shared" si="13"/>
        <v>date</v>
      </c>
      <c r="N39" s="78"/>
      <c r="O39" s="78"/>
      <c r="P39" s="78"/>
      <c r="Q39" s="78"/>
      <c r="R39" s="78"/>
      <c r="S39" s="78"/>
      <c r="T39" s="78"/>
      <c r="U39" s="78"/>
      <c r="V39" s="7">
        <f t="shared" ref="V39:BI39" si="22">V21</f>
        <v>44075</v>
      </c>
      <c r="W39" s="7">
        <f t="shared" si="22"/>
        <v>44075</v>
      </c>
      <c r="X39" s="7">
        <f t="shared" si="22"/>
        <v>44075</v>
      </c>
      <c r="Y39" s="7">
        <f t="shared" si="22"/>
        <v>44075</v>
      </c>
      <c r="Z39" s="7">
        <f t="shared" si="22"/>
        <v>44075</v>
      </c>
      <c r="AA39" s="7">
        <f t="shared" si="22"/>
        <v>44075</v>
      </c>
      <c r="AB39" s="7">
        <f t="shared" si="22"/>
        <v>44075</v>
      </c>
      <c r="AC39" s="7">
        <f t="shared" si="22"/>
        <v>44075</v>
      </c>
      <c r="AD39" s="7">
        <f t="shared" si="22"/>
        <v>44075</v>
      </c>
      <c r="AE39" s="7">
        <f t="shared" si="22"/>
        <v>44075</v>
      </c>
      <c r="AF39" s="7">
        <f t="shared" si="22"/>
        <v>44075</v>
      </c>
      <c r="AG39" s="7">
        <f t="shared" si="22"/>
        <v>44075</v>
      </c>
      <c r="AH39" s="7">
        <f t="shared" si="22"/>
        <v>44440</v>
      </c>
      <c r="AI39" s="7">
        <f t="shared" si="22"/>
        <v>44440</v>
      </c>
      <c r="AJ39" s="7">
        <f t="shared" si="22"/>
        <v>44440</v>
      </c>
      <c r="AK39" s="7">
        <f t="shared" si="22"/>
        <v>44440</v>
      </c>
      <c r="AL39" s="7">
        <f t="shared" si="22"/>
        <v>44440</v>
      </c>
      <c r="AM39" s="7">
        <f t="shared" si="22"/>
        <v>44440</v>
      </c>
      <c r="AN39" s="7">
        <f t="shared" si="22"/>
        <v>44440</v>
      </c>
      <c r="AO39" s="7">
        <f t="shared" si="22"/>
        <v>44440</v>
      </c>
      <c r="AP39" s="7">
        <f t="shared" si="22"/>
        <v>44440</v>
      </c>
      <c r="AQ39" s="7">
        <f t="shared" si="22"/>
        <v>44440</v>
      </c>
      <c r="AR39" s="7">
        <f t="shared" si="22"/>
        <v>44440</v>
      </c>
      <c r="AS39" s="7">
        <f t="shared" si="22"/>
        <v>44440</v>
      </c>
      <c r="AT39" s="7">
        <f t="shared" si="22"/>
        <v>44805</v>
      </c>
      <c r="AU39" s="7">
        <f t="shared" si="22"/>
        <v>44805</v>
      </c>
      <c r="AV39" s="7">
        <f t="shared" si="22"/>
        <v>44805</v>
      </c>
      <c r="AW39" s="7">
        <f t="shared" si="22"/>
        <v>44805</v>
      </c>
      <c r="AX39" s="7">
        <f t="shared" si="22"/>
        <v>44805</v>
      </c>
      <c r="AY39" s="7">
        <f t="shared" si="22"/>
        <v>44805</v>
      </c>
      <c r="AZ39" s="7">
        <f t="shared" si="22"/>
        <v>44805</v>
      </c>
      <c r="BA39" s="7">
        <f t="shared" si="22"/>
        <v>44805</v>
      </c>
      <c r="BB39" s="7">
        <f t="shared" si="22"/>
        <v>44805</v>
      </c>
      <c r="BC39" s="7">
        <f t="shared" si="22"/>
        <v>44805</v>
      </c>
      <c r="BD39" s="7">
        <f t="shared" si="22"/>
        <v>44805</v>
      </c>
      <c r="BE39" s="7">
        <f t="shared" si="22"/>
        <v>44805</v>
      </c>
      <c r="BF39" s="7">
        <f t="shared" si="22"/>
        <v>45170</v>
      </c>
      <c r="BG39" s="7">
        <f t="shared" si="22"/>
        <v>45170</v>
      </c>
      <c r="BH39" s="7">
        <f t="shared" si="22"/>
        <v>45170</v>
      </c>
      <c r="BI39" s="7">
        <f t="shared" si="22"/>
        <v>45170</v>
      </c>
      <c r="BJ39" s="3"/>
    </row>
    <row r="40" spans="5:62" x14ac:dyDescent="0.35">
      <c r="E40">
        <f t="shared" si="12"/>
        <v>10</v>
      </c>
      <c r="J40" t="str">
        <f t="shared" si="13"/>
        <v>date</v>
      </c>
      <c r="N40" s="78"/>
      <c r="O40" s="78"/>
      <c r="P40" s="78"/>
      <c r="Q40" s="78"/>
      <c r="R40" s="78"/>
      <c r="S40" s="78"/>
      <c r="T40" s="78"/>
      <c r="U40" s="78"/>
      <c r="V40" s="78"/>
      <c r="W40" s="7">
        <f t="shared" ref="W40:BI40" si="23">W22</f>
        <v>44105</v>
      </c>
      <c r="X40" s="7">
        <f t="shared" si="23"/>
        <v>44105</v>
      </c>
      <c r="Y40" s="7">
        <f t="shared" si="23"/>
        <v>44105</v>
      </c>
      <c r="Z40" s="7">
        <f t="shared" si="23"/>
        <v>44105</v>
      </c>
      <c r="AA40" s="7">
        <f t="shared" si="23"/>
        <v>44105</v>
      </c>
      <c r="AB40" s="7">
        <f t="shared" si="23"/>
        <v>44105</v>
      </c>
      <c r="AC40" s="7">
        <f t="shared" si="23"/>
        <v>44105</v>
      </c>
      <c r="AD40" s="7">
        <f t="shared" si="23"/>
        <v>44105</v>
      </c>
      <c r="AE40" s="7">
        <f t="shared" si="23"/>
        <v>44105</v>
      </c>
      <c r="AF40" s="7">
        <f t="shared" si="23"/>
        <v>44105</v>
      </c>
      <c r="AG40" s="7">
        <f t="shared" si="23"/>
        <v>44105</v>
      </c>
      <c r="AH40" s="7">
        <f t="shared" si="23"/>
        <v>44105</v>
      </c>
      <c r="AI40" s="7">
        <f t="shared" si="23"/>
        <v>44470</v>
      </c>
      <c r="AJ40" s="7">
        <f t="shared" si="23"/>
        <v>44470</v>
      </c>
      <c r="AK40" s="7">
        <f t="shared" si="23"/>
        <v>44470</v>
      </c>
      <c r="AL40" s="7">
        <f t="shared" si="23"/>
        <v>44470</v>
      </c>
      <c r="AM40" s="7">
        <f t="shared" si="23"/>
        <v>44470</v>
      </c>
      <c r="AN40" s="7">
        <f t="shared" si="23"/>
        <v>44470</v>
      </c>
      <c r="AO40" s="7">
        <f t="shared" si="23"/>
        <v>44470</v>
      </c>
      <c r="AP40" s="7">
        <f t="shared" si="23"/>
        <v>44470</v>
      </c>
      <c r="AQ40" s="7">
        <f t="shared" si="23"/>
        <v>44470</v>
      </c>
      <c r="AR40" s="7">
        <f t="shared" si="23"/>
        <v>44470</v>
      </c>
      <c r="AS40" s="7">
        <f t="shared" si="23"/>
        <v>44470</v>
      </c>
      <c r="AT40" s="7">
        <f t="shared" si="23"/>
        <v>44470</v>
      </c>
      <c r="AU40" s="7">
        <f t="shared" si="23"/>
        <v>44835</v>
      </c>
      <c r="AV40" s="7">
        <f t="shared" si="23"/>
        <v>44835</v>
      </c>
      <c r="AW40" s="7">
        <f t="shared" si="23"/>
        <v>44835</v>
      </c>
      <c r="AX40" s="7">
        <f t="shared" si="23"/>
        <v>44835</v>
      </c>
      <c r="AY40" s="7">
        <f t="shared" si="23"/>
        <v>44835</v>
      </c>
      <c r="AZ40" s="7">
        <f t="shared" si="23"/>
        <v>44835</v>
      </c>
      <c r="BA40" s="7">
        <f t="shared" si="23"/>
        <v>44835</v>
      </c>
      <c r="BB40" s="7">
        <f t="shared" si="23"/>
        <v>44835</v>
      </c>
      <c r="BC40" s="7">
        <f t="shared" si="23"/>
        <v>44835</v>
      </c>
      <c r="BD40" s="7">
        <f t="shared" si="23"/>
        <v>44835</v>
      </c>
      <c r="BE40" s="7">
        <f t="shared" si="23"/>
        <v>44835</v>
      </c>
      <c r="BF40" s="7">
        <f t="shared" si="23"/>
        <v>44835</v>
      </c>
      <c r="BG40" s="7">
        <f t="shared" si="23"/>
        <v>45200</v>
      </c>
      <c r="BH40" s="7">
        <f t="shared" si="23"/>
        <v>45200</v>
      </c>
      <c r="BI40" s="7">
        <f t="shared" si="23"/>
        <v>45200</v>
      </c>
      <c r="BJ40" s="3"/>
    </row>
    <row r="41" spans="5:62" x14ac:dyDescent="0.35">
      <c r="E41">
        <f t="shared" si="12"/>
        <v>11</v>
      </c>
      <c r="J41" t="str">
        <f t="shared" si="13"/>
        <v>date</v>
      </c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">
        <f t="shared" ref="X41:BI41" si="24">X23</f>
        <v>44136</v>
      </c>
      <c r="Y41" s="7">
        <f t="shared" si="24"/>
        <v>44136</v>
      </c>
      <c r="Z41" s="7">
        <f t="shared" si="24"/>
        <v>44136</v>
      </c>
      <c r="AA41" s="7">
        <f t="shared" si="24"/>
        <v>44136</v>
      </c>
      <c r="AB41" s="7">
        <f t="shared" si="24"/>
        <v>44136</v>
      </c>
      <c r="AC41" s="7">
        <f t="shared" si="24"/>
        <v>44136</v>
      </c>
      <c r="AD41" s="7">
        <f t="shared" si="24"/>
        <v>44136</v>
      </c>
      <c r="AE41" s="7">
        <f t="shared" si="24"/>
        <v>44136</v>
      </c>
      <c r="AF41" s="7">
        <f t="shared" si="24"/>
        <v>44136</v>
      </c>
      <c r="AG41" s="7">
        <f t="shared" si="24"/>
        <v>44136</v>
      </c>
      <c r="AH41" s="7">
        <f t="shared" si="24"/>
        <v>44136</v>
      </c>
      <c r="AI41" s="7">
        <f t="shared" si="24"/>
        <v>44136</v>
      </c>
      <c r="AJ41" s="7">
        <f t="shared" si="24"/>
        <v>44501</v>
      </c>
      <c r="AK41" s="7">
        <f t="shared" si="24"/>
        <v>44501</v>
      </c>
      <c r="AL41" s="7">
        <f t="shared" si="24"/>
        <v>44501</v>
      </c>
      <c r="AM41" s="7">
        <f t="shared" si="24"/>
        <v>44501</v>
      </c>
      <c r="AN41" s="7">
        <f t="shared" si="24"/>
        <v>44501</v>
      </c>
      <c r="AO41" s="7">
        <f t="shared" si="24"/>
        <v>44501</v>
      </c>
      <c r="AP41" s="7">
        <f t="shared" si="24"/>
        <v>44501</v>
      </c>
      <c r="AQ41" s="7">
        <f t="shared" si="24"/>
        <v>44501</v>
      </c>
      <c r="AR41" s="7">
        <f t="shared" si="24"/>
        <v>44501</v>
      </c>
      <c r="AS41" s="7">
        <f t="shared" si="24"/>
        <v>44501</v>
      </c>
      <c r="AT41" s="7">
        <f t="shared" si="24"/>
        <v>44501</v>
      </c>
      <c r="AU41" s="7">
        <f t="shared" si="24"/>
        <v>44501</v>
      </c>
      <c r="AV41" s="7">
        <f t="shared" si="24"/>
        <v>44866</v>
      </c>
      <c r="AW41" s="7">
        <f t="shared" si="24"/>
        <v>44866</v>
      </c>
      <c r="AX41" s="7">
        <f t="shared" si="24"/>
        <v>44866</v>
      </c>
      <c r="AY41" s="7">
        <f t="shared" si="24"/>
        <v>44866</v>
      </c>
      <c r="AZ41" s="7">
        <f t="shared" si="24"/>
        <v>44866</v>
      </c>
      <c r="BA41" s="7">
        <f t="shared" si="24"/>
        <v>44866</v>
      </c>
      <c r="BB41" s="7">
        <f t="shared" si="24"/>
        <v>44866</v>
      </c>
      <c r="BC41" s="7">
        <f t="shared" si="24"/>
        <v>44866</v>
      </c>
      <c r="BD41" s="7">
        <f t="shared" si="24"/>
        <v>44866</v>
      </c>
      <c r="BE41" s="7">
        <f t="shared" si="24"/>
        <v>44866</v>
      </c>
      <c r="BF41" s="7">
        <f t="shared" si="24"/>
        <v>44866</v>
      </c>
      <c r="BG41" s="7">
        <f t="shared" si="24"/>
        <v>44866</v>
      </c>
      <c r="BH41" s="7">
        <f t="shared" si="24"/>
        <v>45231</v>
      </c>
      <c r="BI41" s="7">
        <f t="shared" si="24"/>
        <v>45231</v>
      </c>
      <c r="BJ41" s="3"/>
    </row>
    <row r="42" spans="5:62" x14ac:dyDescent="0.35">
      <c r="E42">
        <f t="shared" si="12"/>
        <v>12</v>
      </c>
      <c r="J42" t="str">
        <f t="shared" si="13"/>
        <v>date</v>
      </c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">
        <f t="shared" ref="Y42:BI42" si="25">Y24</f>
        <v>44166</v>
      </c>
      <c r="Z42" s="7">
        <f t="shared" si="25"/>
        <v>44166</v>
      </c>
      <c r="AA42" s="7">
        <f t="shared" si="25"/>
        <v>44166</v>
      </c>
      <c r="AB42" s="7">
        <f t="shared" si="25"/>
        <v>44166</v>
      </c>
      <c r="AC42" s="7">
        <f t="shared" si="25"/>
        <v>44166</v>
      </c>
      <c r="AD42" s="7">
        <f t="shared" si="25"/>
        <v>44166</v>
      </c>
      <c r="AE42" s="7">
        <f t="shared" si="25"/>
        <v>44166</v>
      </c>
      <c r="AF42" s="7">
        <f t="shared" si="25"/>
        <v>44166</v>
      </c>
      <c r="AG42" s="7">
        <f t="shared" si="25"/>
        <v>44166</v>
      </c>
      <c r="AH42" s="7">
        <f t="shared" si="25"/>
        <v>44166</v>
      </c>
      <c r="AI42" s="7">
        <f t="shared" si="25"/>
        <v>44166</v>
      </c>
      <c r="AJ42" s="7">
        <f t="shared" si="25"/>
        <v>44166</v>
      </c>
      <c r="AK42" s="7">
        <f t="shared" si="25"/>
        <v>44531</v>
      </c>
      <c r="AL42" s="7">
        <f t="shared" si="25"/>
        <v>44531</v>
      </c>
      <c r="AM42" s="7">
        <f t="shared" si="25"/>
        <v>44531</v>
      </c>
      <c r="AN42" s="7">
        <f t="shared" si="25"/>
        <v>44531</v>
      </c>
      <c r="AO42" s="7">
        <f t="shared" si="25"/>
        <v>44531</v>
      </c>
      <c r="AP42" s="7">
        <f t="shared" si="25"/>
        <v>44531</v>
      </c>
      <c r="AQ42" s="7">
        <f t="shared" si="25"/>
        <v>44531</v>
      </c>
      <c r="AR42" s="7">
        <f t="shared" si="25"/>
        <v>44531</v>
      </c>
      <c r="AS42" s="7">
        <f t="shared" si="25"/>
        <v>44531</v>
      </c>
      <c r="AT42" s="7">
        <f t="shared" si="25"/>
        <v>44531</v>
      </c>
      <c r="AU42" s="7">
        <f t="shared" si="25"/>
        <v>44531</v>
      </c>
      <c r="AV42" s="7">
        <f t="shared" si="25"/>
        <v>44531</v>
      </c>
      <c r="AW42" s="7">
        <f t="shared" si="25"/>
        <v>44896</v>
      </c>
      <c r="AX42" s="7">
        <f t="shared" si="25"/>
        <v>44896</v>
      </c>
      <c r="AY42" s="7">
        <f t="shared" si="25"/>
        <v>44896</v>
      </c>
      <c r="AZ42" s="7">
        <f t="shared" si="25"/>
        <v>44896</v>
      </c>
      <c r="BA42" s="7">
        <f t="shared" si="25"/>
        <v>44896</v>
      </c>
      <c r="BB42" s="7">
        <f t="shared" si="25"/>
        <v>44896</v>
      </c>
      <c r="BC42" s="7">
        <f t="shared" si="25"/>
        <v>44896</v>
      </c>
      <c r="BD42" s="7">
        <f t="shared" si="25"/>
        <v>44896</v>
      </c>
      <c r="BE42" s="7">
        <f t="shared" si="25"/>
        <v>44896</v>
      </c>
      <c r="BF42" s="7">
        <f t="shared" si="25"/>
        <v>44896</v>
      </c>
      <c r="BG42" s="7">
        <f t="shared" si="25"/>
        <v>44896</v>
      </c>
      <c r="BH42" s="7">
        <f t="shared" si="25"/>
        <v>44896</v>
      </c>
      <c r="BI42" s="7">
        <f t="shared" si="25"/>
        <v>45261</v>
      </c>
      <c r="BJ42" s="3"/>
    </row>
    <row r="44" spans="5:62" x14ac:dyDescent="0.35">
      <c r="E44">
        <v>1</v>
      </c>
      <c r="J44" t="s">
        <v>64</v>
      </c>
      <c r="N44" s="41">
        <f>N$3-N31+1</f>
        <v>31</v>
      </c>
      <c r="O44" s="41">
        <f t="shared" ref="O44:BI49" si="26">O$3-O31+1</f>
        <v>60</v>
      </c>
      <c r="P44" s="41">
        <f t="shared" si="26"/>
        <v>91</v>
      </c>
      <c r="Q44" s="41">
        <f t="shared" si="26"/>
        <v>121</v>
      </c>
      <c r="R44" s="41">
        <f t="shared" si="26"/>
        <v>152</v>
      </c>
      <c r="S44" s="41">
        <f t="shared" si="26"/>
        <v>182</v>
      </c>
      <c r="T44" s="41">
        <f t="shared" si="26"/>
        <v>213</v>
      </c>
      <c r="U44" s="41">
        <f t="shared" si="26"/>
        <v>244</v>
      </c>
      <c r="V44" s="41">
        <f t="shared" si="26"/>
        <v>274</v>
      </c>
      <c r="W44" s="41">
        <f t="shared" si="26"/>
        <v>305</v>
      </c>
      <c r="X44" s="41">
        <f t="shared" si="26"/>
        <v>335</v>
      </c>
      <c r="Y44" s="41">
        <f t="shared" si="26"/>
        <v>366</v>
      </c>
      <c r="Z44" s="41">
        <f t="shared" si="26"/>
        <v>31</v>
      </c>
      <c r="AA44" s="41">
        <f t="shared" si="26"/>
        <v>59</v>
      </c>
      <c r="AB44" s="41">
        <f t="shared" si="26"/>
        <v>90</v>
      </c>
      <c r="AC44" s="41">
        <f t="shared" si="26"/>
        <v>120</v>
      </c>
      <c r="AD44" s="41">
        <f t="shared" si="26"/>
        <v>151</v>
      </c>
      <c r="AE44" s="41">
        <f t="shared" si="26"/>
        <v>181</v>
      </c>
      <c r="AF44" s="41">
        <f t="shared" si="26"/>
        <v>212</v>
      </c>
      <c r="AG44" s="41">
        <f t="shared" si="26"/>
        <v>243</v>
      </c>
      <c r="AH44" s="41">
        <f t="shared" si="26"/>
        <v>273</v>
      </c>
      <c r="AI44" s="41">
        <f t="shared" si="26"/>
        <v>304</v>
      </c>
      <c r="AJ44" s="41">
        <f t="shared" si="26"/>
        <v>334</v>
      </c>
      <c r="AK44" s="41">
        <f t="shared" si="26"/>
        <v>365</v>
      </c>
      <c r="AL44" s="41">
        <f t="shared" si="26"/>
        <v>31</v>
      </c>
      <c r="AM44" s="41">
        <f t="shared" si="26"/>
        <v>59</v>
      </c>
      <c r="AN44" s="41">
        <f t="shared" si="26"/>
        <v>90</v>
      </c>
      <c r="AO44" s="41">
        <f t="shared" si="26"/>
        <v>120</v>
      </c>
      <c r="AP44" s="41">
        <f t="shared" si="26"/>
        <v>151</v>
      </c>
      <c r="AQ44" s="41">
        <f t="shared" si="26"/>
        <v>181</v>
      </c>
      <c r="AR44" s="41">
        <f t="shared" si="26"/>
        <v>212</v>
      </c>
      <c r="AS44" s="41">
        <f t="shared" si="26"/>
        <v>243</v>
      </c>
      <c r="AT44" s="41">
        <f t="shared" si="26"/>
        <v>273</v>
      </c>
      <c r="AU44" s="41">
        <f t="shared" si="26"/>
        <v>304</v>
      </c>
      <c r="AV44" s="41">
        <f t="shared" si="26"/>
        <v>334</v>
      </c>
      <c r="AW44" s="41">
        <f t="shared" si="26"/>
        <v>365</v>
      </c>
      <c r="AX44" s="41">
        <f t="shared" si="26"/>
        <v>31</v>
      </c>
      <c r="AY44" s="41">
        <f t="shared" si="26"/>
        <v>59</v>
      </c>
      <c r="AZ44" s="41">
        <f t="shared" si="26"/>
        <v>90</v>
      </c>
      <c r="BA44" s="41">
        <f t="shared" si="26"/>
        <v>120</v>
      </c>
      <c r="BB44" s="41">
        <f t="shared" si="26"/>
        <v>151</v>
      </c>
      <c r="BC44" s="41">
        <f t="shared" si="26"/>
        <v>181</v>
      </c>
      <c r="BD44" s="41">
        <f t="shared" si="26"/>
        <v>212</v>
      </c>
      <c r="BE44" s="41">
        <f t="shared" si="26"/>
        <v>243</v>
      </c>
      <c r="BF44" s="41">
        <f t="shared" si="26"/>
        <v>273</v>
      </c>
      <c r="BG44" s="41">
        <f t="shared" si="26"/>
        <v>304</v>
      </c>
      <c r="BH44" s="41">
        <f t="shared" si="26"/>
        <v>334</v>
      </c>
      <c r="BI44" s="41">
        <f t="shared" si="26"/>
        <v>365</v>
      </c>
    </row>
    <row r="45" spans="5:62" x14ac:dyDescent="0.35">
      <c r="E45">
        <v>2</v>
      </c>
      <c r="J45" t="s">
        <v>64</v>
      </c>
      <c r="N45" s="92"/>
      <c r="O45" s="41">
        <f t="shared" si="26"/>
        <v>29</v>
      </c>
      <c r="P45" s="41">
        <f t="shared" si="26"/>
        <v>60</v>
      </c>
      <c r="Q45" s="41">
        <f t="shared" si="26"/>
        <v>90</v>
      </c>
      <c r="R45" s="41">
        <f t="shared" si="26"/>
        <v>121</v>
      </c>
      <c r="S45" s="41">
        <f t="shared" si="26"/>
        <v>151</v>
      </c>
      <c r="T45" s="41">
        <f t="shared" si="26"/>
        <v>182</v>
      </c>
      <c r="U45" s="41">
        <f t="shared" si="26"/>
        <v>213</v>
      </c>
      <c r="V45" s="41">
        <f t="shared" si="26"/>
        <v>243</v>
      </c>
      <c r="W45" s="41">
        <f t="shared" si="26"/>
        <v>274</v>
      </c>
      <c r="X45" s="41">
        <f t="shared" si="26"/>
        <v>304</v>
      </c>
      <c r="Y45" s="41">
        <f t="shared" si="26"/>
        <v>335</v>
      </c>
      <c r="Z45" s="41">
        <f t="shared" si="26"/>
        <v>366</v>
      </c>
      <c r="AA45" s="41">
        <f t="shared" si="26"/>
        <v>28</v>
      </c>
      <c r="AB45" s="41">
        <f t="shared" si="26"/>
        <v>59</v>
      </c>
      <c r="AC45" s="41">
        <f t="shared" si="26"/>
        <v>89</v>
      </c>
      <c r="AD45" s="41">
        <f t="shared" si="26"/>
        <v>120</v>
      </c>
      <c r="AE45" s="41">
        <f t="shared" si="26"/>
        <v>150</v>
      </c>
      <c r="AF45" s="41">
        <f t="shared" si="26"/>
        <v>181</v>
      </c>
      <c r="AG45" s="41">
        <f t="shared" si="26"/>
        <v>212</v>
      </c>
      <c r="AH45" s="41">
        <f t="shared" si="26"/>
        <v>242</v>
      </c>
      <c r="AI45" s="41">
        <f t="shared" si="26"/>
        <v>273</v>
      </c>
      <c r="AJ45" s="41">
        <f t="shared" si="26"/>
        <v>303</v>
      </c>
      <c r="AK45" s="41">
        <f t="shared" si="26"/>
        <v>334</v>
      </c>
      <c r="AL45" s="41">
        <f t="shared" si="26"/>
        <v>365</v>
      </c>
      <c r="AM45" s="41">
        <f t="shared" si="26"/>
        <v>28</v>
      </c>
      <c r="AN45" s="41">
        <f t="shared" si="26"/>
        <v>59</v>
      </c>
      <c r="AO45" s="41">
        <f t="shared" si="26"/>
        <v>89</v>
      </c>
      <c r="AP45" s="41">
        <f t="shared" si="26"/>
        <v>120</v>
      </c>
      <c r="AQ45" s="41">
        <f t="shared" si="26"/>
        <v>150</v>
      </c>
      <c r="AR45" s="41">
        <f t="shared" si="26"/>
        <v>181</v>
      </c>
      <c r="AS45" s="41">
        <f t="shared" si="26"/>
        <v>212</v>
      </c>
      <c r="AT45" s="41">
        <f t="shared" si="26"/>
        <v>242</v>
      </c>
      <c r="AU45" s="41">
        <f t="shared" si="26"/>
        <v>273</v>
      </c>
      <c r="AV45" s="41">
        <f t="shared" si="26"/>
        <v>303</v>
      </c>
      <c r="AW45" s="41">
        <f t="shared" si="26"/>
        <v>334</v>
      </c>
      <c r="AX45" s="41">
        <f t="shared" si="26"/>
        <v>365</v>
      </c>
      <c r="AY45" s="41">
        <f t="shared" si="26"/>
        <v>28</v>
      </c>
      <c r="AZ45" s="41">
        <f t="shared" si="26"/>
        <v>59</v>
      </c>
      <c r="BA45" s="41">
        <f t="shared" si="26"/>
        <v>89</v>
      </c>
      <c r="BB45" s="41">
        <f t="shared" si="26"/>
        <v>120</v>
      </c>
      <c r="BC45" s="41">
        <f t="shared" si="26"/>
        <v>150</v>
      </c>
      <c r="BD45" s="41">
        <f t="shared" si="26"/>
        <v>181</v>
      </c>
      <c r="BE45" s="41">
        <f t="shared" si="26"/>
        <v>212</v>
      </c>
      <c r="BF45" s="41">
        <f t="shared" si="26"/>
        <v>242</v>
      </c>
      <c r="BG45" s="41">
        <f t="shared" si="26"/>
        <v>273</v>
      </c>
      <c r="BH45" s="41">
        <f t="shared" si="26"/>
        <v>303</v>
      </c>
      <c r="BI45" s="41">
        <f t="shared" si="26"/>
        <v>334</v>
      </c>
    </row>
    <row r="46" spans="5:62" x14ac:dyDescent="0.35">
      <c r="E46">
        <v>3</v>
      </c>
      <c r="J46" t="s">
        <v>64</v>
      </c>
      <c r="N46" s="92"/>
      <c r="O46" s="92"/>
      <c r="P46" s="41">
        <f t="shared" si="26"/>
        <v>31</v>
      </c>
      <c r="Q46" s="41">
        <f t="shared" si="26"/>
        <v>61</v>
      </c>
      <c r="R46" s="41">
        <f t="shared" si="26"/>
        <v>92</v>
      </c>
      <c r="S46" s="41">
        <f t="shared" si="26"/>
        <v>122</v>
      </c>
      <c r="T46" s="41">
        <f t="shared" si="26"/>
        <v>153</v>
      </c>
      <c r="U46" s="41">
        <f t="shared" si="26"/>
        <v>184</v>
      </c>
      <c r="V46" s="41">
        <f t="shared" si="26"/>
        <v>214</v>
      </c>
      <c r="W46" s="41">
        <f t="shared" si="26"/>
        <v>245</v>
      </c>
      <c r="X46" s="41">
        <f t="shared" si="26"/>
        <v>275</v>
      </c>
      <c r="Y46" s="41">
        <f t="shared" si="26"/>
        <v>306</v>
      </c>
      <c r="Z46" s="41">
        <f t="shared" si="26"/>
        <v>337</v>
      </c>
      <c r="AA46" s="41">
        <f t="shared" si="26"/>
        <v>365</v>
      </c>
      <c r="AB46" s="41">
        <f t="shared" si="26"/>
        <v>31</v>
      </c>
      <c r="AC46" s="41">
        <f t="shared" si="26"/>
        <v>61</v>
      </c>
      <c r="AD46" s="41">
        <f t="shared" si="26"/>
        <v>92</v>
      </c>
      <c r="AE46" s="41">
        <f t="shared" si="26"/>
        <v>122</v>
      </c>
      <c r="AF46" s="41">
        <f t="shared" si="26"/>
        <v>153</v>
      </c>
      <c r="AG46" s="41">
        <f t="shared" si="26"/>
        <v>184</v>
      </c>
      <c r="AH46" s="41">
        <f t="shared" si="26"/>
        <v>214</v>
      </c>
      <c r="AI46" s="41">
        <f t="shared" si="26"/>
        <v>245</v>
      </c>
      <c r="AJ46" s="41">
        <f t="shared" si="26"/>
        <v>275</v>
      </c>
      <c r="AK46" s="41">
        <f t="shared" si="26"/>
        <v>306</v>
      </c>
      <c r="AL46" s="41">
        <f t="shared" si="26"/>
        <v>337</v>
      </c>
      <c r="AM46" s="41">
        <f t="shared" si="26"/>
        <v>365</v>
      </c>
      <c r="AN46" s="41">
        <f t="shared" si="26"/>
        <v>31</v>
      </c>
      <c r="AO46" s="41">
        <f t="shared" si="26"/>
        <v>61</v>
      </c>
      <c r="AP46" s="41">
        <f t="shared" si="26"/>
        <v>92</v>
      </c>
      <c r="AQ46" s="41">
        <f t="shared" si="26"/>
        <v>122</v>
      </c>
      <c r="AR46" s="41">
        <f t="shared" si="26"/>
        <v>153</v>
      </c>
      <c r="AS46" s="41">
        <f t="shared" si="26"/>
        <v>184</v>
      </c>
      <c r="AT46" s="41">
        <f t="shared" si="26"/>
        <v>214</v>
      </c>
      <c r="AU46" s="41">
        <f t="shared" si="26"/>
        <v>245</v>
      </c>
      <c r="AV46" s="41">
        <f t="shared" si="26"/>
        <v>275</v>
      </c>
      <c r="AW46" s="41">
        <f t="shared" si="26"/>
        <v>306</v>
      </c>
      <c r="AX46" s="41">
        <f t="shared" si="26"/>
        <v>337</v>
      </c>
      <c r="AY46" s="41">
        <f t="shared" si="26"/>
        <v>365</v>
      </c>
      <c r="AZ46" s="41">
        <f t="shared" si="26"/>
        <v>31</v>
      </c>
      <c r="BA46" s="41">
        <f t="shared" si="26"/>
        <v>61</v>
      </c>
      <c r="BB46" s="41">
        <f t="shared" si="26"/>
        <v>92</v>
      </c>
      <c r="BC46" s="41">
        <f t="shared" si="26"/>
        <v>122</v>
      </c>
      <c r="BD46" s="41">
        <f t="shared" si="26"/>
        <v>153</v>
      </c>
      <c r="BE46" s="41">
        <f t="shared" si="26"/>
        <v>184</v>
      </c>
      <c r="BF46" s="41">
        <f t="shared" si="26"/>
        <v>214</v>
      </c>
      <c r="BG46" s="41">
        <f t="shared" si="26"/>
        <v>245</v>
      </c>
      <c r="BH46" s="41">
        <f t="shared" si="26"/>
        <v>275</v>
      </c>
      <c r="BI46" s="41">
        <f t="shared" si="26"/>
        <v>306</v>
      </c>
    </row>
    <row r="47" spans="5:62" x14ac:dyDescent="0.35">
      <c r="E47">
        <v>4</v>
      </c>
      <c r="J47" t="s">
        <v>64</v>
      </c>
      <c r="N47" s="92"/>
      <c r="O47" s="92"/>
      <c r="P47" s="92"/>
      <c r="Q47" s="41">
        <f t="shared" si="26"/>
        <v>30</v>
      </c>
      <c r="R47" s="41">
        <f t="shared" si="26"/>
        <v>61</v>
      </c>
      <c r="S47" s="41">
        <f t="shared" si="26"/>
        <v>91</v>
      </c>
      <c r="T47" s="41">
        <f t="shared" si="26"/>
        <v>122</v>
      </c>
      <c r="U47" s="41">
        <f t="shared" si="26"/>
        <v>153</v>
      </c>
      <c r="V47" s="41">
        <f t="shared" si="26"/>
        <v>183</v>
      </c>
      <c r="W47" s="41">
        <f t="shared" si="26"/>
        <v>214</v>
      </c>
      <c r="X47" s="41">
        <f t="shared" si="26"/>
        <v>244</v>
      </c>
      <c r="Y47" s="41">
        <f t="shared" si="26"/>
        <v>275</v>
      </c>
      <c r="Z47" s="41">
        <f t="shared" si="26"/>
        <v>306</v>
      </c>
      <c r="AA47" s="41">
        <f t="shared" si="26"/>
        <v>334</v>
      </c>
      <c r="AB47" s="41">
        <f t="shared" si="26"/>
        <v>365</v>
      </c>
      <c r="AC47" s="41">
        <f t="shared" si="26"/>
        <v>30</v>
      </c>
      <c r="AD47" s="41">
        <f t="shared" si="26"/>
        <v>61</v>
      </c>
      <c r="AE47" s="41">
        <f t="shared" si="26"/>
        <v>91</v>
      </c>
      <c r="AF47" s="41">
        <f t="shared" si="26"/>
        <v>122</v>
      </c>
      <c r="AG47" s="41">
        <f t="shared" si="26"/>
        <v>153</v>
      </c>
      <c r="AH47" s="41">
        <f t="shared" si="26"/>
        <v>183</v>
      </c>
      <c r="AI47" s="41">
        <f t="shared" si="26"/>
        <v>214</v>
      </c>
      <c r="AJ47" s="41">
        <f t="shared" si="26"/>
        <v>244</v>
      </c>
      <c r="AK47" s="41">
        <f t="shared" si="26"/>
        <v>275</v>
      </c>
      <c r="AL47" s="41">
        <f t="shared" si="26"/>
        <v>306</v>
      </c>
      <c r="AM47" s="41">
        <f t="shared" si="26"/>
        <v>334</v>
      </c>
      <c r="AN47" s="41">
        <f t="shared" si="26"/>
        <v>365</v>
      </c>
      <c r="AO47" s="41">
        <f t="shared" si="26"/>
        <v>30</v>
      </c>
      <c r="AP47" s="41">
        <f t="shared" si="26"/>
        <v>61</v>
      </c>
      <c r="AQ47" s="41">
        <f t="shared" si="26"/>
        <v>91</v>
      </c>
      <c r="AR47" s="41">
        <f t="shared" si="26"/>
        <v>122</v>
      </c>
      <c r="AS47" s="41">
        <f t="shared" si="26"/>
        <v>153</v>
      </c>
      <c r="AT47" s="41">
        <f t="shared" si="26"/>
        <v>183</v>
      </c>
      <c r="AU47" s="41">
        <f t="shared" si="26"/>
        <v>214</v>
      </c>
      <c r="AV47" s="41">
        <f t="shared" si="26"/>
        <v>244</v>
      </c>
      <c r="AW47" s="41">
        <f t="shared" si="26"/>
        <v>275</v>
      </c>
      <c r="AX47" s="41">
        <f t="shared" si="26"/>
        <v>306</v>
      </c>
      <c r="AY47" s="41">
        <f t="shared" si="26"/>
        <v>334</v>
      </c>
      <c r="AZ47" s="41">
        <f t="shared" si="26"/>
        <v>365</v>
      </c>
      <c r="BA47" s="41">
        <f t="shared" si="26"/>
        <v>30</v>
      </c>
      <c r="BB47" s="41">
        <f t="shared" si="26"/>
        <v>61</v>
      </c>
      <c r="BC47" s="41">
        <f t="shared" si="26"/>
        <v>91</v>
      </c>
      <c r="BD47" s="41">
        <f t="shared" si="26"/>
        <v>122</v>
      </c>
      <c r="BE47" s="41">
        <f t="shared" si="26"/>
        <v>153</v>
      </c>
      <c r="BF47" s="41">
        <f t="shared" si="26"/>
        <v>183</v>
      </c>
      <c r="BG47" s="41">
        <f t="shared" si="26"/>
        <v>214</v>
      </c>
      <c r="BH47" s="41">
        <f t="shared" si="26"/>
        <v>244</v>
      </c>
      <c r="BI47" s="41">
        <f t="shared" si="26"/>
        <v>275</v>
      </c>
    </row>
    <row r="48" spans="5:62" x14ac:dyDescent="0.35">
      <c r="E48">
        <v>5</v>
      </c>
      <c r="J48" t="s">
        <v>64</v>
      </c>
      <c r="N48" s="92"/>
      <c r="O48" s="92"/>
      <c r="P48" s="92"/>
      <c r="Q48" s="92"/>
      <c r="R48" s="41">
        <f t="shared" si="26"/>
        <v>31</v>
      </c>
      <c r="S48" s="41">
        <f t="shared" si="26"/>
        <v>61</v>
      </c>
      <c r="T48" s="41">
        <f t="shared" si="26"/>
        <v>92</v>
      </c>
      <c r="U48" s="41">
        <f t="shared" si="26"/>
        <v>123</v>
      </c>
      <c r="V48" s="41">
        <f t="shared" si="26"/>
        <v>153</v>
      </c>
      <c r="W48" s="41">
        <f t="shared" si="26"/>
        <v>184</v>
      </c>
      <c r="X48" s="41">
        <f t="shared" si="26"/>
        <v>214</v>
      </c>
      <c r="Y48" s="41">
        <f t="shared" si="26"/>
        <v>245</v>
      </c>
      <c r="Z48" s="41">
        <f t="shared" si="26"/>
        <v>276</v>
      </c>
      <c r="AA48" s="41">
        <f t="shared" si="26"/>
        <v>304</v>
      </c>
      <c r="AB48" s="41">
        <f t="shared" si="26"/>
        <v>335</v>
      </c>
      <c r="AC48" s="41">
        <f t="shared" si="26"/>
        <v>365</v>
      </c>
      <c r="AD48" s="41">
        <f t="shared" si="26"/>
        <v>31</v>
      </c>
      <c r="AE48" s="41">
        <f t="shared" si="26"/>
        <v>61</v>
      </c>
      <c r="AF48" s="41">
        <f t="shared" si="26"/>
        <v>92</v>
      </c>
      <c r="AG48" s="41">
        <f t="shared" si="26"/>
        <v>123</v>
      </c>
      <c r="AH48" s="41">
        <f t="shared" si="26"/>
        <v>153</v>
      </c>
      <c r="AI48" s="41">
        <f t="shared" si="26"/>
        <v>184</v>
      </c>
      <c r="AJ48" s="41">
        <f t="shared" si="26"/>
        <v>214</v>
      </c>
      <c r="AK48" s="41">
        <f t="shared" si="26"/>
        <v>245</v>
      </c>
      <c r="AL48" s="41">
        <f t="shared" si="26"/>
        <v>276</v>
      </c>
      <c r="AM48" s="41">
        <f t="shared" si="26"/>
        <v>304</v>
      </c>
      <c r="AN48" s="41">
        <f t="shared" si="26"/>
        <v>335</v>
      </c>
      <c r="AO48" s="41">
        <f t="shared" si="26"/>
        <v>365</v>
      </c>
      <c r="AP48" s="41">
        <f t="shared" si="26"/>
        <v>31</v>
      </c>
      <c r="AQ48" s="41">
        <f t="shared" si="26"/>
        <v>61</v>
      </c>
      <c r="AR48" s="41">
        <f t="shared" si="26"/>
        <v>92</v>
      </c>
      <c r="AS48" s="41">
        <f t="shared" si="26"/>
        <v>123</v>
      </c>
      <c r="AT48" s="41">
        <f t="shared" si="26"/>
        <v>153</v>
      </c>
      <c r="AU48" s="41">
        <f t="shared" si="26"/>
        <v>184</v>
      </c>
      <c r="AV48" s="41">
        <f t="shared" si="26"/>
        <v>214</v>
      </c>
      <c r="AW48" s="41">
        <f t="shared" si="26"/>
        <v>245</v>
      </c>
      <c r="AX48" s="41">
        <f t="shared" si="26"/>
        <v>276</v>
      </c>
      <c r="AY48" s="41">
        <f t="shared" si="26"/>
        <v>304</v>
      </c>
      <c r="AZ48" s="41">
        <f t="shared" si="26"/>
        <v>335</v>
      </c>
      <c r="BA48" s="41">
        <f t="shared" si="26"/>
        <v>365</v>
      </c>
      <c r="BB48" s="41">
        <f t="shared" si="26"/>
        <v>31</v>
      </c>
      <c r="BC48" s="41">
        <f t="shared" si="26"/>
        <v>61</v>
      </c>
      <c r="BD48" s="41">
        <f t="shared" si="26"/>
        <v>92</v>
      </c>
      <c r="BE48" s="41">
        <f t="shared" si="26"/>
        <v>123</v>
      </c>
      <c r="BF48" s="41">
        <f t="shared" si="26"/>
        <v>153</v>
      </c>
      <c r="BG48" s="41">
        <f t="shared" si="26"/>
        <v>184</v>
      </c>
      <c r="BH48" s="41">
        <f t="shared" si="26"/>
        <v>214</v>
      </c>
      <c r="BI48" s="41">
        <f t="shared" si="26"/>
        <v>245</v>
      </c>
    </row>
    <row r="49" spans="5:61" x14ac:dyDescent="0.35">
      <c r="E49">
        <v>6</v>
      </c>
      <c r="J49" t="s">
        <v>64</v>
      </c>
      <c r="N49" s="92"/>
      <c r="O49" s="92"/>
      <c r="P49" s="92"/>
      <c r="Q49" s="92"/>
      <c r="R49" s="92"/>
      <c r="S49" s="41">
        <f t="shared" si="26"/>
        <v>30</v>
      </c>
      <c r="T49" s="41">
        <f t="shared" si="26"/>
        <v>61</v>
      </c>
      <c r="U49" s="41">
        <f t="shared" si="26"/>
        <v>92</v>
      </c>
      <c r="V49" s="41">
        <f t="shared" si="26"/>
        <v>122</v>
      </c>
      <c r="W49" s="41">
        <f t="shared" si="26"/>
        <v>153</v>
      </c>
      <c r="X49" s="41">
        <f t="shared" si="26"/>
        <v>183</v>
      </c>
      <c r="Y49" s="41">
        <f t="shared" si="26"/>
        <v>214</v>
      </c>
      <c r="Z49" s="41">
        <f t="shared" si="26"/>
        <v>245</v>
      </c>
      <c r="AA49" s="41">
        <f t="shared" si="26"/>
        <v>273</v>
      </c>
      <c r="AB49" s="41">
        <f t="shared" si="26"/>
        <v>304</v>
      </c>
      <c r="AC49" s="41">
        <f t="shared" si="26"/>
        <v>334</v>
      </c>
      <c r="AD49" s="41">
        <f t="shared" si="26"/>
        <v>365</v>
      </c>
      <c r="AE49" s="41">
        <f t="shared" si="26"/>
        <v>30</v>
      </c>
      <c r="AF49" s="41">
        <f t="shared" si="26"/>
        <v>61</v>
      </c>
      <c r="AG49" s="41">
        <f t="shared" si="26"/>
        <v>92</v>
      </c>
      <c r="AH49" s="41">
        <f t="shared" si="26"/>
        <v>122</v>
      </c>
      <c r="AI49" s="41">
        <f t="shared" si="26"/>
        <v>153</v>
      </c>
      <c r="AJ49" s="41">
        <f t="shared" si="26"/>
        <v>183</v>
      </c>
      <c r="AK49" s="41">
        <f t="shared" si="26"/>
        <v>214</v>
      </c>
      <c r="AL49" s="41">
        <f t="shared" si="26"/>
        <v>245</v>
      </c>
      <c r="AM49" s="41">
        <f t="shared" si="26"/>
        <v>273</v>
      </c>
      <c r="AN49" s="41">
        <f t="shared" si="26"/>
        <v>304</v>
      </c>
      <c r="AO49" s="41">
        <f t="shared" si="26"/>
        <v>334</v>
      </c>
      <c r="AP49" s="41">
        <f t="shared" si="26"/>
        <v>365</v>
      </c>
      <c r="AQ49" s="41">
        <f t="shared" si="26"/>
        <v>30</v>
      </c>
      <c r="AR49" s="41">
        <f t="shared" si="26"/>
        <v>61</v>
      </c>
      <c r="AS49" s="41">
        <f t="shared" ref="AS49:BI49" si="27">AS$3-AS36+1</f>
        <v>92</v>
      </c>
      <c r="AT49" s="41">
        <f t="shared" si="27"/>
        <v>122</v>
      </c>
      <c r="AU49" s="41">
        <f t="shared" si="27"/>
        <v>153</v>
      </c>
      <c r="AV49" s="41">
        <f t="shared" si="27"/>
        <v>183</v>
      </c>
      <c r="AW49" s="41">
        <f t="shared" si="27"/>
        <v>214</v>
      </c>
      <c r="AX49" s="41">
        <f t="shared" si="27"/>
        <v>245</v>
      </c>
      <c r="AY49" s="41">
        <f t="shared" si="27"/>
        <v>273</v>
      </c>
      <c r="AZ49" s="41">
        <f t="shared" si="27"/>
        <v>304</v>
      </c>
      <c r="BA49" s="41">
        <f t="shared" si="27"/>
        <v>334</v>
      </c>
      <c r="BB49" s="41">
        <f t="shared" si="27"/>
        <v>365</v>
      </c>
      <c r="BC49" s="41">
        <f t="shared" si="27"/>
        <v>30</v>
      </c>
      <c r="BD49" s="41">
        <f t="shared" si="27"/>
        <v>61</v>
      </c>
      <c r="BE49" s="41">
        <f t="shared" si="27"/>
        <v>92</v>
      </c>
      <c r="BF49" s="41">
        <f t="shared" si="27"/>
        <v>122</v>
      </c>
      <c r="BG49" s="41">
        <f t="shared" si="27"/>
        <v>153</v>
      </c>
      <c r="BH49" s="41">
        <f t="shared" si="27"/>
        <v>183</v>
      </c>
      <c r="BI49" s="41">
        <f t="shared" si="27"/>
        <v>214</v>
      </c>
    </row>
    <row r="50" spans="5:61" x14ac:dyDescent="0.35">
      <c r="E50">
        <v>7</v>
      </c>
      <c r="J50" t="s">
        <v>64</v>
      </c>
      <c r="N50" s="92"/>
      <c r="O50" s="92"/>
      <c r="P50" s="92"/>
      <c r="Q50" s="92"/>
      <c r="R50" s="92"/>
      <c r="S50" s="92"/>
      <c r="T50" s="41">
        <f t="shared" ref="T50:BI55" si="28">T$3-T37+1</f>
        <v>31</v>
      </c>
      <c r="U50" s="41">
        <f t="shared" si="28"/>
        <v>62</v>
      </c>
      <c r="V50" s="41">
        <f t="shared" si="28"/>
        <v>92</v>
      </c>
      <c r="W50" s="41">
        <f t="shared" si="28"/>
        <v>123</v>
      </c>
      <c r="X50" s="41">
        <f t="shared" si="28"/>
        <v>153</v>
      </c>
      <c r="Y50" s="41">
        <f t="shared" si="28"/>
        <v>184</v>
      </c>
      <c r="Z50" s="41">
        <f t="shared" si="28"/>
        <v>215</v>
      </c>
      <c r="AA50" s="41">
        <f t="shared" si="28"/>
        <v>243</v>
      </c>
      <c r="AB50" s="41">
        <f t="shared" si="28"/>
        <v>274</v>
      </c>
      <c r="AC50" s="41">
        <f t="shared" si="28"/>
        <v>304</v>
      </c>
      <c r="AD50" s="41">
        <f t="shared" si="28"/>
        <v>335</v>
      </c>
      <c r="AE50" s="41">
        <f t="shared" si="28"/>
        <v>365</v>
      </c>
      <c r="AF50" s="41">
        <f t="shared" si="28"/>
        <v>31</v>
      </c>
      <c r="AG50" s="41">
        <f t="shared" si="28"/>
        <v>62</v>
      </c>
      <c r="AH50" s="41">
        <f t="shared" si="28"/>
        <v>92</v>
      </c>
      <c r="AI50" s="41">
        <f t="shared" si="28"/>
        <v>123</v>
      </c>
      <c r="AJ50" s="41">
        <f t="shared" si="28"/>
        <v>153</v>
      </c>
      <c r="AK50" s="41">
        <f t="shared" si="28"/>
        <v>184</v>
      </c>
      <c r="AL50" s="41">
        <f t="shared" si="28"/>
        <v>215</v>
      </c>
      <c r="AM50" s="41">
        <f t="shared" si="28"/>
        <v>243</v>
      </c>
      <c r="AN50" s="41">
        <f t="shared" si="28"/>
        <v>274</v>
      </c>
      <c r="AO50" s="41">
        <f t="shared" si="28"/>
        <v>304</v>
      </c>
      <c r="AP50" s="41">
        <f t="shared" si="28"/>
        <v>335</v>
      </c>
      <c r="AQ50" s="41">
        <f t="shared" si="28"/>
        <v>365</v>
      </c>
      <c r="AR50" s="41">
        <f t="shared" si="28"/>
        <v>31</v>
      </c>
      <c r="AS50" s="41">
        <f t="shared" si="28"/>
        <v>62</v>
      </c>
      <c r="AT50" s="41">
        <f t="shared" si="28"/>
        <v>92</v>
      </c>
      <c r="AU50" s="41">
        <f t="shared" si="28"/>
        <v>123</v>
      </c>
      <c r="AV50" s="41">
        <f t="shared" si="28"/>
        <v>153</v>
      </c>
      <c r="AW50" s="41">
        <f t="shared" si="28"/>
        <v>184</v>
      </c>
      <c r="AX50" s="41">
        <f t="shared" si="28"/>
        <v>215</v>
      </c>
      <c r="AY50" s="41">
        <f t="shared" si="28"/>
        <v>243</v>
      </c>
      <c r="AZ50" s="41">
        <f t="shared" si="28"/>
        <v>274</v>
      </c>
      <c r="BA50" s="41">
        <f t="shared" si="28"/>
        <v>304</v>
      </c>
      <c r="BB50" s="41">
        <f t="shared" si="28"/>
        <v>335</v>
      </c>
      <c r="BC50" s="41">
        <f t="shared" si="28"/>
        <v>365</v>
      </c>
      <c r="BD50" s="41">
        <f t="shared" si="28"/>
        <v>31</v>
      </c>
      <c r="BE50" s="41">
        <f t="shared" si="28"/>
        <v>62</v>
      </c>
      <c r="BF50" s="41">
        <f t="shared" si="28"/>
        <v>92</v>
      </c>
      <c r="BG50" s="41">
        <f t="shared" si="28"/>
        <v>123</v>
      </c>
      <c r="BH50" s="41">
        <f t="shared" si="28"/>
        <v>153</v>
      </c>
      <c r="BI50" s="41">
        <f t="shared" si="28"/>
        <v>184</v>
      </c>
    </row>
    <row r="51" spans="5:61" x14ac:dyDescent="0.35">
      <c r="E51">
        <v>8</v>
      </c>
      <c r="J51" t="s">
        <v>64</v>
      </c>
      <c r="N51" s="92"/>
      <c r="O51" s="92"/>
      <c r="P51" s="92"/>
      <c r="Q51" s="92"/>
      <c r="R51" s="92"/>
      <c r="S51" s="92"/>
      <c r="T51" s="92"/>
      <c r="U51" s="41">
        <f t="shared" si="28"/>
        <v>31</v>
      </c>
      <c r="V51" s="41">
        <f t="shared" si="28"/>
        <v>61</v>
      </c>
      <c r="W51" s="41">
        <f t="shared" si="28"/>
        <v>92</v>
      </c>
      <c r="X51" s="41">
        <f t="shared" si="28"/>
        <v>122</v>
      </c>
      <c r="Y51" s="41">
        <f t="shared" si="28"/>
        <v>153</v>
      </c>
      <c r="Z51" s="41">
        <f t="shared" si="28"/>
        <v>184</v>
      </c>
      <c r="AA51" s="41">
        <f t="shared" si="28"/>
        <v>212</v>
      </c>
      <c r="AB51" s="41">
        <f t="shared" si="28"/>
        <v>243</v>
      </c>
      <c r="AC51" s="41">
        <f t="shared" si="28"/>
        <v>273</v>
      </c>
      <c r="AD51" s="41">
        <f t="shared" si="28"/>
        <v>304</v>
      </c>
      <c r="AE51" s="41">
        <f t="shared" si="28"/>
        <v>334</v>
      </c>
      <c r="AF51" s="41">
        <f t="shared" si="28"/>
        <v>365</v>
      </c>
      <c r="AG51" s="41">
        <f t="shared" si="28"/>
        <v>31</v>
      </c>
      <c r="AH51" s="41">
        <f t="shared" si="28"/>
        <v>61</v>
      </c>
      <c r="AI51" s="41">
        <f t="shared" si="28"/>
        <v>92</v>
      </c>
      <c r="AJ51" s="41">
        <f t="shared" si="28"/>
        <v>122</v>
      </c>
      <c r="AK51" s="41">
        <f t="shared" si="28"/>
        <v>153</v>
      </c>
      <c r="AL51" s="41">
        <f t="shared" si="28"/>
        <v>184</v>
      </c>
      <c r="AM51" s="41">
        <f t="shared" si="28"/>
        <v>212</v>
      </c>
      <c r="AN51" s="41">
        <f t="shared" si="28"/>
        <v>243</v>
      </c>
      <c r="AO51" s="41">
        <f t="shared" si="28"/>
        <v>273</v>
      </c>
      <c r="AP51" s="41">
        <f t="shared" si="28"/>
        <v>304</v>
      </c>
      <c r="AQ51" s="41">
        <f t="shared" si="28"/>
        <v>334</v>
      </c>
      <c r="AR51" s="41">
        <f t="shared" si="28"/>
        <v>365</v>
      </c>
      <c r="AS51" s="41">
        <f t="shared" si="28"/>
        <v>31</v>
      </c>
      <c r="AT51" s="41">
        <f t="shared" si="28"/>
        <v>61</v>
      </c>
      <c r="AU51" s="41">
        <f t="shared" si="28"/>
        <v>92</v>
      </c>
      <c r="AV51" s="41">
        <f t="shared" si="28"/>
        <v>122</v>
      </c>
      <c r="AW51" s="41">
        <f t="shared" si="28"/>
        <v>153</v>
      </c>
      <c r="AX51" s="41">
        <f t="shared" si="28"/>
        <v>184</v>
      </c>
      <c r="AY51" s="41">
        <f t="shared" si="28"/>
        <v>212</v>
      </c>
      <c r="AZ51" s="41">
        <f t="shared" si="28"/>
        <v>243</v>
      </c>
      <c r="BA51" s="41">
        <f t="shared" si="28"/>
        <v>273</v>
      </c>
      <c r="BB51" s="41">
        <f t="shared" si="28"/>
        <v>304</v>
      </c>
      <c r="BC51" s="41">
        <f t="shared" si="28"/>
        <v>334</v>
      </c>
      <c r="BD51" s="41">
        <f t="shared" si="28"/>
        <v>365</v>
      </c>
      <c r="BE51" s="41">
        <f t="shared" si="28"/>
        <v>31</v>
      </c>
      <c r="BF51" s="41">
        <f t="shared" si="28"/>
        <v>61</v>
      </c>
      <c r="BG51" s="41">
        <f t="shared" si="28"/>
        <v>92</v>
      </c>
      <c r="BH51" s="41">
        <f t="shared" si="28"/>
        <v>122</v>
      </c>
      <c r="BI51" s="41">
        <f t="shared" si="28"/>
        <v>153</v>
      </c>
    </row>
    <row r="52" spans="5:61" x14ac:dyDescent="0.35">
      <c r="E52">
        <v>9</v>
      </c>
      <c r="J52" t="s">
        <v>64</v>
      </c>
      <c r="N52" s="92"/>
      <c r="O52" s="92"/>
      <c r="P52" s="92"/>
      <c r="Q52" s="92"/>
      <c r="R52" s="92"/>
      <c r="S52" s="92"/>
      <c r="T52" s="92"/>
      <c r="U52" s="92"/>
      <c r="V52" s="41">
        <f t="shared" si="28"/>
        <v>30</v>
      </c>
      <c r="W52" s="41">
        <f t="shared" si="28"/>
        <v>61</v>
      </c>
      <c r="X52" s="41">
        <f t="shared" si="28"/>
        <v>91</v>
      </c>
      <c r="Y52" s="41">
        <f t="shared" si="28"/>
        <v>122</v>
      </c>
      <c r="Z52" s="41">
        <f t="shared" si="28"/>
        <v>153</v>
      </c>
      <c r="AA52" s="41">
        <f t="shared" si="28"/>
        <v>181</v>
      </c>
      <c r="AB52" s="41">
        <f t="shared" si="28"/>
        <v>212</v>
      </c>
      <c r="AC52" s="41">
        <f t="shared" si="28"/>
        <v>242</v>
      </c>
      <c r="AD52" s="41">
        <f t="shared" si="28"/>
        <v>273</v>
      </c>
      <c r="AE52" s="41">
        <f t="shared" si="28"/>
        <v>303</v>
      </c>
      <c r="AF52" s="41">
        <f t="shared" si="28"/>
        <v>334</v>
      </c>
      <c r="AG52" s="41">
        <f t="shared" si="28"/>
        <v>365</v>
      </c>
      <c r="AH52" s="41">
        <f t="shared" si="28"/>
        <v>30</v>
      </c>
      <c r="AI52" s="41">
        <f t="shared" si="28"/>
        <v>61</v>
      </c>
      <c r="AJ52" s="41">
        <f t="shared" si="28"/>
        <v>91</v>
      </c>
      <c r="AK52" s="41">
        <f t="shared" si="28"/>
        <v>122</v>
      </c>
      <c r="AL52" s="41">
        <f t="shared" si="28"/>
        <v>153</v>
      </c>
      <c r="AM52" s="41">
        <f t="shared" si="28"/>
        <v>181</v>
      </c>
      <c r="AN52" s="41">
        <f t="shared" si="28"/>
        <v>212</v>
      </c>
      <c r="AO52" s="41">
        <f t="shared" si="28"/>
        <v>242</v>
      </c>
      <c r="AP52" s="41">
        <f t="shared" si="28"/>
        <v>273</v>
      </c>
      <c r="AQ52" s="41">
        <f t="shared" si="28"/>
        <v>303</v>
      </c>
      <c r="AR52" s="41">
        <f t="shared" si="28"/>
        <v>334</v>
      </c>
      <c r="AS52" s="41">
        <f t="shared" si="28"/>
        <v>365</v>
      </c>
      <c r="AT52" s="41">
        <f t="shared" si="28"/>
        <v>30</v>
      </c>
      <c r="AU52" s="41">
        <f t="shared" si="28"/>
        <v>61</v>
      </c>
      <c r="AV52" s="41">
        <f t="shared" si="28"/>
        <v>91</v>
      </c>
      <c r="AW52" s="41">
        <f t="shared" si="28"/>
        <v>122</v>
      </c>
      <c r="AX52" s="41">
        <f t="shared" si="28"/>
        <v>153</v>
      </c>
      <c r="AY52" s="41">
        <f t="shared" si="28"/>
        <v>181</v>
      </c>
      <c r="AZ52" s="41">
        <f t="shared" si="28"/>
        <v>212</v>
      </c>
      <c r="BA52" s="41">
        <f t="shared" si="28"/>
        <v>242</v>
      </c>
      <c r="BB52" s="41">
        <f t="shared" si="28"/>
        <v>273</v>
      </c>
      <c r="BC52" s="41">
        <f t="shared" si="28"/>
        <v>303</v>
      </c>
      <c r="BD52" s="41">
        <f t="shared" si="28"/>
        <v>334</v>
      </c>
      <c r="BE52" s="41">
        <f t="shared" si="28"/>
        <v>365</v>
      </c>
      <c r="BF52" s="41">
        <f t="shared" si="28"/>
        <v>30</v>
      </c>
      <c r="BG52" s="41">
        <f t="shared" si="28"/>
        <v>61</v>
      </c>
      <c r="BH52" s="41">
        <f t="shared" si="28"/>
        <v>91</v>
      </c>
      <c r="BI52" s="41">
        <f t="shared" si="28"/>
        <v>122</v>
      </c>
    </row>
    <row r="53" spans="5:61" x14ac:dyDescent="0.35">
      <c r="E53">
        <v>10</v>
      </c>
      <c r="J53" t="s">
        <v>64</v>
      </c>
      <c r="N53" s="92"/>
      <c r="O53" s="92"/>
      <c r="P53" s="92"/>
      <c r="Q53" s="92"/>
      <c r="R53" s="92"/>
      <c r="S53" s="92"/>
      <c r="T53" s="92"/>
      <c r="U53" s="92"/>
      <c r="V53" s="92"/>
      <c r="W53" s="41">
        <f t="shared" si="28"/>
        <v>31</v>
      </c>
      <c r="X53" s="41">
        <f t="shared" si="28"/>
        <v>61</v>
      </c>
      <c r="Y53" s="41">
        <f t="shared" si="28"/>
        <v>92</v>
      </c>
      <c r="Z53" s="41">
        <f t="shared" si="28"/>
        <v>123</v>
      </c>
      <c r="AA53" s="41">
        <f t="shared" si="28"/>
        <v>151</v>
      </c>
      <c r="AB53" s="41">
        <f t="shared" si="28"/>
        <v>182</v>
      </c>
      <c r="AC53" s="41">
        <f t="shared" si="28"/>
        <v>212</v>
      </c>
      <c r="AD53" s="41">
        <f t="shared" si="28"/>
        <v>243</v>
      </c>
      <c r="AE53" s="41">
        <f t="shared" si="28"/>
        <v>273</v>
      </c>
      <c r="AF53" s="41">
        <f t="shared" si="28"/>
        <v>304</v>
      </c>
      <c r="AG53" s="41">
        <f t="shared" si="28"/>
        <v>335</v>
      </c>
      <c r="AH53" s="41">
        <f t="shared" si="28"/>
        <v>365</v>
      </c>
      <c r="AI53" s="41">
        <f t="shared" si="28"/>
        <v>31</v>
      </c>
      <c r="AJ53" s="41">
        <f t="shared" si="28"/>
        <v>61</v>
      </c>
      <c r="AK53" s="41">
        <f t="shared" si="28"/>
        <v>92</v>
      </c>
      <c r="AL53" s="41">
        <f t="shared" si="28"/>
        <v>123</v>
      </c>
      <c r="AM53" s="41">
        <f t="shared" si="28"/>
        <v>151</v>
      </c>
      <c r="AN53" s="41">
        <f t="shared" si="28"/>
        <v>182</v>
      </c>
      <c r="AO53" s="41">
        <f t="shared" si="28"/>
        <v>212</v>
      </c>
      <c r="AP53" s="41">
        <f t="shared" si="28"/>
        <v>243</v>
      </c>
      <c r="AQ53" s="41">
        <f t="shared" si="28"/>
        <v>273</v>
      </c>
      <c r="AR53" s="41">
        <f t="shared" si="28"/>
        <v>304</v>
      </c>
      <c r="AS53" s="41">
        <f t="shared" si="28"/>
        <v>335</v>
      </c>
      <c r="AT53" s="41">
        <f t="shared" si="28"/>
        <v>365</v>
      </c>
      <c r="AU53" s="41">
        <f t="shared" si="28"/>
        <v>31</v>
      </c>
      <c r="AV53" s="41">
        <f t="shared" si="28"/>
        <v>61</v>
      </c>
      <c r="AW53" s="41">
        <f t="shared" si="28"/>
        <v>92</v>
      </c>
      <c r="AX53" s="41">
        <f t="shared" si="28"/>
        <v>123</v>
      </c>
      <c r="AY53" s="41">
        <f t="shared" si="28"/>
        <v>151</v>
      </c>
      <c r="AZ53" s="41">
        <f t="shared" si="28"/>
        <v>182</v>
      </c>
      <c r="BA53" s="41">
        <f t="shared" si="28"/>
        <v>212</v>
      </c>
      <c r="BB53" s="41">
        <f t="shared" si="28"/>
        <v>243</v>
      </c>
      <c r="BC53" s="41">
        <f t="shared" si="28"/>
        <v>273</v>
      </c>
      <c r="BD53" s="41">
        <f t="shared" si="28"/>
        <v>304</v>
      </c>
      <c r="BE53" s="41">
        <f t="shared" si="28"/>
        <v>335</v>
      </c>
      <c r="BF53" s="41">
        <f t="shared" si="28"/>
        <v>365</v>
      </c>
      <c r="BG53" s="41">
        <f t="shared" si="28"/>
        <v>31</v>
      </c>
      <c r="BH53" s="41">
        <f t="shared" si="28"/>
        <v>61</v>
      </c>
      <c r="BI53" s="41">
        <f t="shared" si="28"/>
        <v>92</v>
      </c>
    </row>
    <row r="54" spans="5:61" x14ac:dyDescent="0.35">
      <c r="E54">
        <v>11</v>
      </c>
      <c r="J54" t="s">
        <v>64</v>
      </c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41">
        <f t="shared" si="28"/>
        <v>30</v>
      </c>
      <c r="Y54" s="41">
        <f t="shared" si="28"/>
        <v>61</v>
      </c>
      <c r="Z54" s="41">
        <f t="shared" si="28"/>
        <v>92</v>
      </c>
      <c r="AA54" s="41">
        <f t="shared" si="28"/>
        <v>120</v>
      </c>
      <c r="AB54" s="41">
        <f t="shared" si="28"/>
        <v>151</v>
      </c>
      <c r="AC54" s="41">
        <f t="shared" si="28"/>
        <v>181</v>
      </c>
      <c r="AD54" s="41">
        <f t="shared" si="28"/>
        <v>212</v>
      </c>
      <c r="AE54" s="41">
        <f t="shared" si="28"/>
        <v>242</v>
      </c>
      <c r="AF54" s="41">
        <f t="shared" si="28"/>
        <v>273</v>
      </c>
      <c r="AG54" s="41">
        <f t="shared" si="28"/>
        <v>304</v>
      </c>
      <c r="AH54" s="41">
        <f t="shared" si="28"/>
        <v>334</v>
      </c>
      <c r="AI54" s="41">
        <f t="shared" si="28"/>
        <v>365</v>
      </c>
      <c r="AJ54" s="41">
        <f t="shared" si="28"/>
        <v>30</v>
      </c>
      <c r="AK54" s="41">
        <f t="shared" si="28"/>
        <v>61</v>
      </c>
      <c r="AL54" s="41">
        <f t="shared" si="28"/>
        <v>92</v>
      </c>
      <c r="AM54" s="41">
        <f t="shared" si="28"/>
        <v>120</v>
      </c>
      <c r="AN54" s="41">
        <f t="shared" si="28"/>
        <v>151</v>
      </c>
      <c r="AO54" s="41">
        <f t="shared" si="28"/>
        <v>181</v>
      </c>
      <c r="AP54" s="41">
        <f t="shared" si="28"/>
        <v>212</v>
      </c>
      <c r="AQ54" s="41">
        <f t="shared" si="28"/>
        <v>242</v>
      </c>
      <c r="AR54" s="41">
        <f t="shared" si="28"/>
        <v>273</v>
      </c>
      <c r="AS54" s="41">
        <f t="shared" si="28"/>
        <v>304</v>
      </c>
      <c r="AT54" s="41">
        <f t="shared" si="28"/>
        <v>334</v>
      </c>
      <c r="AU54" s="41">
        <f t="shared" si="28"/>
        <v>365</v>
      </c>
      <c r="AV54" s="41">
        <f t="shared" si="28"/>
        <v>30</v>
      </c>
      <c r="AW54" s="41">
        <f t="shared" si="28"/>
        <v>61</v>
      </c>
      <c r="AX54" s="41">
        <f t="shared" si="28"/>
        <v>92</v>
      </c>
      <c r="AY54" s="41">
        <f t="shared" si="28"/>
        <v>120</v>
      </c>
      <c r="AZ54" s="41">
        <f t="shared" si="28"/>
        <v>151</v>
      </c>
      <c r="BA54" s="41">
        <f t="shared" si="28"/>
        <v>181</v>
      </c>
      <c r="BB54" s="41">
        <f t="shared" si="28"/>
        <v>212</v>
      </c>
      <c r="BC54" s="41">
        <f t="shared" si="28"/>
        <v>242</v>
      </c>
      <c r="BD54" s="41">
        <f t="shared" si="28"/>
        <v>273</v>
      </c>
      <c r="BE54" s="41">
        <f t="shared" si="28"/>
        <v>304</v>
      </c>
      <c r="BF54" s="41">
        <f t="shared" si="28"/>
        <v>334</v>
      </c>
      <c r="BG54" s="41">
        <f t="shared" si="28"/>
        <v>365</v>
      </c>
      <c r="BH54" s="41">
        <f t="shared" si="28"/>
        <v>30</v>
      </c>
      <c r="BI54" s="41">
        <f t="shared" si="28"/>
        <v>61</v>
      </c>
    </row>
    <row r="55" spans="5:61" x14ac:dyDescent="0.35">
      <c r="E55">
        <v>12</v>
      </c>
      <c r="J55" t="s">
        <v>64</v>
      </c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41">
        <f t="shared" si="28"/>
        <v>31</v>
      </c>
      <c r="Z55" s="41">
        <f t="shared" si="28"/>
        <v>62</v>
      </c>
      <c r="AA55" s="41">
        <f t="shared" si="28"/>
        <v>90</v>
      </c>
      <c r="AB55" s="41">
        <f t="shared" si="28"/>
        <v>121</v>
      </c>
      <c r="AC55" s="41">
        <f t="shared" si="28"/>
        <v>151</v>
      </c>
      <c r="AD55" s="41">
        <f t="shared" si="28"/>
        <v>182</v>
      </c>
      <c r="AE55" s="41">
        <f t="shared" si="28"/>
        <v>212</v>
      </c>
      <c r="AF55" s="41">
        <f t="shared" si="28"/>
        <v>243</v>
      </c>
      <c r="AG55" s="41">
        <f t="shared" si="28"/>
        <v>274</v>
      </c>
      <c r="AH55" s="41">
        <f t="shared" si="28"/>
        <v>304</v>
      </c>
      <c r="AI55" s="41">
        <f t="shared" si="28"/>
        <v>335</v>
      </c>
      <c r="AJ55" s="41">
        <f t="shared" si="28"/>
        <v>365</v>
      </c>
      <c r="AK55" s="41">
        <f t="shared" si="28"/>
        <v>31</v>
      </c>
      <c r="AL55" s="41">
        <f t="shared" si="28"/>
        <v>62</v>
      </c>
      <c r="AM55" s="41">
        <f t="shared" si="28"/>
        <v>90</v>
      </c>
      <c r="AN55" s="41">
        <f t="shared" si="28"/>
        <v>121</v>
      </c>
      <c r="AO55" s="41">
        <f t="shared" si="28"/>
        <v>151</v>
      </c>
      <c r="AP55" s="41">
        <f t="shared" si="28"/>
        <v>182</v>
      </c>
      <c r="AQ55" s="41">
        <f t="shared" si="28"/>
        <v>212</v>
      </c>
      <c r="AR55" s="41">
        <f t="shared" si="28"/>
        <v>243</v>
      </c>
      <c r="AS55" s="41">
        <f t="shared" si="28"/>
        <v>274</v>
      </c>
      <c r="AT55" s="41">
        <f t="shared" si="28"/>
        <v>304</v>
      </c>
      <c r="AU55" s="41">
        <f t="shared" si="28"/>
        <v>335</v>
      </c>
      <c r="AV55" s="41">
        <f t="shared" si="28"/>
        <v>365</v>
      </c>
      <c r="AW55" s="41">
        <f t="shared" si="28"/>
        <v>31</v>
      </c>
      <c r="AX55" s="41">
        <f t="shared" si="28"/>
        <v>62</v>
      </c>
      <c r="AY55" s="41">
        <f t="shared" si="28"/>
        <v>90</v>
      </c>
      <c r="AZ55" s="41">
        <f t="shared" si="28"/>
        <v>121</v>
      </c>
      <c r="BA55" s="41">
        <f t="shared" si="28"/>
        <v>151</v>
      </c>
      <c r="BB55" s="41">
        <f t="shared" si="28"/>
        <v>182</v>
      </c>
      <c r="BC55" s="41">
        <f t="shared" si="28"/>
        <v>212</v>
      </c>
      <c r="BD55" s="41">
        <f t="shared" si="28"/>
        <v>243</v>
      </c>
      <c r="BE55" s="41">
        <f t="shared" si="28"/>
        <v>274</v>
      </c>
      <c r="BF55" s="41">
        <f t="shared" si="28"/>
        <v>304</v>
      </c>
      <c r="BG55" s="41">
        <f t="shared" si="28"/>
        <v>335</v>
      </c>
      <c r="BH55" s="41">
        <f t="shared" si="28"/>
        <v>365</v>
      </c>
      <c r="BI55" s="41">
        <f t="shared" si="28"/>
        <v>31</v>
      </c>
    </row>
    <row r="57" spans="5:61" x14ac:dyDescent="0.35">
      <c r="E57">
        <v>1</v>
      </c>
      <c r="J57" t="s">
        <v>80</v>
      </c>
      <c r="N57" s="13">
        <f>_xlfn.NORM.DIST(N44,$I$28,$I$29,TRUE)</f>
        <v>8.5399054709917942E-6</v>
      </c>
      <c r="O57" s="13">
        <f t="shared" ref="O57:O58" si="29">_xlfn.NORM.DIST(O44,$I$28,$I$29,TRUE)</f>
        <v>8.0756659233771053E-2</v>
      </c>
      <c r="P57" s="13">
        <f t="shared" ref="P57:P59" si="30">_xlfn.NORM.DIST(P44,$I$28,$I$29,TRUE)</f>
        <v>0.95543453724145699</v>
      </c>
      <c r="Q57" s="13">
        <f t="shared" ref="Q57:Q60" si="31">_xlfn.NORM.DIST(Q44,$I$28,$I$29,TRUE)</f>
        <v>0.99999869919254614</v>
      </c>
      <c r="R57" s="13">
        <f t="shared" ref="R57:R61" si="32">_xlfn.NORM.DIST(R44,$I$28,$I$29,TRUE)</f>
        <v>0.99999999999999689</v>
      </c>
      <c r="S57" s="13">
        <f t="shared" ref="S57:S62" si="33">_xlfn.NORM.DIST(S44,$I$28,$I$29,TRUE)</f>
        <v>1</v>
      </c>
      <c r="T57" s="13">
        <f t="shared" ref="T57:T63" si="34">_xlfn.NORM.DIST(T44,$I$28,$I$29,TRUE)</f>
        <v>1</v>
      </c>
      <c r="U57" s="13">
        <f t="shared" ref="U57:U64" si="35">_xlfn.NORM.DIST(U44,$I$28,$I$29,TRUE)</f>
        <v>1</v>
      </c>
      <c r="V57" s="13">
        <f t="shared" ref="V57:V65" si="36">_xlfn.NORM.DIST(V44,$I$28,$I$29,TRUE)</f>
        <v>1</v>
      </c>
      <c r="W57" s="13">
        <f t="shared" ref="W57:W66" si="37">_xlfn.NORM.DIST(W44,$I$28,$I$29,TRUE)</f>
        <v>1</v>
      </c>
      <c r="X57" s="13">
        <f t="shared" ref="X57:X67" si="38">_xlfn.NORM.DIST(X44,$I$28,$I$29,TRUE)</f>
        <v>1</v>
      </c>
      <c r="Y57" s="13">
        <f t="shared" ref="Y57:BI57" si="39">_xlfn.NORM.DIST(Y44,$I$28,$I$29,TRUE)</f>
        <v>1</v>
      </c>
      <c r="Z57" s="13">
        <f t="shared" si="39"/>
        <v>8.5399054709917942E-6</v>
      </c>
      <c r="AA57" s="13">
        <f t="shared" si="39"/>
        <v>6.6807201268858057E-2</v>
      </c>
      <c r="AB57" s="13">
        <f t="shared" si="39"/>
        <v>0.94520070830044201</v>
      </c>
      <c r="AC57" s="13">
        <f t="shared" si="39"/>
        <v>0.9999978875452975</v>
      </c>
      <c r="AD57" s="13">
        <f t="shared" si="39"/>
        <v>0.99999999999999323</v>
      </c>
      <c r="AE57" s="13">
        <f t="shared" si="39"/>
        <v>1</v>
      </c>
      <c r="AF57" s="13">
        <f t="shared" si="39"/>
        <v>1</v>
      </c>
      <c r="AG57" s="13">
        <f t="shared" si="39"/>
        <v>1</v>
      </c>
      <c r="AH57" s="13">
        <f t="shared" si="39"/>
        <v>1</v>
      </c>
      <c r="AI57" s="13">
        <f t="shared" si="39"/>
        <v>1</v>
      </c>
      <c r="AJ57" s="13">
        <f t="shared" si="39"/>
        <v>1</v>
      </c>
      <c r="AK57" s="13">
        <f t="shared" si="39"/>
        <v>1</v>
      </c>
      <c r="AL57" s="13">
        <f t="shared" si="39"/>
        <v>8.5399054709917942E-6</v>
      </c>
      <c r="AM57" s="13">
        <f t="shared" si="39"/>
        <v>6.6807201268858057E-2</v>
      </c>
      <c r="AN57" s="13">
        <f t="shared" si="39"/>
        <v>0.94520070830044201</v>
      </c>
      <c r="AO57" s="13">
        <f t="shared" si="39"/>
        <v>0.9999978875452975</v>
      </c>
      <c r="AP57" s="13">
        <f t="shared" si="39"/>
        <v>0.99999999999999323</v>
      </c>
      <c r="AQ57" s="13">
        <f t="shared" si="39"/>
        <v>1</v>
      </c>
      <c r="AR57" s="13">
        <f t="shared" si="39"/>
        <v>1</v>
      </c>
      <c r="AS57" s="13">
        <f t="shared" si="39"/>
        <v>1</v>
      </c>
      <c r="AT57" s="13">
        <f t="shared" si="39"/>
        <v>1</v>
      </c>
      <c r="AU57" s="13">
        <f t="shared" si="39"/>
        <v>1</v>
      </c>
      <c r="AV57" s="13">
        <f t="shared" si="39"/>
        <v>1</v>
      </c>
      <c r="AW57" s="13">
        <f t="shared" si="39"/>
        <v>1</v>
      </c>
      <c r="AX57" s="13">
        <f t="shared" si="39"/>
        <v>8.5399054709917942E-6</v>
      </c>
      <c r="AY57" s="13">
        <f t="shared" si="39"/>
        <v>6.6807201268858057E-2</v>
      </c>
      <c r="AZ57" s="13">
        <f t="shared" si="39"/>
        <v>0.94520070830044201</v>
      </c>
      <c r="BA57" s="13">
        <f t="shared" si="39"/>
        <v>0.9999978875452975</v>
      </c>
      <c r="BB57" s="13">
        <f t="shared" si="39"/>
        <v>0.99999999999999323</v>
      </c>
      <c r="BC57" s="13">
        <f t="shared" si="39"/>
        <v>1</v>
      </c>
      <c r="BD57" s="13">
        <f t="shared" si="39"/>
        <v>1</v>
      </c>
      <c r="BE57" s="13">
        <f t="shared" si="39"/>
        <v>1</v>
      </c>
      <c r="BF57" s="13">
        <f t="shared" si="39"/>
        <v>1</v>
      </c>
      <c r="BG57" s="13">
        <f t="shared" si="39"/>
        <v>1</v>
      </c>
      <c r="BH57" s="13">
        <f t="shared" si="39"/>
        <v>1</v>
      </c>
      <c r="BI57" s="13">
        <f t="shared" si="39"/>
        <v>1</v>
      </c>
    </row>
    <row r="58" spans="5:61" x14ac:dyDescent="0.35">
      <c r="E58">
        <v>2</v>
      </c>
      <c r="J58" t="s">
        <v>80</v>
      </c>
      <c r="N58" s="78"/>
      <c r="O58" s="13">
        <f t="shared" si="29"/>
        <v>3.3976731247300535E-6</v>
      </c>
      <c r="P58" s="13">
        <f t="shared" si="30"/>
        <v>8.0756659233771053E-2</v>
      </c>
      <c r="Q58" s="13">
        <f t="shared" si="31"/>
        <v>0.94520070830044201</v>
      </c>
      <c r="R58" s="13">
        <f t="shared" si="32"/>
        <v>0.99999869919254614</v>
      </c>
      <c r="S58" s="13">
        <f t="shared" si="33"/>
        <v>0.99999999999999323</v>
      </c>
      <c r="T58" s="13">
        <f t="shared" si="34"/>
        <v>1</v>
      </c>
      <c r="U58" s="13">
        <f t="shared" si="35"/>
        <v>1</v>
      </c>
      <c r="V58" s="13">
        <f t="shared" si="36"/>
        <v>1</v>
      </c>
      <c r="W58" s="13">
        <f t="shared" si="37"/>
        <v>1</v>
      </c>
      <c r="X58" s="13">
        <f t="shared" si="38"/>
        <v>1</v>
      </c>
      <c r="Y58" s="13">
        <f t="shared" ref="Y58:BI58" si="40">_xlfn.NORM.DIST(Y45,$I$28,$I$29,TRUE)</f>
        <v>1</v>
      </c>
      <c r="Z58" s="13">
        <f t="shared" si="40"/>
        <v>1</v>
      </c>
      <c r="AA58" s="13">
        <f t="shared" si="40"/>
        <v>2.1124547025028533E-6</v>
      </c>
      <c r="AB58" s="13">
        <f t="shared" si="40"/>
        <v>6.6807201268858057E-2</v>
      </c>
      <c r="AC58" s="13">
        <f t="shared" si="40"/>
        <v>0.93319279873114191</v>
      </c>
      <c r="AD58" s="13">
        <f t="shared" si="40"/>
        <v>0.9999978875452975</v>
      </c>
      <c r="AE58" s="13">
        <f t="shared" si="40"/>
        <v>0.99999999999998523</v>
      </c>
      <c r="AF58" s="13">
        <f t="shared" si="40"/>
        <v>1</v>
      </c>
      <c r="AG58" s="13">
        <f t="shared" si="40"/>
        <v>1</v>
      </c>
      <c r="AH58" s="13">
        <f t="shared" si="40"/>
        <v>1</v>
      </c>
      <c r="AI58" s="13">
        <f t="shared" si="40"/>
        <v>1</v>
      </c>
      <c r="AJ58" s="13">
        <f t="shared" si="40"/>
        <v>1</v>
      </c>
      <c r="AK58" s="13">
        <f t="shared" si="40"/>
        <v>1</v>
      </c>
      <c r="AL58" s="13">
        <f t="shared" si="40"/>
        <v>1</v>
      </c>
      <c r="AM58" s="13">
        <f t="shared" si="40"/>
        <v>2.1124547025028533E-6</v>
      </c>
      <c r="AN58" s="13">
        <f t="shared" si="40"/>
        <v>6.6807201268858057E-2</v>
      </c>
      <c r="AO58" s="13">
        <f t="shared" si="40"/>
        <v>0.93319279873114191</v>
      </c>
      <c r="AP58" s="13">
        <f t="shared" si="40"/>
        <v>0.9999978875452975</v>
      </c>
      <c r="AQ58" s="13">
        <f t="shared" si="40"/>
        <v>0.99999999999998523</v>
      </c>
      <c r="AR58" s="13">
        <f t="shared" si="40"/>
        <v>1</v>
      </c>
      <c r="AS58" s="13">
        <f t="shared" si="40"/>
        <v>1</v>
      </c>
      <c r="AT58" s="13">
        <f t="shared" si="40"/>
        <v>1</v>
      </c>
      <c r="AU58" s="13">
        <f t="shared" si="40"/>
        <v>1</v>
      </c>
      <c r="AV58" s="13">
        <f t="shared" si="40"/>
        <v>1</v>
      </c>
      <c r="AW58" s="13">
        <f t="shared" si="40"/>
        <v>1</v>
      </c>
      <c r="AX58" s="13">
        <f t="shared" si="40"/>
        <v>1</v>
      </c>
      <c r="AY58" s="13">
        <f t="shared" si="40"/>
        <v>2.1124547025028533E-6</v>
      </c>
      <c r="AZ58" s="13">
        <f t="shared" si="40"/>
        <v>6.6807201268858057E-2</v>
      </c>
      <c r="BA58" s="13">
        <f t="shared" si="40"/>
        <v>0.93319279873114191</v>
      </c>
      <c r="BB58" s="13">
        <f t="shared" si="40"/>
        <v>0.9999978875452975</v>
      </c>
      <c r="BC58" s="13">
        <f t="shared" si="40"/>
        <v>0.99999999999998523</v>
      </c>
      <c r="BD58" s="13">
        <f t="shared" si="40"/>
        <v>1</v>
      </c>
      <c r="BE58" s="13">
        <f t="shared" si="40"/>
        <v>1</v>
      </c>
      <c r="BF58" s="13">
        <f t="shared" si="40"/>
        <v>1</v>
      </c>
      <c r="BG58" s="13">
        <f t="shared" si="40"/>
        <v>1</v>
      </c>
      <c r="BH58" s="13">
        <f t="shared" si="40"/>
        <v>1</v>
      </c>
      <c r="BI58" s="13">
        <f t="shared" si="40"/>
        <v>1</v>
      </c>
    </row>
    <row r="59" spans="5:61" x14ac:dyDescent="0.35">
      <c r="E59">
        <v>3</v>
      </c>
      <c r="J59" t="s">
        <v>80</v>
      </c>
      <c r="N59" s="78"/>
      <c r="O59" s="78"/>
      <c r="P59" s="13">
        <f t="shared" si="30"/>
        <v>8.5399054709917942E-6</v>
      </c>
      <c r="Q59" s="13">
        <f t="shared" si="31"/>
        <v>9.6800484585610316E-2</v>
      </c>
      <c r="R59" s="13">
        <f t="shared" si="32"/>
        <v>0.96406968088707423</v>
      </c>
      <c r="S59" s="13">
        <f t="shared" si="33"/>
        <v>0.99999920667184805</v>
      </c>
      <c r="T59" s="13">
        <f t="shared" si="34"/>
        <v>0.99999999999999856</v>
      </c>
      <c r="U59" s="13">
        <f t="shared" si="35"/>
        <v>1</v>
      </c>
      <c r="V59" s="13">
        <f t="shared" si="36"/>
        <v>1</v>
      </c>
      <c r="W59" s="13">
        <f t="shared" si="37"/>
        <v>1</v>
      </c>
      <c r="X59" s="13">
        <f t="shared" si="38"/>
        <v>1</v>
      </c>
      <c r="Y59" s="13">
        <f t="shared" ref="Y59:BI59" si="41">_xlfn.NORM.DIST(Y46,$I$28,$I$29,TRUE)</f>
        <v>1</v>
      </c>
      <c r="Z59" s="13">
        <f t="shared" si="41"/>
        <v>1</v>
      </c>
      <c r="AA59" s="13">
        <f t="shared" si="41"/>
        <v>1</v>
      </c>
      <c r="AB59" s="13">
        <f t="shared" si="41"/>
        <v>8.5399054709917942E-6</v>
      </c>
      <c r="AC59" s="13">
        <f t="shared" si="41"/>
        <v>9.6800484585610316E-2</v>
      </c>
      <c r="AD59" s="13">
        <f t="shared" si="41"/>
        <v>0.96406968088707423</v>
      </c>
      <c r="AE59" s="13">
        <f t="shared" si="41"/>
        <v>0.99999920667184805</v>
      </c>
      <c r="AF59" s="13">
        <f t="shared" si="41"/>
        <v>0.99999999999999856</v>
      </c>
      <c r="AG59" s="13">
        <f t="shared" si="41"/>
        <v>1</v>
      </c>
      <c r="AH59" s="13">
        <f t="shared" si="41"/>
        <v>1</v>
      </c>
      <c r="AI59" s="13">
        <f t="shared" si="41"/>
        <v>1</v>
      </c>
      <c r="AJ59" s="13">
        <f t="shared" si="41"/>
        <v>1</v>
      </c>
      <c r="AK59" s="13">
        <f t="shared" si="41"/>
        <v>1</v>
      </c>
      <c r="AL59" s="13">
        <f t="shared" si="41"/>
        <v>1</v>
      </c>
      <c r="AM59" s="13">
        <f t="shared" si="41"/>
        <v>1</v>
      </c>
      <c r="AN59" s="13">
        <f t="shared" si="41"/>
        <v>8.5399054709917942E-6</v>
      </c>
      <c r="AO59" s="13">
        <f t="shared" si="41"/>
        <v>9.6800484585610316E-2</v>
      </c>
      <c r="AP59" s="13">
        <f t="shared" si="41"/>
        <v>0.96406968088707423</v>
      </c>
      <c r="AQ59" s="13">
        <f t="shared" si="41"/>
        <v>0.99999920667184805</v>
      </c>
      <c r="AR59" s="13">
        <f t="shared" si="41"/>
        <v>0.99999999999999856</v>
      </c>
      <c r="AS59" s="13">
        <f t="shared" si="41"/>
        <v>1</v>
      </c>
      <c r="AT59" s="13">
        <f t="shared" si="41"/>
        <v>1</v>
      </c>
      <c r="AU59" s="13">
        <f t="shared" si="41"/>
        <v>1</v>
      </c>
      <c r="AV59" s="13">
        <f t="shared" si="41"/>
        <v>1</v>
      </c>
      <c r="AW59" s="13">
        <f t="shared" si="41"/>
        <v>1</v>
      </c>
      <c r="AX59" s="13">
        <f t="shared" si="41"/>
        <v>1</v>
      </c>
      <c r="AY59" s="13">
        <f t="shared" si="41"/>
        <v>1</v>
      </c>
      <c r="AZ59" s="13">
        <f t="shared" si="41"/>
        <v>8.5399054709917942E-6</v>
      </c>
      <c r="BA59" s="13">
        <f t="shared" si="41"/>
        <v>9.6800484585610316E-2</v>
      </c>
      <c r="BB59" s="13">
        <f t="shared" si="41"/>
        <v>0.96406968088707423</v>
      </c>
      <c r="BC59" s="13">
        <f t="shared" si="41"/>
        <v>0.99999920667184805</v>
      </c>
      <c r="BD59" s="13">
        <f t="shared" si="41"/>
        <v>0.99999999999999856</v>
      </c>
      <c r="BE59" s="13">
        <f t="shared" si="41"/>
        <v>1</v>
      </c>
      <c r="BF59" s="13">
        <f t="shared" si="41"/>
        <v>1</v>
      </c>
      <c r="BG59" s="13">
        <f t="shared" si="41"/>
        <v>1</v>
      </c>
      <c r="BH59" s="13">
        <f t="shared" si="41"/>
        <v>1</v>
      </c>
      <c r="BI59" s="13">
        <f t="shared" si="41"/>
        <v>1</v>
      </c>
    </row>
    <row r="60" spans="5:61" x14ac:dyDescent="0.35">
      <c r="E60">
        <v>4</v>
      </c>
      <c r="J60" t="s">
        <v>80</v>
      </c>
      <c r="N60" s="78"/>
      <c r="O60" s="78"/>
      <c r="P60" s="78"/>
      <c r="Q60" s="13">
        <f t="shared" si="31"/>
        <v>5.4125439077038416E-6</v>
      </c>
      <c r="R60" s="13">
        <f t="shared" si="32"/>
        <v>9.6800484585610316E-2</v>
      </c>
      <c r="S60" s="13">
        <f t="shared" si="33"/>
        <v>0.95543453724145699</v>
      </c>
      <c r="T60" s="13">
        <f t="shared" si="34"/>
        <v>0.99999920667184805</v>
      </c>
      <c r="U60" s="13">
        <f t="shared" si="35"/>
        <v>0.99999999999999856</v>
      </c>
      <c r="V60" s="13">
        <f t="shared" si="36"/>
        <v>1</v>
      </c>
      <c r="W60" s="13">
        <f t="shared" si="37"/>
        <v>1</v>
      </c>
      <c r="X60" s="13">
        <f t="shared" si="38"/>
        <v>1</v>
      </c>
      <c r="Y60" s="13">
        <f t="shared" ref="Y60:BI60" si="42">_xlfn.NORM.DIST(Y47,$I$28,$I$29,TRUE)</f>
        <v>1</v>
      </c>
      <c r="Z60" s="13">
        <f t="shared" si="42"/>
        <v>1</v>
      </c>
      <c r="AA60" s="13">
        <f t="shared" si="42"/>
        <v>1</v>
      </c>
      <c r="AB60" s="13">
        <f t="shared" si="42"/>
        <v>1</v>
      </c>
      <c r="AC60" s="13">
        <f t="shared" si="42"/>
        <v>5.4125439077038416E-6</v>
      </c>
      <c r="AD60" s="13">
        <f t="shared" si="42"/>
        <v>9.6800484585610316E-2</v>
      </c>
      <c r="AE60" s="13">
        <f t="shared" si="42"/>
        <v>0.95543453724145699</v>
      </c>
      <c r="AF60" s="13">
        <f t="shared" si="42"/>
        <v>0.99999920667184805</v>
      </c>
      <c r="AG60" s="13">
        <f t="shared" si="42"/>
        <v>0.99999999999999856</v>
      </c>
      <c r="AH60" s="13">
        <f t="shared" si="42"/>
        <v>1</v>
      </c>
      <c r="AI60" s="13">
        <f t="shared" si="42"/>
        <v>1</v>
      </c>
      <c r="AJ60" s="13">
        <f t="shared" si="42"/>
        <v>1</v>
      </c>
      <c r="AK60" s="13">
        <f t="shared" si="42"/>
        <v>1</v>
      </c>
      <c r="AL60" s="13">
        <f t="shared" si="42"/>
        <v>1</v>
      </c>
      <c r="AM60" s="13">
        <f t="shared" si="42"/>
        <v>1</v>
      </c>
      <c r="AN60" s="13">
        <f t="shared" si="42"/>
        <v>1</v>
      </c>
      <c r="AO60" s="13">
        <f t="shared" si="42"/>
        <v>5.4125439077038416E-6</v>
      </c>
      <c r="AP60" s="13">
        <f t="shared" si="42"/>
        <v>9.6800484585610316E-2</v>
      </c>
      <c r="AQ60" s="13">
        <f t="shared" si="42"/>
        <v>0.95543453724145699</v>
      </c>
      <c r="AR60" s="13">
        <f t="shared" si="42"/>
        <v>0.99999920667184805</v>
      </c>
      <c r="AS60" s="13">
        <f t="shared" si="42"/>
        <v>0.99999999999999856</v>
      </c>
      <c r="AT60" s="13">
        <f t="shared" si="42"/>
        <v>1</v>
      </c>
      <c r="AU60" s="13">
        <f t="shared" si="42"/>
        <v>1</v>
      </c>
      <c r="AV60" s="13">
        <f t="shared" si="42"/>
        <v>1</v>
      </c>
      <c r="AW60" s="13">
        <f t="shared" si="42"/>
        <v>1</v>
      </c>
      <c r="AX60" s="13">
        <f t="shared" si="42"/>
        <v>1</v>
      </c>
      <c r="AY60" s="13">
        <f t="shared" si="42"/>
        <v>1</v>
      </c>
      <c r="AZ60" s="13">
        <f t="shared" si="42"/>
        <v>1</v>
      </c>
      <c r="BA60" s="13">
        <f t="shared" si="42"/>
        <v>5.4125439077038416E-6</v>
      </c>
      <c r="BB60" s="13">
        <f t="shared" si="42"/>
        <v>9.6800484585610316E-2</v>
      </c>
      <c r="BC60" s="13">
        <f t="shared" si="42"/>
        <v>0.95543453724145699</v>
      </c>
      <c r="BD60" s="13">
        <f t="shared" si="42"/>
        <v>0.99999920667184805</v>
      </c>
      <c r="BE60" s="13">
        <f t="shared" si="42"/>
        <v>0.99999999999999856</v>
      </c>
      <c r="BF60" s="13">
        <f t="shared" si="42"/>
        <v>1</v>
      </c>
      <c r="BG60" s="13">
        <f t="shared" si="42"/>
        <v>1</v>
      </c>
      <c r="BH60" s="13">
        <f t="shared" si="42"/>
        <v>1</v>
      </c>
      <c r="BI60" s="13">
        <f t="shared" si="42"/>
        <v>1</v>
      </c>
    </row>
    <row r="61" spans="5:61" x14ac:dyDescent="0.35">
      <c r="E61">
        <v>5</v>
      </c>
      <c r="J61" t="s">
        <v>80</v>
      </c>
      <c r="N61" s="78"/>
      <c r="O61" s="78"/>
      <c r="P61" s="78"/>
      <c r="Q61" s="78"/>
      <c r="R61" s="13">
        <f t="shared" si="32"/>
        <v>8.5399054709917942E-6</v>
      </c>
      <c r="S61" s="13">
        <f t="shared" si="33"/>
        <v>9.6800484585610316E-2</v>
      </c>
      <c r="T61" s="13">
        <f t="shared" si="34"/>
        <v>0.96406968088707423</v>
      </c>
      <c r="U61" s="13">
        <f t="shared" si="35"/>
        <v>0.99999952081672339</v>
      </c>
      <c r="V61" s="13">
        <f t="shared" si="36"/>
        <v>0.99999999999999856</v>
      </c>
      <c r="W61" s="13">
        <f t="shared" si="37"/>
        <v>1</v>
      </c>
      <c r="X61" s="13">
        <f t="shared" si="38"/>
        <v>1</v>
      </c>
      <c r="Y61" s="13">
        <f t="shared" ref="Y61:BI61" si="43">_xlfn.NORM.DIST(Y48,$I$28,$I$29,TRUE)</f>
        <v>1</v>
      </c>
      <c r="Z61" s="13">
        <f t="shared" si="43"/>
        <v>1</v>
      </c>
      <c r="AA61" s="13">
        <f t="shared" si="43"/>
        <v>1</v>
      </c>
      <c r="AB61" s="13">
        <f t="shared" si="43"/>
        <v>1</v>
      </c>
      <c r="AC61" s="13">
        <f t="shared" si="43"/>
        <v>1</v>
      </c>
      <c r="AD61" s="13">
        <f t="shared" si="43"/>
        <v>8.5399054709917942E-6</v>
      </c>
      <c r="AE61" s="13">
        <f t="shared" si="43"/>
        <v>9.6800484585610316E-2</v>
      </c>
      <c r="AF61" s="13">
        <f t="shared" si="43"/>
        <v>0.96406968088707423</v>
      </c>
      <c r="AG61" s="13">
        <f t="shared" si="43"/>
        <v>0.99999952081672339</v>
      </c>
      <c r="AH61" s="13">
        <f t="shared" si="43"/>
        <v>0.99999999999999856</v>
      </c>
      <c r="AI61" s="13">
        <f t="shared" si="43"/>
        <v>1</v>
      </c>
      <c r="AJ61" s="13">
        <f t="shared" si="43"/>
        <v>1</v>
      </c>
      <c r="AK61" s="13">
        <f t="shared" si="43"/>
        <v>1</v>
      </c>
      <c r="AL61" s="13">
        <f t="shared" si="43"/>
        <v>1</v>
      </c>
      <c r="AM61" s="13">
        <f t="shared" si="43"/>
        <v>1</v>
      </c>
      <c r="AN61" s="13">
        <f t="shared" si="43"/>
        <v>1</v>
      </c>
      <c r="AO61" s="13">
        <f t="shared" si="43"/>
        <v>1</v>
      </c>
      <c r="AP61" s="13">
        <f t="shared" si="43"/>
        <v>8.5399054709917942E-6</v>
      </c>
      <c r="AQ61" s="13">
        <f t="shared" si="43"/>
        <v>9.6800484585610316E-2</v>
      </c>
      <c r="AR61" s="13">
        <f t="shared" si="43"/>
        <v>0.96406968088707423</v>
      </c>
      <c r="AS61" s="13">
        <f t="shared" si="43"/>
        <v>0.99999952081672339</v>
      </c>
      <c r="AT61" s="13">
        <f t="shared" si="43"/>
        <v>0.99999999999999856</v>
      </c>
      <c r="AU61" s="13">
        <f t="shared" si="43"/>
        <v>1</v>
      </c>
      <c r="AV61" s="13">
        <f t="shared" si="43"/>
        <v>1</v>
      </c>
      <c r="AW61" s="13">
        <f t="shared" si="43"/>
        <v>1</v>
      </c>
      <c r="AX61" s="13">
        <f t="shared" si="43"/>
        <v>1</v>
      </c>
      <c r="AY61" s="13">
        <f t="shared" si="43"/>
        <v>1</v>
      </c>
      <c r="AZ61" s="13">
        <f t="shared" si="43"/>
        <v>1</v>
      </c>
      <c r="BA61" s="13">
        <f t="shared" si="43"/>
        <v>1</v>
      </c>
      <c r="BB61" s="13">
        <f t="shared" si="43"/>
        <v>8.5399054709917942E-6</v>
      </c>
      <c r="BC61" s="13">
        <f t="shared" si="43"/>
        <v>9.6800484585610316E-2</v>
      </c>
      <c r="BD61" s="13">
        <f t="shared" si="43"/>
        <v>0.96406968088707423</v>
      </c>
      <c r="BE61" s="13">
        <f t="shared" si="43"/>
        <v>0.99999952081672339</v>
      </c>
      <c r="BF61" s="13">
        <f t="shared" si="43"/>
        <v>0.99999999999999856</v>
      </c>
      <c r="BG61" s="13">
        <f t="shared" si="43"/>
        <v>1</v>
      </c>
      <c r="BH61" s="13">
        <f t="shared" si="43"/>
        <v>1</v>
      </c>
      <c r="BI61" s="13">
        <f t="shared" si="43"/>
        <v>1</v>
      </c>
    </row>
    <row r="62" spans="5:61" x14ac:dyDescent="0.35">
      <c r="E62">
        <v>6</v>
      </c>
      <c r="J62" t="s">
        <v>80</v>
      </c>
      <c r="N62" s="78"/>
      <c r="O62" s="78"/>
      <c r="P62" s="78"/>
      <c r="Q62" s="78"/>
      <c r="R62" s="78"/>
      <c r="S62" s="13">
        <f t="shared" si="33"/>
        <v>5.4125439077038416E-6</v>
      </c>
      <c r="T62" s="13">
        <f t="shared" si="34"/>
        <v>9.6800484585610316E-2</v>
      </c>
      <c r="U62" s="13">
        <f t="shared" si="35"/>
        <v>0.96406968088707423</v>
      </c>
      <c r="V62" s="13">
        <f t="shared" si="36"/>
        <v>0.99999920667184805</v>
      </c>
      <c r="W62" s="13">
        <f t="shared" si="37"/>
        <v>0.99999999999999856</v>
      </c>
      <c r="X62" s="13">
        <f t="shared" si="38"/>
        <v>1</v>
      </c>
      <c r="Y62" s="13">
        <f t="shared" ref="Y62:BI62" si="44">_xlfn.NORM.DIST(Y49,$I$28,$I$29,TRUE)</f>
        <v>1</v>
      </c>
      <c r="Z62" s="13">
        <f t="shared" si="44"/>
        <v>1</v>
      </c>
      <c r="AA62" s="13">
        <f t="shared" si="44"/>
        <v>1</v>
      </c>
      <c r="AB62" s="13">
        <f t="shared" si="44"/>
        <v>1</v>
      </c>
      <c r="AC62" s="13">
        <f t="shared" si="44"/>
        <v>1</v>
      </c>
      <c r="AD62" s="13">
        <f t="shared" si="44"/>
        <v>1</v>
      </c>
      <c r="AE62" s="13">
        <f t="shared" si="44"/>
        <v>5.4125439077038416E-6</v>
      </c>
      <c r="AF62" s="13">
        <f t="shared" si="44"/>
        <v>9.6800484585610316E-2</v>
      </c>
      <c r="AG62" s="13">
        <f t="shared" si="44"/>
        <v>0.96406968088707423</v>
      </c>
      <c r="AH62" s="13">
        <f t="shared" si="44"/>
        <v>0.99999920667184805</v>
      </c>
      <c r="AI62" s="13">
        <f t="shared" si="44"/>
        <v>0.99999999999999856</v>
      </c>
      <c r="AJ62" s="13">
        <f t="shared" si="44"/>
        <v>1</v>
      </c>
      <c r="AK62" s="13">
        <f t="shared" si="44"/>
        <v>1</v>
      </c>
      <c r="AL62" s="13">
        <f t="shared" si="44"/>
        <v>1</v>
      </c>
      <c r="AM62" s="13">
        <f t="shared" si="44"/>
        <v>1</v>
      </c>
      <c r="AN62" s="13">
        <f t="shared" si="44"/>
        <v>1</v>
      </c>
      <c r="AO62" s="13">
        <f t="shared" si="44"/>
        <v>1</v>
      </c>
      <c r="AP62" s="13">
        <f t="shared" si="44"/>
        <v>1</v>
      </c>
      <c r="AQ62" s="13">
        <f t="shared" si="44"/>
        <v>5.4125439077038416E-6</v>
      </c>
      <c r="AR62" s="13">
        <f t="shared" si="44"/>
        <v>9.6800484585610316E-2</v>
      </c>
      <c r="AS62" s="13">
        <f t="shared" si="44"/>
        <v>0.96406968088707423</v>
      </c>
      <c r="AT62" s="13">
        <f t="shared" si="44"/>
        <v>0.99999920667184805</v>
      </c>
      <c r="AU62" s="13">
        <f t="shared" si="44"/>
        <v>0.99999999999999856</v>
      </c>
      <c r="AV62" s="13">
        <f t="shared" si="44"/>
        <v>1</v>
      </c>
      <c r="AW62" s="13">
        <f t="shared" si="44"/>
        <v>1</v>
      </c>
      <c r="AX62" s="13">
        <f t="shared" si="44"/>
        <v>1</v>
      </c>
      <c r="AY62" s="13">
        <f t="shared" si="44"/>
        <v>1</v>
      </c>
      <c r="AZ62" s="13">
        <f t="shared" si="44"/>
        <v>1</v>
      </c>
      <c r="BA62" s="13">
        <f t="shared" si="44"/>
        <v>1</v>
      </c>
      <c r="BB62" s="13">
        <f t="shared" si="44"/>
        <v>1</v>
      </c>
      <c r="BC62" s="13">
        <f t="shared" si="44"/>
        <v>5.4125439077038416E-6</v>
      </c>
      <c r="BD62" s="13">
        <f t="shared" si="44"/>
        <v>9.6800484585610316E-2</v>
      </c>
      <c r="BE62" s="13">
        <f t="shared" si="44"/>
        <v>0.96406968088707423</v>
      </c>
      <c r="BF62" s="13">
        <f t="shared" si="44"/>
        <v>0.99999920667184805</v>
      </c>
      <c r="BG62" s="13">
        <f t="shared" si="44"/>
        <v>0.99999999999999856</v>
      </c>
      <c r="BH62" s="13">
        <f t="shared" si="44"/>
        <v>1</v>
      </c>
      <c r="BI62" s="13">
        <f t="shared" si="44"/>
        <v>1</v>
      </c>
    </row>
    <row r="63" spans="5:61" x14ac:dyDescent="0.35">
      <c r="E63">
        <v>7</v>
      </c>
      <c r="J63" t="s">
        <v>80</v>
      </c>
      <c r="N63" s="78"/>
      <c r="O63" s="78"/>
      <c r="P63" s="78"/>
      <c r="Q63" s="78"/>
      <c r="R63" s="78"/>
      <c r="S63" s="78"/>
      <c r="T63" s="13">
        <f t="shared" si="34"/>
        <v>8.5399054709917942E-6</v>
      </c>
      <c r="U63" s="13">
        <f t="shared" si="35"/>
        <v>0.11506967022170828</v>
      </c>
      <c r="V63" s="13">
        <f t="shared" si="36"/>
        <v>0.96406968088707423</v>
      </c>
      <c r="W63" s="13">
        <f t="shared" si="37"/>
        <v>0.99999952081672339</v>
      </c>
      <c r="X63" s="13">
        <f t="shared" si="38"/>
        <v>0.99999999999999856</v>
      </c>
      <c r="Y63" s="13">
        <f t="shared" ref="Y63:BI63" si="45">_xlfn.NORM.DIST(Y50,$I$28,$I$29,TRUE)</f>
        <v>1</v>
      </c>
      <c r="Z63" s="13">
        <f t="shared" si="45"/>
        <v>1</v>
      </c>
      <c r="AA63" s="13">
        <f t="shared" si="45"/>
        <v>1</v>
      </c>
      <c r="AB63" s="13">
        <f t="shared" si="45"/>
        <v>1</v>
      </c>
      <c r="AC63" s="13">
        <f t="shared" si="45"/>
        <v>1</v>
      </c>
      <c r="AD63" s="13">
        <f t="shared" si="45"/>
        <v>1</v>
      </c>
      <c r="AE63" s="13">
        <f t="shared" si="45"/>
        <v>1</v>
      </c>
      <c r="AF63" s="13">
        <f t="shared" si="45"/>
        <v>8.5399054709917942E-6</v>
      </c>
      <c r="AG63" s="13">
        <f t="shared" si="45"/>
        <v>0.11506967022170828</v>
      </c>
      <c r="AH63" s="13">
        <f t="shared" si="45"/>
        <v>0.96406968088707423</v>
      </c>
      <c r="AI63" s="13">
        <f t="shared" si="45"/>
        <v>0.99999952081672339</v>
      </c>
      <c r="AJ63" s="13">
        <f t="shared" si="45"/>
        <v>0.99999999999999856</v>
      </c>
      <c r="AK63" s="13">
        <f t="shared" si="45"/>
        <v>1</v>
      </c>
      <c r="AL63" s="13">
        <f t="shared" si="45"/>
        <v>1</v>
      </c>
      <c r="AM63" s="13">
        <f t="shared" si="45"/>
        <v>1</v>
      </c>
      <c r="AN63" s="13">
        <f t="shared" si="45"/>
        <v>1</v>
      </c>
      <c r="AO63" s="13">
        <f t="shared" si="45"/>
        <v>1</v>
      </c>
      <c r="AP63" s="13">
        <f t="shared" si="45"/>
        <v>1</v>
      </c>
      <c r="AQ63" s="13">
        <f t="shared" si="45"/>
        <v>1</v>
      </c>
      <c r="AR63" s="13">
        <f t="shared" si="45"/>
        <v>8.5399054709917942E-6</v>
      </c>
      <c r="AS63" s="13">
        <f t="shared" si="45"/>
        <v>0.11506967022170828</v>
      </c>
      <c r="AT63" s="13">
        <f t="shared" si="45"/>
        <v>0.96406968088707423</v>
      </c>
      <c r="AU63" s="13">
        <f t="shared" si="45"/>
        <v>0.99999952081672339</v>
      </c>
      <c r="AV63" s="13">
        <f t="shared" si="45"/>
        <v>0.99999999999999856</v>
      </c>
      <c r="AW63" s="13">
        <f t="shared" si="45"/>
        <v>1</v>
      </c>
      <c r="AX63" s="13">
        <f t="shared" si="45"/>
        <v>1</v>
      </c>
      <c r="AY63" s="13">
        <f t="shared" si="45"/>
        <v>1</v>
      </c>
      <c r="AZ63" s="13">
        <f t="shared" si="45"/>
        <v>1</v>
      </c>
      <c r="BA63" s="13">
        <f t="shared" si="45"/>
        <v>1</v>
      </c>
      <c r="BB63" s="13">
        <f t="shared" si="45"/>
        <v>1</v>
      </c>
      <c r="BC63" s="13">
        <f t="shared" si="45"/>
        <v>1</v>
      </c>
      <c r="BD63" s="13">
        <f t="shared" si="45"/>
        <v>8.5399054709917942E-6</v>
      </c>
      <c r="BE63" s="13">
        <f t="shared" si="45"/>
        <v>0.11506967022170828</v>
      </c>
      <c r="BF63" s="13">
        <f t="shared" si="45"/>
        <v>0.96406968088707423</v>
      </c>
      <c r="BG63" s="13">
        <f t="shared" si="45"/>
        <v>0.99999952081672339</v>
      </c>
      <c r="BH63" s="13">
        <f t="shared" si="45"/>
        <v>0.99999999999999856</v>
      </c>
      <c r="BI63" s="13">
        <f t="shared" si="45"/>
        <v>1</v>
      </c>
    </row>
    <row r="64" spans="5:61" x14ac:dyDescent="0.35">
      <c r="E64">
        <v>8</v>
      </c>
      <c r="J64" t="s">
        <v>80</v>
      </c>
      <c r="N64" s="78"/>
      <c r="O64" s="78"/>
      <c r="P64" s="78"/>
      <c r="Q64" s="78"/>
      <c r="R64" s="78"/>
      <c r="S64" s="78"/>
      <c r="T64" s="78"/>
      <c r="U64" s="13">
        <f t="shared" si="35"/>
        <v>8.5399054709917942E-6</v>
      </c>
      <c r="V64" s="13">
        <f t="shared" si="36"/>
        <v>9.6800484585610316E-2</v>
      </c>
      <c r="W64" s="13">
        <f t="shared" si="37"/>
        <v>0.96406968088707423</v>
      </c>
      <c r="X64" s="13">
        <f t="shared" si="38"/>
        <v>0.99999920667184805</v>
      </c>
      <c r="Y64" s="13">
        <f t="shared" ref="Y64:BI64" si="46">_xlfn.NORM.DIST(Y51,$I$28,$I$29,TRUE)</f>
        <v>0.99999999999999856</v>
      </c>
      <c r="Z64" s="13">
        <f t="shared" si="46"/>
        <v>1</v>
      </c>
      <c r="AA64" s="13">
        <f t="shared" si="46"/>
        <v>1</v>
      </c>
      <c r="AB64" s="13">
        <f t="shared" si="46"/>
        <v>1</v>
      </c>
      <c r="AC64" s="13">
        <f t="shared" si="46"/>
        <v>1</v>
      </c>
      <c r="AD64" s="13">
        <f t="shared" si="46"/>
        <v>1</v>
      </c>
      <c r="AE64" s="13">
        <f t="shared" si="46"/>
        <v>1</v>
      </c>
      <c r="AF64" s="13">
        <f t="shared" si="46"/>
        <v>1</v>
      </c>
      <c r="AG64" s="13">
        <f t="shared" si="46"/>
        <v>8.5399054709917942E-6</v>
      </c>
      <c r="AH64" s="13">
        <f t="shared" si="46"/>
        <v>9.6800484585610316E-2</v>
      </c>
      <c r="AI64" s="13">
        <f t="shared" si="46"/>
        <v>0.96406968088707423</v>
      </c>
      <c r="AJ64" s="13">
        <f t="shared" si="46"/>
        <v>0.99999920667184805</v>
      </c>
      <c r="AK64" s="13">
        <f t="shared" si="46"/>
        <v>0.99999999999999856</v>
      </c>
      <c r="AL64" s="13">
        <f t="shared" si="46"/>
        <v>1</v>
      </c>
      <c r="AM64" s="13">
        <f t="shared" si="46"/>
        <v>1</v>
      </c>
      <c r="AN64" s="13">
        <f t="shared" si="46"/>
        <v>1</v>
      </c>
      <c r="AO64" s="13">
        <f t="shared" si="46"/>
        <v>1</v>
      </c>
      <c r="AP64" s="13">
        <f t="shared" si="46"/>
        <v>1</v>
      </c>
      <c r="AQ64" s="13">
        <f t="shared" si="46"/>
        <v>1</v>
      </c>
      <c r="AR64" s="13">
        <f t="shared" si="46"/>
        <v>1</v>
      </c>
      <c r="AS64" s="13">
        <f t="shared" si="46"/>
        <v>8.5399054709917942E-6</v>
      </c>
      <c r="AT64" s="13">
        <f t="shared" si="46"/>
        <v>9.6800484585610316E-2</v>
      </c>
      <c r="AU64" s="13">
        <f t="shared" si="46"/>
        <v>0.96406968088707423</v>
      </c>
      <c r="AV64" s="13">
        <f t="shared" si="46"/>
        <v>0.99999920667184805</v>
      </c>
      <c r="AW64" s="13">
        <f t="shared" si="46"/>
        <v>0.99999999999999856</v>
      </c>
      <c r="AX64" s="13">
        <f t="shared" si="46"/>
        <v>1</v>
      </c>
      <c r="AY64" s="13">
        <f t="shared" si="46"/>
        <v>1</v>
      </c>
      <c r="AZ64" s="13">
        <f t="shared" si="46"/>
        <v>1</v>
      </c>
      <c r="BA64" s="13">
        <f t="shared" si="46"/>
        <v>1</v>
      </c>
      <c r="BB64" s="13">
        <f t="shared" si="46"/>
        <v>1</v>
      </c>
      <c r="BC64" s="13">
        <f t="shared" si="46"/>
        <v>1</v>
      </c>
      <c r="BD64" s="13">
        <f t="shared" si="46"/>
        <v>1</v>
      </c>
      <c r="BE64" s="13">
        <f t="shared" si="46"/>
        <v>8.5399054709917942E-6</v>
      </c>
      <c r="BF64" s="13">
        <f t="shared" si="46"/>
        <v>9.6800484585610316E-2</v>
      </c>
      <c r="BG64" s="13">
        <f t="shared" si="46"/>
        <v>0.96406968088707423</v>
      </c>
      <c r="BH64" s="13">
        <f t="shared" si="46"/>
        <v>0.99999920667184805</v>
      </c>
      <c r="BI64" s="13">
        <f t="shared" si="46"/>
        <v>0.99999999999999856</v>
      </c>
    </row>
    <row r="65" spans="5:61" x14ac:dyDescent="0.35">
      <c r="E65">
        <v>9</v>
      </c>
      <c r="J65" t="s">
        <v>80</v>
      </c>
      <c r="N65" s="78"/>
      <c r="O65" s="78"/>
      <c r="P65" s="78"/>
      <c r="Q65" s="78"/>
      <c r="R65" s="78"/>
      <c r="S65" s="78"/>
      <c r="T65" s="78"/>
      <c r="U65" s="78"/>
      <c r="V65" s="13">
        <f t="shared" si="36"/>
        <v>5.4125439077038416E-6</v>
      </c>
      <c r="W65" s="13">
        <f t="shared" si="37"/>
        <v>9.6800484585610316E-2</v>
      </c>
      <c r="X65" s="13">
        <f t="shared" si="38"/>
        <v>0.95543453724145699</v>
      </c>
      <c r="Y65" s="13">
        <f t="shared" ref="Y65:BI65" si="47">_xlfn.NORM.DIST(Y52,$I$28,$I$29,TRUE)</f>
        <v>0.99999920667184805</v>
      </c>
      <c r="Z65" s="13">
        <f t="shared" si="47"/>
        <v>0.99999999999999856</v>
      </c>
      <c r="AA65" s="13">
        <f t="shared" si="47"/>
        <v>1</v>
      </c>
      <c r="AB65" s="13">
        <f t="shared" si="47"/>
        <v>1</v>
      </c>
      <c r="AC65" s="13">
        <f t="shared" si="47"/>
        <v>1</v>
      </c>
      <c r="AD65" s="13">
        <f t="shared" si="47"/>
        <v>1</v>
      </c>
      <c r="AE65" s="13">
        <f t="shared" si="47"/>
        <v>1</v>
      </c>
      <c r="AF65" s="13">
        <f t="shared" si="47"/>
        <v>1</v>
      </c>
      <c r="AG65" s="13">
        <f t="shared" si="47"/>
        <v>1</v>
      </c>
      <c r="AH65" s="13">
        <f t="shared" si="47"/>
        <v>5.4125439077038416E-6</v>
      </c>
      <c r="AI65" s="13">
        <f t="shared" si="47"/>
        <v>9.6800484585610316E-2</v>
      </c>
      <c r="AJ65" s="13">
        <f t="shared" si="47"/>
        <v>0.95543453724145699</v>
      </c>
      <c r="AK65" s="13">
        <f t="shared" si="47"/>
        <v>0.99999920667184805</v>
      </c>
      <c r="AL65" s="13">
        <f t="shared" si="47"/>
        <v>0.99999999999999856</v>
      </c>
      <c r="AM65" s="13">
        <f t="shared" si="47"/>
        <v>1</v>
      </c>
      <c r="AN65" s="13">
        <f t="shared" si="47"/>
        <v>1</v>
      </c>
      <c r="AO65" s="13">
        <f t="shared" si="47"/>
        <v>1</v>
      </c>
      <c r="AP65" s="13">
        <f t="shared" si="47"/>
        <v>1</v>
      </c>
      <c r="AQ65" s="13">
        <f t="shared" si="47"/>
        <v>1</v>
      </c>
      <c r="AR65" s="13">
        <f t="shared" si="47"/>
        <v>1</v>
      </c>
      <c r="AS65" s="13">
        <f t="shared" si="47"/>
        <v>1</v>
      </c>
      <c r="AT65" s="13">
        <f t="shared" si="47"/>
        <v>5.4125439077038416E-6</v>
      </c>
      <c r="AU65" s="13">
        <f t="shared" si="47"/>
        <v>9.6800484585610316E-2</v>
      </c>
      <c r="AV65" s="13">
        <f t="shared" si="47"/>
        <v>0.95543453724145699</v>
      </c>
      <c r="AW65" s="13">
        <f t="shared" si="47"/>
        <v>0.99999920667184805</v>
      </c>
      <c r="AX65" s="13">
        <f t="shared" si="47"/>
        <v>0.99999999999999856</v>
      </c>
      <c r="AY65" s="13">
        <f t="shared" si="47"/>
        <v>1</v>
      </c>
      <c r="AZ65" s="13">
        <f t="shared" si="47"/>
        <v>1</v>
      </c>
      <c r="BA65" s="13">
        <f t="shared" si="47"/>
        <v>1</v>
      </c>
      <c r="BB65" s="13">
        <f t="shared" si="47"/>
        <v>1</v>
      </c>
      <c r="BC65" s="13">
        <f t="shared" si="47"/>
        <v>1</v>
      </c>
      <c r="BD65" s="13">
        <f t="shared" si="47"/>
        <v>1</v>
      </c>
      <c r="BE65" s="13">
        <f t="shared" si="47"/>
        <v>1</v>
      </c>
      <c r="BF65" s="13">
        <f t="shared" si="47"/>
        <v>5.4125439077038416E-6</v>
      </c>
      <c r="BG65" s="13">
        <f t="shared" si="47"/>
        <v>9.6800484585610316E-2</v>
      </c>
      <c r="BH65" s="13">
        <f t="shared" si="47"/>
        <v>0.95543453724145699</v>
      </c>
      <c r="BI65" s="13">
        <f t="shared" si="47"/>
        <v>0.99999920667184805</v>
      </c>
    </row>
    <row r="66" spans="5:61" x14ac:dyDescent="0.35">
      <c r="E66">
        <v>10</v>
      </c>
      <c r="J66" t="s">
        <v>80</v>
      </c>
      <c r="N66" s="78"/>
      <c r="O66" s="78"/>
      <c r="P66" s="78"/>
      <c r="Q66" s="78"/>
      <c r="R66" s="78"/>
      <c r="S66" s="78"/>
      <c r="T66" s="78"/>
      <c r="U66" s="78"/>
      <c r="V66" s="78"/>
      <c r="W66" s="13">
        <f t="shared" si="37"/>
        <v>8.5399054709917942E-6</v>
      </c>
      <c r="X66" s="13">
        <f t="shared" si="38"/>
        <v>9.6800484585610316E-2</v>
      </c>
      <c r="Y66" s="13">
        <f t="shared" ref="Y66:BI66" si="48">_xlfn.NORM.DIST(Y53,$I$28,$I$29,TRUE)</f>
        <v>0.96406968088707423</v>
      </c>
      <c r="Z66" s="13">
        <f t="shared" si="48"/>
        <v>0.99999952081672339</v>
      </c>
      <c r="AA66" s="13">
        <f t="shared" si="48"/>
        <v>0.99999999999999323</v>
      </c>
      <c r="AB66" s="13">
        <f t="shared" si="48"/>
        <v>1</v>
      </c>
      <c r="AC66" s="13">
        <f t="shared" si="48"/>
        <v>1</v>
      </c>
      <c r="AD66" s="13">
        <f t="shared" si="48"/>
        <v>1</v>
      </c>
      <c r="AE66" s="13">
        <f t="shared" si="48"/>
        <v>1</v>
      </c>
      <c r="AF66" s="13">
        <f t="shared" si="48"/>
        <v>1</v>
      </c>
      <c r="AG66" s="13">
        <f t="shared" si="48"/>
        <v>1</v>
      </c>
      <c r="AH66" s="13">
        <f t="shared" si="48"/>
        <v>1</v>
      </c>
      <c r="AI66" s="13">
        <f t="shared" si="48"/>
        <v>8.5399054709917942E-6</v>
      </c>
      <c r="AJ66" s="13">
        <f t="shared" si="48"/>
        <v>9.6800484585610316E-2</v>
      </c>
      <c r="AK66" s="13">
        <f t="shared" si="48"/>
        <v>0.96406968088707423</v>
      </c>
      <c r="AL66" s="13">
        <f t="shared" si="48"/>
        <v>0.99999952081672339</v>
      </c>
      <c r="AM66" s="13">
        <f t="shared" si="48"/>
        <v>0.99999999999999323</v>
      </c>
      <c r="AN66" s="13">
        <f t="shared" si="48"/>
        <v>1</v>
      </c>
      <c r="AO66" s="13">
        <f t="shared" si="48"/>
        <v>1</v>
      </c>
      <c r="AP66" s="13">
        <f t="shared" si="48"/>
        <v>1</v>
      </c>
      <c r="AQ66" s="13">
        <f t="shared" si="48"/>
        <v>1</v>
      </c>
      <c r="AR66" s="13">
        <f t="shared" si="48"/>
        <v>1</v>
      </c>
      <c r="AS66" s="13">
        <f t="shared" si="48"/>
        <v>1</v>
      </c>
      <c r="AT66" s="13">
        <f t="shared" si="48"/>
        <v>1</v>
      </c>
      <c r="AU66" s="13">
        <f t="shared" si="48"/>
        <v>8.5399054709917942E-6</v>
      </c>
      <c r="AV66" s="13">
        <f t="shared" si="48"/>
        <v>9.6800484585610316E-2</v>
      </c>
      <c r="AW66" s="13">
        <f t="shared" si="48"/>
        <v>0.96406968088707423</v>
      </c>
      <c r="AX66" s="13">
        <f t="shared" si="48"/>
        <v>0.99999952081672339</v>
      </c>
      <c r="AY66" s="13">
        <f t="shared" si="48"/>
        <v>0.99999999999999323</v>
      </c>
      <c r="AZ66" s="13">
        <f t="shared" si="48"/>
        <v>1</v>
      </c>
      <c r="BA66" s="13">
        <f t="shared" si="48"/>
        <v>1</v>
      </c>
      <c r="BB66" s="13">
        <f t="shared" si="48"/>
        <v>1</v>
      </c>
      <c r="BC66" s="13">
        <f t="shared" si="48"/>
        <v>1</v>
      </c>
      <c r="BD66" s="13">
        <f t="shared" si="48"/>
        <v>1</v>
      </c>
      <c r="BE66" s="13">
        <f t="shared" si="48"/>
        <v>1</v>
      </c>
      <c r="BF66" s="13">
        <f t="shared" si="48"/>
        <v>1</v>
      </c>
      <c r="BG66" s="13">
        <f t="shared" si="48"/>
        <v>8.5399054709917942E-6</v>
      </c>
      <c r="BH66" s="13">
        <f t="shared" si="48"/>
        <v>9.6800484585610316E-2</v>
      </c>
      <c r="BI66" s="13">
        <f t="shared" si="48"/>
        <v>0.96406968088707423</v>
      </c>
    </row>
    <row r="67" spans="5:61" x14ac:dyDescent="0.35">
      <c r="E67">
        <v>11</v>
      </c>
      <c r="J67" t="s">
        <v>80</v>
      </c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13">
        <f t="shared" si="38"/>
        <v>5.4125439077038416E-6</v>
      </c>
      <c r="Y67" s="13">
        <f t="shared" ref="Y67:BI67" si="49">_xlfn.NORM.DIST(Y54,$I$28,$I$29,TRUE)</f>
        <v>9.6800484585610316E-2</v>
      </c>
      <c r="Z67" s="13">
        <f t="shared" si="49"/>
        <v>0.96406968088707423</v>
      </c>
      <c r="AA67" s="13">
        <f t="shared" si="49"/>
        <v>0.9999978875452975</v>
      </c>
      <c r="AB67" s="13">
        <f t="shared" si="49"/>
        <v>0.99999999999999323</v>
      </c>
      <c r="AC67" s="13">
        <f t="shared" si="49"/>
        <v>1</v>
      </c>
      <c r="AD67" s="13">
        <f t="shared" si="49"/>
        <v>1</v>
      </c>
      <c r="AE67" s="13">
        <f t="shared" si="49"/>
        <v>1</v>
      </c>
      <c r="AF67" s="13">
        <f t="shared" si="49"/>
        <v>1</v>
      </c>
      <c r="AG67" s="13">
        <f t="shared" si="49"/>
        <v>1</v>
      </c>
      <c r="AH67" s="13">
        <f t="shared" si="49"/>
        <v>1</v>
      </c>
      <c r="AI67" s="13">
        <f t="shared" si="49"/>
        <v>1</v>
      </c>
      <c r="AJ67" s="13">
        <f t="shared" si="49"/>
        <v>5.4125439077038416E-6</v>
      </c>
      <c r="AK67" s="13">
        <f t="shared" si="49"/>
        <v>9.6800484585610316E-2</v>
      </c>
      <c r="AL67" s="13">
        <f t="shared" si="49"/>
        <v>0.96406968088707423</v>
      </c>
      <c r="AM67" s="13">
        <f t="shared" si="49"/>
        <v>0.9999978875452975</v>
      </c>
      <c r="AN67" s="13">
        <f t="shared" si="49"/>
        <v>0.99999999999999323</v>
      </c>
      <c r="AO67" s="13">
        <f t="shared" si="49"/>
        <v>1</v>
      </c>
      <c r="AP67" s="13">
        <f t="shared" si="49"/>
        <v>1</v>
      </c>
      <c r="AQ67" s="13">
        <f t="shared" si="49"/>
        <v>1</v>
      </c>
      <c r="AR67" s="13">
        <f t="shared" si="49"/>
        <v>1</v>
      </c>
      <c r="AS67" s="13">
        <f t="shared" si="49"/>
        <v>1</v>
      </c>
      <c r="AT67" s="13">
        <f t="shared" si="49"/>
        <v>1</v>
      </c>
      <c r="AU67" s="13">
        <f t="shared" si="49"/>
        <v>1</v>
      </c>
      <c r="AV67" s="13">
        <f t="shared" si="49"/>
        <v>5.4125439077038416E-6</v>
      </c>
      <c r="AW67" s="13">
        <f t="shared" si="49"/>
        <v>9.6800484585610316E-2</v>
      </c>
      <c r="AX67" s="13">
        <f t="shared" si="49"/>
        <v>0.96406968088707423</v>
      </c>
      <c r="AY67" s="13">
        <f t="shared" si="49"/>
        <v>0.9999978875452975</v>
      </c>
      <c r="AZ67" s="13">
        <f t="shared" si="49"/>
        <v>0.99999999999999323</v>
      </c>
      <c r="BA67" s="13">
        <f t="shared" si="49"/>
        <v>1</v>
      </c>
      <c r="BB67" s="13">
        <f t="shared" si="49"/>
        <v>1</v>
      </c>
      <c r="BC67" s="13">
        <f t="shared" si="49"/>
        <v>1</v>
      </c>
      <c r="BD67" s="13">
        <f t="shared" si="49"/>
        <v>1</v>
      </c>
      <c r="BE67" s="13">
        <f t="shared" si="49"/>
        <v>1</v>
      </c>
      <c r="BF67" s="13">
        <f t="shared" si="49"/>
        <v>1</v>
      </c>
      <c r="BG67" s="13">
        <f t="shared" si="49"/>
        <v>1</v>
      </c>
      <c r="BH67" s="13">
        <f t="shared" si="49"/>
        <v>5.4125439077038416E-6</v>
      </c>
      <c r="BI67" s="13">
        <f t="shared" si="49"/>
        <v>9.6800484585610316E-2</v>
      </c>
    </row>
    <row r="68" spans="5:61" x14ac:dyDescent="0.35">
      <c r="E68">
        <v>12</v>
      </c>
      <c r="J68" t="s">
        <v>80</v>
      </c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13">
        <f t="shared" ref="Y68:BI68" si="50">_xlfn.NORM.DIST(Y55,$I$28,$I$29,TRUE)</f>
        <v>8.5399054709917942E-6</v>
      </c>
      <c r="Z68" s="13">
        <f t="shared" si="50"/>
        <v>0.11506967022170828</v>
      </c>
      <c r="AA68" s="13">
        <f t="shared" si="50"/>
        <v>0.94520070830044201</v>
      </c>
      <c r="AB68" s="13">
        <f t="shared" si="50"/>
        <v>0.99999869919254614</v>
      </c>
      <c r="AC68" s="13">
        <f t="shared" si="50"/>
        <v>0.99999999999999323</v>
      </c>
      <c r="AD68" s="13">
        <f t="shared" si="50"/>
        <v>1</v>
      </c>
      <c r="AE68" s="13">
        <f t="shared" si="50"/>
        <v>1</v>
      </c>
      <c r="AF68" s="13">
        <f t="shared" si="50"/>
        <v>1</v>
      </c>
      <c r="AG68" s="13">
        <f t="shared" si="50"/>
        <v>1</v>
      </c>
      <c r="AH68" s="13">
        <f t="shared" si="50"/>
        <v>1</v>
      </c>
      <c r="AI68" s="13">
        <f t="shared" si="50"/>
        <v>1</v>
      </c>
      <c r="AJ68" s="13">
        <f t="shared" si="50"/>
        <v>1</v>
      </c>
      <c r="AK68" s="13">
        <f t="shared" si="50"/>
        <v>8.5399054709917942E-6</v>
      </c>
      <c r="AL68" s="13">
        <f t="shared" si="50"/>
        <v>0.11506967022170828</v>
      </c>
      <c r="AM68" s="13">
        <f t="shared" si="50"/>
        <v>0.94520070830044201</v>
      </c>
      <c r="AN68" s="13">
        <f t="shared" si="50"/>
        <v>0.99999869919254614</v>
      </c>
      <c r="AO68" s="13">
        <f t="shared" si="50"/>
        <v>0.99999999999999323</v>
      </c>
      <c r="AP68" s="13">
        <f t="shared" si="50"/>
        <v>1</v>
      </c>
      <c r="AQ68" s="13">
        <f t="shared" si="50"/>
        <v>1</v>
      </c>
      <c r="AR68" s="13">
        <f t="shared" si="50"/>
        <v>1</v>
      </c>
      <c r="AS68" s="13">
        <f t="shared" si="50"/>
        <v>1</v>
      </c>
      <c r="AT68" s="13">
        <f t="shared" si="50"/>
        <v>1</v>
      </c>
      <c r="AU68" s="13">
        <f t="shared" si="50"/>
        <v>1</v>
      </c>
      <c r="AV68" s="13">
        <f t="shared" si="50"/>
        <v>1</v>
      </c>
      <c r="AW68" s="13">
        <f t="shared" si="50"/>
        <v>8.5399054709917942E-6</v>
      </c>
      <c r="AX68" s="13">
        <f t="shared" si="50"/>
        <v>0.11506967022170828</v>
      </c>
      <c r="AY68" s="13">
        <f t="shared" si="50"/>
        <v>0.94520070830044201</v>
      </c>
      <c r="AZ68" s="13">
        <f t="shared" si="50"/>
        <v>0.99999869919254614</v>
      </c>
      <c r="BA68" s="13">
        <f t="shared" si="50"/>
        <v>0.99999999999999323</v>
      </c>
      <c r="BB68" s="13">
        <f t="shared" si="50"/>
        <v>1</v>
      </c>
      <c r="BC68" s="13">
        <f t="shared" si="50"/>
        <v>1</v>
      </c>
      <c r="BD68" s="13">
        <f t="shared" si="50"/>
        <v>1</v>
      </c>
      <c r="BE68" s="13">
        <f t="shared" si="50"/>
        <v>1</v>
      </c>
      <c r="BF68" s="13">
        <f t="shared" si="50"/>
        <v>1</v>
      </c>
      <c r="BG68" s="13">
        <f t="shared" si="50"/>
        <v>1</v>
      </c>
      <c r="BH68" s="13">
        <f t="shared" si="50"/>
        <v>1</v>
      </c>
      <c r="BI68" s="13">
        <f t="shared" si="50"/>
        <v>8.5399054709917942E-6</v>
      </c>
    </row>
    <row r="70" spans="5:61" x14ac:dyDescent="0.35">
      <c r="E70">
        <v>1</v>
      </c>
      <c r="J70" t="s">
        <v>80</v>
      </c>
      <c r="N70" s="13">
        <f>IF(N57-M57&lt;0,N57,N57-M57)</f>
        <v>8.5399054709917942E-6</v>
      </c>
      <c r="O70" s="13">
        <f t="shared" ref="O70:BI75" si="51">IF(O57-N57&lt;0,O57,O57-N57)</f>
        <v>8.0748119328300061E-2</v>
      </c>
      <c r="P70" s="13">
        <f t="shared" si="51"/>
        <v>0.87467787800768593</v>
      </c>
      <c r="Q70" s="13">
        <f t="shared" si="51"/>
        <v>4.4564161951089143E-2</v>
      </c>
      <c r="R70" s="13">
        <f t="shared" si="51"/>
        <v>1.3008074507547818E-6</v>
      </c>
      <c r="S70" s="13">
        <f t="shared" si="51"/>
        <v>3.1086244689504383E-15</v>
      </c>
      <c r="T70" s="13">
        <f t="shared" si="51"/>
        <v>0</v>
      </c>
      <c r="U70" s="13">
        <f t="shared" si="51"/>
        <v>0</v>
      </c>
      <c r="V70" s="13">
        <f t="shared" si="51"/>
        <v>0</v>
      </c>
      <c r="W70" s="13">
        <f t="shared" si="51"/>
        <v>0</v>
      </c>
      <c r="X70" s="13">
        <f t="shared" si="51"/>
        <v>0</v>
      </c>
      <c r="Y70" s="13">
        <f t="shared" si="51"/>
        <v>0</v>
      </c>
      <c r="Z70" s="13">
        <f t="shared" si="51"/>
        <v>8.5399054709917942E-6</v>
      </c>
      <c r="AA70" s="13">
        <f t="shared" si="51"/>
        <v>6.6798661363387066E-2</v>
      </c>
      <c r="AB70" s="13">
        <f t="shared" si="51"/>
        <v>0.87839350703158392</v>
      </c>
      <c r="AC70" s="13">
        <f t="shared" si="51"/>
        <v>5.4797179244855498E-2</v>
      </c>
      <c r="AD70" s="13">
        <f t="shared" si="51"/>
        <v>2.1124546957240753E-6</v>
      </c>
      <c r="AE70" s="13">
        <f t="shared" si="51"/>
        <v>6.7723604502134549E-15</v>
      </c>
      <c r="AF70" s="13">
        <f t="shared" si="51"/>
        <v>0</v>
      </c>
      <c r="AG70" s="13">
        <f t="shared" si="51"/>
        <v>0</v>
      </c>
      <c r="AH70" s="13">
        <f t="shared" si="51"/>
        <v>0</v>
      </c>
      <c r="AI70" s="13">
        <f t="shared" si="51"/>
        <v>0</v>
      </c>
      <c r="AJ70" s="13">
        <f t="shared" si="51"/>
        <v>0</v>
      </c>
      <c r="AK70" s="13">
        <f t="shared" si="51"/>
        <v>0</v>
      </c>
      <c r="AL70" s="13">
        <f t="shared" si="51"/>
        <v>8.5399054709917942E-6</v>
      </c>
      <c r="AM70" s="13">
        <f t="shared" si="51"/>
        <v>6.6798661363387066E-2</v>
      </c>
      <c r="AN70" s="13">
        <f t="shared" si="51"/>
        <v>0.87839350703158392</v>
      </c>
      <c r="AO70" s="13">
        <f t="shared" si="51"/>
        <v>5.4797179244855498E-2</v>
      </c>
      <c r="AP70" s="13">
        <f t="shared" si="51"/>
        <v>2.1124546957240753E-6</v>
      </c>
      <c r="AQ70" s="13">
        <f t="shared" si="51"/>
        <v>6.7723604502134549E-15</v>
      </c>
      <c r="AR70" s="13">
        <f t="shared" si="51"/>
        <v>0</v>
      </c>
      <c r="AS70" s="13">
        <f t="shared" si="51"/>
        <v>0</v>
      </c>
      <c r="AT70" s="13">
        <f t="shared" si="51"/>
        <v>0</v>
      </c>
      <c r="AU70" s="13">
        <f t="shared" si="51"/>
        <v>0</v>
      </c>
      <c r="AV70" s="13">
        <f t="shared" si="51"/>
        <v>0</v>
      </c>
      <c r="AW70" s="13">
        <f t="shared" si="51"/>
        <v>0</v>
      </c>
      <c r="AX70" s="13">
        <f t="shared" si="51"/>
        <v>8.5399054709917942E-6</v>
      </c>
      <c r="AY70" s="13">
        <f t="shared" si="51"/>
        <v>6.6798661363387066E-2</v>
      </c>
      <c r="AZ70" s="13">
        <f t="shared" si="51"/>
        <v>0.87839350703158392</v>
      </c>
      <c r="BA70" s="13">
        <f t="shared" si="51"/>
        <v>5.4797179244855498E-2</v>
      </c>
      <c r="BB70" s="13">
        <f t="shared" si="51"/>
        <v>2.1124546957240753E-6</v>
      </c>
      <c r="BC70" s="13">
        <f t="shared" si="51"/>
        <v>6.7723604502134549E-15</v>
      </c>
      <c r="BD70" s="13">
        <f t="shared" si="51"/>
        <v>0</v>
      </c>
      <c r="BE70" s="13">
        <f t="shared" si="51"/>
        <v>0</v>
      </c>
      <c r="BF70" s="13">
        <f t="shared" si="51"/>
        <v>0</v>
      </c>
      <c r="BG70" s="13">
        <f t="shared" si="51"/>
        <v>0</v>
      </c>
      <c r="BH70" s="13">
        <f t="shared" si="51"/>
        <v>0</v>
      </c>
      <c r="BI70" s="13">
        <f t="shared" si="51"/>
        <v>0</v>
      </c>
    </row>
    <row r="71" spans="5:61" x14ac:dyDescent="0.35">
      <c r="E71">
        <v>2</v>
      </c>
      <c r="J71" t="s">
        <v>80</v>
      </c>
      <c r="N71" s="78"/>
      <c r="O71" s="13">
        <f t="shared" si="51"/>
        <v>3.3976731247300535E-6</v>
      </c>
      <c r="P71" s="13">
        <f t="shared" si="51"/>
        <v>8.0753261560646328E-2</v>
      </c>
      <c r="Q71" s="13">
        <f t="shared" si="51"/>
        <v>0.86444404906667094</v>
      </c>
      <c r="R71" s="13">
        <f t="shared" si="51"/>
        <v>5.4797990892104131E-2</v>
      </c>
      <c r="S71" s="13">
        <f t="shared" si="51"/>
        <v>1.3008074470910458E-6</v>
      </c>
      <c r="T71" s="13">
        <f t="shared" si="51"/>
        <v>6.7723604502134549E-15</v>
      </c>
      <c r="U71" s="13">
        <f t="shared" si="51"/>
        <v>0</v>
      </c>
      <c r="V71" s="13">
        <f t="shared" si="51"/>
        <v>0</v>
      </c>
      <c r="W71" s="13">
        <f t="shared" si="51"/>
        <v>0</v>
      </c>
      <c r="X71" s="13">
        <f t="shared" si="51"/>
        <v>0</v>
      </c>
      <c r="Y71" s="13">
        <f t="shared" si="51"/>
        <v>0</v>
      </c>
      <c r="Z71" s="13">
        <f t="shared" si="51"/>
        <v>0</v>
      </c>
      <c r="AA71" s="13">
        <f t="shared" si="51"/>
        <v>2.1124547025028533E-6</v>
      </c>
      <c r="AB71" s="13">
        <f t="shared" si="51"/>
        <v>6.6805088814155561E-2</v>
      </c>
      <c r="AC71" s="13">
        <f t="shared" si="51"/>
        <v>0.86638559746228383</v>
      </c>
      <c r="AD71" s="13">
        <f t="shared" si="51"/>
        <v>6.6805088814155589E-2</v>
      </c>
      <c r="AE71" s="13">
        <f t="shared" si="51"/>
        <v>2.1124546877304695E-6</v>
      </c>
      <c r="AF71" s="13">
        <f t="shared" si="51"/>
        <v>1.4765966227514582E-14</v>
      </c>
      <c r="AG71" s="13">
        <f t="shared" si="51"/>
        <v>0</v>
      </c>
      <c r="AH71" s="13">
        <f t="shared" si="51"/>
        <v>0</v>
      </c>
      <c r="AI71" s="13">
        <f t="shared" si="51"/>
        <v>0</v>
      </c>
      <c r="AJ71" s="13">
        <f t="shared" si="51"/>
        <v>0</v>
      </c>
      <c r="AK71" s="13">
        <f t="shared" si="51"/>
        <v>0</v>
      </c>
      <c r="AL71" s="13">
        <f t="shared" si="51"/>
        <v>0</v>
      </c>
      <c r="AM71" s="13">
        <f t="shared" si="51"/>
        <v>2.1124547025028533E-6</v>
      </c>
      <c r="AN71" s="13">
        <f t="shared" si="51"/>
        <v>6.6805088814155561E-2</v>
      </c>
      <c r="AO71" s="13">
        <f t="shared" si="51"/>
        <v>0.86638559746228383</v>
      </c>
      <c r="AP71" s="13">
        <f t="shared" si="51"/>
        <v>6.6805088814155589E-2</v>
      </c>
      <c r="AQ71" s="13">
        <f t="shared" si="51"/>
        <v>2.1124546877304695E-6</v>
      </c>
      <c r="AR71" s="13">
        <f t="shared" si="51"/>
        <v>1.4765966227514582E-14</v>
      </c>
      <c r="AS71" s="13">
        <f t="shared" si="51"/>
        <v>0</v>
      </c>
      <c r="AT71" s="13">
        <f t="shared" si="51"/>
        <v>0</v>
      </c>
      <c r="AU71" s="13">
        <f t="shared" si="51"/>
        <v>0</v>
      </c>
      <c r="AV71" s="13">
        <f t="shared" si="51"/>
        <v>0</v>
      </c>
      <c r="AW71" s="13">
        <f t="shared" si="51"/>
        <v>0</v>
      </c>
      <c r="AX71" s="13">
        <f t="shared" si="51"/>
        <v>0</v>
      </c>
      <c r="AY71" s="13">
        <f t="shared" si="51"/>
        <v>2.1124547025028533E-6</v>
      </c>
      <c r="AZ71" s="13">
        <f t="shared" si="51"/>
        <v>6.6805088814155561E-2</v>
      </c>
      <c r="BA71" s="13">
        <f t="shared" si="51"/>
        <v>0.86638559746228383</v>
      </c>
      <c r="BB71" s="13">
        <f t="shared" si="51"/>
        <v>6.6805088814155589E-2</v>
      </c>
      <c r="BC71" s="13">
        <f t="shared" si="51"/>
        <v>2.1124546877304695E-6</v>
      </c>
      <c r="BD71" s="13">
        <f t="shared" si="51"/>
        <v>1.4765966227514582E-14</v>
      </c>
      <c r="BE71" s="13">
        <f t="shared" si="51"/>
        <v>0</v>
      </c>
      <c r="BF71" s="13">
        <f t="shared" si="51"/>
        <v>0</v>
      </c>
      <c r="BG71" s="13">
        <f t="shared" si="51"/>
        <v>0</v>
      </c>
      <c r="BH71" s="13">
        <f t="shared" si="51"/>
        <v>0</v>
      </c>
      <c r="BI71" s="13">
        <f t="shared" si="51"/>
        <v>0</v>
      </c>
    </row>
    <row r="72" spans="5:61" x14ac:dyDescent="0.35">
      <c r="E72">
        <v>3</v>
      </c>
      <c r="J72" t="s">
        <v>80</v>
      </c>
      <c r="N72" s="78"/>
      <c r="O72" s="78"/>
      <c r="P72" s="13">
        <f t="shared" si="51"/>
        <v>8.5399054709917942E-6</v>
      </c>
      <c r="Q72" s="13">
        <f t="shared" si="51"/>
        <v>9.6791944680139325E-2</v>
      </c>
      <c r="R72" s="13">
        <f t="shared" si="51"/>
        <v>0.86726919630146393</v>
      </c>
      <c r="S72" s="13">
        <f t="shared" si="51"/>
        <v>3.5929525784773819E-2</v>
      </c>
      <c r="T72" s="13">
        <f t="shared" si="51"/>
        <v>7.9332815050570105E-7</v>
      </c>
      <c r="U72" s="13">
        <f t="shared" si="51"/>
        <v>1.4432899320127035E-15</v>
      </c>
      <c r="V72" s="13">
        <f t="shared" si="51"/>
        <v>0</v>
      </c>
      <c r="W72" s="13">
        <f t="shared" si="51"/>
        <v>0</v>
      </c>
      <c r="X72" s="13">
        <f t="shared" si="51"/>
        <v>0</v>
      </c>
      <c r="Y72" s="13">
        <f t="shared" si="51"/>
        <v>0</v>
      </c>
      <c r="Z72" s="13">
        <f t="shared" si="51"/>
        <v>0</v>
      </c>
      <c r="AA72" s="13">
        <f t="shared" si="51"/>
        <v>0</v>
      </c>
      <c r="AB72" s="13">
        <f t="shared" si="51"/>
        <v>8.5399054709917942E-6</v>
      </c>
      <c r="AC72" s="13">
        <f t="shared" si="51"/>
        <v>9.6791944680139325E-2</v>
      </c>
      <c r="AD72" s="13">
        <f t="shared" si="51"/>
        <v>0.86726919630146393</v>
      </c>
      <c r="AE72" s="13">
        <f t="shared" si="51"/>
        <v>3.5929525784773819E-2</v>
      </c>
      <c r="AF72" s="13">
        <f t="shared" si="51"/>
        <v>7.9332815050570105E-7</v>
      </c>
      <c r="AG72" s="13">
        <f t="shared" si="51"/>
        <v>1.4432899320127035E-15</v>
      </c>
      <c r="AH72" s="13">
        <f t="shared" si="51"/>
        <v>0</v>
      </c>
      <c r="AI72" s="13">
        <f t="shared" si="51"/>
        <v>0</v>
      </c>
      <c r="AJ72" s="13">
        <f t="shared" si="51"/>
        <v>0</v>
      </c>
      <c r="AK72" s="13">
        <f t="shared" si="51"/>
        <v>0</v>
      </c>
      <c r="AL72" s="13">
        <f t="shared" si="51"/>
        <v>0</v>
      </c>
      <c r="AM72" s="13">
        <f t="shared" si="51"/>
        <v>0</v>
      </c>
      <c r="AN72" s="13">
        <f t="shared" si="51"/>
        <v>8.5399054709917942E-6</v>
      </c>
      <c r="AO72" s="13">
        <f t="shared" si="51"/>
        <v>9.6791944680139325E-2</v>
      </c>
      <c r="AP72" s="13">
        <f t="shared" si="51"/>
        <v>0.86726919630146393</v>
      </c>
      <c r="AQ72" s="13">
        <f t="shared" si="51"/>
        <v>3.5929525784773819E-2</v>
      </c>
      <c r="AR72" s="13">
        <f t="shared" si="51"/>
        <v>7.9332815050570105E-7</v>
      </c>
      <c r="AS72" s="13">
        <f t="shared" si="51"/>
        <v>1.4432899320127035E-15</v>
      </c>
      <c r="AT72" s="13">
        <f t="shared" si="51"/>
        <v>0</v>
      </c>
      <c r="AU72" s="13">
        <f t="shared" si="51"/>
        <v>0</v>
      </c>
      <c r="AV72" s="13">
        <f t="shared" si="51"/>
        <v>0</v>
      </c>
      <c r="AW72" s="13">
        <f t="shared" si="51"/>
        <v>0</v>
      </c>
      <c r="AX72" s="13">
        <f t="shared" si="51"/>
        <v>0</v>
      </c>
      <c r="AY72" s="13">
        <f t="shared" si="51"/>
        <v>0</v>
      </c>
      <c r="AZ72" s="13">
        <f t="shared" si="51"/>
        <v>8.5399054709917942E-6</v>
      </c>
      <c r="BA72" s="13">
        <f t="shared" si="51"/>
        <v>9.6791944680139325E-2</v>
      </c>
      <c r="BB72" s="13">
        <f t="shared" si="51"/>
        <v>0.86726919630146393</v>
      </c>
      <c r="BC72" s="13">
        <f t="shared" si="51"/>
        <v>3.5929525784773819E-2</v>
      </c>
      <c r="BD72" s="13">
        <f t="shared" si="51"/>
        <v>7.9332815050570105E-7</v>
      </c>
      <c r="BE72" s="13">
        <f t="shared" si="51"/>
        <v>1.4432899320127035E-15</v>
      </c>
      <c r="BF72" s="13">
        <f t="shared" si="51"/>
        <v>0</v>
      </c>
      <c r="BG72" s="13">
        <f t="shared" si="51"/>
        <v>0</v>
      </c>
      <c r="BH72" s="13">
        <f t="shared" si="51"/>
        <v>0</v>
      </c>
      <c r="BI72" s="13">
        <f t="shared" si="51"/>
        <v>0</v>
      </c>
    </row>
    <row r="73" spans="5:61" x14ac:dyDescent="0.35">
      <c r="E73">
        <v>4</v>
      </c>
      <c r="J73" t="s">
        <v>80</v>
      </c>
      <c r="N73" s="78"/>
      <c r="O73" s="78"/>
      <c r="P73" s="78"/>
      <c r="Q73" s="13">
        <f t="shared" si="51"/>
        <v>5.4125439077038416E-6</v>
      </c>
      <c r="R73" s="13">
        <f t="shared" si="51"/>
        <v>9.6795072041702609E-2</v>
      </c>
      <c r="S73" s="13">
        <f t="shared" si="51"/>
        <v>0.85863405265584669</v>
      </c>
      <c r="T73" s="13">
        <f t="shared" si="51"/>
        <v>4.4564669430391057E-2</v>
      </c>
      <c r="U73" s="13">
        <f t="shared" si="51"/>
        <v>7.9332815050570105E-7</v>
      </c>
      <c r="V73" s="13">
        <f t="shared" si="51"/>
        <v>1.4432899320127035E-15</v>
      </c>
      <c r="W73" s="13">
        <f t="shared" si="51"/>
        <v>0</v>
      </c>
      <c r="X73" s="13">
        <f t="shared" si="51"/>
        <v>0</v>
      </c>
      <c r="Y73" s="13">
        <f t="shared" si="51"/>
        <v>0</v>
      </c>
      <c r="Z73" s="13">
        <f t="shared" si="51"/>
        <v>0</v>
      </c>
      <c r="AA73" s="13">
        <f t="shared" si="51"/>
        <v>0</v>
      </c>
      <c r="AB73" s="13">
        <f t="shared" si="51"/>
        <v>0</v>
      </c>
      <c r="AC73" s="13">
        <f t="shared" si="51"/>
        <v>5.4125439077038416E-6</v>
      </c>
      <c r="AD73" s="13">
        <f t="shared" si="51"/>
        <v>9.6795072041702609E-2</v>
      </c>
      <c r="AE73" s="13">
        <f t="shared" si="51"/>
        <v>0.85863405265584669</v>
      </c>
      <c r="AF73" s="13">
        <f t="shared" si="51"/>
        <v>4.4564669430391057E-2</v>
      </c>
      <c r="AG73" s="13">
        <f t="shared" si="51"/>
        <v>7.9332815050570105E-7</v>
      </c>
      <c r="AH73" s="13">
        <f t="shared" si="51"/>
        <v>1.4432899320127035E-15</v>
      </c>
      <c r="AI73" s="13">
        <f t="shared" si="51"/>
        <v>0</v>
      </c>
      <c r="AJ73" s="13">
        <f t="shared" si="51"/>
        <v>0</v>
      </c>
      <c r="AK73" s="13">
        <f t="shared" si="51"/>
        <v>0</v>
      </c>
      <c r="AL73" s="13">
        <f t="shared" si="51"/>
        <v>0</v>
      </c>
      <c r="AM73" s="13">
        <f t="shared" si="51"/>
        <v>0</v>
      </c>
      <c r="AN73" s="13">
        <f t="shared" si="51"/>
        <v>0</v>
      </c>
      <c r="AO73" s="13">
        <f t="shared" si="51"/>
        <v>5.4125439077038416E-6</v>
      </c>
      <c r="AP73" s="13">
        <f t="shared" si="51"/>
        <v>9.6795072041702609E-2</v>
      </c>
      <c r="AQ73" s="13">
        <f t="shared" si="51"/>
        <v>0.85863405265584669</v>
      </c>
      <c r="AR73" s="13">
        <f t="shared" si="51"/>
        <v>4.4564669430391057E-2</v>
      </c>
      <c r="AS73" s="13">
        <f t="shared" si="51"/>
        <v>7.9332815050570105E-7</v>
      </c>
      <c r="AT73" s="13">
        <f t="shared" si="51"/>
        <v>1.4432899320127035E-15</v>
      </c>
      <c r="AU73" s="13">
        <f t="shared" si="51"/>
        <v>0</v>
      </c>
      <c r="AV73" s="13">
        <f t="shared" si="51"/>
        <v>0</v>
      </c>
      <c r="AW73" s="13">
        <f t="shared" si="51"/>
        <v>0</v>
      </c>
      <c r="AX73" s="13">
        <f t="shared" si="51"/>
        <v>0</v>
      </c>
      <c r="AY73" s="13">
        <f t="shared" si="51"/>
        <v>0</v>
      </c>
      <c r="AZ73" s="13">
        <f t="shared" si="51"/>
        <v>0</v>
      </c>
      <c r="BA73" s="13">
        <f t="shared" si="51"/>
        <v>5.4125439077038416E-6</v>
      </c>
      <c r="BB73" s="13">
        <f t="shared" si="51"/>
        <v>9.6795072041702609E-2</v>
      </c>
      <c r="BC73" s="13">
        <f t="shared" si="51"/>
        <v>0.85863405265584669</v>
      </c>
      <c r="BD73" s="13">
        <f t="shared" si="51"/>
        <v>4.4564669430391057E-2</v>
      </c>
      <c r="BE73" s="13">
        <f t="shared" si="51"/>
        <v>7.9332815050570105E-7</v>
      </c>
      <c r="BF73" s="13">
        <f t="shared" si="51"/>
        <v>1.4432899320127035E-15</v>
      </c>
      <c r="BG73" s="13">
        <f t="shared" si="51"/>
        <v>0</v>
      </c>
      <c r="BH73" s="13">
        <f t="shared" si="51"/>
        <v>0</v>
      </c>
      <c r="BI73" s="13">
        <f t="shared" si="51"/>
        <v>0</v>
      </c>
    </row>
    <row r="74" spans="5:61" x14ac:dyDescent="0.35">
      <c r="E74">
        <v>5</v>
      </c>
      <c r="J74" t="s">
        <v>80</v>
      </c>
      <c r="N74" s="78"/>
      <c r="O74" s="78"/>
      <c r="P74" s="78"/>
      <c r="Q74" s="78"/>
      <c r="R74" s="13">
        <f t="shared" si="51"/>
        <v>8.5399054709917942E-6</v>
      </c>
      <c r="S74" s="13">
        <f t="shared" si="51"/>
        <v>9.6791944680139325E-2</v>
      </c>
      <c r="T74" s="13">
        <f t="shared" si="51"/>
        <v>0.86726919630146393</v>
      </c>
      <c r="U74" s="13">
        <f t="shared" si="51"/>
        <v>3.5929839929649154E-2</v>
      </c>
      <c r="V74" s="13">
        <f t="shared" si="51"/>
        <v>4.7918327517049164E-7</v>
      </c>
      <c r="W74" s="13">
        <f t="shared" si="51"/>
        <v>1.4432899320127035E-15</v>
      </c>
      <c r="X74" s="13">
        <f t="shared" si="51"/>
        <v>0</v>
      </c>
      <c r="Y74" s="13">
        <f t="shared" si="51"/>
        <v>0</v>
      </c>
      <c r="Z74" s="13">
        <f t="shared" si="51"/>
        <v>0</v>
      </c>
      <c r="AA74" s="13">
        <f t="shared" si="51"/>
        <v>0</v>
      </c>
      <c r="AB74" s="13">
        <f t="shared" si="51"/>
        <v>0</v>
      </c>
      <c r="AC74" s="13">
        <f t="shared" si="51"/>
        <v>0</v>
      </c>
      <c r="AD74" s="13">
        <f t="shared" si="51"/>
        <v>8.5399054709917942E-6</v>
      </c>
      <c r="AE74" s="13">
        <f t="shared" si="51"/>
        <v>9.6791944680139325E-2</v>
      </c>
      <c r="AF74" s="13">
        <f t="shared" si="51"/>
        <v>0.86726919630146393</v>
      </c>
      <c r="AG74" s="13">
        <f t="shared" si="51"/>
        <v>3.5929839929649154E-2</v>
      </c>
      <c r="AH74" s="13">
        <f t="shared" si="51"/>
        <v>4.7918327517049164E-7</v>
      </c>
      <c r="AI74" s="13">
        <f t="shared" si="51"/>
        <v>1.4432899320127035E-15</v>
      </c>
      <c r="AJ74" s="13">
        <f t="shared" si="51"/>
        <v>0</v>
      </c>
      <c r="AK74" s="13">
        <f t="shared" si="51"/>
        <v>0</v>
      </c>
      <c r="AL74" s="13">
        <f t="shared" si="51"/>
        <v>0</v>
      </c>
      <c r="AM74" s="13">
        <f t="shared" si="51"/>
        <v>0</v>
      </c>
      <c r="AN74" s="13">
        <f t="shared" si="51"/>
        <v>0</v>
      </c>
      <c r="AO74" s="13">
        <f t="shared" si="51"/>
        <v>0</v>
      </c>
      <c r="AP74" s="13">
        <f t="shared" si="51"/>
        <v>8.5399054709917942E-6</v>
      </c>
      <c r="AQ74" s="13">
        <f t="shared" si="51"/>
        <v>9.6791944680139325E-2</v>
      </c>
      <c r="AR74" s="13">
        <f t="shared" si="51"/>
        <v>0.86726919630146393</v>
      </c>
      <c r="AS74" s="13">
        <f t="shared" si="51"/>
        <v>3.5929839929649154E-2</v>
      </c>
      <c r="AT74" s="13">
        <f t="shared" si="51"/>
        <v>4.7918327517049164E-7</v>
      </c>
      <c r="AU74" s="13">
        <f t="shared" si="51"/>
        <v>1.4432899320127035E-15</v>
      </c>
      <c r="AV74" s="13">
        <f t="shared" si="51"/>
        <v>0</v>
      </c>
      <c r="AW74" s="13">
        <f t="shared" si="51"/>
        <v>0</v>
      </c>
      <c r="AX74" s="13">
        <f t="shared" si="51"/>
        <v>0</v>
      </c>
      <c r="AY74" s="13">
        <f t="shared" si="51"/>
        <v>0</v>
      </c>
      <c r="AZ74" s="13">
        <f t="shared" si="51"/>
        <v>0</v>
      </c>
      <c r="BA74" s="13">
        <f t="shared" si="51"/>
        <v>0</v>
      </c>
      <c r="BB74" s="13">
        <f t="shared" si="51"/>
        <v>8.5399054709917942E-6</v>
      </c>
      <c r="BC74" s="13">
        <f t="shared" si="51"/>
        <v>9.6791944680139325E-2</v>
      </c>
      <c r="BD74" s="13">
        <f t="shared" si="51"/>
        <v>0.86726919630146393</v>
      </c>
      <c r="BE74" s="13">
        <f t="shared" si="51"/>
        <v>3.5929839929649154E-2</v>
      </c>
      <c r="BF74" s="13">
        <f t="shared" si="51"/>
        <v>4.7918327517049164E-7</v>
      </c>
      <c r="BG74" s="13">
        <f t="shared" si="51"/>
        <v>1.4432899320127035E-15</v>
      </c>
      <c r="BH74" s="13">
        <f t="shared" si="51"/>
        <v>0</v>
      </c>
      <c r="BI74" s="13">
        <f t="shared" si="51"/>
        <v>0</v>
      </c>
    </row>
    <row r="75" spans="5:61" x14ac:dyDescent="0.35">
      <c r="E75">
        <v>6</v>
      </c>
      <c r="J75" t="s">
        <v>80</v>
      </c>
      <c r="N75" s="78"/>
      <c r="O75" s="78"/>
      <c r="P75" s="78"/>
      <c r="Q75" s="78"/>
      <c r="R75" s="78"/>
      <c r="S75" s="13">
        <f t="shared" si="51"/>
        <v>5.4125439077038416E-6</v>
      </c>
      <c r="T75" s="13">
        <f t="shared" si="51"/>
        <v>9.6795072041702609E-2</v>
      </c>
      <c r="U75" s="13">
        <f t="shared" si="51"/>
        <v>0.86726919630146393</v>
      </c>
      <c r="V75" s="13">
        <f t="shared" si="51"/>
        <v>3.5929525784773819E-2</v>
      </c>
      <c r="W75" s="13">
        <f t="shared" si="51"/>
        <v>7.9332815050570105E-7</v>
      </c>
      <c r="X75" s="13">
        <f t="shared" si="51"/>
        <v>1.4432899320127035E-15</v>
      </c>
      <c r="Y75" s="13">
        <f t="shared" si="51"/>
        <v>0</v>
      </c>
      <c r="Z75" s="13">
        <f t="shared" si="51"/>
        <v>0</v>
      </c>
      <c r="AA75" s="13">
        <f t="shared" si="51"/>
        <v>0</v>
      </c>
      <c r="AB75" s="13">
        <f t="shared" si="51"/>
        <v>0</v>
      </c>
      <c r="AC75" s="13">
        <f t="shared" si="51"/>
        <v>0</v>
      </c>
      <c r="AD75" s="13">
        <f t="shared" si="51"/>
        <v>0</v>
      </c>
      <c r="AE75" s="13">
        <f t="shared" si="51"/>
        <v>5.4125439077038416E-6</v>
      </c>
      <c r="AF75" s="13">
        <f t="shared" si="51"/>
        <v>9.6795072041702609E-2</v>
      </c>
      <c r="AG75" s="13">
        <f t="shared" si="51"/>
        <v>0.86726919630146393</v>
      </c>
      <c r="AH75" s="13">
        <f t="shared" si="51"/>
        <v>3.5929525784773819E-2</v>
      </c>
      <c r="AI75" s="13">
        <f t="shared" si="51"/>
        <v>7.9332815050570105E-7</v>
      </c>
      <c r="AJ75" s="13">
        <f t="shared" si="51"/>
        <v>1.4432899320127035E-15</v>
      </c>
      <c r="AK75" s="13">
        <f t="shared" si="51"/>
        <v>0</v>
      </c>
      <c r="AL75" s="13">
        <f t="shared" si="51"/>
        <v>0</v>
      </c>
      <c r="AM75" s="13">
        <f t="shared" si="51"/>
        <v>0</v>
      </c>
      <c r="AN75" s="13">
        <f t="shared" si="51"/>
        <v>0</v>
      </c>
      <c r="AO75" s="13">
        <f t="shared" si="51"/>
        <v>0</v>
      </c>
      <c r="AP75" s="13">
        <f t="shared" si="51"/>
        <v>0</v>
      </c>
      <c r="AQ75" s="13">
        <f t="shared" si="51"/>
        <v>5.4125439077038416E-6</v>
      </c>
      <c r="AR75" s="13">
        <f t="shared" si="51"/>
        <v>9.6795072041702609E-2</v>
      </c>
      <c r="AS75" s="13">
        <f t="shared" ref="AS75:BI75" si="52">IF(AS62-AR62&lt;0,AS62,AS62-AR62)</f>
        <v>0.86726919630146393</v>
      </c>
      <c r="AT75" s="13">
        <f t="shared" si="52"/>
        <v>3.5929525784773819E-2</v>
      </c>
      <c r="AU75" s="13">
        <f t="shared" si="52"/>
        <v>7.9332815050570105E-7</v>
      </c>
      <c r="AV75" s="13">
        <f t="shared" si="52"/>
        <v>1.4432899320127035E-15</v>
      </c>
      <c r="AW75" s="13">
        <f t="shared" si="52"/>
        <v>0</v>
      </c>
      <c r="AX75" s="13">
        <f t="shared" si="52"/>
        <v>0</v>
      </c>
      <c r="AY75" s="13">
        <f t="shared" si="52"/>
        <v>0</v>
      </c>
      <c r="AZ75" s="13">
        <f t="shared" si="52"/>
        <v>0</v>
      </c>
      <c r="BA75" s="13">
        <f t="shared" si="52"/>
        <v>0</v>
      </c>
      <c r="BB75" s="13">
        <f t="shared" si="52"/>
        <v>0</v>
      </c>
      <c r="BC75" s="13">
        <f t="shared" si="52"/>
        <v>5.4125439077038416E-6</v>
      </c>
      <c r="BD75" s="13">
        <f t="shared" si="52"/>
        <v>9.6795072041702609E-2</v>
      </c>
      <c r="BE75" s="13">
        <f t="shared" si="52"/>
        <v>0.86726919630146393</v>
      </c>
      <c r="BF75" s="13">
        <f t="shared" si="52"/>
        <v>3.5929525784773819E-2</v>
      </c>
      <c r="BG75" s="13">
        <f t="shared" si="52"/>
        <v>7.9332815050570105E-7</v>
      </c>
      <c r="BH75" s="13">
        <f t="shared" si="52"/>
        <v>1.4432899320127035E-15</v>
      </c>
      <c r="BI75" s="13">
        <f t="shared" si="52"/>
        <v>0</v>
      </c>
    </row>
    <row r="76" spans="5:61" x14ac:dyDescent="0.35">
      <c r="E76">
        <v>7</v>
      </c>
      <c r="J76" t="s">
        <v>80</v>
      </c>
      <c r="N76" s="78"/>
      <c r="O76" s="78"/>
      <c r="P76" s="78"/>
      <c r="Q76" s="78"/>
      <c r="R76" s="78"/>
      <c r="S76" s="78"/>
      <c r="T76" s="13">
        <f t="shared" ref="T76:BI81" si="53">IF(T63-S63&lt;0,T63,T63-S63)</f>
        <v>8.5399054709917942E-6</v>
      </c>
      <c r="U76" s="13">
        <f t="shared" si="53"/>
        <v>0.11506113031623728</v>
      </c>
      <c r="V76" s="13">
        <f t="shared" si="53"/>
        <v>0.8490000106653659</v>
      </c>
      <c r="W76" s="13">
        <f t="shared" si="53"/>
        <v>3.5929839929649154E-2</v>
      </c>
      <c r="X76" s="13">
        <f t="shared" si="53"/>
        <v>4.7918327517049164E-7</v>
      </c>
      <c r="Y76" s="13">
        <f t="shared" si="53"/>
        <v>1.4432899320127035E-15</v>
      </c>
      <c r="Z76" s="13">
        <f t="shared" si="53"/>
        <v>0</v>
      </c>
      <c r="AA76" s="13">
        <f t="shared" si="53"/>
        <v>0</v>
      </c>
      <c r="AB76" s="13">
        <f t="shared" si="53"/>
        <v>0</v>
      </c>
      <c r="AC76" s="13">
        <f t="shared" si="53"/>
        <v>0</v>
      </c>
      <c r="AD76" s="13">
        <f t="shared" si="53"/>
        <v>0</v>
      </c>
      <c r="AE76" s="13">
        <f t="shared" si="53"/>
        <v>0</v>
      </c>
      <c r="AF76" s="13">
        <f t="shared" si="53"/>
        <v>8.5399054709917942E-6</v>
      </c>
      <c r="AG76" s="13">
        <f t="shared" si="53"/>
        <v>0.11506113031623728</v>
      </c>
      <c r="AH76" s="13">
        <f t="shared" si="53"/>
        <v>0.8490000106653659</v>
      </c>
      <c r="AI76" s="13">
        <f t="shared" si="53"/>
        <v>3.5929839929649154E-2</v>
      </c>
      <c r="AJ76" s="13">
        <f t="shared" si="53"/>
        <v>4.7918327517049164E-7</v>
      </c>
      <c r="AK76" s="13">
        <f t="shared" si="53"/>
        <v>1.4432899320127035E-15</v>
      </c>
      <c r="AL76" s="13">
        <f t="shared" si="53"/>
        <v>0</v>
      </c>
      <c r="AM76" s="13">
        <f t="shared" si="53"/>
        <v>0</v>
      </c>
      <c r="AN76" s="13">
        <f t="shared" si="53"/>
        <v>0</v>
      </c>
      <c r="AO76" s="13">
        <f t="shared" si="53"/>
        <v>0</v>
      </c>
      <c r="AP76" s="13">
        <f t="shared" si="53"/>
        <v>0</v>
      </c>
      <c r="AQ76" s="13">
        <f t="shared" si="53"/>
        <v>0</v>
      </c>
      <c r="AR76" s="13">
        <f t="shared" si="53"/>
        <v>8.5399054709917942E-6</v>
      </c>
      <c r="AS76" s="13">
        <f t="shared" si="53"/>
        <v>0.11506113031623728</v>
      </c>
      <c r="AT76" s="13">
        <f t="shared" si="53"/>
        <v>0.8490000106653659</v>
      </c>
      <c r="AU76" s="13">
        <f t="shared" si="53"/>
        <v>3.5929839929649154E-2</v>
      </c>
      <c r="AV76" s="13">
        <f t="shared" si="53"/>
        <v>4.7918327517049164E-7</v>
      </c>
      <c r="AW76" s="13">
        <f t="shared" si="53"/>
        <v>1.4432899320127035E-15</v>
      </c>
      <c r="AX76" s="13">
        <f t="shared" si="53"/>
        <v>0</v>
      </c>
      <c r="AY76" s="13">
        <f t="shared" si="53"/>
        <v>0</v>
      </c>
      <c r="AZ76" s="13">
        <f t="shared" si="53"/>
        <v>0</v>
      </c>
      <c r="BA76" s="13">
        <f t="shared" si="53"/>
        <v>0</v>
      </c>
      <c r="BB76" s="13">
        <f t="shared" si="53"/>
        <v>0</v>
      </c>
      <c r="BC76" s="13">
        <f t="shared" si="53"/>
        <v>0</v>
      </c>
      <c r="BD76" s="13">
        <f t="shared" si="53"/>
        <v>8.5399054709917942E-6</v>
      </c>
      <c r="BE76" s="13">
        <f t="shared" si="53"/>
        <v>0.11506113031623728</v>
      </c>
      <c r="BF76" s="13">
        <f t="shared" si="53"/>
        <v>0.8490000106653659</v>
      </c>
      <c r="BG76" s="13">
        <f t="shared" si="53"/>
        <v>3.5929839929649154E-2</v>
      </c>
      <c r="BH76" s="13">
        <f t="shared" si="53"/>
        <v>4.7918327517049164E-7</v>
      </c>
      <c r="BI76" s="13">
        <f t="shared" si="53"/>
        <v>1.4432899320127035E-15</v>
      </c>
    </row>
    <row r="77" spans="5:61" x14ac:dyDescent="0.35">
      <c r="E77">
        <v>8</v>
      </c>
      <c r="J77" t="s">
        <v>80</v>
      </c>
      <c r="N77" s="78"/>
      <c r="O77" s="78"/>
      <c r="P77" s="78"/>
      <c r="Q77" s="78"/>
      <c r="R77" s="78"/>
      <c r="S77" s="78"/>
      <c r="T77" s="78"/>
      <c r="U77" s="13">
        <f t="shared" si="53"/>
        <v>8.5399054709917942E-6</v>
      </c>
      <c r="V77" s="13">
        <f t="shared" si="53"/>
        <v>9.6791944680139325E-2</v>
      </c>
      <c r="W77" s="13">
        <f t="shared" si="53"/>
        <v>0.86726919630146393</v>
      </c>
      <c r="X77" s="13">
        <f t="shared" si="53"/>
        <v>3.5929525784773819E-2</v>
      </c>
      <c r="Y77" s="13">
        <f t="shared" si="53"/>
        <v>7.9332815050570105E-7</v>
      </c>
      <c r="Z77" s="13">
        <f t="shared" si="53"/>
        <v>1.4432899320127035E-15</v>
      </c>
      <c r="AA77" s="13">
        <f t="shared" si="53"/>
        <v>0</v>
      </c>
      <c r="AB77" s="13">
        <f t="shared" si="53"/>
        <v>0</v>
      </c>
      <c r="AC77" s="13">
        <f t="shared" si="53"/>
        <v>0</v>
      </c>
      <c r="AD77" s="13">
        <f t="shared" si="53"/>
        <v>0</v>
      </c>
      <c r="AE77" s="13">
        <f t="shared" si="53"/>
        <v>0</v>
      </c>
      <c r="AF77" s="13">
        <f t="shared" si="53"/>
        <v>0</v>
      </c>
      <c r="AG77" s="13">
        <f t="shared" si="53"/>
        <v>8.5399054709917942E-6</v>
      </c>
      <c r="AH77" s="13">
        <f t="shared" si="53"/>
        <v>9.6791944680139325E-2</v>
      </c>
      <c r="AI77" s="13">
        <f t="shared" si="53"/>
        <v>0.86726919630146393</v>
      </c>
      <c r="AJ77" s="13">
        <f t="shared" si="53"/>
        <v>3.5929525784773819E-2</v>
      </c>
      <c r="AK77" s="13">
        <f t="shared" si="53"/>
        <v>7.9332815050570105E-7</v>
      </c>
      <c r="AL77" s="13">
        <f t="shared" si="53"/>
        <v>1.4432899320127035E-15</v>
      </c>
      <c r="AM77" s="13">
        <f t="shared" si="53"/>
        <v>0</v>
      </c>
      <c r="AN77" s="13">
        <f t="shared" si="53"/>
        <v>0</v>
      </c>
      <c r="AO77" s="13">
        <f t="shared" si="53"/>
        <v>0</v>
      </c>
      <c r="AP77" s="13">
        <f t="shared" si="53"/>
        <v>0</v>
      </c>
      <c r="AQ77" s="13">
        <f t="shared" si="53"/>
        <v>0</v>
      </c>
      <c r="AR77" s="13">
        <f t="shared" si="53"/>
        <v>0</v>
      </c>
      <c r="AS77" s="13">
        <f t="shared" si="53"/>
        <v>8.5399054709917942E-6</v>
      </c>
      <c r="AT77" s="13">
        <f t="shared" si="53"/>
        <v>9.6791944680139325E-2</v>
      </c>
      <c r="AU77" s="13">
        <f t="shared" si="53"/>
        <v>0.86726919630146393</v>
      </c>
      <c r="AV77" s="13">
        <f t="shared" si="53"/>
        <v>3.5929525784773819E-2</v>
      </c>
      <c r="AW77" s="13">
        <f t="shared" si="53"/>
        <v>7.9332815050570105E-7</v>
      </c>
      <c r="AX77" s="13">
        <f t="shared" si="53"/>
        <v>1.4432899320127035E-15</v>
      </c>
      <c r="AY77" s="13">
        <f t="shared" si="53"/>
        <v>0</v>
      </c>
      <c r="AZ77" s="13">
        <f t="shared" si="53"/>
        <v>0</v>
      </c>
      <c r="BA77" s="13">
        <f t="shared" si="53"/>
        <v>0</v>
      </c>
      <c r="BB77" s="13">
        <f t="shared" si="53"/>
        <v>0</v>
      </c>
      <c r="BC77" s="13">
        <f t="shared" si="53"/>
        <v>0</v>
      </c>
      <c r="BD77" s="13">
        <f t="shared" si="53"/>
        <v>0</v>
      </c>
      <c r="BE77" s="13">
        <f t="shared" si="53"/>
        <v>8.5399054709917942E-6</v>
      </c>
      <c r="BF77" s="13">
        <f t="shared" si="53"/>
        <v>9.6791944680139325E-2</v>
      </c>
      <c r="BG77" s="13">
        <f t="shared" si="53"/>
        <v>0.86726919630146393</v>
      </c>
      <c r="BH77" s="13">
        <f t="shared" si="53"/>
        <v>3.5929525784773819E-2</v>
      </c>
      <c r="BI77" s="13">
        <f t="shared" si="53"/>
        <v>7.9332815050570105E-7</v>
      </c>
    </row>
    <row r="78" spans="5:61" x14ac:dyDescent="0.35">
      <c r="E78">
        <v>9</v>
      </c>
      <c r="J78" t="s">
        <v>80</v>
      </c>
      <c r="N78" s="78"/>
      <c r="O78" s="78"/>
      <c r="P78" s="78"/>
      <c r="Q78" s="78"/>
      <c r="R78" s="78"/>
      <c r="S78" s="78"/>
      <c r="T78" s="78"/>
      <c r="U78" s="78"/>
      <c r="V78" s="13">
        <f t="shared" si="53"/>
        <v>5.4125439077038416E-6</v>
      </c>
      <c r="W78" s="13">
        <f t="shared" si="53"/>
        <v>9.6795072041702609E-2</v>
      </c>
      <c r="X78" s="13">
        <f t="shared" si="53"/>
        <v>0.85863405265584669</v>
      </c>
      <c r="Y78" s="13">
        <f t="shared" si="53"/>
        <v>4.4564669430391057E-2</v>
      </c>
      <c r="Z78" s="13">
        <f t="shared" si="53"/>
        <v>7.9332815050570105E-7</v>
      </c>
      <c r="AA78" s="13">
        <f t="shared" si="53"/>
        <v>1.4432899320127035E-15</v>
      </c>
      <c r="AB78" s="13">
        <f t="shared" si="53"/>
        <v>0</v>
      </c>
      <c r="AC78" s="13">
        <f t="shared" si="53"/>
        <v>0</v>
      </c>
      <c r="AD78" s="13">
        <f t="shared" si="53"/>
        <v>0</v>
      </c>
      <c r="AE78" s="13">
        <f t="shared" si="53"/>
        <v>0</v>
      </c>
      <c r="AF78" s="13">
        <f t="shared" si="53"/>
        <v>0</v>
      </c>
      <c r="AG78" s="13">
        <f t="shared" si="53"/>
        <v>0</v>
      </c>
      <c r="AH78" s="13">
        <f t="shared" si="53"/>
        <v>5.4125439077038416E-6</v>
      </c>
      <c r="AI78" s="13">
        <f t="shared" si="53"/>
        <v>9.6795072041702609E-2</v>
      </c>
      <c r="AJ78" s="13">
        <f t="shared" si="53"/>
        <v>0.85863405265584669</v>
      </c>
      <c r="AK78" s="13">
        <f t="shared" si="53"/>
        <v>4.4564669430391057E-2</v>
      </c>
      <c r="AL78" s="13">
        <f t="shared" si="53"/>
        <v>7.9332815050570105E-7</v>
      </c>
      <c r="AM78" s="13">
        <f t="shared" si="53"/>
        <v>1.4432899320127035E-15</v>
      </c>
      <c r="AN78" s="13">
        <f t="shared" si="53"/>
        <v>0</v>
      </c>
      <c r="AO78" s="13">
        <f t="shared" si="53"/>
        <v>0</v>
      </c>
      <c r="AP78" s="13">
        <f t="shared" si="53"/>
        <v>0</v>
      </c>
      <c r="AQ78" s="13">
        <f t="shared" si="53"/>
        <v>0</v>
      </c>
      <c r="AR78" s="13">
        <f t="shared" si="53"/>
        <v>0</v>
      </c>
      <c r="AS78" s="13">
        <f t="shared" si="53"/>
        <v>0</v>
      </c>
      <c r="AT78" s="13">
        <f t="shared" si="53"/>
        <v>5.4125439077038416E-6</v>
      </c>
      <c r="AU78" s="13">
        <f t="shared" si="53"/>
        <v>9.6795072041702609E-2</v>
      </c>
      <c r="AV78" s="13">
        <f t="shared" si="53"/>
        <v>0.85863405265584669</v>
      </c>
      <c r="AW78" s="13">
        <f t="shared" si="53"/>
        <v>4.4564669430391057E-2</v>
      </c>
      <c r="AX78" s="13">
        <f t="shared" si="53"/>
        <v>7.9332815050570105E-7</v>
      </c>
      <c r="AY78" s="13">
        <f t="shared" si="53"/>
        <v>1.4432899320127035E-15</v>
      </c>
      <c r="AZ78" s="13">
        <f t="shared" si="53"/>
        <v>0</v>
      </c>
      <c r="BA78" s="13">
        <f t="shared" si="53"/>
        <v>0</v>
      </c>
      <c r="BB78" s="13">
        <f t="shared" si="53"/>
        <v>0</v>
      </c>
      <c r="BC78" s="13">
        <f t="shared" si="53"/>
        <v>0</v>
      </c>
      <c r="BD78" s="13">
        <f t="shared" si="53"/>
        <v>0</v>
      </c>
      <c r="BE78" s="13">
        <f t="shared" si="53"/>
        <v>0</v>
      </c>
      <c r="BF78" s="13">
        <f t="shared" si="53"/>
        <v>5.4125439077038416E-6</v>
      </c>
      <c r="BG78" s="13">
        <f t="shared" si="53"/>
        <v>9.6795072041702609E-2</v>
      </c>
      <c r="BH78" s="13">
        <f t="shared" si="53"/>
        <v>0.85863405265584669</v>
      </c>
      <c r="BI78" s="13">
        <f t="shared" si="53"/>
        <v>4.4564669430391057E-2</v>
      </c>
    </row>
    <row r="79" spans="5:61" x14ac:dyDescent="0.35">
      <c r="E79">
        <v>10</v>
      </c>
      <c r="J79" t="s">
        <v>80</v>
      </c>
      <c r="N79" s="78"/>
      <c r="O79" s="78"/>
      <c r="P79" s="78"/>
      <c r="Q79" s="78"/>
      <c r="R79" s="78"/>
      <c r="S79" s="78"/>
      <c r="T79" s="78"/>
      <c r="U79" s="78"/>
      <c r="V79" s="78"/>
      <c r="W79" s="13">
        <f t="shared" si="53"/>
        <v>8.5399054709917942E-6</v>
      </c>
      <c r="X79" s="13">
        <f t="shared" si="53"/>
        <v>9.6791944680139325E-2</v>
      </c>
      <c r="Y79" s="13">
        <f t="shared" si="53"/>
        <v>0.86726919630146393</v>
      </c>
      <c r="Z79" s="13">
        <f t="shared" si="53"/>
        <v>3.5929839929649154E-2</v>
      </c>
      <c r="AA79" s="13">
        <f t="shared" si="53"/>
        <v>4.7918326984142112E-7</v>
      </c>
      <c r="AB79" s="13">
        <f t="shared" si="53"/>
        <v>6.7723604502134549E-15</v>
      </c>
      <c r="AC79" s="13">
        <f t="shared" si="53"/>
        <v>0</v>
      </c>
      <c r="AD79" s="13">
        <f t="shared" si="53"/>
        <v>0</v>
      </c>
      <c r="AE79" s="13">
        <f t="shared" si="53"/>
        <v>0</v>
      </c>
      <c r="AF79" s="13">
        <f t="shared" si="53"/>
        <v>0</v>
      </c>
      <c r="AG79" s="13">
        <f t="shared" si="53"/>
        <v>0</v>
      </c>
      <c r="AH79" s="13">
        <f t="shared" si="53"/>
        <v>0</v>
      </c>
      <c r="AI79" s="13">
        <f t="shared" si="53"/>
        <v>8.5399054709917942E-6</v>
      </c>
      <c r="AJ79" s="13">
        <f t="shared" si="53"/>
        <v>9.6791944680139325E-2</v>
      </c>
      <c r="AK79" s="13">
        <f t="shared" si="53"/>
        <v>0.86726919630146393</v>
      </c>
      <c r="AL79" s="13">
        <f t="shared" si="53"/>
        <v>3.5929839929649154E-2</v>
      </c>
      <c r="AM79" s="13">
        <f t="shared" si="53"/>
        <v>4.7918326984142112E-7</v>
      </c>
      <c r="AN79" s="13">
        <f t="shared" si="53"/>
        <v>6.7723604502134549E-15</v>
      </c>
      <c r="AO79" s="13">
        <f t="shared" si="53"/>
        <v>0</v>
      </c>
      <c r="AP79" s="13">
        <f t="shared" si="53"/>
        <v>0</v>
      </c>
      <c r="AQ79" s="13">
        <f t="shared" si="53"/>
        <v>0</v>
      </c>
      <c r="AR79" s="13">
        <f t="shared" si="53"/>
        <v>0</v>
      </c>
      <c r="AS79" s="13">
        <f t="shared" si="53"/>
        <v>0</v>
      </c>
      <c r="AT79" s="13">
        <f t="shared" si="53"/>
        <v>0</v>
      </c>
      <c r="AU79" s="13">
        <f t="shared" si="53"/>
        <v>8.5399054709917942E-6</v>
      </c>
      <c r="AV79" s="13">
        <f t="shared" si="53"/>
        <v>9.6791944680139325E-2</v>
      </c>
      <c r="AW79" s="13">
        <f t="shared" si="53"/>
        <v>0.86726919630146393</v>
      </c>
      <c r="AX79" s="13">
        <f t="shared" si="53"/>
        <v>3.5929839929649154E-2</v>
      </c>
      <c r="AY79" s="13">
        <f t="shared" si="53"/>
        <v>4.7918326984142112E-7</v>
      </c>
      <c r="AZ79" s="13">
        <f t="shared" si="53"/>
        <v>6.7723604502134549E-15</v>
      </c>
      <c r="BA79" s="13">
        <f t="shared" si="53"/>
        <v>0</v>
      </c>
      <c r="BB79" s="13">
        <f t="shared" si="53"/>
        <v>0</v>
      </c>
      <c r="BC79" s="13">
        <f t="shared" si="53"/>
        <v>0</v>
      </c>
      <c r="BD79" s="13">
        <f t="shared" si="53"/>
        <v>0</v>
      </c>
      <c r="BE79" s="13">
        <f t="shared" si="53"/>
        <v>0</v>
      </c>
      <c r="BF79" s="13">
        <f t="shared" si="53"/>
        <v>0</v>
      </c>
      <c r="BG79" s="13">
        <f t="shared" si="53"/>
        <v>8.5399054709917942E-6</v>
      </c>
      <c r="BH79" s="13">
        <f t="shared" si="53"/>
        <v>9.6791944680139325E-2</v>
      </c>
      <c r="BI79" s="13">
        <f t="shared" si="53"/>
        <v>0.86726919630146393</v>
      </c>
    </row>
    <row r="80" spans="5:61" x14ac:dyDescent="0.35">
      <c r="E80">
        <v>11</v>
      </c>
      <c r="J80" t="s">
        <v>80</v>
      </c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13">
        <f t="shared" si="53"/>
        <v>5.4125439077038416E-6</v>
      </c>
      <c r="Y80" s="13">
        <f t="shared" si="53"/>
        <v>9.6795072041702609E-2</v>
      </c>
      <c r="Z80" s="13">
        <f t="shared" si="53"/>
        <v>0.86726919630146393</v>
      </c>
      <c r="AA80" s="13">
        <f t="shared" si="53"/>
        <v>3.5928206658223272E-2</v>
      </c>
      <c r="AB80" s="13">
        <f t="shared" si="53"/>
        <v>2.1124546957240753E-6</v>
      </c>
      <c r="AC80" s="13">
        <f t="shared" si="53"/>
        <v>6.7723604502134549E-15</v>
      </c>
      <c r="AD80" s="13">
        <f t="shared" si="53"/>
        <v>0</v>
      </c>
      <c r="AE80" s="13">
        <f t="shared" si="53"/>
        <v>0</v>
      </c>
      <c r="AF80" s="13">
        <f t="shared" si="53"/>
        <v>0</v>
      </c>
      <c r="AG80" s="13">
        <f t="shared" si="53"/>
        <v>0</v>
      </c>
      <c r="AH80" s="13">
        <f t="shared" si="53"/>
        <v>0</v>
      </c>
      <c r="AI80" s="13">
        <f t="shared" si="53"/>
        <v>0</v>
      </c>
      <c r="AJ80" s="13">
        <f t="shared" si="53"/>
        <v>5.4125439077038416E-6</v>
      </c>
      <c r="AK80" s="13">
        <f t="shared" si="53"/>
        <v>9.6795072041702609E-2</v>
      </c>
      <c r="AL80" s="13">
        <f t="shared" si="53"/>
        <v>0.86726919630146393</v>
      </c>
      <c r="AM80" s="13">
        <f t="shared" si="53"/>
        <v>3.5928206658223272E-2</v>
      </c>
      <c r="AN80" s="13">
        <f t="shared" si="53"/>
        <v>2.1124546957240753E-6</v>
      </c>
      <c r="AO80" s="13">
        <f t="shared" si="53"/>
        <v>6.7723604502134549E-15</v>
      </c>
      <c r="AP80" s="13">
        <f t="shared" si="53"/>
        <v>0</v>
      </c>
      <c r="AQ80" s="13">
        <f t="shared" si="53"/>
        <v>0</v>
      </c>
      <c r="AR80" s="13">
        <f t="shared" si="53"/>
        <v>0</v>
      </c>
      <c r="AS80" s="13">
        <f t="shared" si="53"/>
        <v>0</v>
      </c>
      <c r="AT80" s="13">
        <f t="shared" si="53"/>
        <v>0</v>
      </c>
      <c r="AU80" s="13">
        <f t="shared" si="53"/>
        <v>0</v>
      </c>
      <c r="AV80" s="13">
        <f t="shared" si="53"/>
        <v>5.4125439077038416E-6</v>
      </c>
      <c r="AW80" s="13">
        <f t="shared" si="53"/>
        <v>9.6795072041702609E-2</v>
      </c>
      <c r="AX80" s="13">
        <f t="shared" si="53"/>
        <v>0.86726919630146393</v>
      </c>
      <c r="AY80" s="13">
        <f t="shared" si="53"/>
        <v>3.5928206658223272E-2</v>
      </c>
      <c r="AZ80" s="13">
        <f t="shared" si="53"/>
        <v>2.1124546957240753E-6</v>
      </c>
      <c r="BA80" s="13">
        <f t="shared" si="53"/>
        <v>6.7723604502134549E-15</v>
      </c>
      <c r="BB80" s="13">
        <f t="shared" si="53"/>
        <v>0</v>
      </c>
      <c r="BC80" s="13">
        <f t="shared" si="53"/>
        <v>0</v>
      </c>
      <c r="BD80" s="13">
        <f t="shared" si="53"/>
        <v>0</v>
      </c>
      <c r="BE80" s="13">
        <f t="shared" si="53"/>
        <v>0</v>
      </c>
      <c r="BF80" s="13">
        <f t="shared" si="53"/>
        <v>0</v>
      </c>
      <c r="BG80" s="13">
        <f t="shared" si="53"/>
        <v>0</v>
      </c>
      <c r="BH80" s="13">
        <f t="shared" si="53"/>
        <v>5.4125439077038416E-6</v>
      </c>
      <c r="BI80" s="13">
        <f t="shared" si="53"/>
        <v>9.6795072041702609E-2</v>
      </c>
    </row>
    <row r="81" spans="4:61" x14ac:dyDescent="0.35">
      <c r="E81">
        <v>12</v>
      </c>
      <c r="J81" t="s">
        <v>80</v>
      </c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13">
        <f t="shared" si="53"/>
        <v>8.5399054709917942E-6</v>
      </c>
      <c r="Z81" s="13">
        <f t="shared" si="53"/>
        <v>0.11506113031623728</v>
      </c>
      <c r="AA81" s="13">
        <f t="shared" si="53"/>
        <v>0.83013103807873367</v>
      </c>
      <c r="AB81" s="13">
        <f t="shared" si="53"/>
        <v>5.4797990892104131E-2</v>
      </c>
      <c r="AC81" s="13">
        <f t="shared" si="53"/>
        <v>1.3008074470910458E-6</v>
      </c>
      <c r="AD81" s="13">
        <f t="shared" si="53"/>
        <v>6.7723604502134549E-15</v>
      </c>
      <c r="AE81" s="13">
        <f t="shared" si="53"/>
        <v>0</v>
      </c>
      <c r="AF81" s="13">
        <f t="shared" si="53"/>
        <v>0</v>
      </c>
      <c r="AG81" s="13">
        <f t="shared" si="53"/>
        <v>0</v>
      </c>
      <c r="AH81" s="13">
        <f t="shared" si="53"/>
        <v>0</v>
      </c>
      <c r="AI81" s="13">
        <f t="shared" si="53"/>
        <v>0</v>
      </c>
      <c r="AJ81" s="13">
        <f t="shared" si="53"/>
        <v>0</v>
      </c>
      <c r="AK81" s="13">
        <f t="shared" si="53"/>
        <v>8.5399054709917942E-6</v>
      </c>
      <c r="AL81" s="13">
        <f t="shared" si="53"/>
        <v>0.11506113031623728</v>
      </c>
      <c r="AM81" s="13">
        <f t="shared" si="53"/>
        <v>0.83013103807873367</v>
      </c>
      <c r="AN81" s="13">
        <f t="shared" si="53"/>
        <v>5.4797990892104131E-2</v>
      </c>
      <c r="AO81" s="13">
        <f t="shared" si="53"/>
        <v>1.3008074470910458E-6</v>
      </c>
      <c r="AP81" s="13">
        <f t="shared" si="53"/>
        <v>6.7723604502134549E-15</v>
      </c>
      <c r="AQ81" s="13">
        <f t="shared" si="53"/>
        <v>0</v>
      </c>
      <c r="AR81" s="13">
        <f t="shared" si="53"/>
        <v>0</v>
      </c>
      <c r="AS81" s="13">
        <f t="shared" si="53"/>
        <v>0</v>
      </c>
      <c r="AT81" s="13">
        <f t="shared" si="53"/>
        <v>0</v>
      </c>
      <c r="AU81" s="13">
        <f t="shared" si="53"/>
        <v>0</v>
      </c>
      <c r="AV81" s="13">
        <f t="shared" si="53"/>
        <v>0</v>
      </c>
      <c r="AW81" s="13">
        <f t="shared" si="53"/>
        <v>8.5399054709917942E-6</v>
      </c>
      <c r="AX81" s="13">
        <f t="shared" si="53"/>
        <v>0.11506113031623728</v>
      </c>
      <c r="AY81" s="13">
        <f t="shared" si="53"/>
        <v>0.83013103807873367</v>
      </c>
      <c r="AZ81" s="13">
        <f t="shared" si="53"/>
        <v>5.4797990892104131E-2</v>
      </c>
      <c r="BA81" s="13">
        <f t="shared" si="53"/>
        <v>1.3008074470910458E-6</v>
      </c>
      <c r="BB81" s="13">
        <f t="shared" si="53"/>
        <v>6.7723604502134549E-15</v>
      </c>
      <c r="BC81" s="13">
        <f t="shared" si="53"/>
        <v>0</v>
      </c>
      <c r="BD81" s="13">
        <f t="shared" si="53"/>
        <v>0</v>
      </c>
      <c r="BE81" s="13">
        <f t="shared" si="53"/>
        <v>0</v>
      </c>
      <c r="BF81" s="13">
        <f t="shared" si="53"/>
        <v>0</v>
      </c>
      <c r="BG81" s="13">
        <f t="shared" si="53"/>
        <v>0</v>
      </c>
      <c r="BH81" s="13">
        <f t="shared" si="53"/>
        <v>0</v>
      </c>
      <c r="BI81" s="13">
        <f t="shared" si="53"/>
        <v>8.5399054709917942E-6</v>
      </c>
    </row>
    <row r="83" spans="4:61" x14ac:dyDescent="0.35">
      <c r="D83" s="1" t="s">
        <v>113</v>
      </c>
    </row>
    <row r="85" spans="4:61" s="4" customFormat="1" x14ac:dyDescent="0.35">
      <c r="E85" s="4" t="str">
        <f>Hypothèses_trajectoire!E67</f>
        <v>Engagement donnant lieu à une demande d'avance</v>
      </c>
      <c r="I85" s="14">
        <f>Hypothèses_trajectoire!I67</f>
        <v>0.01</v>
      </c>
      <c r="J85" s="4" t="str">
        <f>Hypothèses_trajectoire!J67</f>
        <v>% des engagements</v>
      </c>
    </row>
    <row r="86" spans="4:61" s="4" customFormat="1" x14ac:dyDescent="0.35">
      <c r="E86" s="4" t="str">
        <f>Hypothèses_trajectoire!E69</f>
        <v>Montant de l'engagement sujet à l'avance</v>
      </c>
      <c r="I86" s="14">
        <f>Hypothèses_trajectoire!I69</f>
        <v>0.42799999999999999</v>
      </c>
      <c r="J86" s="4" t="str">
        <f>Hypothèses_trajectoire!J69</f>
        <v>% du montant de l'engagement</v>
      </c>
    </row>
    <row r="87" spans="4:61" s="4" customFormat="1" x14ac:dyDescent="0.35">
      <c r="E87" s="4" t="str">
        <f>Engagements!E213</f>
        <v>Volumes-Engagement-Projection</v>
      </c>
      <c r="J87" s="4" t="str">
        <f>Engagements!J213</f>
        <v>Volume</v>
      </c>
      <c r="N87" s="85">
        <f>Engagements!N213</f>
        <v>0</v>
      </c>
      <c r="O87" s="85">
        <f>Engagements!O213</f>
        <v>0</v>
      </c>
      <c r="P87" s="85">
        <f>Engagements!P213</f>
        <v>0</v>
      </c>
      <c r="Q87" s="85">
        <f>Engagements!Q213</f>
        <v>726</v>
      </c>
      <c r="R87" s="85">
        <f>Engagements!R213</f>
        <v>4807</v>
      </c>
      <c r="S87" s="85">
        <f>Engagements!S213</f>
        <v>7112</v>
      </c>
      <c r="T87" s="85">
        <f>Engagements!T213</f>
        <v>17956</v>
      </c>
      <c r="U87" s="85">
        <f>Engagements!U213</f>
        <v>27791</v>
      </c>
      <c r="V87" s="85">
        <f>Engagements!V213</f>
        <v>13787</v>
      </c>
      <c r="W87" s="85">
        <f>Engagements!W213</f>
        <v>14792</v>
      </c>
      <c r="X87" s="85">
        <f>Engagements!X213</f>
        <v>20452</v>
      </c>
      <c r="Y87" s="85">
        <f>Engagements!Y213</f>
        <v>31303</v>
      </c>
      <c r="Z87" s="85">
        <f>Engagements!Z213</f>
        <v>33518</v>
      </c>
      <c r="AA87" s="85">
        <f>Engagements!AA213</f>
        <v>39754</v>
      </c>
      <c r="AB87" s="85">
        <f>Engagements!AB213</f>
        <v>45141</v>
      </c>
      <c r="AC87" s="85">
        <f>Engagements!AC213</f>
        <v>57254</v>
      </c>
      <c r="AD87" s="85">
        <f>Engagements!AD213</f>
        <v>55077</v>
      </c>
      <c r="AE87" s="85">
        <f>Engagements!AE213</f>
        <v>71050</v>
      </c>
      <c r="AF87" s="85">
        <f>Engagements!AF213</f>
        <v>60529</v>
      </c>
      <c r="AG87" s="85">
        <f>Engagements!AG213</f>
        <v>51721</v>
      </c>
      <c r="AH87" s="85">
        <f>Engagements!AH213</f>
        <v>51153</v>
      </c>
      <c r="AI87" s="85">
        <f>Engagements!AI213</f>
        <v>63159</v>
      </c>
      <c r="AJ87" s="85">
        <f>Engagements!AJ213</f>
        <v>62431</v>
      </c>
      <c r="AK87" s="85">
        <f>Engagements!AK213</f>
        <v>70804</v>
      </c>
      <c r="AL87" s="85">
        <f>Engagements!AL213</f>
        <v>65371.735654758428</v>
      </c>
      <c r="AM87" s="85">
        <f>Engagements!AM213</f>
        <v>63873.376658526257</v>
      </c>
      <c r="AN87" s="85">
        <f>Engagements!AN213</f>
        <v>73873.274065592719</v>
      </c>
      <c r="AO87" s="85">
        <f>Engagements!AO213</f>
        <v>72547.17482812464</v>
      </c>
      <c r="AP87" s="85">
        <f>Engagements!AP213</f>
        <v>74207.759944055273</v>
      </c>
      <c r="AQ87" s="85">
        <f>Engagements!AQ213</f>
        <v>69877.316848867995</v>
      </c>
      <c r="AR87" s="85">
        <f>Engagements!AR213</f>
        <v>63676.963121060908</v>
      </c>
      <c r="AS87" s="85">
        <f>Engagements!AS213</f>
        <v>50386.06586527796</v>
      </c>
      <c r="AT87" s="85">
        <f>Engagements!AT213</f>
        <v>58224.509954096939</v>
      </c>
      <c r="AU87" s="85">
        <f>Engagements!AU213</f>
        <v>69604.36557467503</v>
      </c>
      <c r="AV87" s="85">
        <f>Engagements!AV213</f>
        <v>71378.934592984268</v>
      </c>
      <c r="AW87" s="85">
        <f>Engagements!AW213</f>
        <v>78753.149697082248</v>
      </c>
      <c r="AX87" s="85">
        <f>Engagements!AX213</f>
        <v>72486.86571658848</v>
      </c>
      <c r="AY87" s="85">
        <f>Engagements!AY213</f>
        <v>70348.127966319968</v>
      </c>
      <c r="AZ87" s="85">
        <f>Engagements!AZ213</f>
        <v>81269.01370344765</v>
      </c>
      <c r="BA87" s="85">
        <f>Engagements!BA213</f>
        <v>79802.169587532859</v>
      </c>
      <c r="BB87" s="85">
        <f>Engagements!BB213</f>
        <v>81628.540237268462</v>
      </c>
      <c r="BC87" s="85">
        <f>Engagements!BC213</f>
        <v>76865.048555801855</v>
      </c>
      <c r="BD87" s="85">
        <f>Engagements!BD213</f>
        <v>70044.659433217879</v>
      </c>
      <c r="BE87" s="85">
        <f>Engagements!BE213</f>
        <v>55424.672451805804</v>
      </c>
      <c r="BF87" s="85">
        <f>Engagements!BF213</f>
        <v>64046.96094950664</v>
      </c>
      <c r="BG87" s="85">
        <f>Engagements!BG213</f>
        <v>76564.802132142533</v>
      </c>
      <c r="BH87" s="85">
        <f>Engagements!BH213</f>
        <v>78516.828052282712</v>
      </c>
      <c r="BI87" s="85">
        <f>Engagements!BI213</f>
        <v>86628.464666790489</v>
      </c>
    </row>
    <row r="88" spans="4:61" s="4" customFormat="1" x14ac:dyDescent="0.35">
      <c r="E88" s="4" t="str">
        <f>Engagements!E215</f>
        <v>Montant-Engagement-Projection</v>
      </c>
      <c r="J88" s="4" t="str">
        <f>Engagements!J215</f>
        <v>EUR</v>
      </c>
      <c r="N88" s="85">
        <f>Engagements!N215</f>
        <v>0</v>
      </c>
      <c r="O88" s="85">
        <f>Engagements!O215</f>
        <v>0</v>
      </c>
      <c r="P88" s="85">
        <f>Engagements!P215</f>
        <v>0</v>
      </c>
      <c r="Q88" s="85">
        <f>Engagements!Q215</f>
        <v>1695772.18</v>
      </c>
      <c r="R88" s="85">
        <f>Engagements!R215</f>
        <v>10857056.4</v>
      </c>
      <c r="S88" s="85">
        <f>Engagements!S215</f>
        <v>20903722.16</v>
      </c>
      <c r="T88" s="85">
        <f>Engagements!T215</f>
        <v>86869565.299999997</v>
      </c>
      <c r="U88" s="85">
        <f>Engagements!U215</f>
        <v>172653794.88999999</v>
      </c>
      <c r="V88" s="85">
        <f>Engagements!V215</f>
        <v>56745854.399999999</v>
      </c>
      <c r="W88" s="85">
        <f>Engagements!W215</f>
        <v>49226405.049999997</v>
      </c>
      <c r="X88" s="85">
        <f>Engagements!X215</f>
        <v>62967540.109999999</v>
      </c>
      <c r="Y88" s="85">
        <f>Engagements!Y215</f>
        <v>99522693.840000004</v>
      </c>
      <c r="Z88" s="85">
        <f>Engagements!Z215</f>
        <v>98951762.090000004</v>
      </c>
      <c r="AA88" s="85">
        <f>Engagements!AA215</f>
        <v>91501313.090000004</v>
      </c>
      <c r="AB88" s="85">
        <f>Engagements!AB215</f>
        <v>125765957.95</v>
      </c>
      <c r="AC88" s="85">
        <f>Engagements!AC215</f>
        <v>148151497.30000001</v>
      </c>
      <c r="AD88" s="85">
        <f>Engagements!AD215</f>
        <v>163744048.12</v>
      </c>
      <c r="AE88" s="85">
        <f>Engagements!AE215</f>
        <v>220443813.47999999</v>
      </c>
      <c r="AF88" s="85">
        <f>Engagements!AF215</f>
        <v>217255838.49000001</v>
      </c>
      <c r="AG88" s="85">
        <f>Engagements!AG215</f>
        <v>184361005.40000001</v>
      </c>
      <c r="AH88" s="85">
        <f>Engagements!AH215</f>
        <v>171496786</v>
      </c>
      <c r="AI88" s="85">
        <f>Engagements!AI215</f>
        <v>197482118.59999999</v>
      </c>
      <c r="AJ88" s="85">
        <f>Engagements!AJ215</f>
        <v>216834248.84999999</v>
      </c>
      <c r="AK88" s="85">
        <f>Engagements!AK215</f>
        <v>258729610.41999999</v>
      </c>
      <c r="AL88" s="85">
        <f>Engagements!AL215</f>
        <v>222016648.27472091</v>
      </c>
      <c r="AM88" s="85">
        <f>Engagements!AM215</f>
        <v>209481841.57260922</v>
      </c>
      <c r="AN88" s="85">
        <f>Engagements!AN215</f>
        <v>239973980.18285999</v>
      </c>
      <c r="AO88" s="85">
        <f>Engagements!AO215</f>
        <v>235400070.87507883</v>
      </c>
      <c r="AP88" s="85">
        <f>Engagements!AP215</f>
        <v>240777320.10095528</v>
      </c>
      <c r="AQ88" s="85">
        <f>Engagements!AQ215</f>
        <v>226726429.66375583</v>
      </c>
      <c r="AR88" s="85">
        <f>Engagements!AR215</f>
        <v>206608540.37346491</v>
      </c>
      <c r="AS88" s="85">
        <f>Engagements!AS215</f>
        <v>163484422.20276999</v>
      </c>
      <c r="AT88" s="85">
        <f>Engagements!AT215</f>
        <v>188917316.81009197</v>
      </c>
      <c r="AU88" s="85">
        <f>Engagements!AU215</f>
        <v>225840801.2880336</v>
      </c>
      <c r="AV88" s="85">
        <f>Engagements!AV215</f>
        <v>231598631.06964281</v>
      </c>
      <c r="AW88" s="85">
        <f>Engagements!AW215</f>
        <v>255525271.79439864</v>
      </c>
      <c r="AX88" s="85">
        <f>Engagements!AX215</f>
        <v>239474714.09349138</v>
      </c>
      <c r="AY88" s="85">
        <f>Engagements!AY215</f>
        <v>234488596.21133733</v>
      </c>
      <c r="AZ88" s="85">
        <f>Engagements!AZ215</f>
        <v>271522030.35538626</v>
      </c>
      <c r="BA88" s="85">
        <f>Engagements!BA215</f>
        <v>266693852.81543246</v>
      </c>
      <c r="BB88" s="85">
        <f>Engagements!BB215</f>
        <v>272800462.8139993</v>
      </c>
      <c r="BC88" s="85">
        <f>Engagements!BC215</f>
        <v>256881043.53524208</v>
      </c>
      <c r="BD88" s="85">
        <f>Engagements!BD215</f>
        <v>234087476.24016291</v>
      </c>
      <c r="BE88" s="85">
        <f>Engagements!BE215</f>
        <v>185227850.3557364</v>
      </c>
      <c r="BF88" s="85">
        <f>Engagements!BF215</f>
        <v>214043319.94583425</v>
      </c>
      <c r="BG88" s="85">
        <f>Engagements!BG215</f>
        <v>255877627.85934216</v>
      </c>
      <c r="BH88" s="85">
        <f>Engagements!BH215</f>
        <v>262401249.00190538</v>
      </c>
      <c r="BI88" s="85">
        <f>Engagements!BI215</f>
        <v>289510132.94305366</v>
      </c>
    </row>
    <row r="89" spans="4:61" x14ac:dyDescent="0.35"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</row>
    <row r="90" spans="4:61" x14ac:dyDescent="0.35">
      <c r="E90" t="s">
        <v>112</v>
      </c>
      <c r="J90" t="s">
        <v>51</v>
      </c>
      <c r="N90" s="41">
        <f>IFERROR(N88/N87*$I$86,0)</f>
        <v>0</v>
      </c>
      <c r="O90" s="41">
        <f t="shared" ref="O90:BI90" si="54">IFERROR(O88/O87*$I$86,0)</f>
        <v>0</v>
      </c>
      <c r="P90" s="41">
        <f t="shared" si="54"/>
        <v>0</v>
      </c>
      <c r="Q90" s="41">
        <f t="shared" si="54"/>
        <v>999.71142292011018</v>
      </c>
      <c r="R90" s="41">
        <f t="shared" si="54"/>
        <v>966.67779055543997</v>
      </c>
      <c r="S90" s="41">
        <f t="shared" si="54"/>
        <v>1257.9855293138357</v>
      </c>
      <c r="T90" s="41">
        <f t="shared" si="54"/>
        <v>2070.6267514145688</v>
      </c>
      <c r="U90" s="41">
        <f t="shared" si="54"/>
        <v>2658.9839952833649</v>
      </c>
      <c r="V90" s="41">
        <f t="shared" si="54"/>
        <v>1761.6033715238993</v>
      </c>
      <c r="W90" s="41">
        <f t="shared" si="54"/>
        <v>1424.3443321660357</v>
      </c>
      <c r="X90" s="41">
        <f t="shared" si="54"/>
        <v>1317.7247783629962</v>
      </c>
      <c r="Y90" s="41">
        <f t="shared" si="54"/>
        <v>1360.7549743960644</v>
      </c>
      <c r="Z90" s="41">
        <f t="shared" si="54"/>
        <v>1263.5406102547886</v>
      </c>
      <c r="AA90" s="41">
        <f t="shared" si="54"/>
        <v>985.12255376867745</v>
      </c>
      <c r="AB90" s="41">
        <f t="shared" si="54"/>
        <v>1192.4376952792361</v>
      </c>
      <c r="AC90" s="41">
        <f t="shared" si="54"/>
        <v>1107.5006260593145</v>
      </c>
      <c r="AD90" s="41">
        <f t="shared" si="54"/>
        <v>1272.4449878417488</v>
      </c>
      <c r="AE90" s="41">
        <f t="shared" si="54"/>
        <v>1327.9373985846585</v>
      </c>
      <c r="AF90" s="41">
        <f t="shared" si="54"/>
        <v>1536.214027552413</v>
      </c>
      <c r="AG90" s="41">
        <f t="shared" si="54"/>
        <v>1525.6184202006923</v>
      </c>
      <c r="AH90" s="41">
        <f t="shared" si="54"/>
        <v>1434.9231600883622</v>
      </c>
      <c r="AI90" s="41">
        <f t="shared" si="54"/>
        <v>1338.2470710555899</v>
      </c>
      <c r="AJ90" s="41">
        <f t="shared" si="54"/>
        <v>1486.5220564751485</v>
      </c>
      <c r="AK90" s="41">
        <f t="shared" si="54"/>
        <v>1563.9832955731313</v>
      </c>
      <c r="AL90" s="41">
        <f t="shared" si="54"/>
        <v>1453.5811923889737</v>
      </c>
      <c r="AM90" s="41">
        <f t="shared" si="54"/>
        <v>1403.6869957948049</v>
      </c>
      <c r="AN90" s="41">
        <f t="shared" si="54"/>
        <v>1390.338587498748</v>
      </c>
      <c r="AO90" s="41">
        <f t="shared" si="54"/>
        <v>1388.7684885487108</v>
      </c>
      <c r="AP90" s="41">
        <f t="shared" si="54"/>
        <v>1388.7050772169862</v>
      </c>
      <c r="AQ90" s="41">
        <f t="shared" si="54"/>
        <v>1388.7040354735589</v>
      </c>
      <c r="AR90" s="41">
        <f t="shared" si="54"/>
        <v>1388.7040296146852</v>
      </c>
      <c r="AS90" s="41">
        <f t="shared" si="54"/>
        <v>1388.7040295996635</v>
      </c>
      <c r="AT90" s="41">
        <f t="shared" si="54"/>
        <v>1388.7040295996501</v>
      </c>
      <c r="AU90" s="41">
        <f t="shared" si="54"/>
        <v>1388.7040295996501</v>
      </c>
      <c r="AV90" s="41">
        <f t="shared" si="54"/>
        <v>1388.7040295996501</v>
      </c>
      <c r="AW90" s="41">
        <f t="shared" si="54"/>
        <v>1388.7040295996505</v>
      </c>
      <c r="AX90" s="41">
        <f t="shared" si="54"/>
        <v>1413.9827487196551</v>
      </c>
      <c r="AY90" s="41">
        <f t="shared" si="54"/>
        <v>1426.6352507134445</v>
      </c>
      <c r="AZ90" s="41">
        <f t="shared" si="54"/>
        <v>1429.9598788803232</v>
      </c>
      <c r="BA90" s="41">
        <f t="shared" si="54"/>
        <v>1430.349194702063</v>
      </c>
      <c r="BB90" s="41">
        <f t="shared" si="54"/>
        <v>1430.3648913114362</v>
      </c>
      <c r="BC90" s="41">
        <f t="shared" si="54"/>
        <v>1430.3651490347602</v>
      </c>
      <c r="BD90" s="41">
        <f t="shared" si="54"/>
        <v>1430.3651504839215</v>
      </c>
      <c r="BE90" s="41">
        <f t="shared" si="54"/>
        <v>1430.3651504876368</v>
      </c>
      <c r="BF90" s="41">
        <f t="shared" si="54"/>
        <v>1430.3651504876398</v>
      </c>
      <c r="BG90" s="41">
        <f t="shared" si="54"/>
        <v>1430.36515048764</v>
      </c>
      <c r="BH90" s="41">
        <f t="shared" si="54"/>
        <v>1430.3651504876398</v>
      </c>
      <c r="BI90" s="41">
        <f t="shared" si="54"/>
        <v>1430.3651504876398</v>
      </c>
    </row>
    <row r="91" spans="4:61" x14ac:dyDescent="0.35">
      <c r="E91" t="str">
        <f>"Volumes dépôts-"&amp;Paramétrage_général!I28</f>
        <v>Volumes dépôts-Demande d'avance</v>
      </c>
      <c r="J91" t="s">
        <v>50</v>
      </c>
      <c r="N91" s="41">
        <f>N87*$I$85</f>
        <v>0</v>
      </c>
      <c r="O91" s="41">
        <f t="shared" ref="O91:BI91" si="55">O87*$I$85</f>
        <v>0</v>
      </c>
      <c r="P91" s="41">
        <f t="shared" si="55"/>
        <v>0</v>
      </c>
      <c r="Q91" s="41">
        <f t="shared" si="55"/>
        <v>7.26</v>
      </c>
      <c r="R91" s="41">
        <f t="shared" si="55"/>
        <v>48.07</v>
      </c>
      <c r="S91" s="41">
        <f t="shared" si="55"/>
        <v>71.12</v>
      </c>
      <c r="T91" s="41">
        <f t="shared" si="55"/>
        <v>179.56</v>
      </c>
      <c r="U91" s="41">
        <f t="shared" si="55"/>
        <v>277.91000000000003</v>
      </c>
      <c r="V91" s="41">
        <f t="shared" si="55"/>
        <v>137.87</v>
      </c>
      <c r="W91" s="41">
        <f t="shared" si="55"/>
        <v>147.92000000000002</v>
      </c>
      <c r="X91" s="41">
        <f t="shared" si="55"/>
        <v>204.52</v>
      </c>
      <c r="Y91" s="41">
        <f t="shared" si="55"/>
        <v>313.03000000000003</v>
      </c>
      <c r="Z91" s="41">
        <f t="shared" si="55"/>
        <v>335.18</v>
      </c>
      <c r="AA91" s="41">
        <f t="shared" si="55"/>
        <v>397.54</v>
      </c>
      <c r="AB91" s="41">
        <f t="shared" si="55"/>
        <v>451.41</v>
      </c>
      <c r="AC91" s="41">
        <f t="shared" si="55"/>
        <v>572.54</v>
      </c>
      <c r="AD91" s="41">
        <f t="shared" si="55"/>
        <v>550.77</v>
      </c>
      <c r="AE91" s="41">
        <f t="shared" si="55"/>
        <v>710.5</v>
      </c>
      <c r="AF91" s="41">
        <f t="shared" si="55"/>
        <v>605.29</v>
      </c>
      <c r="AG91" s="41">
        <f t="shared" si="55"/>
        <v>517.21</v>
      </c>
      <c r="AH91" s="41">
        <f t="shared" si="55"/>
        <v>511.53000000000003</v>
      </c>
      <c r="AI91" s="41">
        <f t="shared" si="55"/>
        <v>631.59</v>
      </c>
      <c r="AJ91" s="41">
        <f t="shared" si="55"/>
        <v>624.31000000000006</v>
      </c>
      <c r="AK91" s="41">
        <f t="shared" si="55"/>
        <v>708.04</v>
      </c>
      <c r="AL91" s="41">
        <f t="shared" si="55"/>
        <v>653.71735654758425</v>
      </c>
      <c r="AM91" s="41">
        <f t="shared" si="55"/>
        <v>638.73376658526263</v>
      </c>
      <c r="AN91" s="41">
        <f t="shared" si="55"/>
        <v>738.73274065592716</v>
      </c>
      <c r="AO91" s="41">
        <f t="shared" si="55"/>
        <v>725.47174828124639</v>
      </c>
      <c r="AP91" s="41">
        <f t="shared" si="55"/>
        <v>742.07759944055272</v>
      </c>
      <c r="AQ91" s="41">
        <f t="shared" si="55"/>
        <v>698.77316848867997</v>
      </c>
      <c r="AR91" s="41">
        <f t="shared" si="55"/>
        <v>636.76963121060908</v>
      </c>
      <c r="AS91" s="41">
        <f t="shared" si="55"/>
        <v>503.86065865277959</v>
      </c>
      <c r="AT91" s="41">
        <f t="shared" si="55"/>
        <v>582.24509954096936</v>
      </c>
      <c r="AU91" s="41">
        <f t="shared" si="55"/>
        <v>696.04365574675035</v>
      </c>
      <c r="AV91" s="41">
        <f t="shared" si="55"/>
        <v>713.78934592984274</v>
      </c>
      <c r="AW91" s="41">
        <f t="shared" si="55"/>
        <v>787.53149697082245</v>
      </c>
      <c r="AX91" s="41">
        <f t="shared" si="55"/>
        <v>724.86865716588477</v>
      </c>
      <c r="AY91" s="41">
        <f t="shared" si="55"/>
        <v>703.48127966319964</v>
      </c>
      <c r="AZ91" s="41">
        <f t="shared" si="55"/>
        <v>812.69013703447649</v>
      </c>
      <c r="BA91" s="41">
        <f t="shared" si="55"/>
        <v>798.02169587532865</v>
      </c>
      <c r="BB91" s="41">
        <f t="shared" si="55"/>
        <v>816.28540237268464</v>
      </c>
      <c r="BC91" s="41">
        <f t="shared" si="55"/>
        <v>768.65048555801854</v>
      </c>
      <c r="BD91" s="41">
        <f t="shared" si="55"/>
        <v>700.44659433217885</v>
      </c>
      <c r="BE91" s="41">
        <f t="shared" si="55"/>
        <v>554.24672451805804</v>
      </c>
      <c r="BF91" s="41">
        <f t="shared" si="55"/>
        <v>640.46960949506638</v>
      </c>
      <c r="BG91" s="41">
        <f t="shared" si="55"/>
        <v>765.6480213214254</v>
      </c>
      <c r="BH91" s="41">
        <f t="shared" si="55"/>
        <v>785.1682805228271</v>
      </c>
      <c r="BI91" s="41">
        <f t="shared" si="55"/>
        <v>866.28464666790489</v>
      </c>
    </row>
    <row r="92" spans="4:61" x14ac:dyDescent="0.35">
      <c r="E92" t="str">
        <f>"Montant dépôts-"&amp;Paramétrage_général!I28</f>
        <v>Montant dépôts-Demande d'avance</v>
      </c>
      <c r="J92" t="s">
        <v>51</v>
      </c>
      <c r="N92" s="41">
        <f>N90*N91</f>
        <v>0</v>
      </c>
      <c r="O92" s="41">
        <f t="shared" ref="O92:BI92" si="56">O90*O91</f>
        <v>0</v>
      </c>
      <c r="P92" s="41">
        <f t="shared" si="56"/>
        <v>0</v>
      </c>
      <c r="Q92" s="41">
        <f t="shared" si="56"/>
        <v>7257.9049304</v>
      </c>
      <c r="R92" s="41">
        <f t="shared" si="56"/>
        <v>46468.201392000003</v>
      </c>
      <c r="S92" s="41">
        <f t="shared" si="56"/>
        <v>89467.930844800008</v>
      </c>
      <c r="T92" s="41">
        <f t="shared" si="56"/>
        <v>371801.73948399996</v>
      </c>
      <c r="U92" s="41">
        <f t="shared" si="56"/>
        <v>738958.24212920002</v>
      </c>
      <c r="V92" s="41">
        <f t="shared" si="56"/>
        <v>242872.25683200001</v>
      </c>
      <c r="W92" s="41">
        <f t="shared" si="56"/>
        <v>210689.01361400002</v>
      </c>
      <c r="X92" s="41">
        <f t="shared" si="56"/>
        <v>269501.07167079998</v>
      </c>
      <c r="Y92" s="41">
        <f t="shared" si="56"/>
        <v>425957.12963520008</v>
      </c>
      <c r="Z92" s="41">
        <f t="shared" si="56"/>
        <v>423513.54174520005</v>
      </c>
      <c r="AA92" s="41">
        <f t="shared" si="56"/>
        <v>391625.62002520007</v>
      </c>
      <c r="AB92" s="41">
        <f t="shared" si="56"/>
        <v>538278.30002600001</v>
      </c>
      <c r="AC92" s="41">
        <f t="shared" si="56"/>
        <v>634088.40844399994</v>
      </c>
      <c r="AD92" s="41">
        <f t="shared" si="56"/>
        <v>700824.52595359995</v>
      </c>
      <c r="AE92" s="41">
        <f t="shared" si="56"/>
        <v>943499.52169439988</v>
      </c>
      <c r="AF92" s="41">
        <f t="shared" si="56"/>
        <v>929854.98873720004</v>
      </c>
      <c r="AG92" s="41">
        <f t="shared" si="56"/>
        <v>789065.10311200016</v>
      </c>
      <c r="AH92" s="41">
        <f t="shared" si="56"/>
        <v>734006.24407999997</v>
      </c>
      <c r="AI92" s="41">
        <f t="shared" si="56"/>
        <v>845223.46760800004</v>
      </c>
      <c r="AJ92" s="41">
        <f t="shared" si="56"/>
        <v>928050.58507799997</v>
      </c>
      <c r="AK92" s="41">
        <f t="shared" si="56"/>
        <v>1107362.7325975997</v>
      </c>
      <c r="AL92" s="41">
        <f t="shared" si="56"/>
        <v>950231.25461580534</v>
      </c>
      <c r="AM92" s="41">
        <f t="shared" si="56"/>
        <v>896582.28193076747</v>
      </c>
      <c r="AN92" s="41">
        <f t="shared" si="56"/>
        <v>1027088.6351826406</v>
      </c>
      <c r="AO92" s="41">
        <f t="shared" si="56"/>
        <v>1007512.3033453374</v>
      </c>
      <c r="AP92" s="41">
        <f t="shared" si="56"/>
        <v>1030526.9300320885</v>
      </c>
      <c r="AQ92" s="41">
        <f t="shared" si="56"/>
        <v>970389.11896087497</v>
      </c>
      <c r="AR92" s="41">
        <f t="shared" si="56"/>
        <v>884284.55279842985</v>
      </c>
      <c r="AS92" s="41">
        <f t="shared" si="56"/>
        <v>699713.32702785556</v>
      </c>
      <c r="AT92" s="41">
        <f t="shared" si="56"/>
        <v>808566.11594719358</v>
      </c>
      <c r="AU92" s="41">
        <f t="shared" si="56"/>
        <v>966598.62951278384</v>
      </c>
      <c r="AV92" s="41">
        <f t="shared" si="56"/>
        <v>991242.14097807126</v>
      </c>
      <c r="AW92" s="41">
        <f t="shared" si="56"/>
        <v>1093648.1632800261</v>
      </c>
      <c r="AX92" s="41">
        <f t="shared" si="56"/>
        <v>1024951.776320143</v>
      </c>
      <c r="AY92" s="41">
        <f t="shared" si="56"/>
        <v>1003611.1917845237</v>
      </c>
      <c r="AZ92" s="41">
        <f t="shared" si="56"/>
        <v>1162114.2899210532</v>
      </c>
      <c r="BA92" s="41">
        <f t="shared" si="56"/>
        <v>1141449.6900500508</v>
      </c>
      <c r="BB92" s="41">
        <f t="shared" si="56"/>
        <v>1167585.980843917</v>
      </c>
      <c r="BC92" s="41">
        <f t="shared" si="56"/>
        <v>1099450.866330836</v>
      </c>
      <c r="BD92" s="41">
        <f t="shared" si="56"/>
        <v>1001894.3983078974</v>
      </c>
      <c r="BE92" s="41">
        <f t="shared" si="56"/>
        <v>792775.19952255185</v>
      </c>
      <c r="BF92" s="41">
        <f t="shared" si="56"/>
        <v>916105.40936817054</v>
      </c>
      <c r="BG92" s="41">
        <f t="shared" si="56"/>
        <v>1095156.2472379846</v>
      </c>
      <c r="BH92" s="41">
        <f t="shared" si="56"/>
        <v>1123077.345728155</v>
      </c>
      <c r="BI92" s="41">
        <f t="shared" si="56"/>
        <v>1239103.3689962695</v>
      </c>
    </row>
    <row r="94" spans="4:61" x14ac:dyDescent="0.35">
      <c r="D94" s="1" t="s">
        <v>114</v>
      </c>
    </row>
    <row r="96" spans="4:61" s="4" customFormat="1" x14ac:dyDescent="0.35">
      <c r="E96" s="4" t="str">
        <f>Hypothèses_trajectoire!E68</f>
        <v>Taux de chute des demandes d'avance</v>
      </c>
      <c r="I96" s="14">
        <f>Hypothèses_trajectoire!I68</f>
        <v>0.19600000000000001</v>
      </c>
      <c r="J96" s="4" t="str">
        <f>Hypothèses_trajectoire!J68</f>
        <v>% des demandes d'avance</v>
      </c>
    </row>
    <row r="97" spans="4:61" x14ac:dyDescent="0.35">
      <c r="E97" t="str">
        <f>E91</f>
        <v>Volumes dépôts-Demande d'avance</v>
      </c>
      <c r="J97" t="str">
        <f>J91</f>
        <v>Volume</v>
      </c>
      <c r="N97" s="41">
        <f t="shared" ref="N97:BI97" si="57">N91</f>
        <v>0</v>
      </c>
      <c r="O97" s="41">
        <f t="shared" si="57"/>
        <v>0</v>
      </c>
      <c r="P97" s="41">
        <f t="shared" si="57"/>
        <v>0</v>
      </c>
      <c r="Q97" s="41">
        <f t="shared" si="57"/>
        <v>7.26</v>
      </c>
      <c r="R97" s="41">
        <f t="shared" si="57"/>
        <v>48.07</v>
      </c>
      <c r="S97" s="41">
        <f t="shared" si="57"/>
        <v>71.12</v>
      </c>
      <c r="T97" s="41">
        <f t="shared" si="57"/>
        <v>179.56</v>
      </c>
      <c r="U97" s="41">
        <f t="shared" si="57"/>
        <v>277.91000000000003</v>
      </c>
      <c r="V97" s="41">
        <f t="shared" si="57"/>
        <v>137.87</v>
      </c>
      <c r="W97" s="41">
        <f t="shared" si="57"/>
        <v>147.92000000000002</v>
      </c>
      <c r="X97" s="41">
        <f t="shared" si="57"/>
        <v>204.52</v>
      </c>
      <c r="Y97" s="41">
        <f t="shared" si="57"/>
        <v>313.03000000000003</v>
      </c>
      <c r="Z97" s="41">
        <f t="shared" si="57"/>
        <v>335.18</v>
      </c>
      <c r="AA97" s="41">
        <f t="shared" si="57"/>
        <v>397.54</v>
      </c>
      <c r="AB97" s="41">
        <f t="shared" si="57"/>
        <v>451.41</v>
      </c>
      <c r="AC97" s="41">
        <f t="shared" si="57"/>
        <v>572.54</v>
      </c>
      <c r="AD97" s="41">
        <f t="shared" si="57"/>
        <v>550.77</v>
      </c>
      <c r="AE97" s="41">
        <f t="shared" si="57"/>
        <v>710.5</v>
      </c>
      <c r="AF97" s="41">
        <f t="shared" si="57"/>
        <v>605.29</v>
      </c>
      <c r="AG97" s="41">
        <f t="shared" si="57"/>
        <v>517.21</v>
      </c>
      <c r="AH97" s="41">
        <f t="shared" si="57"/>
        <v>511.53000000000003</v>
      </c>
      <c r="AI97" s="41">
        <f t="shared" si="57"/>
        <v>631.59</v>
      </c>
      <c r="AJ97" s="41">
        <f t="shared" si="57"/>
        <v>624.31000000000006</v>
      </c>
      <c r="AK97" s="41">
        <f t="shared" si="57"/>
        <v>708.04</v>
      </c>
      <c r="AL97" s="41">
        <f t="shared" si="57"/>
        <v>653.71735654758425</v>
      </c>
      <c r="AM97" s="41">
        <f t="shared" si="57"/>
        <v>638.73376658526263</v>
      </c>
      <c r="AN97" s="41">
        <f t="shared" si="57"/>
        <v>738.73274065592716</v>
      </c>
      <c r="AO97" s="41">
        <f t="shared" si="57"/>
        <v>725.47174828124639</v>
      </c>
      <c r="AP97" s="41">
        <f t="shared" si="57"/>
        <v>742.07759944055272</v>
      </c>
      <c r="AQ97" s="41">
        <f t="shared" si="57"/>
        <v>698.77316848867997</v>
      </c>
      <c r="AR97" s="41">
        <f t="shared" si="57"/>
        <v>636.76963121060908</v>
      </c>
      <c r="AS97" s="41">
        <f t="shared" si="57"/>
        <v>503.86065865277959</v>
      </c>
      <c r="AT97" s="41">
        <f t="shared" si="57"/>
        <v>582.24509954096936</v>
      </c>
      <c r="AU97" s="41">
        <f t="shared" si="57"/>
        <v>696.04365574675035</v>
      </c>
      <c r="AV97" s="41">
        <f t="shared" si="57"/>
        <v>713.78934592984274</v>
      </c>
      <c r="AW97" s="41">
        <f t="shared" si="57"/>
        <v>787.53149697082245</v>
      </c>
      <c r="AX97" s="41">
        <f t="shared" si="57"/>
        <v>724.86865716588477</v>
      </c>
      <c r="AY97" s="41">
        <f t="shared" si="57"/>
        <v>703.48127966319964</v>
      </c>
      <c r="AZ97" s="41">
        <f t="shared" si="57"/>
        <v>812.69013703447649</v>
      </c>
      <c r="BA97" s="41">
        <f t="shared" si="57"/>
        <v>798.02169587532865</v>
      </c>
      <c r="BB97" s="41">
        <f t="shared" si="57"/>
        <v>816.28540237268464</v>
      </c>
      <c r="BC97" s="41">
        <f t="shared" si="57"/>
        <v>768.65048555801854</v>
      </c>
      <c r="BD97" s="41">
        <f t="shared" si="57"/>
        <v>700.44659433217885</v>
      </c>
      <c r="BE97" s="41">
        <f t="shared" si="57"/>
        <v>554.24672451805804</v>
      </c>
      <c r="BF97" s="41">
        <f t="shared" si="57"/>
        <v>640.46960949506638</v>
      </c>
      <c r="BG97" s="41">
        <f t="shared" si="57"/>
        <v>765.6480213214254</v>
      </c>
      <c r="BH97" s="41">
        <f t="shared" si="57"/>
        <v>785.1682805228271</v>
      </c>
      <c r="BI97" s="41">
        <f t="shared" si="57"/>
        <v>866.28464666790489</v>
      </c>
    </row>
    <row r="98" spans="4:61" s="8" customFormat="1" x14ac:dyDescent="0.35">
      <c r="E98" s="8" t="str">
        <f>E92</f>
        <v>Montant dépôts-Demande d'avance</v>
      </c>
      <c r="J98" s="8" t="str">
        <f>J92</f>
        <v>EUR</v>
      </c>
      <c r="N98" s="93">
        <f t="shared" ref="N98:BI98" si="58">N92</f>
        <v>0</v>
      </c>
      <c r="O98" s="93">
        <f t="shared" si="58"/>
        <v>0</v>
      </c>
      <c r="P98" s="93">
        <f t="shared" si="58"/>
        <v>0</v>
      </c>
      <c r="Q98" s="93">
        <f t="shared" si="58"/>
        <v>7257.9049304</v>
      </c>
      <c r="R98" s="93">
        <f t="shared" si="58"/>
        <v>46468.201392000003</v>
      </c>
      <c r="S98" s="93">
        <f t="shared" si="58"/>
        <v>89467.930844800008</v>
      </c>
      <c r="T98" s="93">
        <f t="shared" si="58"/>
        <v>371801.73948399996</v>
      </c>
      <c r="U98" s="93">
        <f t="shared" si="58"/>
        <v>738958.24212920002</v>
      </c>
      <c r="V98" s="93">
        <f t="shared" si="58"/>
        <v>242872.25683200001</v>
      </c>
      <c r="W98" s="93">
        <f t="shared" si="58"/>
        <v>210689.01361400002</v>
      </c>
      <c r="X98" s="93">
        <f t="shared" si="58"/>
        <v>269501.07167079998</v>
      </c>
      <c r="Y98" s="93">
        <f t="shared" si="58"/>
        <v>425957.12963520008</v>
      </c>
      <c r="Z98" s="93">
        <f t="shared" si="58"/>
        <v>423513.54174520005</v>
      </c>
      <c r="AA98" s="93">
        <f t="shared" si="58"/>
        <v>391625.62002520007</v>
      </c>
      <c r="AB98" s="93">
        <f t="shared" si="58"/>
        <v>538278.30002600001</v>
      </c>
      <c r="AC98" s="93">
        <f t="shared" si="58"/>
        <v>634088.40844399994</v>
      </c>
      <c r="AD98" s="93">
        <f t="shared" si="58"/>
        <v>700824.52595359995</v>
      </c>
      <c r="AE98" s="93">
        <f t="shared" si="58"/>
        <v>943499.52169439988</v>
      </c>
      <c r="AF98" s="93">
        <f t="shared" si="58"/>
        <v>929854.98873720004</v>
      </c>
      <c r="AG98" s="93">
        <f t="shared" si="58"/>
        <v>789065.10311200016</v>
      </c>
      <c r="AH98" s="93">
        <f t="shared" si="58"/>
        <v>734006.24407999997</v>
      </c>
      <c r="AI98" s="93">
        <f t="shared" si="58"/>
        <v>845223.46760800004</v>
      </c>
      <c r="AJ98" s="93">
        <f t="shared" si="58"/>
        <v>928050.58507799997</v>
      </c>
      <c r="AK98" s="93">
        <f t="shared" si="58"/>
        <v>1107362.7325975997</v>
      </c>
      <c r="AL98" s="93">
        <f t="shared" si="58"/>
        <v>950231.25461580534</v>
      </c>
      <c r="AM98" s="93">
        <f t="shared" si="58"/>
        <v>896582.28193076747</v>
      </c>
      <c r="AN98" s="93">
        <f t="shared" si="58"/>
        <v>1027088.6351826406</v>
      </c>
      <c r="AO98" s="93">
        <f t="shared" si="58"/>
        <v>1007512.3033453374</v>
      </c>
      <c r="AP98" s="93">
        <f t="shared" si="58"/>
        <v>1030526.9300320885</v>
      </c>
      <c r="AQ98" s="93">
        <f t="shared" si="58"/>
        <v>970389.11896087497</v>
      </c>
      <c r="AR98" s="93">
        <f t="shared" si="58"/>
        <v>884284.55279842985</v>
      </c>
      <c r="AS98" s="93">
        <f t="shared" si="58"/>
        <v>699713.32702785556</v>
      </c>
      <c r="AT98" s="93">
        <f t="shared" si="58"/>
        <v>808566.11594719358</v>
      </c>
      <c r="AU98" s="93">
        <f t="shared" si="58"/>
        <v>966598.62951278384</v>
      </c>
      <c r="AV98" s="93">
        <f t="shared" si="58"/>
        <v>991242.14097807126</v>
      </c>
      <c r="AW98" s="93">
        <f t="shared" si="58"/>
        <v>1093648.1632800261</v>
      </c>
      <c r="AX98" s="93">
        <f t="shared" si="58"/>
        <v>1024951.776320143</v>
      </c>
      <c r="AY98" s="93">
        <f t="shared" si="58"/>
        <v>1003611.1917845237</v>
      </c>
      <c r="AZ98" s="93">
        <f t="shared" si="58"/>
        <v>1162114.2899210532</v>
      </c>
      <c r="BA98" s="93">
        <f t="shared" si="58"/>
        <v>1141449.6900500508</v>
      </c>
      <c r="BB98" s="93">
        <f t="shared" si="58"/>
        <v>1167585.980843917</v>
      </c>
      <c r="BC98" s="93">
        <f t="shared" si="58"/>
        <v>1099450.866330836</v>
      </c>
      <c r="BD98" s="93">
        <f t="shared" si="58"/>
        <v>1001894.3983078974</v>
      </c>
      <c r="BE98" s="93">
        <f t="shared" si="58"/>
        <v>792775.19952255185</v>
      </c>
      <c r="BF98" s="93">
        <f t="shared" si="58"/>
        <v>916105.40936817054</v>
      </c>
      <c r="BG98" s="93">
        <f t="shared" si="58"/>
        <v>1095156.2472379846</v>
      </c>
      <c r="BH98" s="93">
        <f t="shared" si="58"/>
        <v>1123077.345728155</v>
      </c>
      <c r="BI98" s="93">
        <f t="shared" si="58"/>
        <v>1239103.3689962695</v>
      </c>
    </row>
    <row r="99" spans="4:61" x14ac:dyDescent="0.35"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</row>
    <row r="100" spans="4:61" s="6" customFormat="1" x14ac:dyDescent="0.35">
      <c r="E100" s="6" t="str">
        <f>"Volumes-"&amp;Paramétrage_général!I29</f>
        <v>Volumes-Rejet de l'avance</v>
      </c>
      <c r="J100" s="6" t="s">
        <v>50</v>
      </c>
      <c r="N100" s="87">
        <f>N97*$I$96</f>
        <v>0</v>
      </c>
      <c r="O100" s="87">
        <f t="shared" ref="O100:BI100" si="59">O97*$I$96</f>
        <v>0</v>
      </c>
      <c r="P100" s="87">
        <f t="shared" si="59"/>
        <v>0</v>
      </c>
      <c r="Q100" s="87">
        <f t="shared" si="59"/>
        <v>1.42296</v>
      </c>
      <c r="R100" s="87">
        <f t="shared" si="59"/>
        <v>9.4217200000000005</v>
      </c>
      <c r="S100" s="87">
        <f t="shared" si="59"/>
        <v>13.939520000000002</v>
      </c>
      <c r="T100" s="87">
        <f t="shared" si="59"/>
        <v>35.193760000000005</v>
      </c>
      <c r="U100" s="87">
        <f t="shared" si="59"/>
        <v>54.470360000000007</v>
      </c>
      <c r="V100" s="87">
        <f t="shared" si="59"/>
        <v>27.022520000000004</v>
      </c>
      <c r="W100" s="87">
        <f t="shared" si="59"/>
        <v>28.992320000000003</v>
      </c>
      <c r="X100" s="87">
        <f t="shared" si="59"/>
        <v>40.085920000000002</v>
      </c>
      <c r="Y100" s="87">
        <f t="shared" si="59"/>
        <v>61.353880000000011</v>
      </c>
      <c r="Z100" s="87">
        <f t="shared" si="59"/>
        <v>65.695279999999997</v>
      </c>
      <c r="AA100" s="87">
        <f t="shared" si="59"/>
        <v>77.917840000000012</v>
      </c>
      <c r="AB100" s="87">
        <f t="shared" si="59"/>
        <v>88.476360000000014</v>
      </c>
      <c r="AC100" s="87">
        <f t="shared" si="59"/>
        <v>112.21784</v>
      </c>
      <c r="AD100" s="87">
        <f t="shared" si="59"/>
        <v>107.95092</v>
      </c>
      <c r="AE100" s="87">
        <f t="shared" si="59"/>
        <v>139.25800000000001</v>
      </c>
      <c r="AF100" s="87">
        <f t="shared" si="59"/>
        <v>118.63683999999999</v>
      </c>
      <c r="AG100" s="87">
        <f t="shared" si="59"/>
        <v>101.37316000000001</v>
      </c>
      <c r="AH100" s="87">
        <f t="shared" si="59"/>
        <v>100.25988000000001</v>
      </c>
      <c r="AI100" s="87">
        <f t="shared" si="59"/>
        <v>123.79164000000002</v>
      </c>
      <c r="AJ100" s="87">
        <f t="shared" si="59"/>
        <v>122.36476000000002</v>
      </c>
      <c r="AK100" s="87">
        <f t="shared" si="59"/>
        <v>138.77583999999999</v>
      </c>
      <c r="AL100" s="87">
        <f t="shared" si="59"/>
        <v>128.12860188332652</v>
      </c>
      <c r="AM100" s="87">
        <f t="shared" si="59"/>
        <v>125.19181825071148</v>
      </c>
      <c r="AN100" s="87">
        <f t="shared" si="59"/>
        <v>144.79161716856174</v>
      </c>
      <c r="AO100" s="87">
        <f t="shared" si="59"/>
        <v>142.1924626631243</v>
      </c>
      <c r="AP100" s="87">
        <f t="shared" si="59"/>
        <v>145.44720949034834</v>
      </c>
      <c r="AQ100" s="87">
        <f t="shared" si="59"/>
        <v>136.95954102378127</v>
      </c>
      <c r="AR100" s="87">
        <f t="shared" si="59"/>
        <v>124.80684771727938</v>
      </c>
      <c r="AS100" s="87">
        <f t="shared" si="59"/>
        <v>98.756689095944807</v>
      </c>
      <c r="AT100" s="87">
        <f t="shared" si="59"/>
        <v>114.12003951003</v>
      </c>
      <c r="AU100" s="87">
        <f t="shared" si="59"/>
        <v>136.42455652636306</v>
      </c>
      <c r="AV100" s="87">
        <f t="shared" si="59"/>
        <v>139.90271180224917</v>
      </c>
      <c r="AW100" s="87">
        <f t="shared" si="59"/>
        <v>154.35617340628121</v>
      </c>
      <c r="AX100" s="87">
        <f t="shared" si="59"/>
        <v>142.07425680451342</v>
      </c>
      <c r="AY100" s="87">
        <f t="shared" si="59"/>
        <v>137.88233081398712</v>
      </c>
      <c r="AZ100" s="87">
        <f t="shared" si="59"/>
        <v>159.28726685875739</v>
      </c>
      <c r="BA100" s="87">
        <f t="shared" si="59"/>
        <v>156.41225239156441</v>
      </c>
      <c r="BB100" s="87">
        <f t="shared" si="59"/>
        <v>159.99193886504619</v>
      </c>
      <c r="BC100" s="87">
        <f t="shared" si="59"/>
        <v>150.65549516937165</v>
      </c>
      <c r="BD100" s="87">
        <f t="shared" si="59"/>
        <v>137.28753248910706</v>
      </c>
      <c r="BE100" s="87">
        <f t="shared" si="59"/>
        <v>108.63235800553939</v>
      </c>
      <c r="BF100" s="87">
        <f t="shared" si="59"/>
        <v>125.53204346103301</v>
      </c>
      <c r="BG100" s="87">
        <f t="shared" si="59"/>
        <v>150.06701217899939</v>
      </c>
      <c r="BH100" s="87">
        <f t="shared" si="59"/>
        <v>153.89298298247411</v>
      </c>
      <c r="BI100" s="87">
        <f t="shared" si="59"/>
        <v>169.79179074690936</v>
      </c>
    </row>
    <row r="101" spans="4:61" s="8" customFormat="1" x14ac:dyDescent="0.35">
      <c r="E101" s="8" t="str">
        <f>"Montant-"&amp;Paramétrage_général!I29</f>
        <v>Montant-Rejet de l'avance</v>
      </c>
      <c r="J101" s="8" t="s">
        <v>51</v>
      </c>
      <c r="N101" s="93">
        <f t="shared" ref="N101:BI101" si="60">N98*$I$96</f>
        <v>0</v>
      </c>
      <c r="O101" s="93">
        <f t="shared" si="60"/>
        <v>0</v>
      </c>
      <c r="P101" s="93">
        <f t="shared" si="60"/>
        <v>0</v>
      </c>
      <c r="Q101" s="93">
        <f t="shared" si="60"/>
        <v>1422.5493663584</v>
      </c>
      <c r="R101" s="93">
        <f t="shared" si="60"/>
        <v>9107.7674728320017</v>
      </c>
      <c r="S101" s="93">
        <f t="shared" si="60"/>
        <v>17535.714445580801</v>
      </c>
      <c r="T101" s="93">
        <f t="shared" si="60"/>
        <v>72873.140938864002</v>
      </c>
      <c r="U101" s="93">
        <f t="shared" si="60"/>
        <v>144835.81545732322</v>
      </c>
      <c r="V101" s="93">
        <f t="shared" si="60"/>
        <v>47602.962339072008</v>
      </c>
      <c r="W101" s="93">
        <f t="shared" si="60"/>
        <v>41295.04666834401</v>
      </c>
      <c r="X101" s="93">
        <f t="shared" si="60"/>
        <v>52822.210047476801</v>
      </c>
      <c r="Y101" s="93">
        <f t="shared" si="60"/>
        <v>83487.597408499219</v>
      </c>
      <c r="Z101" s="93">
        <f t="shared" si="60"/>
        <v>83008.65418205921</v>
      </c>
      <c r="AA101" s="93">
        <f t="shared" si="60"/>
        <v>76758.621524939212</v>
      </c>
      <c r="AB101" s="93">
        <f t="shared" si="60"/>
        <v>105502.546805096</v>
      </c>
      <c r="AC101" s="93">
        <f t="shared" si="60"/>
        <v>124281.32805502399</v>
      </c>
      <c r="AD101" s="93">
        <f t="shared" si="60"/>
        <v>137361.6070869056</v>
      </c>
      <c r="AE101" s="93">
        <f t="shared" si="60"/>
        <v>184925.90625210237</v>
      </c>
      <c r="AF101" s="93">
        <f t="shared" si="60"/>
        <v>182251.57779249121</v>
      </c>
      <c r="AG101" s="93">
        <f t="shared" si="60"/>
        <v>154656.76020995204</v>
      </c>
      <c r="AH101" s="93">
        <f t="shared" si="60"/>
        <v>143865.22383967999</v>
      </c>
      <c r="AI101" s="93">
        <f t="shared" si="60"/>
        <v>165663.79965116802</v>
      </c>
      <c r="AJ101" s="93">
        <f t="shared" si="60"/>
        <v>181897.91467528799</v>
      </c>
      <c r="AK101" s="93">
        <f t="shared" si="60"/>
        <v>217043.09558912955</v>
      </c>
      <c r="AL101" s="93">
        <f t="shared" si="60"/>
        <v>186245.32590469785</v>
      </c>
      <c r="AM101" s="93">
        <f t="shared" si="60"/>
        <v>175730.12725843044</v>
      </c>
      <c r="AN101" s="93">
        <f t="shared" si="60"/>
        <v>201309.37249579758</v>
      </c>
      <c r="AO101" s="93">
        <f t="shared" si="60"/>
        <v>197472.41145568615</v>
      </c>
      <c r="AP101" s="93">
        <f t="shared" si="60"/>
        <v>201983.27828628937</v>
      </c>
      <c r="AQ101" s="93">
        <f t="shared" si="60"/>
        <v>190196.2673163315</v>
      </c>
      <c r="AR101" s="93">
        <f t="shared" si="60"/>
        <v>173319.77234849226</v>
      </c>
      <c r="AS101" s="93">
        <f t="shared" si="60"/>
        <v>137143.81209745968</v>
      </c>
      <c r="AT101" s="93">
        <f t="shared" si="60"/>
        <v>158478.95872564995</v>
      </c>
      <c r="AU101" s="93">
        <f t="shared" si="60"/>
        <v>189453.33138450564</v>
      </c>
      <c r="AV101" s="93">
        <f t="shared" si="60"/>
        <v>194283.45963170196</v>
      </c>
      <c r="AW101" s="93">
        <f t="shared" si="60"/>
        <v>214355.04000288513</v>
      </c>
      <c r="AX101" s="93">
        <f t="shared" si="60"/>
        <v>200890.54815874805</v>
      </c>
      <c r="AY101" s="93">
        <f t="shared" si="60"/>
        <v>196707.79358976663</v>
      </c>
      <c r="AZ101" s="93">
        <f t="shared" si="60"/>
        <v>227774.40082452644</v>
      </c>
      <c r="BA101" s="93">
        <f t="shared" si="60"/>
        <v>223724.13924980999</v>
      </c>
      <c r="BB101" s="93">
        <f t="shared" si="60"/>
        <v>228846.85224540773</v>
      </c>
      <c r="BC101" s="93">
        <f t="shared" si="60"/>
        <v>215492.36980084385</v>
      </c>
      <c r="BD101" s="93">
        <f t="shared" si="60"/>
        <v>196371.3020683479</v>
      </c>
      <c r="BE101" s="93">
        <f t="shared" si="60"/>
        <v>155383.93910642018</v>
      </c>
      <c r="BF101" s="93">
        <f t="shared" si="60"/>
        <v>179556.66023616144</v>
      </c>
      <c r="BG101" s="93">
        <f t="shared" si="60"/>
        <v>214650.62445864498</v>
      </c>
      <c r="BH101" s="93">
        <f t="shared" si="60"/>
        <v>220123.15976271839</v>
      </c>
      <c r="BI101" s="93">
        <f t="shared" si="60"/>
        <v>242864.26032326883</v>
      </c>
    </row>
    <row r="102" spans="4:61" x14ac:dyDescent="0.35"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</row>
    <row r="103" spans="4:61" s="6" customFormat="1" x14ac:dyDescent="0.35">
      <c r="E103" s="6" t="str">
        <f>"Volumes dépôts hors rejet-"&amp;Paramétrage_général!I28</f>
        <v>Volumes dépôts hors rejet-Demande d'avance</v>
      </c>
      <c r="J103" s="6" t="s">
        <v>50</v>
      </c>
      <c r="N103" s="87">
        <f>N97-N100</f>
        <v>0</v>
      </c>
      <c r="O103" s="87">
        <f t="shared" ref="O103:BI103" si="61">O97-O100</f>
        <v>0</v>
      </c>
      <c r="P103" s="87">
        <f t="shared" si="61"/>
        <v>0</v>
      </c>
      <c r="Q103" s="87">
        <f t="shared" si="61"/>
        <v>5.83704</v>
      </c>
      <c r="R103" s="87">
        <f t="shared" si="61"/>
        <v>38.64828</v>
      </c>
      <c r="S103" s="87">
        <f t="shared" si="61"/>
        <v>57.180480000000003</v>
      </c>
      <c r="T103" s="87">
        <f t="shared" si="61"/>
        <v>144.36624</v>
      </c>
      <c r="U103" s="87">
        <f t="shared" si="61"/>
        <v>223.43964000000003</v>
      </c>
      <c r="V103" s="87">
        <f t="shared" si="61"/>
        <v>110.84748</v>
      </c>
      <c r="W103" s="87">
        <f t="shared" si="61"/>
        <v>118.92768000000001</v>
      </c>
      <c r="X103" s="87">
        <f t="shared" si="61"/>
        <v>164.43407999999999</v>
      </c>
      <c r="Y103" s="87">
        <f t="shared" si="61"/>
        <v>251.67612000000003</v>
      </c>
      <c r="Z103" s="87">
        <f t="shared" si="61"/>
        <v>269.48472000000004</v>
      </c>
      <c r="AA103" s="87">
        <f t="shared" si="61"/>
        <v>319.62216000000001</v>
      </c>
      <c r="AB103" s="87">
        <f t="shared" si="61"/>
        <v>362.93364000000003</v>
      </c>
      <c r="AC103" s="87">
        <f t="shared" si="61"/>
        <v>460.32215999999994</v>
      </c>
      <c r="AD103" s="87">
        <f t="shared" si="61"/>
        <v>442.81907999999999</v>
      </c>
      <c r="AE103" s="87">
        <f t="shared" si="61"/>
        <v>571.24199999999996</v>
      </c>
      <c r="AF103" s="87">
        <f t="shared" si="61"/>
        <v>486.65315999999996</v>
      </c>
      <c r="AG103" s="87">
        <f t="shared" si="61"/>
        <v>415.83684000000005</v>
      </c>
      <c r="AH103" s="87">
        <f t="shared" si="61"/>
        <v>411.27012000000002</v>
      </c>
      <c r="AI103" s="87">
        <f t="shared" si="61"/>
        <v>507.79836</v>
      </c>
      <c r="AJ103" s="87">
        <f t="shared" si="61"/>
        <v>501.94524000000001</v>
      </c>
      <c r="AK103" s="87">
        <f t="shared" si="61"/>
        <v>569.26415999999995</v>
      </c>
      <c r="AL103" s="87">
        <f t="shared" si="61"/>
        <v>525.58875466425775</v>
      </c>
      <c r="AM103" s="87">
        <f t="shared" si="61"/>
        <v>513.54194833455119</v>
      </c>
      <c r="AN103" s="87">
        <f t="shared" si="61"/>
        <v>593.94112348736542</v>
      </c>
      <c r="AO103" s="87">
        <f t="shared" si="61"/>
        <v>583.27928561812212</v>
      </c>
      <c r="AP103" s="87">
        <f t="shared" si="61"/>
        <v>596.6303899502044</v>
      </c>
      <c r="AQ103" s="87">
        <f t="shared" si="61"/>
        <v>561.81362746489867</v>
      </c>
      <c r="AR103" s="87">
        <f t="shared" si="61"/>
        <v>511.96278349332971</v>
      </c>
      <c r="AS103" s="87">
        <f t="shared" si="61"/>
        <v>405.10396955683478</v>
      </c>
      <c r="AT103" s="87">
        <f t="shared" si="61"/>
        <v>468.12506003093938</v>
      </c>
      <c r="AU103" s="87">
        <f t="shared" si="61"/>
        <v>559.61909922038728</v>
      </c>
      <c r="AV103" s="87">
        <f t="shared" si="61"/>
        <v>573.88663412759354</v>
      </c>
      <c r="AW103" s="87">
        <f t="shared" si="61"/>
        <v>633.17532356454126</v>
      </c>
      <c r="AX103" s="87">
        <f t="shared" si="61"/>
        <v>582.79440036137134</v>
      </c>
      <c r="AY103" s="87">
        <f t="shared" si="61"/>
        <v>565.59894884921255</v>
      </c>
      <c r="AZ103" s="87">
        <f t="shared" si="61"/>
        <v>653.40287017571904</v>
      </c>
      <c r="BA103" s="87">
        <f t="shared" si="61"/>
        <v>641.60944348376427</v>
      </c>
      <c r="BB103" s="87">
        <f t="shared" si="61"/>
        <v>656.29346350763842</v>
      </c>
      <c r="BC103" s="87">
        <f t="shared" si="61"/>
        <v>617.9949903886469</v>
      </c>
      <c r="BD103" s="87">
        <f t="shared" si="61"/>
        <v>563.15906184307175</v>
      </c>
      <c r="BE103" s="87">
        <f t="shared" si="61"/>
        <v>445.61436651251864</v>
      </c>
      <c r="BF103" s="87">
        <f t="shared" si="61"/>
        <v>514.93756603403335</v>
      </c>
      <c r="BG103" s="87">
        <f t="shared" si="61"/>
        <v>615.58100914242596</v>
      </c>
      <c r="BH103" s="87">
        <f t="shared" si="61"/>
        <v>631.27529754035299</v>
      </c>
      <c r="BI103" s="87">
        <f t="shared" si="61"/>
        <v>696.49285592099557</v>
      </c>
    </row>
    <row r="104" spans="4:61" x14ac:dyDescent="0.35">
      <c r="E104" t="str">
        <f>"Montant dépôts hors rejet-"&amp;Paramétrage_général!I28</f>
        <v>Montant dépôts hors rejet-Demande d'avance</v>
      </c>
      <c r="J104" t="s">
        <v>51</v>
      </c>
      <c r="N104" s="41">
        <f t="shared" ref="N104:BI104" si="62">N98-N101</f>
        <v>0</v>
      </c>
      <c r="O104" s="41">
        <f t="shared" si="62"/>
        <v>0</v>
      </c>
      <c r="P104" s="41">
        <f t="shared" si="62"/>
        <v>0</v>
      </c>
      <c r="Q104" s="41">
        <f t="shared" si="62"/>
        <v>5835.3555640415998</v>
      </c>
      <c r="R104" s="41">
        <f t="shared" si="62"/>
        <v>37360.433919168005</v>
      </c>
      <c r="S104" s="41">
        <f t="shared" si="62"/>
        <v>71932.216399219207</v>
      </c>
      <c r="T104" s="41">
        <f t="shared" si="62"/>
        <v>298928.59854513593</v>
      </c>
      <c r="U104" s="41">
        <f t="shared" si="62"/>
        <v>594122.4266718768</v>
      </c>
      <c r="V104" s="41">
        <f t="shared" si="62"/>
        <v>195269.29449292802</v>
      </c>
      <c r="W104" s="41">
        <f t="shared" si="62"/>
        <v>169393.96694565602</v>
      </c>
      <c r="X104" s="41">
        <f t="shared" si="62"/>
        <v>216678.86162332317</v>
      </c>
      <c r="Y104" s="41">
        <f t="shared" si="62"/>
        <v>342469.53222670086</v>
      </c>
      <c r="Z104" s="41">
        <f t="shared" si="62"/>
        <v>340504.88756314083</v>
      </c>
      <c r="AA104" s="41">
        <f t="shared" si="62"/>
        <v>314866.99850026087</v>
      </c>
      <c r="AB104" s="41">
        <f t="shared" si="62"/>
        <v>432775.75322090404</v>
      </c>
      <c r="AC104" s="41">
        <f t="shared" si="62"/>
        <v>509807.08038897597</v>
      </c>
      <c r="AD104" s="41">
        <f t="shared" si="62"/>
        <v>563462.91886669432</v>
      </c>
      <c r="AE104" s="41">
        <f t="shared" si="62"/>
        <v>758573.61544229754</v>
      </c>
      <c r="AF104" s="41">
        <f t="shared" si="62"/>
        <v>747603.41094470886</v>
      </c>
      <c r="AG104" s="41">
        <f t="shared" si="62"/>
        <v>634408.34290204814</v>
      </c>
      <c r="AH104" s="41">
        <f t="shared" si="62"/>
        <v>590141.02024032001</v>
      </c>
      <c r="AI104" s="41">
        <f t="shared" si="62"/>
        <v>679559.66795683198</v>
      </c>
      <c r="AJ104" s="41">
        <f t="shared" si="62"/>
        <v>746152.67040271196</v>
      </c>
      <c r="AK104" s="41">
        <f t="shared" si="62"/>
        <v>890319.63700847025</v>
      </c>
      <c r="AL104" s="41">
        <f t="shared" si="62"/>
        <v>763985.92871110747</v>
      </c>
      <c r="AM104" s="41">
        <f t="shared" si="62"/>
        <v>720852.154672337</v>
      </c>
      <c r="AN104" s="41">
        <f t="shared" si="62"/>
        <v>825779.26268684305</v>
      </c>
      <c r="AO104" s="41">
        <f t="shared" si="62"/>
        <v>810039.89188965131</v>
      </c>
      <c r="AP104" s="41">
        <f t="shared" si="62"/>
        <v>828543.65174579923</v>
      </c>
      <c r="AQ104" s="41">
        <f t="shared" si="62"/>
        <v>780192.85164454347</v>
      </c>
      <c r="AR104" s="41">
        <f t="shared" si="62"/>
        <v>710964.78044993756</v>
      </c>
      <c r="AS104" s="41">
        <f t="shared" si="62"/>
        <v>562569.51493039588</v>
      </c>
      <c r="AT104" s="41">
        <f t="shared" si="62"/>
        <v>650087.1572215436</v>
      </c>
      <c r="AU104" s="41">
        <f t="shared" si="62"/>
        <v>777145.29812827823</v>
      </c>
      <c r="AV104" s="41">
        <f t="shared" si="62"/>
        <v>796958.68134636933</v>
      </c>
      <c r="AW104" s="41">
        <f t="shared" si="62"/>
        <v>879293.1232771409</v>
      </c>
      <c r="AX104" s="41">
        <f t="shared" si="62"/>
        <v>824061.22816139495</v>
      </c>
      <c r="AY104" s="41">
        <f t="shared" si="62"/>
        <v>806903.39819475706</v>
      </c>
      <c r="AZ104" s="41">
        <f t="shared" si="62"/>
        <v>934339.88909652678</v>
      </c>
      <c r="BA104" s="41">
        <f t="shared" si="62"/>
        <v>917725.55080024083</v>
      </c>
      <c r="BB104" s="41">
        <f t="shared" si="62"/>
        <v>938739.12859850924</v>
      </c>
      <c r="BC104" s="41">
        <f t="shared" si="62"/>
        <v>883958.49652999209</v>
      </c>
      <c r="BD104" s="41">
        <f t="shared" si="62"/>
        <v>805523.09623954946</v>
      </c>
      <c r="BE104" s="41">
        <f t="shared" si="62"/>
        <v>637391.2604161317</v>
      </c>
      <c r="BF104" s="41">
        <f t="shared" si="62"/>
        <v>736548.74913200911</v>
      </c>
      <c r="BG104" s="41">
        <f t="shared" si="62"/>
        <v>880505.62277933955</v>
      </c>
      <c r="BH104" s="41">
        <f t="shared" si="62"/>
        <v>902954.18596543663</v>
      </c>
      <c r="BI104" s="41">
        <f t="shared" si="62"/>
        <v>996239.10867300071</v>
      </c>
    </row>
    <row r="105" spans="4:61" x14ac:dyDescent="0.35"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</row>
    <row r="106" spans="4:61" x14ac:dyDescent="0.35">
      <c r="D106" s="1" t="s">
        <v>115</v>
      </c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</row>
    <row r="108" spans="4:61" s="4" customFormat="1" x14ac:dyDescent="0.35">
      <c r="E108" s="4" t="str">
        <f>Time!E21</f>
        <v>N° de mois</v>
      </c>
      <c r="J108" s="4" t="str">
        <f>Time!J21</f>
        <v>N° mois</v>
      </c>
      <c r="N108" s="4">
        <f>Time!N21</f>
        <v>1</v>
      </c>
      <c r="O108" s="4">
        <f>Time!O21</f>
        <v>2</v>
      </c>
      <c r="P108" s="4">
        <f>Time!P21</f>
        <v>3</v>
      </c>
      <c r="Q108" s="4">
        <f>Time!Q21</f>
        <v>4</v>
      </c>
      <c r="R108" s="4">
        <f>Time!R21</f>
        <v>5</v>
      </c>
      <c r="S108" s="4">
        <f>Time!S21</f>
        <v>6</v>
      </c>
      <c r="T108" s="4">
        <f>Time!T21</f>
        <v>7</v>
      </c>
      <c r="U108" s="4">
        <f>Time!U21</f>
        <v>8</v>
      </c>
      <c r="V108" s="4">
        <f>Time!V21</f>
        <v>9</v>
      </c>
      <c r="W108" s="4">
        <f>Time!W21</f>
        <v>10</v>
      </c>
      <c r="X108" s="4">
        <f>Time!X21</f>
        <v>11</v>
      </c>
      <c r="Y108" s="4">
        <f>Time!Y21</f>
        <v>12</v>
      </c>
      <c r="Z108" s="4">
        <f>Time!Z21</f>
        <v>1</v>
      </c>
      <c r="AA108" s="4">
        <f>Time!AA21</f>
        <v>2</v>
      </c>
      <c r="AB108" s="4">
        <f>Time!AB21</f>
        <v>3</v>
      </c>
      <c r="AC108" s="4">
        <f>Time!AC21</f>
        <v>4</v>
      </c>
      <c r="AD108" s="4">
        <f>Time!AD21</f>
        <v>5</v>
      </c>
      <c r="AE108" s="4">
        <f>Time!AE21</f>
        <v>6</v>
      </c>
      <c r="AF108" s="4">
        <f>Time!AF21</f>
        <v>7</v>
      </c>
      <c r="AG108" s="4">
        <f>Time!AG21</f>
        <v>8</v>
      </c>
      <c r="AH108" s="4">
        <f>Time!AH21</f>
        <v>9</v>
      </c>
      <c r="AI108" s="4">
        <f>Time!AI21</f>
        <v>10</v>
      </c>
      <c r="AJ108" s="4">
        <f>Time!AJ21</f>
        <v>11</v>
      </c>
      <c r="AK108" s="4">
        <f>Time!AK21</f>
        <v>12</v>
      </c>
      <c r="AL108" s="4">
        <f>Time!AL21</f>
        <v>1</v>
      </c>
      <c r="AM108" s="4">
        <f>Time!AM21</f>
        <v>2</v>
      </c>
      <c r="AN108" s="4">
        <f>Time!AN21</f>
        <v>3</v>
      </c>
      <c r="AO108" s="4">
        <f>Time!AO21</f>
        <v>4</v>
      </c>
      <c r="AP108" s="4">
        <f>Time!AP21</f>
        <v>5</v>
      </c>
      <c r="AQ108" s="4">
        <f>Time!AQ21</f>
        <v>6</v>
      </c>
      <c r="AR108" s="4">
        <f>Time!AR21</f>
        <v>7</v>
      </c>
      <c r="AS108" s="4">
        <f>Time!AS21</f>
        <v>8</v>
      </c>
      <c r="AT108" s="4">
        <f>Time!AT21</f>
        <v>9</v>
      </c>
      <c r="AU108" s="4">
        <f>Time!AU21</f>
        <v>10</v>
      </c>
      <c r="AV108" s="4">
        <f>Time!AV21</f>
        <v>11</v>
      </c>
      <c r="AW108" s="4">
        <f>Time!AW21</f>
        <v>12</v>
      </c>
      <c r="AX108" s="4">
        <f>Time!AX21</f>
        <v>1</v>
      </c>
      <c r="AY108" s="4">
        <f>Time!AY21</f>
        <v>2</v>
      </c>
      <c r="AZ108" s="4">
        <f>Time!AZ21</f>
        <v>3</v>
      </c>
      <c r="BA108" s="4">
        <f>Time!BA21</f>
        <v>4</v>
      </c>
      <c r="BB108" s="4">
        <f>Time!BB21</f>
        <v>5</v>
      </c>
      <c r="BC108" s="4">
        <f>Time!BC21</f>
        <v>6</v>
      </c>
      <c r="BD108" s="4">
        <f>Time!BD21</f>
        <v>7</v>
      </c>
      <c r="BE108" s="4">
        <f>Time!BE21</f>
        <v>8</v>
      </c>
      <c r="BF108" s="4">
        <f>Time!BF21</f>
        <v>9</v>
      </c>
      <c r="BG108" s="4">
        <f>Time!BG21</f>
        <v>10</v>
      </c>
      <c r="BH108" s="4">
        <f>Time!BH21</f>
        <v>11</v>
      </c>
      <c r="BI108" s="4">
        <f>Time!BI21</f>
        <v>12</v>
      </c>
    </row>
    <row r="109" spans="4:61" s="4" customFormat="1" x14ac:dyDescent="0.35">
      <c r="E109" s="4" t="str">
        <f>Time!E19</f>
        <v>Frise mensuelle-début de période</v>
      </c>
      <c r="J109" s="4" t="str">
        <f>Time!J19</f>
        <v>date</v>
      </c>
      <c r="N109" s="5">
        <f>Time!N19</f>
        <v>43831</v>
      </c>
      <c r="O109" s="5">
        <f>Time!O19</f>
        <v>43862</v>
      </c>
      <c r="P109" s="5">
        <f>Time!P19</f>
        <v>43891</v>
      </c>
      <c r="Q109" s="5">
        <f>Time!Q19</f>
        <v>43922</v>
      </c>
      <c r="R109" s="5">
        <f>Time!R19</f>
        <v>43952</v>
      </c>
      <c r="S109" s="5">
        <f>Time!S19</f>
        <v>43983</v>
      </c>
      <c r="T109" s="5">
        <f>Time!T19</f>
        <v>44013</v>
      </c>
      <c r="U109" s="5">
        <f>Time!U19</f>
        <v>44044</v>
      </c>
      <c r="V109" s="5">
        <f>Time!V19</f>
        <v>44075</v>
      </c>
      <c r="W109" s="5">
        <f>Time!W19</f>
        <v>44105</v>
      </c>
      <c r="X109" s="5">
        <f>Time!X19</f>
        <v>44136</v>
      </c>
      <c r="Y109" s="5">
        <f>Time!Y19</f>
        <v>44166</v>
      </c>
      <c r="Z109" s="5">
        <f>Time!Z19</f>
        <v>44197</v>
      </c>
      <c r="AA109" s="5">
        <f>Time!AA19</f>
        <v>44228</v>
      </c>
      <c r="AB109" s="5">
        <f>Time!AB19</f>
        <v>44256</v>
      </c>
      <c r="AC109" s="5">
        <f>Time!AC19</f>
        <v>44287</v>
      </c>
      <c r="AD109" s="5">
        <f>Time!AD19</f>
        <v>44317</v>
      </c>
      <c r="AE109" s="5">
        <f>Time!AE19</f>
        <v>44348</v>
      </c>
      <c r="AF109" s="5">
        <f>Time!AF19</f>
        <v>44378</v>
      </c>
      <c r="AG109" s="5">
        <f>Time!AG19</f>
        <v>44409</v>
      </c>
      <c r="AH109" s="5">
        <f>Time!AH19</f>
        <v>44440</v>
      </c>
      <c r="AI109" s="5">
        <f>Time!AI19</f>
        <v>44470</v>
      </c>
      <c r="AJ109" s="5">
        <f>Time!AJ19</f>
        <v>44501</v>
      </c>
      <c r="AK109" s="5">
        <f>Time!AK19</f>
        <v>44531</v>
      </c>
      <c r="AL109" s="5">
        <f>Time!AL19</f>
        <v>44562</v>
      </c>
      <c r="AM109" s="5">
        <f>Time!AM19</f>
        <v>44593</v>
      </c>
      <c r="AN109" s="5">
        <f>Time!AN19</f>
        <v>44621</v>
      </c>
      <c r="AO109" s="5">
        <f>Time!AO19</f>
        <v>44652</v>
      </c>
      <c r="AP109" s="5">
        <f>Time!AP19</f>
        <v>44682</v>
      </c>
      <c r="AQ109" s="5">
        <f>Time!AQ19</f>
        <v>44713</v>
      </c>
      <c r="AR109" s="5">
        <f>Time!AR19</f>
        <v>44743</v>
      </c>
      <c r="AS109" s="5">
        <f>Time!AS19</f>
        <v>44774</v>
      </c>
      <c r="AT109" s="5">
        <f>Time!AT19</f>
        <v>44805</v>
      </c>
      <c r="AU109" s="5">
        <f>Time!AU19</f>
        <v>44835</v>
      </c>
      <c r="AV109" s="5">
        <f>Time!AV19</f>
        <v>44866</v>
      </c>
      <c r="AW109" s="5">
        <f>Time!AW19</f>
        <v>44896</v>
      </c>
      <c r="AX109" s="5">
        <f>Time!AX19</f>
        <v>44927</v>
      </c>
      <c r="AY109" s="5">
        <f>Time!AY19</f>
        <v>44958</v>
      </c>
      <c r="AZ109" s="5">
        <f>Time!AZ19</f>
        <v>44986</v>
      </c>
      <c r="BA109" s="5">
        <f>Time!BA19</f>
        <v>45017</v>
      </c>
      <c r="BB109" s="5">
        <f>Time!BB19</f>
        <v>45047</v>
      </c>
      <c r="BC109" s="5">
        <f>Time!BC19</f>
        <v>45078</v>
      </c>
      <c r="BD109" s="5">
        <f>Time!BD19</f>
        <v>45108</v>
      </c>
      <c r="BE109" s="5">
        <f>Time!BE19</f>
        <v>45139</v>
      </c>
      <c r="BF109" s="5">
        <f>Time!BF19</f>
        <v>45170</v>
      </c>
      <c r="BG109" s="5">
        <f>Time!BG19</f>
        <v>45200</v>
      </c>
      <c r="BH109" s="5">
        <f>Time!BH19</f>
        <v>45231</v>
      </c>
      <c r="BI109" s="5">
        <f>Time!BI19</f>
        <v>45261</v>
      </c>
    </row>
    <row r="110" spans="4:61" s="4" customFormat="1" x14ac:dyDescent="0.35">
      <c r="E110" s="4" t="str">
        <f>E103</f>
        <v>Volumes dépôts hors rejet-Demande d'avance</v>
      </c>
      <c r="J110" s="4" t="str">
        <f>J103</f>
        <v>Volume</v>
      </c>
      <c r="N110" s="85">
        <f t="shared" ref="N110:BI110" si="63">N103</f>
        <v>0</v>
      </c>
      <c r="O110" s="85">
        <f t="shared" si="63"/>
        <v>0</v>
      </c>
      <c r="P110" s="85">
        <f t="shared" si="63"/>
        <v>0</v>
      </c>
      <c r="Q110" s="85">
        <f t="shared" si="63"/>
        <v>5.83704</v>
      </c>
      <c r="R110" s="85">
        <f t="shared" si="63"/>
        <v>38.64828</v>
      </c>
      <c r="S110" s="85">
        <f t="shared" si="63"/>
        <v>57.180480000000003</v>
      </c>
      <c r="T110" s="85">
        <f t="shared" si="63"/>
        <v>144.36624</v>
      </c>
      <c r="U110" s="85">
        <f t="shared" si="63"/>
        <v>223.43964000000003</v>
      </c>
      <c r="V110" s="85">
        <f t="shared" si="63"/>
        <v>110.84748</v>
      </c>
      <c r="W110" s="85">
        <f t="shared" si="63"/>
        <v>118.92768000000001</v>
      </c>
      <c r="X110" s="85">
        <f t="shared" si="63"/>
        <v>164.43407999999999</v>
      </c>
      <c r="Y110" s="85">
        <f t="shared" si="63"/>
        <v>251.67612000000003</v>
      </c>
      <c r="Z110" s="85">
        <f t="shared" si="63"/>
        <v>269.48472000000004</v>
      </c>
      <c r="AA110" s="85">
        <f t="shared" si="63"/>
        <v>319.62216000000001</v>
      </c>
      <c r="AB110" s="85">
        <f t="shared" si="63"/>
        <v>362.93364000000003</v>
      </c>
      <c r="AC110" s="85">
        <f t="shared" si="63"/>
        <v>460.32215999999994</v>
      </c>
      <c r="AD110" s="85">
        <f t="shared" si="63"/>
        <v>442.81907999999999</v>
      </c>
      <c r="AE110" s="85">
        <f t="shared" si="63"/>
        <v>571.24199999999996</v>
      </c>
      <c r="AF110" s="85">
        <f t="shared" si="63"/>
        <v>486.65315999999996</v>
      </c>
      <c r="AG110" s="85">
        <f t="shared" si="63"/>
        <v>415.83684000000005</v>
      </c>
      <c r="AH110" s="85">
        <f t="shared" si="63"/>
        <v>411.27012000000002</v>
      </c>
      <c r="AI110" s="85">
        <f t="shared" si="63"/>
        <v>507.79836</v>
      </c>
      <c r="AJ110" s="85">
        <f t="shared" si="63"/>
        <v>501.94524000000001</v>
      </c>
      <c r="AK110" s="85">
        <f t="shared" si="63"/>
        <v>569.26415999999995</v>
      </c>
      <c r="AL110" s="85">
        <f t="shared" si="63"/>
        <v>525.58875466425775</v>
      </c>
      <c r="AM110" s="85">
        <f t="shared" si="63"/>
        <v>513.54194833455119</v>
      </c>
      <c r="AN110" s="85">
        <f t="shared" si="63"/>
        <v>593.94112348736542</v>
      </c>
      <c r="AO110" s="85">
        <f t="shared" si="63"/>
        <v>583.27928561812212</v>
      </c>
      <c r="AP110" s="85">
        <f t="shared" si="63"/>
        <v>596.6303899502044</v>
      </c>
      <c r="AQ110" s="85">
        <f t="shared" si="63"/>
        <v>561.81362746489867</v>
      </c>
      <c r="AR110" s="85">
        <f t="shared" si="63"/>
        <v>511.96278349332971</v>
      </c>
      <c r="AS110" s="85">
        <f t="shared" si="63"/>
        <v>405.10396955683478</v>
      </c>
      <c r="AT110" s="85">
        <f t="shared" si="63"/>
        <v>468.12506003093938</v>
      </c>
      <c r="AU110" s="85">
        <f t="shared" si="63"/>
        <v>559.61909922038728</v>
      </c>
      <c r="AV110" s="85">
        <f t="shared" si="63"/>
        <v>573.88663412759354</v>
      </c>
      <c r="AW110" s="85">
        <f t="shared" si="63"/>
        <v>633.17532356454126</v>
      </c>
      <c r="AX110" s="85">
        <f t="shared" si="63"/>
        <v>582.79440036137134</v>
      </c>
      <c r="AY110" s="85">
        <f t="shared" si="63"/>
        <v>565.59894884921255</v>
      </c>
      <c r="AZ110" s="85">
        <f t="shared" si="63"/>
        <v>653.40287017571904</v>
      </c>
      <c r="BA110" s="85">
        <f t="shared" si="63"/>
        <v>641.60944348376427</v>
      </c>
      <c r="BB110" s="85">
        <f t="shared" si="63"/>
        <v>656.29346350763842</v>
      </c>
      <c r="BC110" s="85">
        <f t="shared" si="63"/>
        <v>617.9949903886469</v>
      </c>
      <c r="BD110" s="85">
        <f t="shared" si="63"/>
        <v>563.15906184307175</v>
      </c>
      <c r="BE110" s="85">
        <f t="shared" si="63"/>
        <v>445.61436651251864</v>
      </c>
      <c r="BF110" s="85">
        <f t="shared" si="63"/>
        <v>514.93756603403335</v>
      </c>
      <c r="BG110" s="85">
        <f t="shared" si="63"/>
        <v>615.58100914242596</v>
      </c>
      <c r="BH110" s="85">
        <f t="shared" si="63"/>
        <v>631.27529754035299</v>
      </c>
      <c r="BI110" s="85">
        <f t="shared" si="63"/>
        <v>696.49285592099557</v>
      </c>
    </row>
    <row r="112" spans="4:61" x14ac:dyDescent="0.35">
      <c r="E112">
        <f t="shared" ref="E112:E123" si="64">E31</f>
        <v>1</v>
      </c>
      <c r="J112" t="str">
        <f t="shared" ref="J112:J123" si="65">J31</f>
        <v>date</v>
      </c>
      <c r="N112" s="7">
        <f t="shared" ref="N112:BI112" si="66">N31</f>
        <v>43831</v>
      </c>
      <c r="O112" s="7">
        <f t="shared" si="66"/>
        <v>43831</v>
      </c>
      <c r="P112" s="7">
        <f t="shared" si="66"/>
        <v>43831</v>
      </c>
      <c r="Q112" s="7">
        <f t="shared" si="66"/>
        <v>43831</v>
      </c>
      <c r="R112" s="7">
        <f t="shared" si="66"/>
        <v>43831</v>
      </c>
      <c r="S112" s="7">
        <f t="shared" si="66"/>
        <v>43831</v>
      </c>
      <c r="T112" s="7">
        <f t="shared" si="66"/>
        <v>43831</v>
      </c>
      <c r="U112" s="7">
        <f t="shared" si="66"/>
        <v>43831</v>
      </c>
      <c r="V112" s="7">
        <f t="shared" si="66"/>
        <v>43831</v>
      </c>
      <c r="W112" s="7">
        <f t="shared" si="66"/>
        <v>43831</v>
      </c>
      <c r="X112" s="7">
        <f t="shared" si="66"/>
        <v>43831</v>
      </c>
      <c r="Y112" s="7">
        <f t="shared" si="66"/>
        <v>43831</v>
      </c>
      <c r="Z112" s="7">
        <f t="shared" si="66"/>
        <v>44197</v>
      </c>
      <c r="AA112" s="7">
        <f t="shared" si="66"/>
        <v>44197</v>
      </c>
      <c r="AB112" s="7">
        <f t="shared" si="66"/>
        <v>44197</v>
      </c>
      <c r="AC112" s="7">
        <f t="shared" si="66"/>
        <v>44197</v>
      </c>
      <c r="AD112" s="7">
        <f t="shared" si="66"/>
        <v>44197</v>
      </c>
      <c r="AE112" s="7">
        <f t="shared" si="66"/>
        <v>44197</v>
      </c>
      <c r="AF112" s="7">
        <f t="shared" si="66"/>
        <v>44197</v>
      </c>
      <c r="AG112" s="7">
        <f t="shared" si="66"/>
        <v>44197</v>
      </c>
      <c r="AH112" s="7">
        <f t="shared" si="66"/>
        <v>44197</v>
      </c>
      <c r="AI112" s="7">
        <f t="shared" si="66"/>
        <v>44197</v>
      </c>
      <c r="AJ112" s="7">
        <f t="shared" si="66"/>
        <v>44197</v>
      </c>
      <c r="AK112" s="7">
        <f t="shared" si="66"/>
        <v>44197</v>
      </c>
      <c r="AL112" s="7">
        <f t="shared" si="66"/>
        <v>44562</v>
      </c>
      <c r="AM112" s="7">
        <f t="shared" si="66"/>
        <v>44562</v>
      </c>
      <c r="AN112" s="7">
        <f t="shared" si="66"/>
        <v>44562</v>
      </c>
      <c r="AO112" s="7">
        <f t="shared" si="66"/>
        <v>44562</v>
      </c>
      <c r="AP112" s="7">
        <f t="shared" si="66"/>
        <v>44562</v>
      </c>
      <c r="AQ112" s="7">
        <f t="shared" si="66"/>
        <v>44562</v>
      </c>
      <c r="AR112" s="7">
        <f t="shared" si="66"/>
        <v>44562</v>
      </c>
      <c r="AS112" s="7">
        <f t="shared" si="66"/>
        <v>44562</v>
      </c>
      <c r="AT112" s="7">
        <f t="shared" si="66"/>
        <v>44562</v>
      </c>
      <c r="AU112" s="7">
        <f t="shared" si="66"/>
        <v>44562</v>
      </c>
      <c r="AV112" s="7">
        <f t="shared" si="66"/>
        <v>44562</v>
      </c>
      <c r="AW112" s="7">
        <f t="shared" si="66"/>
        <v>44562</v>
      </c>
      <c r="AX112" s="7">
        <f t="shared" si="66"/>
        <v>44927</v>
      </c>
      <c r="AY112" s="7">
        <f t="shared" si="66"/>
        <v>44927</v>
      </c>
      <c r="AZ112" s="7">
        <f t="shared" si="66"/>
        <v>44927</v>
      </c>
      <c r="BA112" s="7">
        <f t="shared" si="66"/>
        <v>44927</v>
      </c>
      <c r="BB112" s="7">
        <f t="shared" si="66"/>
        <v>44927</v>
      </c>
      <c r="BC112" s="7">
        <f t="shared" si="66"/>
        <v>44927</v>
      </c>
      <c r="BD112" s="7">
        <f t="shared" si="66"/>
        <v>44927</v>
      </c>
      <c r="BE112" s="7">
        <f t="shared" si="66"/>
        <v>44927</v>
      </c>
      <c r="BF112" s="7">
        <f t="shared" si="66"/>
        <v>44927</v>
      </c>
      <c r="BG112" s="7">
        <f t="shared" si="66"/>
        <v>44927</v>
      </c>
      <c r="BH112" s="7">
        <f t="shared" si="66"/>
        <v>44927</v>
      </c>
      <c r="BI112" s="7">
        <f t="shared" si="66"/>
        <v>44927</v>
      </c>
    </row>
    <row r="113" spans="5:61" x14ac:dyDescent="0.35">
      <c r="E113">
        <f t="shared" si="64"/>
        <v>2</v>
      </c>
      <c r="J113" t="str">
        <f t="shared" si="65"/>
        <v>date</v>
      </c>
      <c r="N113" s="78"/>
      <c r="O113" s="7">
        <f t="shared" ref="O113:BI113" si="67">O32</f>
        <v>43862</v>
      </c>
      <c r="P113" s="7">
        <f t="shared" si="67"/>
        <v>43862</v>
      </c>
      <c r="Q113" s="7">
        <f t="shared" si="67"/>
        <v>43862</v>
      </c>
      <c r="R113" s="7">
        <f t="shared" si="67"/>
        <v>43862</v>
      </c>
      <c r="S113" s="7">
        <f t="shared" si="67"/>
        <v>43862</v>
      </c>
      <c r="T113" s="7">
        <f t="shared" si="67"/>
        <v>43862</v>
      </c>
      <c r="U113" s="7">
        <f t="shared" si="67"/>
        <v>43862</v>
      </c>
      <c r="V113" s="7">
        <f t="shared" si="67"/>
        <v>43862</v>
      </c>
      <c r="W113" s="7">
        <f t="shared" si="67"/>
        <v>43862</v>
      </c>
      <c r="X113" s="7">
        <f t="shared" si="67"/>
        <v>43862</v>
      </c>
      <c r="Y113" s="7">
        <f t="shared" si="67"/>
        <v>43862</v>
      </c>
      <c r="Z113" s="7">
        <f t="shared" si="67"/>
        <v>43862</v>
      </c>
      <c r="AA113" s="7">
        <f t="shared" si="67"/>
        <v>44228</v>
      </c>
      <c r="AB113" s="7">
        <f t="shared" si="67"/>
        <v>44228</v>
      </c>
      <c r="AC113" s="7">
        <f t="shared" si="67"/>
        <v>44228</v>
      </c>
      <c r="AD113" s="7">
        <f t="shared" si="67"/>
        <v>44228</v>
      </c>
      <c r="AE113" s="7">
        <f t="shared" si="67"/>
        <v>44228</v>
      </c>
      <c r="AF113" s="7">
        <f t="shared" si="67"/>
        <v>44228</v>
      </c>
      <c r="AG113" s="7">
        <f t="shared" si="67"/>
        <v>44228</v>
      </c>
      <c r="AH113" s="7">
        <f t="shared" si="67"/>
        <v>44228</v>
      </c>
      <c r="AI113" s="7">
        <f t="shared" si="67"/>
        <v>44228</v>
      </c>
      <c r="AJ113" s="7">
        <f t="shared" si="67"/>
        <v>44228</v>
      </c>
      <c r="AK113" s="7">
        <f t="shared" si="67"/>
        <v>44228</v>
      </c>
      <c r="AL113" s="7">
        <f t="shared" si="67"/>
        <v>44228</v>
      </c>
      <c r="AM113" s="7">
        <f t="shared" si="67"/>
        <v>44593</v>
      </c>
      <c r="AN113" s="7">
        <f t="shared" si="67"/>
        <v>44593</v>
      </c>
      <c r="AO113" s="7">
        <f t="shared" si="67"/>
        <v>44593</v>
      </c>
      <c r="AP113" s="7">
        <f t="shared" si="67"/>
        <v>44593</v>
      </c>
      <c r="AQ113" s="7">
        <f t="shared" si="67"/>
        <v>44593</v>
      </c>
      <c r="AR113" s="7">
        <f t="shared" si="67"/>
        <v>44593</v>
      </c>
      <c r="AS113" s="7">
        <f t="shared" si="67"/>
        <v>44593</v>
      </c>
      <c r="AT113" s="7">
        <f t="shared" si="67"/>
        <v>44593</v>
      </c>
      <c r="AU113" s="7">
        <f t="shared" si="67"/>
        <v>44593</v>
      </c>
      <c r="AV113" s="7">
        <f t="shared" si="67"/>
        <v>44593</v>
      </c>
      <c r="AW113" s="7">
        <f t="shared" si="67"/>
        <v>44593</v>
      </c>
      <c r="AX113" s="7">
        <f t="shared" si="67"/>
        <v>44593</v>
      </c>
      <c r="AY113" s="7">
        <f t="shared" si="67"/>
        <v>44958</v>
      </c>
      <c r="AZ113" s="7">
        <f t="shared" si="67"/>
        <v>44958</v>
      </c>
      <c r="BA113" s="7">
        <f t="shared" si="67"/>
        <v>44958</v>
      </c>
      <c r="BB113" s="7">
        <f t="shared" si="67"/>
        <v>44958</v>
      </c>
      <c r="BC113" s="7">
        <f t="shared" si="67"/>
        <v>44958</v>
      </c>
      <c r="BD113" s="7">
        <f t="shared" si="67"/>
        <v>44958</v>
      </c>
      <c r="BE113" s="7">
        <f t="shared" si="67"/>
        <v>44958</v>
      </c>
      <c r="BF113" s="7">
        <f t="shared" si="67"/>
        <v>44958</v>
      </c>
      <c r="BG113" s="7">
        <f t="shared" si="67"/>
        <v>44958</v>
      </c>
      <c r="BH113" s="7">
        <f t="shared" si="67"/>
        <v>44958</v>
      </c>
      <c r="BI113" s="7">
        <f t="shared" si="67"/>
        <v>44958</v>
      </c>
    </row>
    <row r="114" spans="5:61" x14ac:dyDescent="0.35">
      <c r="E114">
        <f t="shared" si="64"/>
        <v>3</v>
      </c>
      <c r="J114" t="str">
        <f t="shared" si="65"/>
        <v>date</v>
      </c>
      <c r="N114" s="78"/>
      <c r="O114" s="78"/>
      <c r="P114" s="7">
        <f t="shared" ref="P114:BI114" si="68">P33</f>
        <v>43891</v>
      </c>
      <c r="Q114" s="7">
        <f t="shared" si="68"/>
        <v>43891</v>
      </c>
      <c r="R114" s="7">
        <f t="shared" si="68"/>
        <v>43891</v>
      </c>
      <c r="S114" s="7">
        <f t="shared" si="68"/>
        <v>43891</v>
      </c>
      <c r="T114" s="7">
        <f t="shared" si="68"/>
        <v>43891</v>
      </c>
      <c r="U114" s="7">
        <f t="shared" si="68"/>
        <v>43891</v>
      </c>
      <c r="V114" s="7">
        <f t="shared" si="68"/>
        <v>43891</v>
      </c>
      <c r="W114" s="7">
        <f t="shared" si="68"/>
        <v>43891</v>
      </c>
      <c r="X114" s="7">
        <f t="shared" si="68"/>
        <v>43891</v>
      </c>
      <c r="Y114" s="7">
        <f t="shared" si="68"/>
        <v>43891</v>
      </c>
      <c r="Z114" s="7">
        <f t="shared" si="68"/>
        <v>43891</v>
      </c>
      <c r="AA114" s="7">
        <f t="shared" si="68"/>
        <v>43891</v>
      </c>
      <c r="AB114" s="7">
        <f t="shared" si="68"/>
        <v>44256</v>
      </c>
      <c r="AC114" s="7">
        <f t="shared" si="68"/>
        <v>44256</v>
      </c>
      <c r="AD114" s="7">
        <f t="shared" si="68"/>
        <v>44256</v>
      </c>
      <c r="AE114" s="7">
        <f t="shared" si="68"/>
        <v>44256</v>
      </c>
      <c r="AF114" s="7">
        <f t="shared" si="68"/>
        <v>44256</v>
      </c>
      <c r="AG114" s="7">
        <f t="shared" si="68"/>
        <v>44256</v>
      </c>
      <c r="AH114" s="7">
        <f t="shared" si="68"/>
        <v>44256</v>
      </c>
      <c r="AI114" s="7">
        <f t="shared" si="68"/>
        <v>44256</v>
      </c>
      <c r="AJ114" s="7">
        <f t="shared" si="68"/>
        <v>44256</v>
      </c>
      <c r="AK114" s="7">
        <f t="shared" si="68"/>
        <v>44256</v>
      </c>
      <c r="AL114" s="7">
        <f t="shared" si="68"/>
        <v>44256</v>
      </c>
      <c r="AM114" s="7">
        <f t="shared" si="68"/>
        <v>44256</v>
      </c>
      <c r="AN114" s="7">
        <f t="shared" si="68"/>
        <v>44621</v>
      </c>
      <c r="AO114" s="7">
        <f t="shared" si="68"/>
        <v>44621</v>
      </c>
      <c r="AP114" s="7">
        <f t="shared" si="68"/>
        <v>44621</v>
      </c>
      <c r="AQ114" s="7">
        <f t="shared" si="68"/>
        <v>44621</v>
      </c>
      <c r="AR114" s="7">
        <f t="shared" si="68"/>
        <v>44621</v>
      </c>
      <c r="AS114" s="7">
        <f t="shared" si="68"/>
        <v>44621</v>
      </c>
      <c r="AT114" s="7">
        <f t="shared" si="68"/>
        <v>44621</v>
      </c>
      <c r="AU114" s="7">
        <f t="shared" si="68"/>
        <v>44621</v>
      </c>
      <c r="AV114" s="7">
        <f t="shared" si="68"/>
        <v>44621</v>
      </c>
      <c r="AW114" s="7">
        <f t="shared" si="68"/>
        <v>44621</v>
      </c>
      <c r="AX114" s="7">
        <f t="shared" si="68"/>
        <v>44621</v>
      </c>
      <c r="AY114" s="7">
        <f t="shared" si="68"/>
        <v>44621</v>
      </c>
      <c r="AZ114" s="7">
        <f t="shared" si="68"/>
        <v>44986</v>
      </c>
      <c r="BA114" s="7">
        <f t="shared" si="68"/>
        <v>44986</v>
      </c>
      <c r="BB114" s="7">
        <f t="shared" si="68"/>
        <v>44986</v>
      </c>
      <c r="BC114" s="7">
        <f t="shared" si="68"/>
        <v>44986</v>
      </c>
      <c r="BD114" s="7">
        <f t="shared" si="68"/>
        <v>44986</v>
      </c>
      <c r="BE114" s="7">
        <f t="shared" si="68"/>
        <v>44986</v>
      </c>
      <c r="BF114" s="7">
        <f t="shared" si="68"/>
        <v>44986</v>
      </c>
      <c r="BG114" s="7">
        <f t="shared" si="68"/>
        <v>44986</v>
      </c>
      <c r="BH114" s="7">
        <f t="shared" si="68"/>
        <v>44986</v>
      </c>
      <c r="BI114" s="7">
        <f t="shared" si="68"/>
        <v>44986</v>
      </c>
    </row>
    <row r="115" spans="5:61" x14ac:dyDescent="0.35">
      <c r="E115">
        <f t="shared" si="64"/>
        <v>4</v>
      </c>
      <c r="J115" t="str">
        <f t="shared" si="65"/>
        <v>date</v>
      </c>
      <c r="N115" s="78"/>
      <c r="O115" s="78"/>
      <c r="P115" s="78"/>
      <c r="Q115" s="7">
        <f t="shared" ref="Q115:BI115" si="69">Q34</f>
        <v>43922</v>
      </c>
      <c r="R115" s="7">
        <f t="shared" si="69"/>
        <v>43922</v>
      </c>
      <c r="S115" s="7">
        <f t="shared" si="69"/>
        <v>43922</v>
      </c>
      <c r="T115" s="7">
        <f t="shared" si="69"/>
        <v>43922</v>
      </c>
      <c r="U115" s="7">
        <f t="shared" si="69"/>
        <v>43922</v>
      </c>
      <c r="V115" s="7">
        <f t="shared" si="69"/>
        <v>43922</v>
      </c>
      <c r="W115" s="7">
        <f t="shared" si="69"/>
        <v>43922</v>
      </c>
      <c r="X115" s="7">
        <f t="shared" si="69"/>
        <v>43922</v>
      </c>
      <c r="Y115" s="7">
        <f t="shared" si="69"/>
        <v>43922</v>
      </c>
      <c r="Z115" s="7">
        <f t="shared" si="69"/>
        <v>43922</v>
      </c>
      <c r="AA115" s="7">
        <f t="shared" si="69"/>
        <v>43922</v>
      </c>
      <c r="AB115" s="7">
        <f t="shared" si="69"/>
        <v>43922</v>
      </c>
      <c r="AC115" s="7">
        <f t="shared" si="69"/>
        <v>44287</v>
      </c>
      <c r="AD115" s="7">
        <f t="shared" si="69"/>
        <v>44287</v>
      </c>
      <c r="AE115" s="7">
        <f t="shared" si="69"/>
        <v>44287</v>
      </c>
      <c r="AF115" s="7">
        <f t="shared" si="69"/>
        <v>44287</v>
      </c>
      <c r="AG115" s="7">
        <f t="shared" si="69"/>
        <v>44287</v>
      </c>
      <c r="AH115" s="7">
        <f t="shared" si="69"/>
        <v>44287</v>
      </c>
      <c r="AI115" s="7">
        <f t="shared" si="69"/>
        <v>44287</v>
      </c>
      <c r="AJ115" s="7">
        <f t="shared" si="69"/>
        <v>44287</v>
      </c>
      <c r="AK115" s="7">
        <f t="shared" si="69"/>
        <v>44287</v>
      </c>
      <c r="AL115" s="7">
        <f t="shared" si="69"/>
        <v>44287</v>
      </c>
      <c r="AM115" s="7">
        <f t="shared" si="69"/>
        <v>44287</v>
      </c>
      <c r="AN115" s="7">
        <f t="shared" si="69"/>
        <v>44287</v>
      </c>
      <c r="AO115" s="7">
        <f t="shared" si="69"/>
        <v>44652</v>
      </c>
      <c r="AP115" s="7">
        <f t="shared" si="69"/>
        <v>44652</v>
      </c>
      <c r="AQ115" s="7">
        <f t="shared" si="69"/>
        <v>44652</v>
      </c>
      <c r="AR115" s="7">
        <f t="shared" si="69"/>
        <v>44652</v>
      </c>
      <c r="AS115" s="7">
        <f t="shared" si="69"/>
        <v>44652</v>
      </c>
      <c r="AT115" s="7">
        <f t="shared" si="69"/>
        <v>44652</v>
      </c>
      <c r="AU115" s="7">
        <f t="shared" si="69"/>
        <v>44652</v>
      </c>
      <c r="AV115" s="7">
        <f t="shared" si="69"/>
        <v>44652</v>
      </c>
      <c r="AW115" s="7">
        <f t="shared" si="69"/>
        <v>44652</v>
      </c>
      <c r="AX115" s="7">
        <f t="shared" si="69"/>
        <v>44652</v>
      </c>
      <c r="AY115" s="7">
        <f t="shared" si="69"/>
        <v>44652</v>
      </c>
      <c r="AZ115" s="7">
        <f t="shared" si="69"/>
        <v>44652</v>
      </c>
      <c r="BA115" s="7">
        <f t="shared" si="69"/>
        <v>45017</v>
      </c>
      <c r="BB115" s="7">
        <f t="shared" si="69"/>
        <v>45017</v>
      </c>
      <c r="BC115" s="7">
        <f t="shared" si="69"/>
        <v>45017</v>
      </c>
      <c r="BD115" s="7">
        <f t="shared" si="69"/>
        <v>45017</v>
      </c>
      <c r="BE115" s="7">
        <f t="shared" si="69"/>
        <v>45017</v>
      </c>
      <c r="BF115" s="7">
        <f t="shared" si="69"/>
        <v>45017</v>
      </c>
      <c r="BG115" s="7">
        <f t="shared" si="69"/>
        <v>45017</v>
      </c>
      <c r="BH115" s="7">
        <f t="shared" si="69"/>
        <v>45017</v>
      </c>
      <c r="BI115" s="7">
        <f t="shared" si="69"/>
        <v>45017</v>
      </c>
    </row>
    <row r="116" spans="5:61" x14ac:dyDescent="0.35">
      <c r="E116">
        <f t="shared" si="64"/>
        <v>5</v>
      </c>
      <c r="J116" t="str">
        <f t="shared" si="65"/>
        <v>date</v>
      </c>
      <c r="N116" s="78"/>
      <c r="O116" s="78"/>
      <c r="P116" s="78"/>
      <c r="Q116" s="78"/>
      <c r="R116" s="7">
        <f t="shared" ref="R116:BI116" si="70">R35</f>
        <v>43952</v>
      </c>
      <c r="S116" s="7">
        <f t="shared" si="70"/>
        <v>43952</v>
      </c>
      <c r="T116" s="7">
        <f t="shared" si="70"/>
        <v>43952</v>
      </c>
      <c r="U116" s="7">
        <f t="shared" si="70"/>
        <v>43952</v>
      </c>
      <c r="V116" s="7">
        <f t="shared" si="70"/>
        <v>43952</v>
      </c>
      <c r="W116" s="7">
        <f t="shared" si="70"/>
        <v>43952</v>
      </c>
      <c r="X116" s="7">
        <f t="shared" si="70"/>
        <v>43952</v>
      </c>
      <c r="Y116" s="7">
        <f t="shared" si="70"/>
        <v>43952</v>
      </c>
      <c r="Z116" s="7">
        <f t="shared" si="70"/>
        <v>43952</v>
      </c>
      <c r="AA116" s="7">
        <f t="shared" si="70"/>
        <v>43952</v>
      </c>
      <c r="AB116" s="7">
        <f t="shared" si="70"/>
        <v>43952</v>
      </c>
      <c r="AC116" s="7">
        <f t="shared" si="70"/>
        <v>43952</v>
      </c>
      <c r="AD116" s="7">
        <f t="shared" si="70"/>
        <v>44317</v>
      </c>
      <c r="AE116" s="7">
        <f t="shared" si="70"/>
        <v>44317</v>
      </c>
      <c r="AF116" s="7">
        <f t="shared" si="70"/>
        <v>44317</v>
      </c>
      <c r="AG116" s="7">
        <f t="shared" si="70"/>
        <v>44317</v>
      </c>
      <c r="AH116" s="7">
        <f t="shared" si="70"/>
        <v>44317</v>
      </c>
      <c r="AI116" s="7">
        <f t="shared" si="70"/>
        <v>44317</v>
      </c>
      <c r="AJ116" s="7">
        <f t="shared" si="70"/>
        <v>44317</v>
      </c>
      <c r="AK116" s="7">
        <f t="shared" si="70"/>
        <v>44317</v>
      </c>
      <c r="AL116" s="7">
        <f t="shared" si="70"/>
        <v>44317</v>
      </c>
      <c r="AM116" s="7">
        <f t="shared" si="70"/>
        <v>44317</v>
      </c>
      <c r="AN116" s="7">
        <f t="shared" si="70"/>
        <v>44317</v>
      </c>
      <c r="AO116" s="7">
        <f t="shared" si="70"/>
        <v>44317</v>
      </c>
      <c r="AP116" s="7">
        <f t="shared" si="70"/>
        <v>44682</v>
      </c>
      <c r="AQ116" s="7">
        <f t="shared" si="70"/>
        <v>44682</v>
      </c>
      <c r="AR116" s="7">
        <f t="shared" si="70"/>
        <v>44682</v>
      </c>
      <c r="AS116" s="7">
        <f t="shared" si="70"/>
        <v>44682</v>
      </c>
      <c r="AT116" s="7">
        <f t="shared" si="70"/>
        <v>44682</v>
      </c>
      <c r="AU116" s="7">
        <f t="shared" si="70"/>
        <v>44682</v>
      </c>
      <c r="AV116" s="7">
        <f t="shared" si="70"/>
        <v>44682</v>
      </c>
      <c r="AW116" s="7">
        <f t="shared" si="70"/>
        <v>44682</v>
      </c>
      <c r="AX116" s="7">
        <f t="shared" si="70"/>
        <v>44682</v>
      </c>
      <c r="AY116" s="7">
        <f t="shared" si="70"/>
        <v>44682</v>
      </c>
      <c r="AZ116" s="7">
        <f t="shared" si="70"/>
        <v>44682</v>
      </c>
      <c r="BA116" s="7">
        <f t="shared" si="70"/>
        <v>44682</v>
      </c>
      <c r="BB116" s="7">
        <f t="shared" si="70"/>
        <v>45047</v>
      </c>
      <c r="BC116" s="7">
        <f t="shared" si="70"/>
        <v>45047</v>
      </c>
      <c r="BD116" s="7">
        <f t="shared" si="70"/>
        <v>45047</v>
      </c>
      <c r="BE116" s="7">
        <f t="shared" si="70"/>
        <v>45047</v>
      </c>
      <c r="BF116" s="7">
        <f t="shared" si="70"/>
        <v>45047</v>
      </c>
      <c r="BG116" s="7">
        <f t="shared" si="70"/>
        <v>45047</v>
      </c>
      <c r="BH116" s="7">
        <f t="shared" si="70"/>
        <v>45047</v>
      </c>
      <c r="BI116" s="7">
        <f t="shared" si="70"/>
        <v>45047</v>
      </c>
    </row>
    <row r="117" spans="5:61" x14ac:dyDescent="0.35">
      <c r="E117">
        <f t="shared" si="64"/>
        <v>6</v>
      </c>
      <c r="J117" t="str">
        <f t="shared" si="65"/>
        <v>date</v>
      </c>
      <c r="N117" s="78"/>
      <c r="O117" s="78"/>
      <c r="P117" s="78"/>
      <c r="Q117" s="78"/>
      <c r="R117" s="78"/>
      <c r="S117" s="7">
        <f t="shared" ref="S117:BI117" si="71">S36</f>
        <v>43983</v>
      </c>
      <c r="T117" s="7">
        <f t="shared" si="71"/>
        <v>43983</v>
      </c>
      <c r="U117" s="7">
        <f t="shared" si="71"/>
        <v>43983</v>
      </c>
      <c r="V117" s="7">
        <f t="shared" si="71"/>
        <v>43983</v>
      </c>
      <c r="W117" s="7">
        <f t="shared" si="71"/>
        <v>43983</v>
      </c>
      <c r="X117" s="7">
        <f t="shared" si="71"/>
        <v>43983</v>
      </c>
      <c r="Y117" s="7">
        <f t="shared" si="71"/>
        <v>43983</v>
      </c>
      <c r="Z117" s="7">
        <f t="shared" si="71"/>
        <v>43983</v>
      </c>
      <c r="AA117" s="7">
        <f t="shared" si="71"/>
        <v>43983</v>
      </c>
      <c r="AB117" s="7">
        <f t="shared" si="71"/>
        <v>43983</v>
      </c>
      <c r="AC117" s="7">
        <f t="shared" si="71"/>
        <v>43983</v>
      </c>
      <c r="AD117" s="7">
        <f t="shared" si="71"/>
        <v>43983</v>
      </c>
      <c r="AE117" s="7">
        <f t="shared" si="71"/>
        <v>44348</v>
      </c>
      <c r="AF117" s="7">
        <f t="shared" si="71"/>
        <v>44348</v>
      </c>
      <c r="AG117" s="7">
        <f t="shared" si="71"/>
        <v>44348</v>
      </c>
      <c r="AH117" s="7">
        <f t="shared" si="71"/>
        <v>44348</v>
      </c>
      <c r="AI117" s="7">
        <f t="shared" si="71"/>
        <v>44348</v>
      </c>
      <c r="AJ117" s="7">
        <f t="shared" si="71"/>
        <v>44348</v>
      </c>
      <c r="AK117" s="7">
        <f t="shared" si="71"/>
        <v>44348</v>
      </c>
      <c r="AL117" s="7">
        <f t="shared" si="71"/>
        <v>44348</v>
      </c>
      <c r="AM117" s="7">
        <f t="shared" si="71"/>
        <v>44348</v>
      </c>
      <c r="AN117" s="7">
        <f t="shared" si="71"/>
        <v>44348</v>
      </c>
      <c r="AO117" s="7">
        <f t="shared" si="71"/>
        <v>44348</v>
      </c>
      <c r="AP117" s="7">
        <f t="shared" si="71"/>
        <v>44348</v>
      </c>
      <c r="AQ117" s="7">
        <f t="shared" si="71"/>
        <v>44713</v>
      </c>
      <c r="AR117" s="7">
        <f t="shared" si="71"/>
        <v>44713</v>
      </c>
      <c r="AS117" s="7">
        <f t="shared" si="71"/>
        <v>44713</v>
      </c>
      <c r="AT117" s="7">
        <f t="shared" si="71"/>
        <v>44713</v>
      </c>
      <c r="AU117" s="7">
        <f t="shared" si="71"/>
        <v>44713</v>
      </c>
      <c r="AV117" s="7">
        <f t="shared" si="71"/>
        <v>44713</v>
      </c>
      <c r="AW117" s="7">
        <f t="shared" si="71"/>
        <v>44713</v>
      </c>
      <c r="AX117" s="7">
        <f t="shared" si="71"/>
        <v>44713</v>
      </c>
      <c r="AY117" s="7">
        <f t="shared" si="71"/>
        <v>44713</v>
      </c>
      <c r="AZ117" s="7">
        <f t="shared" si="71"/>
        <v>44713</v>
      </c>
      <c r="BA117" s="7">
        <f t="shared" si="71"/>
        <v>44713</v>
      </c>
      <c r="BB117" s="7">
        <f t="shared" si="71"/>
        <v>44713</v>
      </c>
      <c r="BC117" s="7">
        <f t="shared" si="71"/>
        <v>45078</v>
      </c>
      <c r="BD117" s="7">
        <f t="shared" si="71"/>
        <v>45078</v>
      </c>
      <c r="BE117" s="7">
        <f t="shared" si="71"/>
        <v>45078</v>
      </c>
      <c r="BF117" s="7">
        <f t="shared" si="71"/>
        <v>45078</v>
      </c>
      <c r="BG117" s="7">
        <f t="shared" si="71"/>
        <v>45078</v>
      </c>
      <c r="BH117" s="7">
        <f t="shared" si="71"/>
        <v>45078</v>
      </c>
      <c r="BI117" s="7">
        <f t="shared" si="71"/>
        <v>45078</v>
      </c>
    </row>
    <row r="118" spans="5:61" x14ac:dyDescent="0.35">
      <c r="E118">
        <f t="shared" si="64"/>
        <v>7</v>
      </c>
      <c r="J118" t="str">
        <f t="shared" si="65"/>
        <v>date</v>
      </c>
      <c r="N118" s="78"/>
      <c r="O118" s="78"/>
      <c r="P118" s="78"/>
      <c r="Q118" s="78"/>
      <c r="R118" s="78"/>
      <c r="S118" s="78"/>
      <c r="T118" s="7">
        <f t="shared" ref="T118:BI118" si="72">T37</f>
        <v>44013</v>
      </c>
      <c r="U118" s="7">
        <f t="shared" si="72"/>
        <v>44013</v>
      </c>
      <c r="V118" s="7">
        <f t="shared" si="72"/>
        <v>44013</v>
      </c>
      <c r="W118" s="7">
        <f t="shared" si="72"/>
        <v>44013</v>
      </c>
      <c r="X118" s="7">
        <f t="shared" si="72"/>
        <v>44013</v>
      </c>
      <c r="Y118" s="7">
        <f t="shared" si="72"/>
        <v>44013</v>
      </c>
      <c r="Z118" s="7">
        <f t="shared" si="72"/>
        <v>44013</v>
      </c>
      <c r="AA118" s="7">
        <f t="shared" si="72"/>
        <v>44013</v>
      </c>
      <c r="AB118" s="7">
        <f t="shared" si="72"/>
        <v>44013</v>
      </c>
      <c r="AC118" s="7">
        <f t="shared" si="72"/>
        <v>44013</v>
      </c>
      <c r="AD118" s="7">
        <f t="shared" si="72"/>
        <v>44013</v>
      </c>
      <c r="AE118" s="7">
        <f t="shared" si="72"/>
        <v>44013</v>
      </c>
      <c r="AF118" s="7">
        <f t="shared" si="72"/>
        <v>44378</v>
      </c>
      <c r="AG118" s="7">
        <f t="shared" si="72"/>
        <v>44378</v>
      </c>
      <c r="AH118" s="7">
        <f t="shared" si="72"/>
        <v>44378</v>
      </c>
      <c r="AI118" s="7">
        <f t="shared" si="72"/>
        <v>44378</v>
      </c>
      <c r="AJ118" s="7">
        <f t="shared" si="72"/>
        <v>44378</v>
      </c>
      <c r="AK118" s="7">
        <f t="shared" si="72"/>
        <v>44378</v>
      </c>
      <c r="AL118" s="7">
        <f t="shared" si="72"/>
        <v>44378</v>
      </c>
      <c r="AM118" s="7">
        <f t="shared" si="72"/>
        <v>44378</v>
      </c>
      <c r="AN118" s="7">
        <f t="shared" si="72"/>
        <v>44378</v>
      </c>
      <c r="AO118" s="7">
        <f t="shared" si="72"/>
        <v>44378</v>
      </c>
      <c r="AP118" s="7">
        <f t="shared" si="72"/>
        <v>44378</v>
      </c>
      <c r="AQ118" s="7">
        <f t="shared" si="72"/>
        <v>44378</v>
      </c>
      <c r="AR118" s="7">
        <f t="shared" si="72"/>
        <v>44743</v>
      </c>
      <c r="AS118" s="7">
        <f t="shared" si="72"/>
        <v>44743</v>
      </c>
      <c r="AT118" s="7">
        <f t="shared" si="72"/>
        <v>44743</v>
      </c>
      <c r="AU118" s="7">
        <f t="shared" si="72"/>
        <v>44743</v>
      </c>
      <c r="AV118" s="7">
        <f t="shared" si="72"/>
        <v>44743</v>
      </c>
      <c r="AW118" s="7">
        <f t="shared" si="72"/>
        <v>44743</v>
      </c>
      <c r="AX118" s="7">
        <f t="shared" si="72"/>
        <v>44743</v>
      </c>
      <c r="AY118" s="7">
        <f t="shared" si="72"/>
        <v>44743</v>
      </c>
      <c r="AZ118" s="7">
        <f t="shared" si="72"/>
        <v>44743</v>
      </c>
      <c r="BA118" s="7">
        <f t="shared" si="72"/>
        <v>44743</v>
      </c>
      <c r="BB118" s="7">
        <f t="shared" si="72"/>
        <v>44743</v>
      </c>
      <c r="BC118" s="7">
        <f t="shared" si="72"/>
        <v>44743</v>
      </c>
      <c r="BD118" s="7">
        <f t="shared" si="72"/>
        <v>45108</v>
      </c>
      <c r="BE118" s="7">
        <f t="shared" si="72"/>
        <v>45108</v>
      </c>
      <c r="BF118" s="7">
        <f t="shared" si="72"/>
        <v>45108</v>
      </c>
      <c r="BG118" s="7">
        <f t="shared" si="72"/>
        <v>45108</v>
      </c>
      <c r="BH118" s="7">
        <f t="shared" si="72"/>
        <v>45108</v>
      </c>
      <c r="BI118" s="7">
        <f t="shared" si="72"/>
        <v>45108</v>
      </c>
    </row>
    <row r="119" spans="5:61" x14ac:dyDescent="0.35">
      <c r="E119">
        <f t="shared" si="64"/>
        <v>8</v>
      </c>
      <c r="J119" t="str">
        <f t="shared" si="65"/>
        <v>date</v>
      </c>
      <c r="N119" s="78"/>
      <c r="O119" s="78"/>
      <c r="P119" s="78"/>
      <c r="Q119" s="78"/>
      <c r="R119" s="78"/>
      <c r="S119" s="78"/>
      <c r="T119" s="78"/>
      <c r="U119" s="7">
        <f t="shared" ref="U119:BI119" si="73">U38</f>
        <v>44044</v>
      </c>
      <c r="V119" s="7">
        <f t="shared" si="73"/>
        <v>44044</v>
      </c>
      <c r="W119" s="7">
        <f t="shared" si="73"/>
        <v>44044</v>
      </c>
      <c r="X119" s="7">
        <f t="shared" si="73"/>
        <v>44044</v>
      </c>
      <c r="Y119" s="7">
        <f t="shared" si="73"/>
        <v>44044</v>
      </c>
      <c r="Z119" s="7">
        <f t="shared" si="73"/>
        <v>44044</v>
      </c>
      <c r="AA119" s="7">
        <f t="shared" si="73"/>
        <v>44044</v>
      </c>
      <c r="AB119" s="7">
        <f t="shared" si="73"/>
        <v>44044</v>
      </c>
      <c r="AC119" s="7">
        <f t="shared" si="73"/>
        <v>44044</v>
      </c>
      <c r="AD119" s="7">
        <f t="shared" si="73"/>
        <v>44044</v>
      </c>
      <c r="AE119" s="7">
        <f t="shared" si="73"/>
        <v>44044</v>
      </c>
      <c r="AF119" s="7">
        <f t="shared" si="73"/>
        <v>44044</v>
      </c>
      <c r="AG119" s="7">
        <f t="shared" si="73"/>
        <v>44409</v>
      </c>
      <c r="AH119" s="7">
        <f t="shared" si="73"/>
        <v>44409</v>
      </c>
      <c r="AI119" s="7">
        <f t="shared" si="73"/>
        <v>44409</v>
      </c>
      <c r="AJ119" s="7">
        <f t="shared" si="73"/>
        <v>44409</v>
      </c>
      <c r="AK119" s="7">
        <f t="shared" si="73"/>
        <v>44409</v>
      </c>
      <c r="AL119" s="7">
        <f t="shared" si="73"/>
        <v>44409</v>
      </c>
      <c r="AM119" s="7">
        <f t="shared" si="73"/>
        <v>44409</v>
      </c>
      <c r="AN119" s="7">
        <f t="shared" si="73"/>
        <v>44409</v>
      </c>
      <c r="AO119" s="7">
        <f t="shared" si="73"/>
        <v>44409</v>
      </c>
      <c r="AP119" s="7">
        <f t="shared" si="73"/>
        <v>44409</v>
      </c>
      <c r="AQ119" s="7">
        <f t="shared" si="73"/>
        <v>44409</v>
      </c>
      <c r="AR119" s="7">
        <f t="shared" si="73"/>
        <v>44409</v>
      </c>
      <c r="AS119" s="7">
        <f t="shared" si="73"/>
        <v>44774</v>
      </c>
      <c r="AT119" s="7">
        <f t="shared" si="73"/>
        <v>44774</v>
      </c>
      <c r="AU119" s="7">
        <f t="shared" si="73"/>
        <v>44774</v>
      </c>
      <c r="AV119" s="7">
        <f t="shared" si="73"/>
        <v>44774</v>
      </c>
      <c r="AW119" s="7">
        <f t="shared" si="73"/>
        <v>44774</v>
      </c>
      <c r="AX119" s="7">
        <f t="shared" si="73"/>
        <v>44774</v>
      </c>
      <c r="AY119" s="7">
        <f t="shared" si="73"/>
        <v>44774</v>
      </c>
      <c r="AZ119" s="7">
        <f t="shared" si="73"/>
        <v>44774</v>
      </c>
      <c r="BA119" s="7">
        <f t="shared" si="73"/>
        <v>44774</v>
      </c>
      <c r="BB119" s="7">
        <f t="shared" si="73"/>
        <v>44774</v>
      </c>
      <c r="BC119" s="7">
        <f t="shared" si="73"/>
        <v>44774</v>
      </c>
      <c r="BD119" s="7">
        <f t="shared" si="73"/>
        <v>44774</v>
      </c>
      <c r="BE119" s="7">
        <f t="shared" si="73"/>
        <v>45139</v>
      </c>
      <c r="BF119" s="7">
        <f t="shared" si="73"/>
        <v>45139</v>
      </c>
      <c r="BG119" s="7">
        <f t="shared" si="73"/>
        <v>45139</v>
      </c>
      <c r="BH119" s="7">
        <f t="shared" si="73"/>
        <v>45139</v>
      </c>
      <c r="BI119" s="7">
        <f t="shared" si="73"/>
        <v>45139</v>
      </c>
    </row>
    <row r="120" spans="5:61" x14ac:dyDescent="0.35">
      <c r="E120">
        <f t="shared" si="64"/>
        <v>9</v>
      </c>
      <c r="J120" t="str">
        <f t="shared" si="65"/>
        <v>date</v>
      </c>
      <c r="N120" s="78"/>
      <c r="O120" s="78"/>
      <c r="P120" s="78"/>
      <c r="Q120" s="78"/>
      <c r="R120" s="78"/>
      <c r="S120" s="78"/>
      <c r="T120" s="78"/>
      <c r="U120" s="78"/>
      <c r="V120" s="7">
        <f t="shared" ref="V120:BI120" si="74">V39</f>
        <v>44075</v>
      </c>
      <c r="W120" s="7">
        <f t="shared" si="74"/>
        <v>44075</v>
      </c>
      <c r="X120" s="7">
        <f t="shared" si="74"/>
        <v>44075</v>
      </c>
      <c r="Y120" s="7">
        <f t="shared" si="74"/>
        <v>44075</v>
      </c>
      <c r="Z120" s="7">
        <f t="shared" si="74"/>
        <v>44075</v>
      </c>
      <c r="AA120" s="7">
        <f t="shared" si="74"/>
        <v>44075</v>
      </c>
      <c r="AB120" s="7">
        <f t="shared" si="74"/>
        <v>44075</v>
      </c>
      <c r="AC120" s="7">
        <f t="shared" si="74"/>
        <v>44075</v>
      </c>
      <c r="AD120" s="7">
        <f t="shared" si="74"/>
        <v>44075</v>
      </c>
      <c r="AE120" s="7">
        <f t="shared" si="74"/>
        <v>44075</v>
      </c>
      <c r="AF120" s="7">
        <f t="shared" si="74"/>
        <v>44075</v>
      </c>
      <c r="AG120" s="7">
        <f t="shared" si="74"/>
        <v>44075</v>
      </c>
      <c r="AH120" s="7">
        <f t="shared" si="74"/>
        <v>44440</v>
      </c>
      <c r="AI120" s="7">
        <f t="shared" si="74"/>
        <v>44440</v>
      </c>
      <c r="AJ120" s="7">
        <f t="shared" si="74"/>
        <v>44440</v>
      </c>
      <c r="AK120" s="7">
        <f t="shared" si="74"/>
        <v>44440</v>
      </c>
      <c r="AL120" s="7">
        <f t="shared" si="74"/>
        <v>44440</v>
      </c>
      <c r="AM120" s="7">
        <f t="shared" si="74"/>
        <v>44440</v>
      </c>
      <c r="AN120" s="7">
        <f t="shared" si="74"/>
        <v>44440</v>
      </c>
      <c r="AO120" s="7">
        <f t="shared" si="74"/>
        <v>44440</v>
      </c>
      <c r="AP120" s="7">
        <f t="shared" si="74"/>
        <v>44440</v>
      </c>
      <c r="AQ120" s="7">
        <f t="shared" si="74"/>
        <v>44440</v>
      </c>
      <c r="AR120" s="7">
        <f t="shared" si="74"/>
        <v>44440</v>
      </c>
      <c r="AS120" s="7">
        <f t="shared" si="74"/>
        <v>44440</v>
      </c>
      <c r="AT120" s="7">
        <f t="shared" si="74"/>
        <v>44805</v>
      </c>
      <c r="AU120" s="7">
        <f t="shared" si="74"/>
        <v>44805</v>
      </c>
      <c r="AV120" s="7">
        <f t="shared" si="74"/>
        <v>44805</v>
      </c>
      <c r="AW120" s="7">
        <f t="shared" si="74"/>
        <v>44805</v>
      </c>
      <c r="AX120" s="7">
        <f t="shared" si="74"/>
        <v>44805</v>
      </c>
      <c r="AY120" s="7">
        <f t="shared" si="74"/>
        <v>44805</v>
      </c>
      <c r="AZ120" s="7">
        <f t="shared" si="74"/>
        <v>44805</v>
      </c>
      <c r="BA120" s="7">
        <f t="shared" si="74"/>
        <v>44805</v>
      </c>
      <c r="BB120" s="7">
        <f t="shared" si="74"/>
        <v>44805</v>
      </c>
      <c r="BC120" s="7">
        <f t="shared" si="74"/>
        <v>44805</v>
      </c>
      <c r="BD120" s="7">
        <f t="shared" si="74"/>
        <v>44805</v>
      </c>
      <c r="BE120" s="7">
        <f t="shared" si="74"/>
        <v>44805</v>
      </c>
      <c r="BF120" s="7">
        <f t="shared" si="74"/>
        <v>45170</v>
      </c>
      <c r="BG120" s="7">
        <f t="shared" si="74"/>
        <v>45170</v>
      </c>
      <c r="BH120" s="7">
        <f t="shared" si="74"/>
        <v>45170</v>
      </c>
      <c r="BI120" s="7">
        <f t="shared" si="74"/>
        <v>45170</v>
      </c>
    </row>
    <row r="121" spans="5:61" x14ac:dyDescent="0.35">
      <c r="E121">
        <f t="shared" si="64"/>
        <v>10</v>
      </c>
      <c r="J121" t="str">
        <f t="shared" si="65"/>
        <v>date</v>
      </c>
      <c r="N121" s="78"/>
      <c r="O121" s="78"/>
      <c r="P121" s="78"/>
      <c r="Q121" s="78"/>
      <c r="R121" s="78"/>
      <c r="S121" s="78"/>
      <c r="T121" s="78"/>
      <c r="U121" s="78"/>
      <c r="V121" s="78"/>
      <c r="W121" s="7">
        <f t="shared" ref="W121:BI121" si="75">W40</f>
        <v>44105</v>
      </c>
      <c r="X121" s="7">
        <f t="shared" si="75"/>
        <v>44105</v>
      </c>
      <c r="Y121" s="7">
        <f t="shared" si="75"/>
        <v>44105</v>
      </c>
      <c r="Z121" s="7">
        <f t="shared" si="75"/>
        <v>44105</v>
      </c>
      <c r="AA121" s="7">
        <f t="shared" si="75"/>
        <v>44105</v>
      </c>
      <c r="AB121" s="7">
        <f t="shared" si="75"/>
        <v>44105</v>
      </c>
      <c r="AC121" s="7">
        <f t="shared" si="75"/>
        <v>44105</v>
      </c>
      <c r="AD121" s="7">
        <f t="shared" si="75"/>
        <v>44105</v>
      </c>
      <c r="AE121" s="7">
        <f t="shared" si="75"/>
        <v>44105</v>
      </c>
      <c r="AF121" s="7">
        <f t="shared" si="75"/>
        <v>44105</v>
      </c>
      <c r="AG121" s="7">
        <f t="shared" si="75"/>
        <v>44105</v>
      </c>
      <c r="AH121" s="7">
        <f t="shared" si="75"/>
        <v>44105</v>
      </c>
      <c r="AI121" s="7">
        <f t="shared" si="75"/>
        <v>44470</v>
      </c>
      <c r="AJ121" s="7">
        <f t="shared" si="75"/>
        <v>44470</v>
      </c>
      <c r="AK121" s="7">
        <f t="shared" si="75"/>
        <v>44470</v>
      </c>
      <c r="AL121" s="7">
        <f t="shared" si="75"/>
        <v>44470</v>
      </c>
      <c r="AM121" s="7">
        <f t="shared" si="75"/>
        <v>44470</v>
      </c>
      <c r="AN121" s="7">
        <f t="shared" si="75"/>
        <v>44470</v>
      </c>
      <c r="AO121" s="7">
        <f t="shared" si="75"/>
        <v>44470</v>
      </c>
      <c r="AP121" s="7">
        <f t="shared" si="75"/>
        <v>44470</v>
      </c>
      <c r="AQ121" s="7">
        <f t="shared" si="75"/>
        <v>44470</v>
      </c>
      <c r="AR121" s="7">
        <f t="shared" si="75"/>
        <v>44470</v>
      </c>
      <c r="AS121" s="7">
        <f t="shared" si="75"/>
        <v>44470</v>
      </c>
      <c r="AT121" s="7">
        <f t="shared" si="75"/>
        <v>44470</v>
      </c>
      <c r="AU121" s="7">
        <f t="shared" si="75"/>
        <v>44835</v>
      </c>
      <c r="AV121" s="7">
        <f t="shared" si="75"/>
        <v>44835</v>
      </c>
      <c r="AW121" s="7">
        <f t="shared" si="75"/>
        <v>44835</v>
      </c>
      <c r="AX121" s="7">
        <f t="shared" si="75"/>
        <v>44835</v>
      </c>
      <c r="AY121" s="7">
        <f t="shared" si="75"/>
        <v>44835</v>
      </c>
      <c r="AZ121" s="7">
        <f t="shared" si="75"/>
        <v>44835</v>
      </c>
      <c r="BA121" s="7">
        <f t="shared" si="75"/>
        <v>44835</v>
      </c>
      <c r="BB121" s="7">
        <f t="shared" si="75"/>
        <v>44835</v>
      </c>
      <c r="BC121" s="7">
        <f t="shared" si="75"/>
        <v>44835</v>
      </c>
      <c r="BD121" s="7">
        <f t="shared" si="75"/>
        <v>44835</v>
      </c>
      <c r="BE121" s="7">
        <f t="shared" si="75"/>
        <v>44835</v>
      </c>
      <c r="BF121" s="7">
        <f t="shared" si="75"/>
        <v>44835</v>
      </c>
      <c r="BG121" s="7">
        <f t="shared" si="75"/>
        <v>45200</v>
      </c>
      <c r="BH121" s="7">
        <f t="shared" si="75"/>
        <v>45200</v>
      </c>
      <c r="BI121" s="7">
        <f t="shared" si="75"/>
        <v>45200</v>
      </c>
    </row>
    <row r="122" spans="5:61" x14ac:dyDescent="0.35">
      <c r="E122">
        <f t="shared" si="64"/>
        <v>11</v>
      </c>
      <c r="J122" t="str">
        <f t="shared" si="65"/>
        <v>date</v>
      </c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">
        <f t="shared" ref="X122:BI122" si="76">X41</f>
        <v>44136</v>
      </c>
      <c r="Y122" s="7">
        <f t="shared" si="76"/>
        <v>44136</v>
      </c>
      <c r="Z122" s="7">
        <f t="shared" si="76"/>
        <v>44136</v>
      </c>
      <c r="AA122" s="7">
        <f t="shared" si="76"/>
        <v>44136</v>
      </c>
      <c r="AB122" s="7">
        <f t="shared" si="76"/>
        <v>44136</v>
      </c>
      <c r="AC122" s="7">
        <f t="shared" si="76"/>
        <v>44136</v>
      </c>
      <c r="AD122" s="7">
        <f t="shared" si="76"/>
        <v>44136</v>
      </c>
      <c r="AE122" s="7">
        <f t="shared" si="76"/>
        <v>44136</v>
      </c>
      <c r="AF122" s="7">
        <f t="shared" si="76"/>
        <v>44136</v>
      </c>
      <c r="AG122" s="7">
        <f t="shared" si="76"/>
        <v>44136</v>
      </c>
      <c r="AH122" s="7">
        <f t="shared" si="76"/>
        <v>44136</v>
      </c>
      <c r="AI122" s="7">
        <f t="shared" si="76"/>
        <v>44136</v>
      </c>
      <c r="AJ122" s="7">
        <f t="shared" si="76"/>
        <v>44501</v>
      </c>
      <c r="AK122" s="7">
        <f t="shared" si="76"/>
        <v>44501</v>
      </c>
      <c r="AL122" s="7">
        <f t="shared" si="76"/>
        <v>44501</v>
      </c>
      <c r="AM122" s="7">
        <f t="shared" si="76"/>
        <v>44501</v>
      </c>
      <c r="AN122" s="7">
        <f t="shared" si="76"/>
        <v>44501</v>
      </c>
      <c r="AO122" s="7">
        <f t="shared" si="76"/>
        <v>44501</v>
      </c>
      <c r="AP122" s="7">
        <f t="shared" si="76"/>
        <v>44501</v>
      </c>
      <c r="AQ122" s="7">
        <f t="shared" si="76"/>
        <v>44501</v>
      </c>
      <c r="AR122" s="7">
        <f t="shared" si="76"/>
        <v>44501</v>
      </c>
      <c r="AS122" s="7">
        <f t="shared" si="76"/>
        <v>44501</v>
      </c>
      <c r="AT122" s="7">
        <f t="shared" si="76"/>
        <v>44501</v>
      </c>
      <c r="AU122" s="7">
        <f t="shared" si="76"/>
        <v>44501</v>
      </c>
      <c r="AV122" s="7">
        <f t="shared" si="76"/>
        <v>44866</v>
      </c>
      <c r="AW122" s="7">
        <f t="shared" si="76"/>
        <v>44866</v>
      </c>
      <c r="AX122" s="7">
        <f t="shared" si="76"/>
        <v>44866</v>
      </c>
      <c r="AY122" s="7">
        <f t="shared" si="76"/>
        <v>44866</v>
      </c>
      <c r="AZ122" s="7">
        <f t="shared" si="76"/>
        <v>44866</v>
      </c>
      <c r="BA122" s="7">
        <f t="shared" si="76"/>
        <v>44866</v>
      </c>
      <c r="BB122" s="7">
        <f t="shared" si="76"/>
        <v>44866</v>
      </c>
      <c r="BC122" s="7">
        <f t="shared" si="76"/>
        <v>44866</v>
      </c>
      <c r="BD122" s="7">
        <f t="shared" si="76"/>
        <v>44866</v>
      </c>
      <c r="BE122" s="7">
        <f t="shared" si="76"/>
        <v>44866</v>
      </c>
      <c r="BF122" s="7">
        <f t="shared" si="76"/>
        <v>44866</v>
      </c>
      <c r="BG122" s="7">
        <f t="shared" si="76"/>
        <v>44866</v>
      </c>
      <c r="BH122" s="7">
        <f t="shared" si="76"/>
        <v>45231</v>
      </c>
      <c r="BI122" s="7">
        <f t="shared" si="76"/>
        <v>45231</v>
      </c>
    </row>
    <row r="123" spans="5:61" x14ac:dyDescent="0.35">
      <c r="E123">
        <f t="shared" si="64"/>
        <v>12</v>
      </c>
      <c r="J123" t="str">
        <f t="shared" si="65"/>
        <v>date</v>
      </c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">
        <f t="shared" ref="Y123:BI123" si="77">Y42</f>
        <v>44166</v>
      </c>
      <c r="Z123" s="7">
        <f t="shared" si="77"/>
        <v>44166</v>
      </c>
      <c r="AA123" s="7">
        <f t="shared" si="77"/>
        <v>44166</v>
      </c>
      <c r="AB123" s="7">
        <f t="shared" si="77"/>
        <v>44166</v>
      </c>
      <c r="AC123" s="7">
        <f t="shared" si="77"/>
        <v>44166</v>
      </c>
      <c r="AD123" s="7">
        <f t="shared" si="77"/>
        <v>44166</v>
      </c>
      <c r="AE123" s="7">
        <f t="shared" si="77"/>
        <v>44166</v>
      </c>
      <c r="AF123" s="7">
        <f t="shared" si="77"/>
        <v>44166</v>
      </c>
      <c r="AG123" s="7">
        <f t="shared" si="77"/>
        <v>44166</v>
      </c>
      <c r="AH123" s="7">
        <f t="shared" si="77"/>
        <v>44166</v>
      </c>
      <c r="AI123" s="7">
        <f t="shared" si="77"/>
        <v>44166</v>
      </c>
      <c r="AJ123" s="7">
        <f t="shared" si="77"/>
        <v>44166</v>
      </c>
      <c r="AK123" s="7">
        <f t="shared" si="77"/>
        <v>44531</v>
      </c>
      <c r="AL123" s="7">
        <f t="shared" si="77"/>
        <v>44531</v>
      </c>
      <c r="AM123" s="7">
        <f t="shared" si="77"/>
        <v>44531</v>
      </c>
      <c r="AN123" s="7">
        <f t="shared" si="77"/>
        <v>44531</v>
      </c>
      <c r="AO123" s="7">
        <f t="shared" si="77"/>
        <v>44531</v>
      </c>
      <c r="AP123" s="7">
        <f t="shared" si="77"/>
        <v>44531</v>
      </c>
      <c r="AQ123" s="7">
        <f t="shared" si="77"/>
        <v>44531</v>
      </c>
      <c r="AR123" s="7">
        <f t="shared" si="77"/>
        <v>44531</v>
      </c>
      <c r="AS123" s="7">
        <f t="shared" si="77"/>
        <v>44531</v>
      </c>
      <c r="AT123" s="7">
        <f t="shared" si="77"/>
        <v>44531</v>
      </c>
      <c r="AU123" s="7">
        <f t="shared" si="77"/>
        <v>44531</v>
      </c>
      <c r="AV123" s="7">
        <f t="shared" si="77"/>
        <v>44531</v>
      </c>
      <c r="AW123" s="7">
        <f t="shared" si="77"/>
        <v>44896</v>
      </c>
      <c r="AX123" s="7">
        <f t="shared" si="77"/>
        <v>44896</v>
      </c>
      <c r="AY123" s="7">
        <f t="shared" si="77"/>
        <v>44896</v>
      </c>
      <c r="AZ123" s="7">
        <f t="shared" si="77"/>
        <v>44896</v>
      </c>
      <c r="BA123" s="7">
        <f t="shared" si="77"/>
        <v>44896</v>
      </c>
      <c r="BB123" s="7">
        <f t="shared" si="77"/>
        <v>44896</v>
      </c>
      <c r="BC123" s="7">
        <f t="shared" si="77"/>
        <v>44896</v>
      </c>
      <c r="BD123" s="7">
        <f t="shared" si="77"/>
        <v>44896</v>
      </c>
      <c r="BE123" s="7">
        <f t="shared" si="77"/>
        <v>44896</v>
      </c>
      <c r="BF123" s="7">
        <f t="shared" si="77"/>
        <v>44896</v>
      </c>
      <c r="BG123" s="7">
        <f t="shared" si="77"/>
        <v>44896</v>
      </c>
      <c r="BH123" s="7">
        <f t="shared" si="77"/>
        <v>44896</v>
      </c>
      <c r="BI123" s="7">
        <f t="shared" si="77"/>
        <v>45261</v>
      </c>
    </row>
    <row r="125" spans="5:61" x14ac:dyDescent="0.35">
      <c r="E125">
        <f t="shared" ref="E125:E136" si="78">E70</f>
        <v>1</v>
      </c>
      <c r="J125" t="str">
        <f t="shared" ref="J125:J136" si="79">J70</f>
        <v>% des dépôts</v>
      </c>
      <c r="N125" s="13">
        <f t="shared" ref="N125:BI125" si="80">N70</f>
        <v>8.5399054709917942E-6</v>
      </c>
      <c r="O125" s="13">
        <f t="shared" si="80"/>
        <v>8.0748119328300061E-2</v>
      </c>
      <c r="P125" s="13">
        <f t="shared" si="80"/>
        <v>0.87467787800768593</v>
      </c>
      <c r="Q125" s="13">
        <f t="shared" si="80"/>
        <v>4.4564161951089143E-2</v>
      </c>
      <c r="R125" s="13">
        <f t="shared" si="80"/>
        <v>1.3008074507547818E-6</v>
      </c>
      <c r="S125" s="13">
        <f t="shared" si="80"/>
        <v>3.1086244689504383E-15</v>
      </c>
      <c r="T125" s="13">
        <f t="shared" si="80"/>
        <v>0</v>
      </c>
      <c r="U125" s="13">
        <f t="shared" si="80"/>
        <v>0</v>
      </c>
      <c r="V125" s="13">
        <f t="shared" si="80"/>
        <v>0</v>
      </c>
      <c r="W125" s="13">
        <f t="shared" si="80"/>
        <v>0</v>
      </c>
      <c r="X125" s="13">
        <f t="shared" si="80"/>
        <v>0</v>
      </c>
      <c r="Y125" s="13">
        <f t="shared" si="80"/>
        <v>0</v>
      </c>
      <c r="Z125" s="13">
        <f t="shared" si="80"/>
        <v>8.5399054709917942E-6</v>
      </c>
      <c r="AA125" s="13">
        <f t="shared" si="80"/>
        <v>6.6798661363387066E-2</v>
      </c>
      <c r="AB125" s="13">
        <f t="shared" si="80"/>
        <v>0.87839350703158392</v>
      </c>
      <c r="AC125" s="13">
        <f t="shared" si="80"/>
        <v>5.4797179244855498E-2</v>
      </c>
      <c r="AD125" s="13">
        <f t="shared" si="80"/>
        <v>2.1124546957240753E-6</v>
      </c>
      <c r="AE125" s="13">
        <f t="shared" si="80"/>
        <v>6.7723604502134549E-15</v>
      </c>
      <c r="AF125" s="13">
        <f t="shared" si="80"/>
        <v>0</v>
      </c>
      <c r="AG125" s="13">
        <f t="shared" si="80"/>
        <v>0</v>
      </c>
      <c r="AH125" s="13">
        <f t="shared" si="80"/>
        <v>0</v>
      </c>
      <c r="AI125" s="13">
        <f t="shared" si="80"/>
        <v>0</v>
      </c>
      <c r="AJ125" s="13">
        <f t="shared" si="80"/>
        <v>0</v>
      </c>
      <c r="AK125" s="13">
        <f t="shared" si="80"/>
        <v>0</v>
      </c>
      <c r="AL125" s="13">
        <f t="shared" si="80"/>
        <v>8.5399054709917942E-6</v>
      </c>
      <c r="AM125" s="13">
        <f t="shared" si="80"/>
        <v>6.6798661363387066E-2</v>
      </c>
      <c r="AN125" s="13">
        <f t="shared" si="80"/>
        <v>0.87839350703158392</v>
      </c>
      <c r="AO125" s="13">
        <f t="shared" si="80"/>
        <v>5.4797179244855498E-2</v>
      </c>
      <c r="AP125" s="13">
        <f t="shared" si="80"/>
        <v>2.1124546957240753E-6</v>
      </c>
      <c r="AQ125" s="13">
        <f t="shared" si="80"/>
        <v>6.7723604502134549E-15</v>
      </c>
      <c r="AR125" s="13">
        <f t="shared" si="80"/>
        <v>0</v>
      </c>
      <c r="AS125" s="13">
        <f t="shared" si="80"/>
        <v>0</v>
      </c>
      <c r="AT125" s="13">
        <f t="shared" si="80"/>
        <v>0</v>
      </c>
      <c r="AU125" s="13">
        <f t="shared" si="80"/>
        <v>0</v>
      </c>
      <c r="AV125" s="13">
        <f t="shared" si="80"/>
        <v>0</v>
      </c>
      <c r="AW125" s="13">
        <f t="shared" si="80"/>
        <v>0</v>
      </c>
      <c r="AX125" s="13">
        <f t="shared" si="80"/>
        <v>8.5399054709917942E-6</v>
      </c>
      <c r="AY125" s="13">
        <f t="shared" si="80"/>
        <v>6.6798661363387066E-2</v>
      </c>
      <c r="AZ125" s="13">
        <f t="shared" si="80"/>
        <v>0.87839350703158392</v>
      </c>
      <c r="BA125" s="13">
        <f t="shared" si="80"/>
        <v>5.4797179244855498E-2</v>
      </c>
      <c r="BB125" s="13">
        <f t="shared" si="80"/>
        <v>2.1124546957240753E-6</v>
      </c>
      <c r="BC125" s="13">
        <f t="shared" si="80"/>
        <v>6.7723604502134549E-15</v>
      </c>
      <c r="BD125" s="13">
        <f t="shared" si="80"/>
        <v>0</v>
      </c>
      <c r="BE125" s="13">
        <f t="shared" si="80"/>
        <v>0</v>
      </c>
      <c r="BF125" s="13">
        <f t="shared" si="80"/>
        <v>0</v>
      </c>
      <c r="BG125" s="13">
        <f t="shared" si="80"/>
        <v>0</v>
      </c>
      <c r="BH125" s="13">
        <f t="shared" si="80"/>
        <v>0</v>
      </c>
      <c r="BI125" s="13">
        <f t="shared" si="80"/>
        <v>0</v>
      </c>
    </row>
    <row r="126" spans="5:61" x14ac:dyDescent="0.35">
      <c r="E126">
        <f t="shared" si="78"/>
        <v>2</v>
      </c>
      <c r="J126" t="str">
        <f t="shared" si="79"/>
        <v>% des dépôts</v>
      </c>
      <c r="N126" s="13">
        <f t="shared" ref="N126:BI126" si="81">N71</f>
        <v>0</v>
      </c>
      <c r="O126" s="13">
        <f t="shared" si="81"/>
        <v>3.3976731247300535E-6</v>
      </c>
      <c r="P126" s="13">
        <f t="shared" si="81"/>
        <v>8.0753261560646328E-2</v>
      </c>
      <c r="Q126" s="13">
        <f t="shared" si="81"/>
        <v>0.86444404906667094</v>
      </c>
      <c r="R126" s="13">
        <f t="shared" si="81"/>
        <v>5.4797990892104131E-2</v>
      </c>
      <c r="S126" s="13">
        <f t="shared" si="81"/>
        <v>1.3008074470910458E-6</v>
      </c>
      <c r="T126" s="13">
        <f t="shared" si="81"/>
        <v>6.7723604502134549E-15</v>
      </c>
      <c r="U126" s="13">
        <f t="shared" si="81"/>
        <v>0</v>
      </c>
      <c r="V126" s="13">
        <f t="shared" si="81"/>
        <v>0</v>
      </c>
      <c r="W126" s="13">
        <f t="shared" si="81"/>
        <v>0</v>
      </c>
      <c r="X126" s="13">
        <f t="shared" si="81"/>
        <v>0</v>
      </c>
      <c r="Y126" s="13">
        <f t="shared" si="81"/>
        <v>0</v>
      </c>
      <c r="Z126" s="13">
        <f t="shared" si="81"/>
        <v>0</v>
      </c>
      <c r="AA126" s="13">
        <f t="shared" si="81"/>
        <v>2.1124547025028533E-6</v>
      </c>
      <c r="AB126" s="13">
        <f t="shared" si="81"/>
        <v>6.6805088814155561E-2</v>
      </c>
      <c r="AC126" s="13">
        <f t="shared" si="81"/>
        <v>0.86638559746228383</v>
      </c>
      <c r="AD126" s="13">
        <f t="shared" si="81"/>
        <v>6.6805088814155589E-2</v>
      </c>
      <c r="AE126" s="13">
        <f t="shared" si="81"/>
        <v>2.1124546877304695E-6</v>
      </c>
      <c r="AF126" s="13">
        <f t="shared" si="81"/>
        <v>1.4765966227514582E-14</v>
      </c>
      <c r="AG126" s="13">
        <f t="shared" si="81"/>
        <v>0</v>
      </c>
      <c r="AH126" s="13">
        <f t="shared" si="81"/>
        <v>0</v>
      </c>
      <c r="AI126" s="13">
        <f t="shared" si="81"/>
        <v>0</v>
      </c>
      <c r="AJ126" s="13">
        <f t="shared" si="81"/>
        <v>0</v>
      </c>
      <c r="AK126" s="13">
        <f t="shared" si="81"/>
        <v>0</v>
      </c>
      <c r="AL126" s="13">
        <f t="shared" si="81"/>
        <v>0</v>
      </c>
      <c r="AM126" s="13">
        <f t="shared" si="81"/>
        <v>2.1124547025028533E-6</v>
      </c>
      <c r="AN126" s="13">
        <f t="shared" si="81"/>
        <v>6.6805088814155561E-2</v>
      </c>
      <c r="AO126" s="13">
        <f t="shared" si="81"/>
        <v>0.86638559746228383</v>
      </c>
      <c r="AP126" s="13">
        <f t="shared" si="81"/>
        <v>6.6805088814155589E-2</v>
      </c>
      <c r="AQ126" s="13">
        <f t="shared" si="81"/>
        <v>2.1124546877304695E-6</v>
      </c>
      <c r="AR126" s="13">
        <f t="shared" si="81"/>
        <v>1.4765966227514582E-14</v>
      </c>
      <c r="AS126" s="13">
        <f t="shared" si="81"/>
        <v>0</v>
      </c>
      <c r="AT126" s="13">
        <f t="shared" si="81"/>
        <v>0</v>
      </c>
      <c r="AU126" s="13">
        <f t="shared" si="81"/>
        <v>0</v>
      </c>
      <c r="AV126" s="13">
        <f t="shared" si="81"/>
        <v>0</v>
      </c>
      <c r="AW126" s="13">
        <f t="shared" si="81"/>
        <v>0</v>
      </c>
      <c r="AX126" s="13">
        <f t="shared" si="81"/>
        <v>0</v>
      </c>
      <c r="AY126" s="13">
        <f t="shared" si="81"/>
        <v>2.1124547025028533E-6</v>
      </c>
      <c r="AZ126" s="13">
        <f t="shared" si="81"/>
        <v>6.6805088814155561E-2</v>
      </c>
      <c r="BA126" s="13">
        <f t="shared" si="81"/>
        <v>0.86638559746228383</v>
      </c>
      <c r="BB126" s="13">
        <f t="shared" si="81"/>
        <v>6.6805088814155589E-2</v>
      </c>
      <c r="BC126" s="13">
        <f t="shared" si="81"/>
        <v>2.1124546877304695E-6</v>
      </c>
      <c r="BD126" s="13">
        <f t="shared" si="81"/>
        <v>1.4765966227514582E-14</v>
      </c>
      <c r="BE126" s="13">
        <f t="shared" si="81"/>
        <v>0</v>
      </c>
      <c r="BF126" s="13">
        <f t="shared" si="81"/>
        <v>0</v>
      </c>
      <c r="BG126" s="13">
        <f t="shared" si="81"/>
        <v>0</v>
      </c>
      <c r="BH126" s="13">
        <f t="shared" si="81"/>
        <v>0</v>
      </c>
      <c r="BI126" s="13">
        <f t="shared" si="81"/>
        <v>0</v>
      </c>
    </row>
    <row r="127" spans="5:61" x14ac:dyDescent="0.35">
      <c r="E127">
        <f t="shared" si="78"/>
        <v>3</v>
      </c>
      <c r="J127" t="str">
        <f t="shared" si="79"/>
        <v>% des dépôts</v>
      </c>
      <c r="N127" s="13">
        <f t="shared" ref="N127:BI127" si="82">N72</f>
        <v>0</v>
      </c>
      <c r="O127" s="13">
        <f t="shared" si="82"/>
        <v>0</v>
      </c>
      <c r="P127" s="13">
        <f t="shared" si="82"/>
        <v>8.5399054709917942E-6</v>
      </c>
      <c r="Q127" s="13">
        <f t="shared" si="82"/>
        <v>9.6791944680139325E-2</v>
      </c>
      <c r="R127" s="13">
        <f t="shared" si="82"/>
        <v>0.86726919630146393</v>
      </c>
      <c r="S127" s="13">
        <f t="shared" si="82"/>
        <v>3.5929525784773819E-2</v>
      </c>
      <c r="T127" s="13">
        <f t="shared" si="82"/>
        <v>7.9332815050570105E-7</v>
      </c>
      <c r="U127" s="13">
        <f t="shared" si="82"/>
        <v>1.4432899320127035E-15</v>
      </c>
      <c r="V127" s="13">
        <f t="shared" si="82"/>
        <v>0</v>
      </c>
      <c r="W127" s="13">
        <f t="shared" si="82"/>
        <v>0</v>
      </c>
      <c r="X127" s="13">
        <f t="shared" si="82"/>
        <v>0</v>
      </c>
      <c r="Y127" s="13">
        <f t="shared" si="82"/>
        <v>0</v>
      </c>
      <c r="Z127" s="13">
        <f t="shared" si="82"/>
        <v>0</v>
      </c>
      <c r="AA127" s="13">
        <f t="shared" si="82"/>
        <v>0</v>
      </c>
      <c r="AB127" s="13">
        <f t="shared" si="82"/>
        <v>8.5399054709917942E-6</v>
      </c>
      <c r="AC127" s="13">
        <f t="shared" si="82"/>
        <v>9.6791944680139325E-2</v>
      </c>
      <c r="AD127" s="13">
        <f t="shared" si="82"/>
        <v>0.86726919630146393</v>
      </c>
      <c r="AE127" s="13">
        <f t="shared" si="82"/>
        <v>3.5929525784773819E-2</v>
      </c>
      <c r="AF127" s="13">
        <f t="shared" si="82"/>
        <v>7.9332815050570105E-7</v>
      </c>
      <c r="AG127" s="13">
        <f t="shared" si="82"/>
        <v>1.4432899320127035E-15</v>
      </c>
      <c r="AH127" s="13">
        <f t="shared" si="82"/>
        <v>0</v>
      </c>
      <c r="AI127" s="13">
        <f t="shared" si="82"/>
        <v>0</v>
      </c>
      <c r="AJ127" s="13">
        <f t="shared" si="82"/>
        <v>0</v>
      </c>
      <c r="AK127" s="13">
        <f t="shared" si="82"/>
        <v>0</v>
      </c>
      <c r="AL127" s="13">
        <f t="shared" si="82"/>
        <v>0</v>
      </c>
      <c r="AM127" s="13">
        <f t="shared" si="82"/>
        <v>0</v>
      </c>
      <c r="AN127" s="13">
        <f t="shared" si="82"/>
        <v>8.5399054709917942E-6</v>
      </c>
      <c r="AO127" s="13">
        <f t="shared" si="82"/>
        <v>9.6791944680139325E-2</v>
      </c>
      <c r="AP127" s="13">
        <f t="shared" si="82"/>
        <v>0.86726919630146393</v>
      </c>
      <c r="AQ127" s="13">
        <f t="shared" si="82"/>
        <v>3.5929525784773819E-2</v>
      </c>
      <c r="AR127" s="13">
        <f t="shared" si="82"/>
        <v>7.9332815050570105E-7</v>
      </c>
      <c r="AS127" s="13">
        <f t="shared" si="82"/>
        <v>1.4432899320127035E-15</v>
      </c>
      <c r="AT127" s="13">
        <f t="shared" si="82"/>
        <v>0</v>
      </c>
      <c r="AU127" s="13">
        <f t="shared" si="82"/>
        <v>0</v>
      </c>
      <c r="AV127" s="13">
        <f t="shared" si="82"/>
        <v>0</v>
      </c>
      <c r="AW127" s="13">
        <f t="shared" si="82"/>
        <v>0</v>
      </c>
      <c r="AX127" s="13">
        <f t="shared" si="82"/>
        <v>0</v>
      </c>
      <c r="AY127" s="13">
        <f t="shared" si="82"/>
        <v>0</v>
      </c>
      <c r="AZ127" s="13">
        <f t="shared" si="82"/>
        <v>8.5399054709917942E-6</v>
      </c>
      <c r="BA127" s="13">
        <f t="shared" si="82"/>
        <v>9.6791944680139325E-2</v>
      </c>
      <c r="BB127" s="13">
        <f t="shared" si="82"/>
        <v>0.86726919630146393</v>
      </c>
      <c r="BC127" s="13">
        <f t="shared" si="82"/>
        <v>3.5929525784773819E-2</v>
      </c>
      <c r="BD127" s="13">
        <f t="shared" si="82"/>
        <v>7.9332815050570105E-7</v>
      </c>
      <c r="BE127" s="13">
        <f t="shared" si="82"/>
        <v>1.4432899320127035E-15</v>
      </c>
      <c r="BF127" s="13">
        <f t="shared" si="82"/>
        <v>0</v>
      </c>
      <c r="BG127" s="13">
        <f t="shared" si="82"/>
        <v>0</v>
      </c>
      <c r="BH127" s="13">
        <f t="shared" si="82"/>
        <v>0</v>
      </c>
      <c r="BI127" s="13">
        <f t="shared" si="82"/>
        <v>0</v>
      </c>
    </row>
    <row r="128" spans="5:61" x14ac:dyDescent="0.35">
      <c r="E128">
        <f t="shared" si="78"/>
        <v>4</v>
      </c>
      <c r="J128" t="str">
        <f t="shared" si="79"/>
        <v>% des dépôts</v>
      </c>
      <c r="N128" s="13">
        <f t="shared" ref="N128:BI128" si="83">N73</f>
        <v>0</v>
      </c>
      <c r="O128" s="13">
        <f t="shared" si="83"/>
        <v>0</v>
      </c>
      <c r="P128" s="13">
        <f t="shared" si="83"/>
        <v>0</v>
      </c>
      <c r="Q128" s="13">
        <f t="shared" si="83"/>
        <v>5.4125439077038416E-6</v>
      </c>
      <c r="R128" s="13">
        <f t="shared" si="83"/>
        <v>9.6795072041702609E-2</v>
      </c>
      <c r="S128" s="13">
        <f t="shared" si="83"/>
        <v>0.85863405265584669</v>
      </c>
      <c r="T128" s="13">
        <f t="shared" si="83"/>
        <v>4.4564669430391057E-2</v>
      </c>
      <c r="U128" s="13">
        <f t="shared" si="83"/>
        <v>7.9332815050570105E-7</v>
      </c>
      <c r="V128" s="13">
        <f t="shared" si="83"/>
        <v>1.4432899320127035E-15</v>
      </c>
      <c r="W128" s="13">
        <f t="shared" si="83"/>
        <v>0</v>
      </c>
      <c r="X128" s="13">
        <f t="shared" si="83"/>
        <v>0</v>
      </c>
      <c r="Y128" s="13">
        <f t="shared" si="83"/>
        <v>0</v>
      </c>
      <c r="Z128" s="13">
        <f t="shared" si="83"/>
        <v>0</v>
      </c>
      <c r="AA128" s="13">
        <f t="shared" si="83"/>
        <v>0</v>
      </c>
      <c r="AB128" s="13">
        <f t="shared" si="83"/>
        <v>0</v>
      </c>
      <c r="AC128" s="13">
        <f t="shared" si="83"/>
        <v>5.4125439077038416E-6</v>
      </c>
      <c r="AD128" s="13">
        <f t="shared" si="83"/>
        <v>9.6795072041702609E-2</v>
      </c>
      <c r="AE128" s="13">
        <f t="shared" si="83"/>
        <v>0.85863405265584669</v>
      </c>
      <c r="AF128" s="13">
        <f t="shared" si="83"/>
        <v>4.4564669430391057E-2</v>
      </c>
      <c r="AG128" s="13">
        <f t="shared" si="83"/>
        <v>7.9332815050570105E-7</v>
      </c>
      <c r="AH128" s="13">
        <f t="shared" si="83"/>
        <v>1.4432899320127035E-15</v>
      </c>
      <c r="AI128" s="13">
        <f t="shared" si="83"/>
        <v>0</v>
      </c>
      <c r="AJ128" s="13">
        <f t="shared" si="83"/>
        <v>0</v>
      </c>
      <c r="AK128" s="13">
        <f t="shared" si="83"/>
        <v>0</v>
      </c>
      <c r="AL128" s="13">
        <f t="shared" si="83"/>
        <v>0</v>
      </c>
      <c r="AM128" s="13">
        <f t="shared" si="83"/>
        <v>0</v>
      </c>
      <c r="AN128" s="13">
        <f t="shared" si="83"/>
        <v>0</v>
      </c>
      <c r="AO128" s="13">
        <f t="shared" si="83"/>
        <v>5.4125439077038416E-6</v>
      </c>
      <c r="AP128" s="13">
        <f t="shared" si="83"/>
        <v>9.6795072041702609E-2</v>
      </c>
      <c r="AQ128" s="13">
        <f t="shared" si="83"/>
        <v>0.85863405265584669</v>
      </c>
      <c r="AR128" s="13">
        <f t="shared" si="83"/>
        <v>4.4564669430391057E-2</v>
      </c>
      <c r="AS128" s="13">
        <f t="shared" si="83"/>
        <v>7.9332815050570105E-7</v>
      </c>
      <c r="AT128" s="13">
        <f t="shared" si="83"/>
        <v>1.4432899320127035E-15</v>
      </c>
      <c r="AU128" s="13">
        <f t="shared" si="83"/>
        <v>0</v>
      </c>
      <c r="AV128" s="13">
        <f t="shared" si="83"/>
        <v>0</v>
      </c>
      <c r="AW128" s="13">
        <f t="shared" si="83"/>
        <v>0</v>
      </c>
      <c r="AX128" s="13">
        <f t="shared" si="83"/>
        <v>0</v>
      </c>
      <c r="AY128" s="13">
        <f t="shared" si="83"/>
        <v>0</v>
      </c>
      <c r="AZ128" s="13">
        <f t="shared" si="83"/>
        <v>0</v>
      </c>
      <c r="BA128" s="13">
        <f t="shared" si="83"/>
        <v>5.4125439077038416E-6</v>
      </c>
      <c r="BB128" s="13">
        <f t="shared" si="83"/>
        <v>9.6795072041702609E-2</v>
      </c>
      <c r="BC128" s="13">
        <f t="shared" si="83"/>
        <v>0.85863405265584669</v>
      </c>
      <c r="BD128" s="13">
        <f t="shared" si="83"/>
        <v>4.4564669430391057E-2</v>
      </c>
      <c r="BE128" s="13">
        <f t="shared" si="83"/>
        <v>7.9332815050570105E-7</v>
      </c>
      <c r="BF128" s="13">
        <f t="shared" si="83"/>
        <v>1.4432899320127035E-15</v>
      </c>
      <c r="BG128" s="13">
        <f t="shared" si="83"/>
        <v>0</v>
      </c>
      <c r="BH128" s="13">
        <f t="shared" si="83"/>
        <v>0</v>
      </c>
      <c r="BI128" s="13">
        <f t="shared" si="83"/>
        <v>0</v>
      </c>
    </row>
    <row r="129" spans="5:61" x14ac:dyDescent="0.35">
      <c r="E129">
        <f t="shared" si="78"/>
        <v>5</v>
      </c>
      <c r="J129" t="str">
        <f t="shared" si="79"/>
        <v>% des dépôts</v>
      </c>
      <c r="N129" s="13">
        <f t="shared" ref="N129:BI129" si="84">N74</f>
        <v>0</v>
      </c>
      <c r="O129" s="13">
        <f t="shared" si="84"/>
        <v>0</v>
      </c>
      <c r="P129" s="13">
        <f t="shared" si="84"/>
        <v>0</v>
      </c>
      <c r="Q129" s="13">
        <f t="shared" si="84"/>
        <v>0</v>
      </c>
      <c r="R129" s="13">
        <f t="shared" si="84"/>
        <v>8.5399054709917942E-6</v>
      </c>
      <c r="S129" s="13">
        <f t="shared" si="84"/>
        <v>9.6791944680139325E-2</v>
      </c>
      <c r="T129" s="13">
        <f t="shared" si="84"/>
        <v>0.86726919630146393</v>
      </c>
      <c r="U129" s="13">
        <f t="shared" si="84"/>
        <v>3.5929839929649154E-2</v>
      </c>
      <c r="V129" s="13">
        <f t="shared" si="84"/>
        <v>4.7918327517049164E-7</v>
      </c>
      <c r="W129" s="13">
        <f t="shared" si="84"/>
        <v>1.4432899320127035E-15</v>
      </c>
      <c r="X129" s="13">
        <f t="shared" si="84"/>
        <v>0</v>
      </c>
      <c r="Y129" s="13">
        <f t="shared" si="84"/>
        <v>0</v>
      </c>
      <c r="Z129" s="13">
        <f t="shared" si="84"/>
        <v>0</v>
      </c>
      <c r="AA129" s="13">
        <f t="shared" si="84"/>
        <v>0</v>
      </c>
      <c r="AB129" s="13">
        <f t="shared" si="84"/>
        <v>0</v>
      </c>
      <c r="AC129" s="13">
        <f t="shared" si="84"/>
        <v>0</v>
      </c>
      <c r="AD129" s="13">
        <f t="shared" si="84"/>
        <v>8.5399054709917942E-6</v>
      </c>
      <c r="AE129" s="13">
        <f t="shared" si="84"/>
        <v>9.6791944680139325E-2</v>
      </c>
      <c r="AF129" s="13">
        <f t="shared" si="84"/>
        <v>0.86726919630146393</v>
      </c>
      <c r="AG129" s="13">
        <f t="shared" si="84"/>
        <v>3.5929839929649154E-2</v>
      </c>
      <c r="AH129" s="13">
        <f t="shared" si="84"/>
        <v>4.7918327517049164E-7</v>
      </c>
      <c r="AI129" s="13">
        <f t="shared" si="84"/>
        <v>1.4432899320127035E-15</v>
      </c>
      <c r="AJ129" s="13">
        <f t="shared" si="84"/>
        <v>0</v>
      </c>
      <c r="AK129" s="13">
        <f t="shared" si="84"/>
        <v>0</v>
      </c>
      <c r="AL129" s="13">
        <f t="shared" si="84"/>
        <v>0</v>
      </c>
      <c r="AM129" s="13">
        <f t="shared" si="84"/>
        <v>0</v>
      </c>
      <c r="AN129" s="13">
        <f t="shared" si="84"/>
        <v>0</v>
      </c>
      <c r="AO129" s="13">
        <f t="shared" si="84"/>
        <v>0</v>
      </c>
      <c r="AP129" s="13">
        <f t="shared" si="84"/>
        <v>8.5399054709917942E-6</v>
      </c>
      <c r="AQ129" s="13">
        <f t="shared" si="84"/>
        <v>9.6791944680139325E-2</v>
      </c>
      <c r="AR129" s="13">
        <f t="shared" si="84"/>
        <v>0.86726919630146393</v>
      </c>
      <c r="AS129" s="13">
        <f t="shared" si="84"/>
        <v>3.5929839929649154E-2</v>
      </c>
      <c r="AT129" s="13">
        <f t="shared" si="84"/>
        <v>4.7918327517049164E-7</v>
      </c>
      <c r="AU129" s="13">
        <f t="shared" si="84"/>
        <v>1.4432899320127035E-15</v>
      </c>
      <c r="AV129" s="13">
        <f t="shared" si="84"/>
        <v>0</v>
      </c>
      <c r="AW129" s="13">
        <f t="shared" si="84"/>
        <v>0</v>
      </c>
      <c r="AX129" s="13">
        <f t="shared" si="84"/>
        <v>0</v>
      </c>
      <c r="AY129" s="13">
        <f t="shared" si="84"/>
        <v>0</v>
      </c>
      <c r="AZ129" s="13">
        <f t="shared" si="84"/>
        <v>0</v>
      </c>
      <c r="BA129" s="13">
        <f t="shared" si="84"/>
        <v>0</v>
      </c>
      <c r="BB129" s="13">
        <f t="shared" si="84"/>
        <v>8.5399054709917942E-6</v>
      </c>
      <c r="BC129" s="13">
        <f t="shared" si="84"/>
        <v>9.6791944680139325E-2</v>
      </c>
      <c r="BD129" s="13">
        <f t="shared" si="84"/>
        <v>0.86726919630146393</v>
      </c>
      <c r="BE129" s="13">
        <f t="shared" si="84"/>
        <v>3.5929839929649154E-2</v>
      </c>
      <c r="BF129" s="13">
        <f t="shared" si="84"/>
        <v>4.7918327517049164E-7</v>
      </c>
      <c r="BG129" s="13">
        <f t="shared" si="84"/>
        <v>1.4432899320127035E-15</v>
      </c>
      <c r="BH129" s="13">
        <f t="shared" si="84"/>
        <v>0</v>
      </c>
      <c r="BI129" s="13">
        <f t="shared" si="84"/>
        <v>0</v>
      </c>
    </row>
    <row r="130" spans="5:61" x14ac:dyDescent="0.35">
      <c r="E130">
        <f t="shared" si="78"/>
        <v>6</v>
      </c>
      <c r="J130" t="str">
        <f t="shared" si="79"/>
        <v>% des dépôts</v>
      </c>
      <c r="N130" s="13">
        <f t="shared" ref="N130:BI130" si="85">N75</f>
        <v>0</v>
      </c>
      <c r="O130" s="13">
        <f t="shared" si="85"/>
        <v>0</v>
      </c>
      <c r="P130" s="13">
        <f t="shared" si="85"/>
        <v>0</v>
      </c>
      <c r="Q130" s="13">
        <f t="shared" si="85"/>
        <v>0</v>
      </c>
      <c r="R130" s="13">
        <f t="shared" si="85"/>
        <v>0</v>
      </c>
      <c r="S130" s="13">
        <f t="shared" si="85"/>
        <v>5.4125439077038416E-6</v>
      </c>
      <c r="T130" s="13">
        <f t="shared" si="85"/>
        <v>9.6795072041702609E-2</v>
      </c>
      <c r="U130" s="13">
        <f t="shared" si="85"/>
        <v>0.86726919630146393</v>
      </c>
      <c r="V130" s="13">
        <f t="shared" si="85"/>
        <v>3.5929525784773819E-2</v>
      </c>
      <c r="W130" s="13">
        <f t="shared" si="85"/>
        <v>7.9332815050570105E-7</v>
      </c>
      <c r="X130" s="13">
        <f t="shared" si="85"/>
        <v>1.4432899320127035E-15</v>
      </c>
      <c r="Y130" s="13">
        <f t="shared" si="85"/>
        <v>0</v>
      </c>
      <c r="Z130" s="13">
        <f t="shared" si="85"/>
        <v>0</v>
      </c>
      <c r="AA130" s="13">
        <f t="shared" si="85"/>
        <v>0</v>
      </c>
      <c r="AB130" s="13">
        <f t="shared" si="85"/>
        <v>0</v>
      </c>
      <c r="AC130" s="13">
        <f t="shared" si="85"/>
        <v>0</v>
      </c>
      <c r="AD130" s="13">
        <f t="shared" si="85"/>
        <v>0</v>
      </c>
      <c r="AE130" s="13">
        <f t="shared" si="85"/>
        <v>5.4125439077038416E-6</v>
      </c>
      <c r="AF130" s="13">
        <f t="shared" si="85"/>
        <v>9.6795072041702609E-2</v>
      </c>
      <c r="AG130" s="13">
        <f t="shared" si="85"/>
        <v>0.86726919630146393</v>
      </c>
      <c r="AH130" s="13">
        <f t="shared" si="85"/>
        <v>3.5929525784773819E-2</v>
      </c>
      <c r="AI130" s="13">
        <f t="shared" si="85"/>
        <v>7.9332815050570105E-7</v>
      </c>
      <c r="AJ130" s="13">
        <f t="shared" si="85"/>
        <v>1.4432899320127035E-15</v>
      </c>
      <c r="AK130" s="13">
        <f t="shared" si="85"/>
        <v>0</v>
      </c>
      <c r="AL130" s="13">
        <f t="shared" si="85"/>
        <v>0</v>
      </c>
      <c r="AM130" s="13">
        <f t="shared" si="85"/>
        <v>0</v>
      </c>
      <c r="AN130" s="13">
        <f t="shared" si="85"/>
        <v>0</v>
      </c>
      <c r="AO130" s="13">
        <f t="shared" si="85"/>
        <v>0</v>
      </c>
      <c r="AP130" s="13">
        <f t="shared" si="85"/>
        <v>0</v>
      </c>
      <c r="AQ130" s="13">
        <f t="shared" si="85"/>
        <v>5.4125439077038416E-6</v>
      </c>
      <c r="AR130" s="13">
        <f t="shared" si="85"/>
        <v>9.6795072041702609E-2</v>
      </c>
      <c r="AS130" s="13">
        <f t="shared" si="85"/>
        <v>0.86726919630146393</v>
      </c>
      <c r="AT130" s="13">
        <f t="shared" si="85"/>
        <v>3.5929525784773819E-2</v>
      </c>
      <c r="AU130" s="13">
        <f t="shared" si="85"/>
        <v>7.9332815050570105E-7</v>
      </c>
      <c r="AV130" s="13">
        <f t="shared" si="85"/>
        <v>1.4432899320127035E-15</v>
      </c>
      <c r="AW130" s="13">
        <f t="shared" si="85"/>
        <v>0</v>
      </c>
      <c r="AX130" s="13">
        <f t="shared" si="85"/>
        <v>0</v>
      </c>
      <c r="AY130" s="13">
        <f t="shared" si="85"/>
        <v>0</v>
      </c>
      <c r="AZ130" s="13">
        <f t="shared" si="85"/>
        <v>0</v>
      </c>
      <c r="BA130" s="13">
        <f t="shared" si="85"/>
        <v>0</v>
      </c>
      <c r="BB130" s="13">
        <f t="shared" si="85"/>
        <v>0</v>
      </c>
      <c r="BC130" s="13">
        <f t="shared" si="85"/>
        <v>5.4125439077038416E-6</v>
      </c>
      <c r="BD130" s="13">
        <f t="shared" si="85"/>
        <v>9.6795072041702609E-2</v>
      </c>
      <c r="BE130" s="13">
        <f t="shared" si="85"/>
        <v>0.86726919630146393</v>
      </c>
      <c r="BF130" s="13">
        <f t="shared" si="85"/>
        <v>3.5929525784773819E-2</v>
      </c>
      <c r="BG130" s="13">
        <f t="shared" si="85"/>
        <v>7.9332815050570105E-7</v>
      </c>
      <c r="BH130" s="13">
        <f t="shared" si="85"/>
        <v>1.4432899320127035E-15</v>
      </c>
      <c r="BI130" s="13">
        <f t="shared" si="85"/>
        <v>0</v>
      </c>
    </row>
    <row r="131" spans="5:61" x14ac:dyDescent="0.35">
      <c r="E131">
        <f t="shared" si="78"/>
        <v>7</v>
      </c>
      <c r="J131" t="str">
        <f t="shared" si="79"/>
        <v>% des dépôts</v>
      </c>
      <c r="N131" s="13">
        <f t="shared" ref="N131:BI131" si="86">N76</f>
        <v>0</v>
      </c>
      <c r="O131" s="13">
        <f t="shared" si="86"/>
        <v>0</v>
      </c>
      <c r="P131" s="13">
        <f t="shared" si="86"/>
        <v>0</v>
      </c>
      <c r="Q131" s="13">
        <f t="shared" si="86"/>
        <v>0</v>
      </c>
      <c r="R131" s="13">
        <f t="shared" si="86"/>
        <v>0</v>
      </c>
      <c r="S131" s="13">
        <f t="shared" si="86"/>
        <v>0</v>
      </c>
      <c r="T131" s="13">
        <f t="shared" si="86"/>
        <v>8.5399054709917942E-6</v>
      </c>
      <c r="U131" s="13">
        <f t="shared" si="86"/>
        <v>0.11506113031623728</v>
      </c>
      <c r="V131" s="13">
        <f t="shared" si="86"/>
        <v>0.8490000106653659</v>
      </c>
      <c r="W131" s="13">
        <f t="shared" si="86"/>
        <v>3.5929839929649154E-2</v>
      </c>
      <c r="X131" s="13">
        <f t="shared" si="86"/>
        <v>4.7918327517049164E-7</v>
      </c>
      <c r="Y131" s="13">
        <f t="shared" si="86"/>
        <v>1.4432899320127035E-15</v>
      </c>
      <c r="Z131" s="13">
        <f t="shared" si="86"/>
        <v>0</v>
      </c>
      <c r="AA131" s="13">
        <f t="shared" si="86"/>
        <v>0</v>
      </c>
      <c r="AB131" s="13">
        <f t="shared" si="86"/>
        <v>0</v>
      </c>
      <c r="AC131" s="13">
        <f t="shared" si="86"/>
        <v>0</v>
      </c>
      <c r="AD131" s="13">
        <f t="shared" si="86"/>
        <v>0</v>
      </c>
      <c r="AE131" s="13">
        <f t="shared" si="86"/>
        <v>0</v>
      </c>
      <c r="AF131" s="13">
        <f t="shared" si="86"/>
        <v>8.5399054709917942E-6</v>
      </c>
      <c r="AG131" s="13">
        <f t="shared" si="86"/>
        <v>0.11506113031623728</v>
      </c>
      <c r="AH131" s="13">
        <f t="shared" si="86"/>
        <v>0.8490000106653659</v>
      </c>
      <c r="AI131" s="13">
        <f t="shared" si="86"/>
        <v>3.5929839929649154E-2</v>
      </c>
      <c r="AJ131" s="13">
        <f t="shared" si="86"/>
        <v>4.7918327517049164E-7</v>
      </c>
      <c r="AK131" s="13">
        <f t="shared" si="86"/>
        <v>1.4432899320127035E-15</v>
      </c>
      <c r="AL131" s="13">
        <f t="shared" si="86"/>
        <v>0</v>
      </c>
      <c r="AM131" s="13">
        <f t="shared" si="86"/>
        <v>0</v>
      </c>
      <c r="AN131" s="13">
        <f t="shared" si="86"/>
        <v>0</v>
      </c>
      <c r="AO131" s="13">
        <f t="shared" si="86"/>
        <v>0</v>
      </c>
      <c r="AP131" s="13">
        <f t="shared" si="86"/>
        <v>0</v>
      </c>
      <c r="AQ131" s="13">
        <f t="shared" si="86"/>
        <v>0</v>
      </c>
      <c r="AR131" s="13">
        <f t="shared" si="86"/>
        <v>8.5399054709917942E-6</v>
      </c>
      <c r="AS131" s="13">
        <f t="shared" si="86"/>
        <v>0.11506113031623728</v>
      </c>
      <c r="AT131" s="13">
        <f t="shared" si="86"/>
        <v>0.8490000106653659</v>
      </c>
      <c r="AU131" s="13">
        <f t="shared" si="86"/>
        <v>3.5929839929649154E-2</v>
      </c>
      <c r="AV131" s="13">
        <f t="shared" si="86"/>
        <v>4.7918327517049164E-7</v>
      </c>
      <c r="AW131" s="13">
        <f t="shared" si="86"/>
        <v>1.4432899320127035E-15</v>
      </c>
      <c r="AX131" s="13">
        <f t="shared" si="86"/>
        <v>0</v>
      </c>
      <c r="AY131" s="13">
        <f t="shared" si="86"/>
        <v>0</v>
      </c>
      <c r="AZ131" s="13">
        <f t="shared" si="86"/>
        <v>0</v>
      </c>
      <c r="BA131" s="13">
        <f t="shared" si="86"/>
        <v>0</v>
      </c>
      <c r="BB131" s="13">
        <f t="shared" si="86"/>
        <v>0</v>
      </c>
      <c r="BC131" s="13">
        <f t="shared" si="86"/>
        <v>0</v>
      </c>
      <c r="BD131" s="13">
        <f t="shared" si="86"/>
        <v>8.5399054709917942E-6</v>
      </c>
      <c r="BE131" s="13">
        <f t="shared" si="86"/>
        <v>0.11506113031623728</v>
      </c>
      <c r="BF131" s="13">
        <f t="shared" si="86"/>
        <v>0.8490000106653659</v>
      </c>
      <c r="BG131" s="13">
        <f t="shared" si="86"/>
        <v>3.5929839929649154E-2</v>
      </c>
      <c r="BH131" s="13">
        <f t="shared" si="86"/>
        <v>4.7918327517049164E-7</v>
      </c>
      <c r="BI131" s="13">
        <f t="shared" si="86"/>
        <v>1.4432899320127035E-15</v>
      </c>
    </row>
    <row r="132" spans="5:61" x14ac:dyDescent="0.35">
      <c r="E132">
        <f t="shared" si="78"/>
        <v>8</v>
      </c>
      <c r="J132" t="str">
        <f t="shared" si="79"/>
        <v>% des dépôts</v>
      </c>
      <c r="N132" s="13">
        <f t="shared" ref="N132:BI132" si="87">N77</f>
        <v>0</v>
      </c>
      <c r="O132" s="13">
        <f t="shared" si="87"/>
        <v>0</v>
      </c>
      <c r="P132" s="13">
        <f t="shared" si="87"/>
        <v>0</v>
      </c>
      <c r="Q132" s="13">
        <f t="shared" si="87"/>
        <v>0</v>
      </c>
      <c r="R132" s="13">
        <f t="shared" si="87"/>
        <v>0</v>
      </c>
      <c r="S132" s="13">
        <f t="shared" si="87"/>
        <v>0</v>
      </c>
      <c r="T132" s="13">
        <f t="shared" si="87"/>
        <v>0</v>
      </c>
      <c r="U132" s="13">
        <f t="shared" si="87"/>
        <v>8.5399054709917942E-6</v>
      </c>
      <c r="V132" s="13">
        <f t="shared" si="87"/>
        <v>9.6791944680139325E-2</v>
      </c>
      <c r="W132" s="13">
        <f t="shared" si="87"/>
        <v>0.86726919630146393</v>
      </c>
      <c r="X132" s="13">
        <f t="shared" si="87"/>
        <v>3.5929525784773819E-2</v>
      </c>
      <c r="Y132" s="13">
        <f t="shared" si="87"/>
        <v>7.9332815050570105E-7</v>
      </c>
      <c r="Z132" s="13">
        <f t="shared" si="87"/>
        <v>1.4432899320127035E-15</v>
      </c>
      <c r="AA132" s="13">
        <f t="shared" si="87"/>
        <v>0</v>
      </c>
      <c r="AB132" s="13">
        <f t="shared" si="87"/>
        <v>0</v>
      </c>
      <c r="AC132" s="13">
        <f t="shared" si="87"/>
        <v>0</v>
      </c>
      <c r="AD132" s="13">
        <f t="shared" si="87"/>
        <v>0</v>
      </c>
      <c r="AE132" s="13">
        <f t="shared" si="87"/>
        <v>0</v>
      </c>
      <c r="AF132" s="13">
        <f t="shared" si="87"/>
        <v>0</v>
      </c>
      <c r="AG132" s="13">
        <f t="shared" si="87"/>
        <v>8.5399054709917942E-6</v>
      </c>
      <c r="AH132" s="13">
        <f t="shared" si="87"/>
        <v>9.6791944680139325E-2</v>
      </c>
      <c r="AI132" s="13">
        <f t="shared" si="87"/>
        <v>0.86726919630146393</v>
      </c>
      <c r="AJ132" s="13">
        <f t="shared" si="87"/>
        <v>3.5929525784773819E-2</v>
      </c>
      <c r="AK132" s="13">
        <f t="shared" si="87"/>
        <v>7.9332815050570105E-7</v>
      </c>
      <c r="AL132" s="13">
        <f t="shared" si="87"/>
        <v>1.4432899320127035E-15</v>
      </c>
      <c r="AM132" s="13">
        <f t="shared" si="87"/>
        <v>0</v>
      </c>
      <c r="AN132" s="13">
        <f t="shared" si="87"/>
        <v>0</v>
      </c>
      <c r="AO132" s="13">
        <f t="shared" si="87"/>
        <v>0</v>
      </c>
      <c r="AP132" s="13">
        <f t="shared" si="87"/>
        <v>0</v>
      </c>
      <c r="AQ132" s="13">
        <f t="shared" si="87"/>
        <v>0</v>
      </c>
      <c r="AR132" s="13">
        <f t="shared" si="87"/>
        <v>0</v>
      </c>
      <c r="AS132" s="13">
        <f t="shared" si="87"/>
        <v>8.5399054709917942E-6</v>
      </c>
      <c r="AT132" s="13">
        <f t="shared" si="87"/>
        <v>9.6791944680139325E-2</v>
      </c>
      <c r="AU132" s="13">
        <f t="shared" si="87"/>
        <v>0.86726919630146393</v>
      </c>
      <c r="AV132" s="13">
        <f t="shared" si="87"/>
        <v>3.5929525784773819E-2</v>
      </c>
      <c r="AW132" s="13">
        <f t="shared" si="87"/>
        <v>7.9332815050570105E-7</v>
      </c>
      <c r="AX132" s="13">
        <f t="shared" si="87"/>
        <v>1.4432899320127035E-15</v>
      </c>
      <c r="AY132" s="13">
        <f t="shared" si="87"/>
        <v>0</v>
      </c>
      <c r="AZ132" s="13">
        <f t="shared" si="87"/>
        <v>0</v>
      </c>
      <c r="BA132" s="13">
        <f t="shared" si="87"/>
        <v>0</v>
      </c>
      <c r="BB132" s="13">
        <f t="shared" si="87"/>
        <v>0</v>
      </c>
      <c r="BC132" s="13">
        <f t="shared" si="87"/>
        <v>0</v>
      </c>
      <c r="BD132" s="13">
        <f t="shared" si="87"/>
        <v>0</v>
      </c>
      <c r="BE132" s="13">
        <f t="shared" si="87"/>
        <v>8.5399054709917942E-6</v>
      </c>
      <c r="BF132" s="13">
        <f t="shared" si="87"/>
        <v>9.6791944680139325E-2</v>
      </c>
      <c r="BG132" s="13">
        <f t="shared" si="87"/>
        <v>0.86726919630146393</v>
      </c>
      <c r="BH132" s="13">
        <f t="shared" si="87"/>
        <v>3.5929525784773819E-2</v>
      </c>
      <c r="BI132" s="13">
        <f t="shared" si="87"/>
        <v>7.9332815050570105E-7</v>
      </c>
    </row>
    <row r="133" spans="5:61" x14ac:dyDescent="0.35">
      <c r="E133">
        <f t="shared" si="78"/>
        <v>9</v>
      </c>
      <c r="J133" t="str">
        <f t="shared" si="79"/>
        <v>% des dépôts</v>
      </c>
      <c r="N133" s="13">
        <f t="shared" ref="N133:BI133" si="88">N78</f>
        <v>0</v>
      </c>
      <c r="O133" s="13">
        <f t="shared" si="88"/>
        <v>0</v>
      </c>
      <c r="P133" s="13">
        <f t="shared" si="88"/>
        <v>0</v>
      </c>
      <c r="Q133" s="13">
        <f t="shared" si="88"/>
        <v>0</v>
      </c>
      <c r="R133" s="13">
        <f t="shared" si="88"/>
        <v>0</v>
      </c>
      <c r="S133" s="13">
        <f t="shared" si="88"/>
        <v>0</v>
      </c>
      <c r="T133" s="13">
        <f t="shared" si="88"/>
        <v>0</v>
      </c>
      <c r="U133" s="13">
        <f t="shared" si="88"/>
        <v>0</v>
      </c>
      <c r="V133" s="13">
        <f t="shared" si="88"/>
        <v>5.4125439077038416E-6</v>
      </c>
      <c r="W133" s="13">
        <f t="shared" si="88"/>
        <v>9.6795072041702609E-2</v>
      </c>
      <c r="X133" s="13">
        <f t="shared" si="88"/>
        <v>0.85863405265584669</v>
      </c>
      <c r="Y133" s="13">
        <f t="shared" si="88"/>
        <v>4.4564669430391057E-2</v>
      </c>
      <c r="Z133" s="13">
        <f t="shared" si="88"/>
        <v>7.9332815050570105E-7</v>
      </c>
      <c r="AA133" s="13">
        <f t="shared" si="88"/>
        <v>1.4432899320127035E-15</v>
      </c>
      <c r="AB133" s="13">
        <f t="shared" si="88"/>
        <v>0</v>
      </c>
      <c r="AC133" s="13">
        <f t="shared" si="88"/>
        <v>0</v>
      </c>
      <c r="AD133" s="13">
        <f t="shared" si="88"/>
        <v>0</v>
      </c>
      <c r="AE133" s="13">
        <f t="shared" si="88"/>
        <v>0</v>
      </c>
      <c r="AF133" s="13">
        <f t="shared" si="88"/>
        <v>0</v>
      </c>
      <c r="AG133" s="13">
        <f t="shared" si="88"/>
        <v>0</v>
      </c>
      <c r="AH133" s="13">
        <f t="shared" si="88"/>
        <v>5.4125439077038416E-6</v>
      </c>
      <c r="AI133" s="13">
        <f t="shared" si="88"/>
        <v>9.6795072041702609E-2</v>
      </c>
      <c r="AJ133" s="13">
        <f t="shared" si="88"/>
        <v>0.85863405265584669</v>
      </c>
      <c r="AK133" s="13">
        <f t="shared" si="88"/>
        <v>4.4564669430391057E-2</v>
      </c>
      <c r="AL133" s="13">
        <f t="shared" si="88"/>
        <v>7.9332815050570105E-7</v>
      </c>
      <c r="AM133" s="13">
        <f t="shared" si="88"/>
        <v>1.4432899320127035E-15</v>
      </c>
      <c r="AN133" s="13">
        <f t="shared" si="88"/>
        <v>0</v>
      </c>
      <c r="AO133" s="13">
        <f t="shared" si="88"/>
        <v>0</v>
      </c>
      <c r="AP133" s="13">
        <f t="shared" si="88"/>
        <v>0</v>
      </c>
      <c r="AQ133" s="13">
        <f t="shared" si="88"/>
        <v>0</v>
      </c>
      <c r="AR133" s="13">
        <f t="shared" si="88"/>
        <v>0</v>
      </c>
      <c r="AS133" s="13">
        <f t="shared" si="88"/>
        <v>0</v>
      </c>
      <c r="AT133" s="13">
        <f t="shared" si="88"/>
        <v>5.4125439077038416E-6</v>
      </c>
      <c r="AU133" s="13">
        <f t="shared" si="88"/>
        <v>9.6795072041702609E-2</v>
      </c>
      <c r="AV133" s="13">
        <f t="shared" si="88"/>
        <v>0.85863405265584669</v>
      </c>
      <c r="AW133" s="13">
        <f t="shared" si="88"/>
        <v>4.4564669430391057E-2</v>
      </c>
      <c r="AX133" s="13">
        <f t="shared" si="88"/>
        <v>7.9332815050570105E-7</v>
      </c>
      <c r="AY133" s="13">
        <f t="shared" si="88"/>
        <v>1.4432899320127035E-15</v>
      </c>
      <c r="AZ133" s="13">
        <f t="shared" si="88"/>
        <v>0</v>
      </c>
      <c r="BA133" s="13">
        <f t="shared" si="88"/>
        <v>0</v>
      </c>
      <c r="BB133" s="13">
        <f t="shared" si="88"/>
        <v>0</v>
      </c>
      <c r="BC133" s="13">
        <f t="shared" si="88"/>
        <v>0</v>
      </c>
      <c r="BD133" s="13">
        <f t="shared" si="88"/>
        <v>0</v>
      </c>
      <c r="BE133" s="13">
        <f t="shared" si="88"/>
        <v>0</v>
      </c>
      <c r="BF133" s="13">
        <f t="shared" si="88"/>
        <v>5.4125439077038416E-6</v>
      </c>
      <c r="BG133" s="13">
        <f t="shared" si="88"/>
        <v>9.6795072041702609E-2</v>
      </c>
      <c r="BH133" s="13">
        <f t="shared" si="88"/>
        <v>0.85863405265584669</v>
      </c>
      <c r="BI133" s="13">
        <f t="shared" si="88"/>
        <v>4.4564669430391057E-2</v>
      </c>
    </row>
    <row r="134" spans="5:61" x14ac:dyDescent="0.35">
      <c r="E134">
        <f t="shared" si="78"/>
        <v>10</v>
      </c>
      <c r="J134" t="str">
        <f t="shared" si="79"/>
        <v>% des dépôts</v>
      </c>
      <c r="N134" s="13">
        <f t="shared" ref="N134:BI134" si="89">N79</f>
        <v>0</v>
      </c>
      <c r="O134" s="13">
        <f t="shared" si="89"/>
        <v>0</v>
      </c>
      <c r="P134" s="13">
        <f t="shared" si="89"/>
        <v>0</v>
      </c>
      <c r="Q134" s="13">
        <f t="shared" si="89"/>
        <v>0</v>
      </c>
      <c r="R134" s="13">
        <f t="shared" si="89"/>
        <v>0</v>
      </c>
      <c r="S134" s="13">
        <f t="shared" si="89"/>
        <v>0</v>
      </c>
      <c r="T134" s="13">
        <f t="shared" si="89"/>
        <v>0</v>
      </c>
      <c r="U134" s="13">
        <f t="shared" si="89"/>
        <v>0</v>
      </c>
      <c r="V134" s="13">
        <f t="shared" si="89"/>
        <v>0</v>
      </c>
      <c r="W134" s="13">
        <f t="shared" si="89"/>
        <v>8.5399054709917942E-6</v>
      </c>
      <c r="X134" s="13">
        <f t="shared" si="89"/>
        <v>9.6791944680139325E-2</v>
      </c>
      <c r="Y134" s="13">
        <f t="shared" si="89"/>
        <v>0.86726919630146393</v>
      </c>
      <c r="Z134" s="13">
        <f t="shared" si="89"/>
        <v>3.5929839929649154E-2</v>
      </c>
      <c r="AA134" s="13">
        <f t="shared" si="89"/>
        <v>4.7918326984142112E-7</v>
      </c>
      <c r="AB134" s="13">
        <f t="shared" si="89"/>
        <v>6.7723604502134549E-15</v>
      </c>
      <c r="AC134" s="13">
        <f t="shared" si="89"/>
        <v>0</v>
      </c>
      <c r="AD134" s="13">
        <f t="shared" si="89"/>
        <v>0</v>
      </c>
      <c r="AE134" s="13">
        <f t="shared" si="89"/>
        <v>0</v>
      </c>
      <c r="AF134" s="13">
        <f t="shared" si="89"/>
        <v>0</v>
      </c>
      <c r="AG134" s="13">
        <f t="shared" si="89"/>
        <v>0</v>
      </c>
      <c r="AH134" s="13">
        <f t="shared" si="89"/>
        <v>0</v>
      </c>
      <c r="AI134" s="13">
        <f t="shared" si="89"/>
        <v>8.5399054709917942E-6</v>
      </c>
      <c r="AJ134" s="13">
        <f t="shared" si="89"/>
        <v>9.6791944680139325E-2</v>
      </c>
      <c r="AK134" s="13">
        <f t="shared" si="89"/>
        <v>0.86726919630146393</v>
      </c>
      <c r="AL134" s="13">
        <f t="shared" si="89"/>
        <v>3.5929839929649154E-2</v>
      </c>
      <c r="AM134" s="13">
        <f t="shared" si="89"/>
        <v>4.7918326984142112E-7</v>
      </c>
      <c r="AN134" s="13">
        <f t="shared" si="89"/>
        <v>6.7723604502134549E-15</v>
      </c>
      <c r="AO134" s="13">
        <f t="shared" si="89"/>
        <v>0</v>
      </c>
      <c r="AP134" s="13">
        <f t="shared" si="89"/>
        <v>0</v>
      </c>
      <c r="AQ134" s="13">
        <f t="shared" si="89"/>
        <v>0</v>
      </c>
      <c r="AR134" s="13">
        <f t="shared" si="89"/>
        <v>0</v>
      </c>
      <c r="AS134" s="13">
        <f t="shared" si="89"/>
        <v>0</v>
      </c>
      <c r="AT134" s="13">
        <f t="shared" si="89"/>
        <v>0</v>
      </c>
      <c r="AU134" s="13">
        <f t="shared" si="89"/>
        <v>8.5399054709917942E-6</v>
      </c>
      <c r="AV134" s="13">
        <f t="shared" si="89"/>
        <v>9.6791944680139325E-2</v>
      </c>
      <c r="AW134" s="13">
        <f t="shared" si="89"/>
        <v>0.86726919630146393</v>
      </c>
      <c r="AX134" s="13">
        <f t="shared" si="89"/>
        <v>3.5929839929649154E-2</v>
      </c>
      <c r="AY134" s="13">
        <f t="shared" si="89"/>
        <v>4.7918326984142112E-7</v>
      </c>
      <c r="AZ134" s="13">
        <f t="shared" si="89"/>
        <v>6.7723604502134549E-15</v>
      </c>
      <c r="BA134" s="13">
        <f t="shared" si="89"/>
        <v>0</v>
      </c>
      <c r="BB134" s="13">
        <f t="shared" si="89"/>
        <v>0</v>
      </c>
      <c r="BC134" s="13">
        <f t="shared" si="89"/>
        <v>0</v>
      </c>
      <c r="BD134" s="13">
        <f t="shared" si="89"/>
        <v>0</v>
      </c>
      <c r="BE134" s="13">
        <f t="shared" si="89"/>
        <v>0</v>
      </c>
      <c r="BF134" s="13">
        <f t="shared" si="89"/>
        <v>0</v>
      </c>
      <c r="BG134" s="13">
        <f t="shared" si="89"/>
        <v>8.5399054709917942E-6</v>
      </c>
      <c r="BH134" s="13">
        <f t="shared" si="89"/>
        <v>9.6791944680139325E-2</v>
      </c>
      <c r="BI134" s="13">
        <f t="shared" si="89"/>
        <v>0.86726919630146393</v>
      </c>
    </row>
    <row r="135" spans="5:61" x14ac:dyDescent="0.35">
      <c r="E135">
        <f t="shared" si="78"/>
        <v>11</v>
      </c>
      <c r="J135" t="str">
        <f t="shared" si="79"/>
        <v>% des dépôts</v>
      </c>
      <c r="N135" s="13">
        <f t="shared" ref="N135:BI135" si="90">N80</f>
        <v>0</v>
      </c>
      <c r="O135" s="13">
        <f t="shared" si="90"/>
        <v>0</v>
      </c>
      <c r="P135" s="13">
        <f t="shared" si="90"/>
        <v>0</v>
      </c>
      <c r="Q135" s="13">
        <f t="shared" si="90"/>
        <v>0</v>
      </c>
      <c r="R135" s="13">
        <f t="shared" si="90"/>
        <v>0</v>
      </c>
      <c r="S135" s="13">
        <f t="shared" si="90"/>
        <v>0</v>
      </c>
      <c r="T135" s="13">
        <f t="shared" si="90"/>
        <v>0</v>
      </c>
      <c r="U135" s="13">
        <f t="shared" si="90"/>
        <v>0</v>
      </c>
      <c r="V135" s="13">
        <f t="shared" si="90"/>
        <v>0</v>
      </c>
      <c r="W135" s="13">
        <f t="shared" si="90"/>
        <v>0</v>
      </c>
      <c r="X135" s="13">
        <f t="shared" si="90"/>
        <v>5.4125439077038416E-6</v>
      </c>
      <c r="Y135" s="13">
        <f t="shared" si="90"/>
        <v>9.6795072041702609E-2</v>
      </c>
      <c r="Z135" s="13">
        <f t="shared" si="90"/>
        <v>0.86726919630146393</v>
      </c>
      <c r="AA135" s="13">
        <f t="shared" si="90"/>
        <v>3.5928206658223272E-2</v>
      </c>
      <c r="AB135" s="13">
        <f t="shared" si="90"/>
        <v>2.1124546957240753E-6</v>
      </c>
      <c r="AC135" s="13">
        <f t="shared" si="90"/>
        <v>6.7723604502134549E-15</v>
      </c>
      <c r="AD135" s="13">
        <f t="shared" si="90"/>
        <v>0</v>
      </c>
      <c r="AE135" s="13">
        <f t="shared" si="90"/>
        <v>0</v>
      </c>
      <c r="AF135" s="13">
        <f t="shared" si="90"/>
        <v>0</v>
      </c>
      <c r="AG135" s="13">
        <f t="shared" si="90"/>
        <v>0</v>
      </c>
      <c r="AH135" s="13">
        <f t="shared" si="90"/>
        <v>0</v>
      </c>
      <c r="AI135" s="13">
        <f t="shared" si="90"/>
        <v>0</v>
      </c>
      <c r="AJ135" s="13">
        <f t="shared" si="90"/>
        <v>5.4125439077038416E-6</v>
      </c>
      <c r="AK135" s="13">
        <f t="shared" si="90"/>
        <v>9.6795072041702609E-2</v>
      </c>
      <c r="AL135" s="13">
        <f t="shared" si="90"/>
        <v>0.86726919630146393</v>
      </c>
      <c r="AM135" s="13">
        <f t="shared" si="90"/>
        <v>3.5928206658223272E-2</v>
      </c>
      <c r="AN135" s="13">
        <f t="shared" si="90"/>
        <v>2.1124546957240753E-6</v>
      </c>
      <c r="AO135" s="13">
        <f t="shared" si="90"/>
        <v>6.7723604502134549E-15</v>
      </c>
      <c r="AP135" s="13">
        <f t="shared" si="90"/>
        <v>0</v>
      </c>
      <c r="AQ135" s="13">
        <f t="shared" si="90"/>
        <v>0</v>
      </c>
      <c r="AR135" s="13">
        <f t="shared" si="90"/>
        <v>0</v>
      </c>
      <c r="AS135" s="13">
        <f t="shared" si="90"/>
        <v>0</v>
      </c>
      <c r="AT135" s="13">
        <f t="shared" si="90"/>
        <v>0</v>
      </c>
      <c r="AU135" s="13">
        <f t="shared" si="90"/>
        <v>0</v>
      </c>
      <c r="AV135" s="13">
        <f t="shared" si="90"/>
        <v>5.4125439077038416E-6</v>
      </c>
      <c r="AW135" s="13">
        <f t="shared" si="90"/>
        <v>9.6795072041702609E-2</v>
      </c>
      <c r="AX135" s="13">
        <f t="shared" si="90"/>
        <v>0.86726919630146393</v>
      </c>
      <c r="AY135" s="13">
        <f t="shared" si="90"/>
        <v>3.5928206658223272E-2</v>
      </c>
      <c r="AZ135" s="13">
        <f t="shared" si="90"/>
        <v>2.1124546957240753E-6</v>
      </c>
      <c r="BA135" s="13">
        <f t="shared" si="90"/>
        <v>6.7723604502134549E-15</v>
      </c>
      <c r="BB135" s="13">
        <f t="shared" si="90"/>
        <v>0</v>
      </c>
      <c r="BC135" s="13">
        <f t="shared" si="90"/>
        <v>0</v>
      </c>
      <c r="BD135" s="13">
        <f t="shared" si="90"/>
        <v>0</v>
      </c>
      <c r="BE135" s="13">
        <f t="shared" si="90"/>
        <v>0</v>
      </c>
      <c r="BF135" s="13">
        <f t="shared" si="90"/>
        <v>0</v>
      </c>
      <c r="BG135" s="13">
        <f t="shared" si="90"/>
        <v>0</v>
      </c>
      <c r="BH135" s="13">
        <f t="shared" si="90"/>
        <v>5.4125439077038416E-6</v>
      </c>
      <c r="BI135" s="13">
        <f t="shared" si="90"/>
        <v>9.6795072041702609E-2</v>
      </c>
    </row>
    <row r="136" spans="5:61" x14ac:dyDescent="0.35">
      <c r="E136">
        <f t="shared" si="78"/>
        <v>12</v>
      </c>
      <c r="J136" t="str">
        <f t="shared" si="79"/>
        <v>% des dépôts</v>
      </c>
      <c r="N136" s="13">
        <f t="shared" ref="N136:BI136" si="91">N81</f>
        <v>0</v>
      </c>
      <c r="O136" s="13">
        <f t="shared" si="91"/>
        <v>0</v>
      </c>
      <c r="P136" s="13">
        <f t="shared" si="91"/>
        <v>0</v>
      </c>
      <c r="Q136" s="13">
        <f t="shared" si="91"/>
        <v>0</v>
      </c>
      <c r="R136" s="13">
        <f t="shared" si="91"/>
        <v>0</v>
      </c>
      <c r="S136" s="13">
        <f t="shared" si="91"/>
        <v>0</v>
      </c>
      <c r="T136" s="13">
        <f t="shared" si="91"/>
        <v>0</v>
      </c>
      <c r="U136" s="13">
        <f t="shared" si="91"/>
        <v>0</v>
      </c>
      <c r="V136" s="13">
        <f t="shared" si="91"/>
        <v>0</v>
      </c>
      <c r="W136" s="13">
        <f t="shared" si="91"/>
        <v>0</v>
      </c>
      <c r="X136" s="13">
        <f t="shared" si="91"/>
        <v>0</v>
      </c>
      <c r="Y136" s="13">
        <f t="shared" si="91"/>
        <v>8.5399054709917942E-6</v>
      </c>
      <c r="Z136" s="13">
        <f t="shared" si="91"/>
        <v>0.11506113031623728</v>
      </c>
      <c r="AA136" s="13">
        <f t="shared" si="91"/>
        <v>0.83013103807873367</v>
      </c>
      <c r="AB136" s="13">
        <f t="shared" si="91"/>
        <v>5.4797990892104131E-2</v>
      </c>
      <c r="AC136" s="13">
        <f t="shared" si="91"/>
        <v>1.3008074470910458E-6</v>
      </c>
      <c r="AD136" s="13">
        <f t="shared" si="91"/>
        <v>6.7723604502134549E-15</v>
      </c>
      <c r="AE136" s="13">
        <f t="shared" si="91"/>
        <v>0</v>
      </c>
      <c r="AF136" s="13">
        <f t="shared" si="91"/>
        <v>0</v>
      </c>
      <c r="AG136" s="13">
        <f t="shared" si="91"/>
        <v>0</v>
      </c>
      <c r="AH136" s="13">
        <f t="shared" si="91"/>
        <v>0</v>
      </c>
      <c r="AI136" s="13">
        <f t="shared" si="91"/>
        <v>0</v>
      </c>
      <c r="AJ136" s="13">
        <f t="shared" si="91"/>
        <v>0</v>
      </c>
      <c r="AK136" s="13">
        <f t="shared" si="91"/>
        <v>8.5399054709917942E-6</v>
      </c>
      <c r="AL136" s="13">
        <f t="shared" si="91"/>
        <v>0.11506113031623728</v>
      </c>
      <c r="AM136" s="13">
        <f t="shared" si="91"/>
        <v>0.83013103807873367</v>
      </c>
      <c r="AN136" s="13">
        <f t="shared" si="91"/>
        <v>5.4797990892104131E-2</v>
      </c>
      <c r="AO136" s="13">
        <f t="shared" si="91"/>
        <v>1.3008074470910458E-6</v>
      </c>
      <c r="AP136" s="13">
        <f t="shared" si="91"/>
        <v>6.7723604502134549E-15</v>
      </c>
      <c r="AQ136" s="13">
        <f t="shared" si="91"/>
        <v>0</v>
      </c>
      <c r="AR136" s="13">
        <f t="shared" si="91"/>
        <v>0</v>
      </c>
      <c r="AS136" s="13">
        <f t="shared" si="91"/>
        <v>0</v>
      </c>
      <c r="AT136" s="13">
        <f t="shared" si="91"/>
        <v>0</v>
      </c>
      <c r="AU136" s="13">
        <f t="shared" si="91"/>
        <v>0</v>
      </c>
      <c r="AV136" s="13">
        <f t="shared" si="91"/>
        <v>0</v>
      </c>
      <c r="AW136" s="13">
        <f t="shared" si="91"/>
        <v>8.5399054709917942E-6</v>
      </c>
      <c r="AX136" s="13">
        <f t="shared" si="91"/>
        <v>0.11506113031623728</v>
      </c>
      <c r="AY136" s="13">
        <f t="shared" si="91"/>
        <v>0.83013103807873367</v>
      </c>
      <c r="AZ136" s="13">
        <f t="shared" si="91"/>
        <v>5.4797990892104131E-2</v>
      </c>
      <c r="BA136" s="13">
        <f t="shared" si="91"/>
        <v>1.3008074470910458E-6</v>
      </c>
      <c r="BB136" s="13">
        <f t="shared" si="91"/>
        <v>6.7723604502134549E-15</v>
      </c>
      <c r="BC136" s="13">
        <f t="shared" si="91"/>
        <v>0</v>
      </c>
      <c r="BD136" s="13">
        <f t="shared" si="91"/>
        <v>0</v>
      </c>
      <c r="BE136" s="13">
        <f t="shared" si="91"/>
        <v>0</v>
      </c>
      <c r="BF136" s="13">
        <f t="shared" si="91"/>
        <v>0</v>
      </c>
      <c r="BG136" s="13">
        <f t="shared" si="91"/>
        <v>0</v>
      </c>
      <c r="BH136" s="13">
        <f t="shared" si="91"/>
        <v>0</v>
      </c>
      <c r="BI136" s="13">
        <f t="shared" si="91"/>
        <v>8.5399054709917942E-6</v>
      </c>
    </row>
    <row r="138" spans="5:61" x14ac:dyDescent="0.35">
      <c r="E138">
        <v>1</v>
      </c>
      <c r="J138" t="s">
        <v>50</v>
      </c>
      <c r="N138" s="41">
        <f t="shared" ref="N138:BI138" si="92">IFERROR(INDEX($N$110:$BI$110,1,MATCH(N112,$N$109:$BI$109,0)),0)</f>
        <v>0</v>
      </c>
      <c r="O138" s="41">
        <f t="shared" si="92"/>
        <v>0</v>
      </c>
      <c r="P138" s="41">
        <f t="shared" si="92"/>
        <v>0</v>
      </c>
      <c r="Q138" s="41">
        <f t="shared" si="92"/>
        <v>0</v>
      </c>
      <c r="R138" s="41">
        <f t="shared" si="92"/>
        <v>0</v>
      </c>
      <c r="S138" s="41">
        <f t="shared" si="92"/>
        <v>0</v>
      </c>
      <c r="T138" s="41">
        <f t="shared" si="92"/>
        <v>0</v>
      </c>
      <c r="U138" s="41">
        <f t="shared" si="92"/>
        <v>0</v>
      </c>
      <c r="V138" s="41">
        <f t="shared" si="92"/>
        <v>0</v>
      </c>
      <c r="W138" s="41">
        <f t="shared" si="92"/>
        <v>0</v>
      </c>
      <c r="X138" s="41">
        <f t="shared" si="92"/>
        <v>0</v>
      </c>
      <c r="Y138" s="41">
        <f t="shared" si="92"/>
        <v>0</v>
      </c>
      <c r="Z138" s="41">
        <f t="shared" si="92"/>
        <v>269.48472000000004</v>
      </c>
      <c r="AA138" s="41">
        <f t="shared" si="92"/>
        <v>269.48472000000004</v>
      </c>
      <c r="AB138" s="41">
        <f t="shared" si="92"/>
        <v>269.48472000000004</v>
      </c>
      <c r="AC138" s="41">
        <f t="shared" si="92"/>
        <v>269.48472000000004</v>
      </c>
      <c r="AD138" s="41">
        <f t="shared" si="92"/>
        <v>269.48472000000004</v>
      </c>
      <c r="AE138" s="41">
        <f t="shared" si="92"/>
        <v>269.48472000000004</v>
      </c>
      <c r="AF138" s="41">
        <f t="shared" si="92"/>
        <v>269.48472000000004</v>
      </c>
      <c r="AG138" s="41">
        <f t="shared" si="92"/>
        <v>269.48472000000004</v>
      </c>
      <c r="AH138" s="41">
        <f t="shared" si="92"/>
        <v>269.48472000000004</v>
      </c>
      <c r="AI138" s="41">
        <f t="shared" si="92"/>
        <v>269.48472000000004</v>
      </c>
      <c r="AJ138" s="41">
        <f t="shared" si="92"/>
        <v>269.48472000000004</v>
      </c>
      <c r="AK138" s="41">
        <f t="shared" si="92"/>
        <v>269.48472000000004</v>
      </c>
      <c r="AL138" s="41">
        <f t="shared" si="92"/>
        <v>525.58875466425775</v>
      </c>
      <c r="AM138" s="41">
        <f t="shared" si="92"/>
        <v>525.58875466425775</v>
      </c>
      <c r="AN138" s="41">
        <f t="shared" si="92"/>
        <v>525.58875466425775</v>
      </c>
      <c r="AO138" s="41">
        <f t="shared" si="92"/>
        <v>525.58875466425775</v>
      </c>
      <c r="AP138" s="41">
        <f t="shared" si="92"/>
        <v>525.58875466425775</v>
      </c>
      <c r="AQ138" s="41">
        <f t="shared" si="92"/>
        <v>525.58875466425775</v>
      </c>
      <c r="AR138" s="41">
        <f t="shared" si="92"/>
        <v>525.58875466425775</v>
      </c>
      <c r="AS138" s="41">
        <f t="shared" si="92"/>
        <v>525.58875466425775</v>
      </c>
      <c r="AT138" s="41">
        <f t="shared" si="92"/>
        <v>525.58875466425775</v>
      </c>
      <c r="AU138" s="41">
        <f t="shared" si="92"/>
        <v>525.58875466425775</v>
      </c>
      <c r="AV138" s="41">
        <f t="shared" si="92"/>
        <v>525.58875466425775</v>
      </c>
      <c r="AW138" s="41">
        <f t="shared" si="92"/>
        <v>525.58875466425775</v>
      </c>
      <c r="AX138" s="41">
        <f t="shared" si="92"/>
        <v>582.79440036137134</v>
      </c>
      <c r="AY138" s="41">
        <f t="shared" si="92"/>
        <v>582.79440036137134</v>
      </c>
      <c r="AZ138" s="41">
        <f t="shared" si="92"/>
        <v>582.79440036137134</v>
      </c>
      <c r="BA138" s="41">
        <f t="shared" si="92"/>
        <v>582.79440036137134</v>
      </c>
      <c r="BB138" s="41">
        <f t="shared" si="92"/>
        <v>582.79440036137134</v>
      </c>
      <c r="BC138" s="41">
        <f t="shared" si="92"/>
        <v>582.79440036137134</v>
      </c>
      <c r="BD138" s="41">
        <f t="shared" si="92"/>
        <v>582.79440036137134</v>
      </c>
      <c r="BE138" s="41">
        <f t="shared" si="92"/>
        <v>582.79440036137134</v>
      </c>
      <c r="BF138" s="41">
        <f t="shared" si="92"/>
        <v>582.79440036137134</v>
      </c>
      <c r="BG138" s="41">
        <f t="shared" si="92"/>
        <v>582.79440036137134</v>
      </c>
      <c r="BH138" s="41">
        <f t="shared" si="92"/>
        <v>582.79440036137134</v>
      </c>
      <c r="BI138" s="41">
        <f t="shared" si="92"/>
        <v>582.79440036137134</v>
      </c>
    </row>
    <row r="139" spans="5:61" x14ac:dyDescent="0.35">
      <c r="E139">
        <v>2</v>
      </c>
      <c r="J139" t="s">
        <v>50</v>
      </c>
      <c r="N139" s="41">
        <f t="shared" ref="N139:BI139" si="93">IFERROR(INDEX($N$110:$BI$110,1,MATCH(N113,$N$109:$BI$109,0)),0)</f>
        <v>0</v>
      </c>
      <c r="O139" s="41">
        <f t="shared" si="93"/>
        <v>0</v>
      </c>
      <c r="P139" s="41">
        <f t="shared" si="93"/>
        <v>0</v>
      </c>
      <c r="Q139" s="41">
        <f t="shared" si="93"/>
        <v>0</v>
      </c>
      <c r="R139" s="41">
        <f t="shared" si="93"/>
        <v>0</v>
      </c>
      <c r="S139" s="41">
        <f t="shared" si="93"/>
        <v>0</v>
      </c>
      <c r="T139" s="41">
        <f t="shared" si="93"/>
        <v>0</v>
      </c>
      <c r="U139" s="41">
        <f t="shared" si="93"/>
        <v>0</v>
      </c>
      <c r="V139" s="41">
        <f t="shared" si="93"/>
        <v>0</v>
      </c>
      <c r="W139" s="41">
        <f t="shared" si="93"/>
        <v>0</v>
      </c>
      <c r="X139" s="41">
        <f t="shared" si="93"/>
        <v>0</v>
      </c>
      <c r="Y139" s="41">
        <f t="shared" si="93"/>
        <v>0</v>
      </c>
      <c r="Z139" s="41">
        <f t="shared" si="93"/>
        <v>0</v>
      </c>
      <c r="AA139" s="41">
        <f t="shared" si="93"/>
        <v>319.62216000000001</v>
      </c>
      <c r="AB139" s="41">
        <f t="shared" si="93"/>
        <v>319.62216000000001</v>
      </c>
      <c r="AC139" s="41">
        <f t="shared" si="93"/>
        <v>319.62216000000001</v>
      </c>
      <c r="AD139" s="41">
        <f t="shared" si="93"/>
        <v>319.62216000000001</v>
      </c>
      <c r="AE139" s="41">
        <f t="shared" si="93"/>
        <v>319.62216000000001</v>
      </c>
      <c r="AF139" s="41">
        <f t="shared" si="93"/>
        <v>319.62216000000001</v>
      </c>
      <c r="AG139" s="41">
        <f t="shared" si="93"/>
        <v>319.62216000000001</v>
      </c>
      <c r="AH139" s="41">
        <f t="shared" si="93"/>
        <v>319.62216000000001</v>
      </c>
      <c r="AI139" s="41">
        <f t="shared" si="93"/>
        <v>319.62216000000001</v>
      </c>
      <c r="AJ139" s="41">
        <f t="shared" si="93"/>
        <v>319.62216000000001</v>
      </c>
      <c r="AK139" s="41">
        <f t="shared" si="93"/>
        <v>319.62216000000001</v>
      </c>
      <c r="AL139" s="41">
        <f t="shared" si="93"/>
        <v>319.62216000000001</v>
      </c>
      <c r="AM139" s="41">
        <f t="shared" si="93"/>
        <v>513.54194833455119</v>
      </c>
      <c r="AN139" s="41">
        <f t="shared" si="93"/>
        <v>513.54194833455119</v>
      </c>
      <c r="AO139" s="41">
        <f t="shared" si="93"/>
        <v>513.54194833455119</v>
      </c>
      <c r="AP139" s="41">
        <f t="shared" si="93"/>
        <v>513.54194833455119</v>
      </c>
      <c r="AQ139" s="41">
        <f t="shared" si="93"/>
        <v>513.54194833455119</v>
      </c>
      <c r="AR139" s="41">
        <f t="shared" si="93"/>
        <v>513.54194833455119</v>
      </c>
      <c r="AS139" s="41">
        <f t="shared" si="93"/>
        <v>513.54194833455119</v>
      </c>
      <c r="AT139" s="41">
        <f t="shared" si="93"/>
        <v>513.54194833455119</v>
      </c>
      <c r="AU139" s="41">
        <f t="shared" si="93"/>
        <v>513.54194833455119</v>
      </c>
      <c r="AV139" s="41">
        <f t="shared" si="93"/>
        <v>513.54194833455119</v>
      </c>
      <c r="AW139" s="41">
        <f t="shared" si="93"/>
        <v>513.54194833455119</v>
      </c>
      <c r="AX139" s="41">
        <f t="shared" si="93"/>
        <v>513.54194833455119</v>
      </c>
      <c r="AY139" s="41">
        <f t="shared" si="93"/>
        <v>565.59894884921255</v>
      </c>
      <c r="AZ139" s="41">
        <f t="shared" si="93"/>
        <v>565.59894884921255</v>
      </c>
      <c r="BA139" s="41">
        <f t="shared" si="93"/>
        <v>565.59894884921255</v>
      </c>
      <c r="BB139" s="41">
        <f t="shared" si="93"/>
        <v>565.59894884921255</v>
      </c>
      <c r="BC139" s="41">
        <f t="shared" si="93"/>
        <v>565.59894884921255</v>
      </c>
      <c r="BD139" s="41">
        <f t="shared" si="93"/>
        <v>565.59894884921255</v>
      </c>
      <c r="BE139" s="41">
        <f t="shared" si="93"/>
        <v>565.59894884921255</v>
      </c>
      <c r="BF139" s="41">
        <f t="shared" si="93"/>
        <v>565.59894884921255</v>
      </c>
      <c r="BG139" s="41">
        <f t="shared" si="93"/>
        <v>565.59894884921255</v>
      </c>
      <c r="BH139" s="41">
        <f t="shared" si="93"/>
        <v>565.59894884921255</v>
      </c>
      <c r="BI139" s="41">
        <f t="shared" si="93"/>
        <v>565.59894884921255</v>
      </c>
    </row>
    <row r="140" spans="5:61" x14ac:dyDescent="0.35">
      <c r="E140">
        <v>3</v>
      </c>
      <c r="J140" t="s">
        <v>50</v>
      </c>
      <c r="N140" s="41">
        <f t="shared" ref="N140:BI140" si="94">IFERROR(INDEX($N$110:$BI$110,1,MATCH(N114,$N$109:$BI$109,0)),0)</f>
        <v>0</v>
      </c>
      <c r="O140" s="41">
        <f t="shared" si="94"/>
        <v>0</v>
      </c>
      <c r="P140" s="41">
        <f t="shared" si="94"/>
        <v>0</v>
      </c>
      <c r="Q140" s="41">
        <f t="shared" si="94"/>
        <v>0</v>
      </c>
      <c r="R140" s="41">
        <f t="shared" si="94"/>
        <v>0</v>
      </c>
      <c r="S140" s="41">
        <f t="shared" si="94"/>
        <v>0</v>
      </c>
      <c r="T140" s="41">
        <f t="shared" si="94"/>
        <v>0</v>
      </c>
      <c r="U140" s="41">
        <f t="shared" si="94"/>
        <v>0</v>
      </c>
      <c r="V140" s="41">
        <f t="shared" si="94"/>
        <v>0</v>
      </c>
      <c r="W140" s="41">
        <f t="shared" si="94"/>
        <v>0</v>
      </c>
      <c r="X140" s="41">
        <f t="shared" si="94"/>
        <v>0</v>
      </c>
      <c r="Y140" s="41">
        <f t="shared" si="94"/>
        <v>0</v>
      </c>
      <c r="Z140" s="41">
        <f t="shared" si="94"/>
        <v>0</v>
      </c>
      <c r="AA140" s="41">
        <f t="shared" si="94"/>
        <v>0</v>
      </c>
      <c r="AB140" s="41">
        <f t="shared" si="94"/>
        <v>362.93364000000003</v>
      </c>
      <c r="AC140" s="41">
        <f t="shared" si="94"/>
        <v>362.93364000000003</v>
      </c>
      <c r="AD140" s="41">
        <f t="shared" si="94"/>
        <v>362.93364000000003</v>
      </c>
      <c r="AE140" s="41">
        <f t="shared" si="94"/>
        <v>362.93364000000003</v>
      </c>
      <c r="AF140" s="41">
        <f t="shared" si="94"/>
        <v>362.93364000000003</v>
      </c>
      <c r="AG140" s="41">
        <f t="shared" si="94"/>
        <v>362.93364000000003</v>
      </c>
      <c r="AH140" s="41">
        <f t="shared" si="94"/>
        <v>362.93364000000003</v>
      </c>
      <c r="AI140" s="41">
        <f t="shared" si="94"/>
        <v>362.93364000000003</v>
      </c>
      <c r="AJ140" s="41">
        <f t="shared" si="94"/>
        <v>362.93364000000003</v>
      </c>
      <c r="AK140" s="41">
        <f t="shared" si="94"/>
        <v>362.93364000000003</v>
      </c>
      <c r="AL140" s="41">
        <f t="shared" si="94"/>
        <v>362.93364000000003</v>
      </c>
      <c r="AM140" s="41">
        <f t="shared" si="94"/>
        <v>362.93364000000003</v>
      </c>
      <c r="AN140" s="41">
        <f t="shared" si="94"/>
        <v>593.94112348736542</v>
      </c>
      <c r="AO140" s="41">
        <f t="shared" si="94"/>
        <v>593.94112348736542</v>
      </c>
      <c r="AP140" s="41">
        <f t="shared" si="94"/>
        <v>593.94112348736542</v>
      </c>
      <c r="AQ140" s="41">
        <f t="shared" si="94"/>
        <v>593.94112348736542</v>
      </c>
      <c r="AR140" s="41">
        <f t="shared" si="94"/>
        <v>593.94112348736542</v>
      </c>
      <c r="AS140" s="41">
        <f t="shared" si="94"/>
        <v>593.94112348736542</v>
      </c>
      <c r="AT140" s="41">
        <f t="shared" si="94"/>
        <v>593.94112348736542</v>
      </c>
      <c r="AU140" s="41">
        <f t="shared" si="94"/>
        <v>593.94112348736542</v>
      </c>
      <c r="AV140" s="41">
        <f t="shared" si="94"/>
        <v>593.94112348736542</v>
      </c>
      <c r="AW140" s="41">
        <f t="shared" si="94"/>
        <v>593.94112348736542</v>
      </c>
      <c r="AX140" s="41">
        <f t="shared" si="94"/>
        <v>593.94112348736542</v>
      </c>
      <c r="AY140" s="41">
        <f t="shared" si="94"/>
        <v>593.94112348736542</v>
      </c>
      <c r="AZ140" s="41">
        <f t="shared" si="94"/>
        <v>653.40287017571904</v>
      </c>
      <c r="BA140" s="41">
        <f t="shared" si="94"/>
        <v>653.40287017571904</v>
      </c>
      <c r="BB140" s="41">
        <f t="shared" si="94"/>
        <v>653.40287017571904</v>
      </c>
      <c r="BC140" s="41">
        <f t="shared" si="94"/>
        <v>653.40287017571904</v>
      </c>
      <c r="BD140" s="41">
        <f t="shared" si="94"/>
        <v>653.40287017571904</v>
      </c>
      <c r="BE140" s="41">
        <f t="shared" si="94"/>
        <v>653.40287017571904</v>
      </c>
      <c r="BF140" s="41">
        <f t="shared" si="94"/>
        <v>653.40287017571904</v>
      </c>
      <c r="BG140" s="41">
        <f t="shared" si="94"/>
        <v>653.40287017571904</v>
      </c>
      <c r="BH140" s="41">
        <f t="shared" si="94"/>
        <v>653.40287017571904</v>
      </c>
      <c r="BI140" s="41">
        <f t="shared" si="94"/>
        <v>653.40287017571904</v>
      </c>
    </row>
    <row r="141" spans="5:61" x14ac:dyDescent="0.35">
      <c r="E141">
        <v>4</v>
      </c>
      <c r="J141" t="s">
        <v>50</v>
      </c>
      <c r="N141" s="41">
        <f t="shared" ref="N141:BI141" si="95">IFERROR(INDEX($N$110:$BI$110,1,MATCH(N115,$N$109:$BI$109,0)),0)</f>
        <v>0</v>
      </c>
      <c r="O141" s="41">
        <f t="shared" si="95"/>
        <v>0</v>
      </c>
      <c r="P141" s="41">
        <f t="shared" si="95"/>
        <v>0</v>
      </c>
      <c r="Q141" s="41">
        <f t="shared" si="95"/>
        <v>5.83704</v>
      </c>
      <c r="R141" s="41">
        <f t="shared" si="95"/>
        <v>5.83704</v>
      </c>
      <c r="S141" s="41">
        <f t="shared" si="95"/>
        <v>5.83704</v>
      </c>
      <c r="T141" s="41">
        <f t="shared" si="95"/>
        <v>5.83704</v>
      </c>
      <c r="U141" s="41">
        <f t="shared" si="95"/>
        <v>5.83704</v>
      </c>
      <c r="V141" s="41">
        <f t="shared" si="95"/>
        <v>5.83704</v>
      </c>
      <c r="W141" s="41">
        <f t="shared" si="95"/>
        <v>5.83704</v>
      </c>
      <c r="X141" s="41">
        <f t="shared" si="95"/>
        <v>5.83704</v>
      </c>
      <c r="Y141" s="41">
        <f t="shared" si="95"/>
        <v>5.83704</v>
      </c>
      <c r="Z141" s="41">
        <f t="shared" si="95"/>
        <v>5.83704</v>
      </c>
      <c r="AA141" s="41">
        <f t="shared" si="95"/>
        <v>5.83704</v>
      </c>
      <c r="AB141" s="41">
        <f t="shared" si="95"/>
        <v>5.83704</v>
      </c>
      <c r="AC141" s="41">
        <f t="shared" si="95"/>
        <v>460.32215999999994</v>
      </c>
      <c r="AD141" s="41">
        <f t="shared" si="95"/>
        <v>460.32215999999994</v>
      </c>
      <c r="AE141" s="41">
        <f t="shared" si="95"/>
        <v>460.32215999999994</v>
      </c>
      <c r="AF141" s="41">
        <f t="shared" si="95"/>
        <v>460.32215999999994</v>
      </c>
      <c r="AG141" s="41">
        <f t="shared" si="95"/>
        <v>460.32215999999994</v>
      </c>
      <c r="AH141" s="41">
        <f t="shared" si="95"/>
        <v>460.32215999999994</v>
      </c>
      <c r="AI141" s="41">
        <f t="shared" si="95"/>
        <v>460.32215999999994</v>
      </c>
      <c r="AJ141" s="41">
        <f t="shared" si="95"/>
        <v>460.32215999999994</v>
      </c>
      <c r="AK141" s="41">
        <f t="shared" si="95"/>
        <v>460.32215999999994</v>
      </c>
      <c r="AL141" s="41">
        <f t="shared" si="95"/>
        <v>460.32215999999994</v>
      </c>
      <c r="AM141" s="41">
        <f t="shared" si="95"/>
        <v>460.32215999999994</v>
      </c>
      <c r="AN141" s="41">
        <f t="shared" si="95"/>
        <v>460.32215999999994</v>
      </c>
      <c r="AO141" s="41">
        <f t="shared" si="95"/>
        <v>583.27928561812212</v>
      </c>
      <c r="AP141" s="41">
        <f t="shared" si="95"/>
        <v>583.27928561812212</v>
      </c>
      <c r="AQ141" s="41">
        <f t="shared" si="95"/>
        <v>583.27928561812212</v>
      </c>
      <c r="AR141" s="41">
        <f t="shared" si="95"/>
        <v>583.27928561812212</v>
      </c>
      <c r="AS141" s="41">
        <f t="shared" si="95"/>
        <v>583.27928561812212</v>
      </c>
      <c r="AT141" s="41">
        <f t="shared" si="95"/>
        <v>583.27928561812212</v>
      </c>
      <c r="AU141" s="41">
        <f t="shared" si="95"/>
        <v>583.27928561812212</v>
      </c>
      <c r="AV141" s="41">
        <f t="shared" si="95"/>
        <v>583.27928561812212</v>
      </c>
      <c r="AW141" s="41">
        <f t="shared" si="95"/>
        <v>583.27928561812212</v>
      </c>
      <c r="AX141" s="41">
        <f t="shared" si="95"/>
        <v>583.27928561812212</v>
      </c>
      <c r="AY141" s="41">
        <f t="shared" si="95"/>
        <v>583.27928561812212</v>
      </c>
      <c r="AZ141" s="41">
        <f t="shared" si="95"/>
        <v>583.27928561812212</v>
      </c>
      <c r="BA141" s="41">
        <f t="shared" si="95"/>
        <v>641.60944348376427</v>
      </c>
      <c r="BB141" s="41">
        <f t="shared" si="95"/>
        <v>641.60944348376427</v>
      </c>
      <c r="BC141" s="41">
        <f t="shared" si="95"/>
        <v>641.60944348376427</v>
      </c>
      <c r="BD141" s="41">
        <f t="shared" si="95"/>
        <v>641.60944348376427</v>
      </c>
      <c r="BE141" s="41">
        <f t="shared" si="95"/>
        <v>641.60944348376427</v>
      </c>
      <c r="BF141" s="41">
        <f t="shared" si="95"/>
        <v>641.60944348376427</v>
      </c>
      <c r="BG141" s="41">
        <f t="shared" si="95"/>
        <v>641.60944348376427</v>
      </c>
      <c r="BH141" s="41">
        <f t="shared" si="95"/>
        <v>641.60944348376427</v>
      </c>
      <c r="BI141" s="41">
        <f t="shared" si="95"/>
        <v>641.60944348376427</v>
      </c>
    </row>
    <row r="142" spans="5:61" x14ac:dyDescent="0.35">
      <c r="E142">
        <v>5</v>
      </c>
      <c r="J142" t="s">
        <v>50</v>
      </c>
      <c r="N142" s="41">
        <f t="shared" ref="N142:BI142" si="96">IFERROR(INDEX($N$110:$BI$110,1,MATCH(N116,$N$109:$BI$109,0)),0)</f>
        <v>0</v>
      </c>
      <c r="O142" s="41">
        <f t="shared" si="96"/>
        <v>0</v>
      </c>
      <c r="P142" s="41">
        <f t="shared" si="96"/>
        <v>0</v>
      </c>
      <c r="Q142" s="41">
        <f t="shared" si="96"/>
        <v>0</v>
      </c>
      <c r="R142" s="41">
        <f t="shared" si="96"/>
        <v>38.64828</v>
      </c>
      <c r="S142" s="41">
        <f t="shared" si="96"/>
        <v>38.64828</v>
      </c>
      <c r="T142" s="41">
        <f t="shared" si="96"/>
        <v>38.64828</v>
      </c>
      <c r="U142" s="41">
        <f t="shared" si="96"/>
        <v>38.64828</v>
      </c>
      <c r="V142" s="41">
        <f t="shared" si="96"/>
        <v>38.64828</v>
      </c>
      <c r="W142" s="41">
        <f t="shared" si="96"/>
        <v>38.64828</v>
      </c>
      <c r="X142" s="41">
        <f t="shared" si="96"/>
        <v>38.64828</v>
      </c>
      <c r="Y142" s="41">
        <f t="shared" si="96"/>
        <v>38.64828</v>
      </c>
      <c r="Z142" s="41">
        <f t="shared" si="96"/>
        <v>38.64828</v>
      </c>
      <c r="AA142" s="41">
        <f t="shared" si="96"/>
        <v>38.64828</v>
      </c>
      <c r="AB142" s="41">
        <f t="shared" si="96"/>
        <v>38.64828</v>
      </c>
      <c r="AC142" s="41">
        <f t="shared" si="96"/>
        <v>38.64828</v>
      </c>
      <c r="AD142" s="41">
        <f t="shared" si="96"/>
        <v>442.81907999999999</v>
      </c>
      <c r="AE142" s="41">
        <f t="shared" si="96"/>
        <v>442.81907999999999</v>
      </c>
      <c r="AF142" s="41">
        <f t="shared" si="96"/>
        <v>442.81907999999999</v>
      </c>
      <c r="AG142" s="41">
        <f t="shared" si="96"/>
        <v>442.81907999999999</v>
      </c>
      <c r="AH142" s="41">
        <f t="shared" si="96"/>
        <v>442.81907999999999</v>
      </c>
      <c r="AI142" s="41">
        <f t="shared" si="96"/>
        <v>442.81907999999999</v>
      </c>
      <c r="AJ142" s="41">
        <f t="shared" si="96"/>
        <v>442.81907999999999</v>
      </c>
      <c r="AK142" s="41">
        <f t="shared" si="96"/>
        <v>442.81907999999999</v>
      </c>
      <c r="AL142" s="41">
        <f t="shared" si="96"/>
        <v>442.81907999999999</v>
      </c>
      <c r="AM142" s="41">
        <f t="shared" si="96"/>
        <v>442.81907999999999</v>
      </c>
      <c r="AN142" s="41">
        <f t="shared" si="96"/>
        <v>442.81907999999999</v>
      </c>
      <c r="AO142" s="41">
        <f t="shared" si="96"/>
        <v>442.81907999999999</v>
      </c>
      <c r="AP142" s="41">
        <f t="shared" si="96"/>
        <v>596.6303899502044</v>
      </c>
      <c r="AQ142" s="41">
        <f t="shared" si="96"/>
        <v>596.6303899502044</v>
      </c>
      <c r="AR142" s="41">
        <f t="shared" si="96"/>
        <v>596.6303899502044</v>
      </c>
      <c r="AS142" s="41">
        <f t="shared" si="96"/>
        <v>596.6303899502044</v>
      </c>
      <c r="AT142" s="41">
        <f t="shared" si="96"/>
        <v>596.6303899502044</v>
      </c>
      <c r="AU142" s="41">
        <f t="shared" si="96"/>
        <v>596.6303899502044</v>
      </c>
      <c r="AV142" s="41">
        <f t="shared" si="96"/>
        <v>596.6303899502044</v>
      </c>
      <c r="AW142" s="41">
        <f t="shared" si="96"/>
        <v>596.6303899502044</v>
      </c>
      <c r="AX142" s="41">
        <f t="shared" si="96"/>
        <v>596.6303899502044</v>
      </c>
      <c r="AY142" s="41">
        <f t="shared" si="96"/>
        <v>596.6303899502044</v>
      </c>
      <c r="AZ142" s="41">
        <f t="shared" si="96"/>
        <v>596.6303899502044</v>
      </c>
      <c r="BA142" s="41">
        <f t="shared" si="96"/>
        <v>596.6303899502044</v>
      </c>
      <c r="BB142" s="41">
        <f t="shared" si="96"/>
        <v>656.29346350763842</v>
      </c>
      <c r="BC142" s="41">
        <f t="shared" si="96"/>
        <v>656.29346350763842</v>
      </c>
      <c r="BD142" s="41">
        <f t="shared" si="96"/>
        <v>656.29346350763842</v>
      </c>
      <c r="BE142" s="41">
        <f t="shared" si="96"/>
        <v>656.29346350763842</v>
      </c>
      <c r="BF142" s="41">
        <f t="shared" si="96"/>
        <v>656.29346350763842</v>
      </c>
      <c r="BG142" s="41">
        <f t="shared" si="96"/>
        <v>656.29346350763842</v>
      </c>
      <c r="BH142" s="41">
        <f t="shared" si="96"/>
        <v>656.29346350763842</v>
      </c>
      <c r="BI142" s="41">
        <f t="shared" si="96"/>
        <v>656.29346350763842</v>
      </c>
    </row>
    <row r="143" spans="5:61" x14ac:dyDescent="0.35">
      <c r="E143">
        <v>6</v>
      </c>
      <c r="J143" t="s">
        <v>50</v>
      </c>
      <c r="N143" s="41">
        <f t="shared" ref="N143:BI143" si="97">IFERROR(INDEX($N$110:$BI$110,1,MATCH(N117,$N$109:$BI$109,0)),0)</f>
        <v>0</v>
      </c>
      <c r="O143" s="41">
        <f t="shared" si="97"/>
        <v>0</v>
      </c>
      <c r="P143" s="41">
        <f t="shared" si="97"/>
        <v>0</v>
      </c>
      <c r="Q143" s="41">
        <f t="shared" si="97"/>
        <v>0</v>
      </c>
      <c r="R143" s="41">
        <f t="shared" si="97"/>
        <v>0</v>
      </c>
      <c r="S143" s="41">
        <f t="shared" si="97"/>
        <v>57.180480000000003</v>
      </c>
      <c r="T143" s="41">
        <f t="shared" si="97"/>
        <v>57.180480000000003</v>
      </c>
      <c r="U143" s="41">
        <f t="shared" si="97"/>
        <v>57.180480000000003</v>
      </c>
      <c r="V143" s="41">
        <f t="shared" si="97"/>
        <v>57.180480000000003</v>
      </c>
      <c r="W143" s="41">
        <f t="shared" si="97"/>
        <v>57.180480000000003</v>
      </c>
      <c r="X143" s="41">
        <f t="shared" si="97"/>
        <v>57.180480000000003</v>
      </c>
      <c r="Y143" s="41">
        <f t="shared" si="97"/>
        <v>57.180480000000003</v>
      </c>
      <c r="Z143" s="41">
        <f t="shared" si="97"/>
        <v>57.180480000000003</v>
      </c>
      <c r="AA143" s="41">
        <f t="shared" si="97"/>
        <v>57.180480000000003</v>
      </c>
      <c r="AB143" s="41">
        <f t="shared" si="97"/>
        <v>57.180480000000003</v>
      </c>
      <c r="AC143" s="41">
        <f t="shared" si="97"/>
        <v>57.180480000000003</v>
      </c>
      <c r="AD143" s="41">
        <f t="shared" si="97"/>
        <v>57.180480000000003</v>
      </c>
      <c r="AE143" s="41">
        <f t="shared" si="97"/>
        <v>571.24199999999996</v>
      </c>
      <c r="AF143" s="41">
        <f t="shared" si="97"/>
        <v>571.24199999999996</v>
      </c>
      <c r="AG143" s="41">
        <f t="shared" si="97"/>
        <v>571.24199999999996</v>
      </c>
      <c r="AH143" s="41">
        <f t="shared" si="97"/>
        <v>571.24199999999996</v>
      </c>
      <c r="AI143" s="41">
        <f t="shared" si="97"/>
        <v>571.24199999999996</v>
      </c>
      <c r="AJ143" s="41">
        <f t="shared" si="97"/>
        <v>571.24199999999996</v>
      </c>
      <c r="AK143" s="41">
        <f t="shared" si="97"/>
        <v>571.24199999999996</v>
      </c>
      <c r="AL143" s="41">
        <f t="shared" si="97"/>
        <v>571.24199999999996</v>
      </c>
      <c r="AM143" s="41">
        <f t="shared" si="97"/>
        <v>571.24199999999996</v>
      </c>
      <c r="AN143" s="41">
        <f t="shared" si="97"/>
        <v>571.24199999999996</v>
      </c>
      <c r="AO143" s="41">
        <f t="shared" si="97"/>
        <v>571.24199999999996</v>
      </c>
      <c r="AP143" s="41">
        <f t="shared" si="97"/>
        <v>571.24199999999996</v>
      </c>
      <c r="AQ143" s="41">
        <f t="shared" si="97"/>
        <v>561.81362746489867</v>
      </c>
      <c r="AR143" s="41">
        <f t="shared" si="97"/>
        <v>561.81362746489867</v>
      </c>
      <c r="AS143" s="41">
        <f t="shared" si="97"/>
        <v>561.81362746489867</v>
      </c>
      <c r="AT143" s="41">
        <f t="shared" si="97"/>
        <v>561.81362746489867</v>
      </c>
      <c r="AU143" s="41">
        <f t="shared" si="97"/>
        <v>561.81362746489867</v>
      </c>
      <c r="AV143" s="41">
        <f t="shared" si="97"/>
        <v>561.81362746489867</v>
      </c>
      <c r="AW143" s="41">
        <f t="shared" si="97"/>
        <v>561.81362746489867</v>
      </c>
      <c r="AX143" s="41">
        <f t="shared" si="97"/>
        <v>561.81362746489867</v>
      </c>
      <c r="AY143" s="41">
        <f t="shared" si="97"/>
        <v>561.81362746489867</v>
      </c>
      <c r="AZ143" s="41">
        <f t="shared" si="97"/>
        <v>561.81362746489867</v>
      </c>
      <c r="BA143" s="41">
        <f t="shared" si="97"/>
        <v>561.81362746489867</v>
      </c>
      <c r="BB143" s="41">
        <f t="shared" si="97"/>
        <v>561.81362746489867</v>
      </c>
      <c r="BC143" s="41">
        <f t="shared" si="97"/>
        <v>617.9949903886469</v>
      </c>
      <c r="BD143" s="41">
        <f t="shared" si="97"/>
        <v>617.9949903886469</v>
      </c>
      <c r="BE143" s="41">
        <f t="shared" si="97"/>
        <v>617.9949903886469</v>
      </c>
      <c r="BF143" s="41">
        <f t="shared" si="97"/>
        <v>617.9949903886469</v>
      </c>
      <c r="BG143" s="41">
        <f t="shared" si="97"/>
        <v>617.9949903886469</v>
      </c>
      <c r="BH143" s="41">
        <f t="shared" si="97"/>
        <v>617.9949903886469</v>
      </c>
      <c r="BI143" s="41">
        <f t="shared" si="97"/>
        <v>617.9949903886469</v>
      </c>
    </row>
    <row r="144" spans="5:61" x14ac:dyDescent="0.35">
      <c r="E144">
        <v>7</v>
      </c>
      <c r="J144" t="s">
        <v>50</v>
      </c>
      <c r="N144" s="41">
        <f t="shared" ref="N144:BI144" si="98">IFERROR(INDEX($N$110:$BI$110,1,MATCH(N118,$N$109:$BI$109,0)),0)</f>
        <v>0</v>
      </c>
      <c r="O144" s="41">
        <f t="shared" si="98"/>
        <v>0</v>
      </c>
      <c r="P144" s="41">
        <f t="shared" si="98"/>
        <v>0</v>
      </c>
      <c r="Q144" s="41">
        <f t="shared" si="98"/>
        <v>0</v>
      </c>
      <c r="R144" s="41">
        <f t="shared" si="98"/>
        <v>0</v>
      </c>
      <c r="S144" s="41">
        <f t="shared" si="98"/>
        <v>0</v>
      </c>
      <c r="T144" s="41">
        <f t="shared" si="98"/>
        <v>144.36624</v>
      </c>
      <c r="U144" s="41">
        <f t="shared" si="98"/>
        <v>144.36624</v>
      </c>
      <c r="V144" s="41">
        <f t="shared" si="98"/>
        <v>144.36624</v>
      </c>
      <c r="W144" s="41">
        <f t="shared" si="98"/>
        <v>144.36624</v>
      </c>
      <c r="X144" s="41">
        <f t="shared" si="98"/>
        <v>144.36624</v>
      </c>
      <c r="Y144" s="41">
        <f t="shared" si="98"/>
        <v>144.36624</v>
      </c>
      <c r="Z144" s="41">
        <f t="shared" si="98"/>
        <v>144.36624</v>
      </c>
      <c r="AA144" s="41">
        <f t="shared" si="98"/>
        <v>144.36624</v>
      </c>
      <c r="AB144" s="41">
        <f t="shared" si="98"/>
        <v>144.36624</v>
      </c>
      <c r="AC144" s="41">
        <f t="shared" si="98"/>
        <v>144.36624</v>
      </c>
      <c r="AD144" s="41">
        <f t="shared" si="98"/>
        <v>144.36624</v>
      </c>
      <c r="AE144" s="41">
        <f t="shared" si="98"/>
        <v>144.36624</v>
      </c>
      <c r="AF144" s="41">
        <f t="shared" si="98"/>
        <v>486.65315999999996</v>
      </c>
      <c r="AG144" s="41">
        <f t="shared" si="98"/>
        <v>486.65315999999996</v>
      </c>
      <c r="AH144" s="41">
        <f t="shared" si="98"/>
        <v>486.65315999999996</v>
      </c>
      <c r="AI144" s="41">
        <f t="shared" si="98"/>
        <v>486.65315999999996</v>
      </c>
      <c r="AJ144" s="41">
        <f t="shared" si="98"/>
        <v>486.65315999999996</v>
      </c>
      <c r="AK144" s="41">
        <f t="shared" si="98"/>
        <v>486.65315999999996</v>
      </c>
      <c r="AL144" s="41">
        <f t="shared" si="98"/>
        <v>486.65315999999996</v>
      </c>
      <c r="AM144" s="41">
        <f t="shared" si="98"/>
        <v>486.65315999999996</v>
      </c>
      <c r="AN144" s="41">
        <f t="shared" si="98"/>
        <v>486.65315999999996</v>
      </c>
      <c r="AO144" s="41">
        <f t="shared" si="98"/>
        <v>486.65315999999996</v>
      </c>
      <c r="AP144" s="41">
        <f t="shared" si="98"/>
        <v>486.65315999999996</v>
      </c>
      <c r="AQ144" s="41">
        <f t="shared" si="98"/>
        <v>486.65315999999996</v>
      </c>
      <c r="AR144" s="41">
        <f t="shared" si="98"/>
        <v>511.96278349332971</v>
      </c>
      <c r="AS144" s="41">
        <f t="shared" si="98"/>
        <v>511.96278349332971</v>
      </c>
      <c r="AT144" s="41">
        <f t="shared" si="98"/>
        <v>511.96278349332971</v>
      </c>
      <c r="AU144" s="41">
        <f t="shared" si="98"/>
        <v>511.96278349332971</v>
      </c>
      <c r="AV144" s="41">
        <f t="shared" si="98"/>
        <v>511.96278349332971</v>
      </c>
      <c r="AW144" s="41">
        <f t="shared" si="98"/>
        <v>511.96278349332971</v>
      </c>
      <c r="AX144" s="41">
        <f t="shared" si="98"/>
        <v>511.96278349332971</v>
      </c>
      <c r="AY144" s="41">
        <f t="shared" si="98"/>
        <v>511.96278349332971</v>
      </c>
      <c r="AZ144" s="41">
        <f t="shared" si="98"/>
        <v>511.96278349332971</v>
      </c>
      <c r="BA144" s="41">
        <f t="shared" si="98"/>
        <v>511.96278349332971</v>
      </c>
      <c r="BB144" s="41">
        <f t="shared" si="98"/>
        <v>511.96278349332971</v>
      </c>
      <c r="BC144" s="41">
        <f t="shared" si="98"/>
        <v>511.96278349332971</v>
      </c>
      <c r="BD144" s="41">
        <f t="shared" si="98"/>
        <v>563.15906184307175</v>
      </c>
      <c r="BE144" s="41">
        <f t="shared" si="98"/>
        <v>563.15906184307175</v>
      </c>
      <c r="BF144" s="41">
        <f t="shared" si="98"/>
        <v>563.15906184307175</v>
      </c>
      <c r="BG144" s="41">
        <f t="shared" si="98"/>
        <v>563.15906184307175</v>
      </c>
      <c r="BH144" s="41">
        <f t="shared" si="98"/>
        <v>563.15906184307175</v>
      </c>
      <c r="BI144" s="41">
        <f t="shared" si="98"/>
        <v>563.15906184307175</v>
      </c>
    </row>
    <row r="145" spans="4:61" x14ac:dyDescent="0.35">
      <c r="E145">
        <v>8</v>
      </c>
      <c r="J145" t="s">
        <v>50</v>
      </c>
      <c r="N145" s="41">
        <f t="shared" ref="N145:BI145" si="99">IFERROR(INDEX($N$110:$BI$110,1,MATCH(N119,$N$109:$BI$109,0)),0)</f>
        <v>0</v>
      </c>
      <c r="O145" s="41">
        <f t="shared" si="99"/>
        <v>0</v>
      </c>
      <c r="P145" s="41">
        <f t="shared" si="99"/>
        <v>0</v>
      </c>
      <c r="Q145" s="41">
        <f t="shared" si="99"/>
        <v>0</v>
      </c>
      <c r="R145" s="41">
        <f t="shared" si="99"/>
        <v>0</v>
      </c>
      <c r="S145" s="41">
        <f t="shared" si="99"/>
        <v>0</v>
      </c>
      <c r="T145" s="41">
        <f t="shared" si="99"/>
        <v>0</v>
      </c>
      <c r="U145" s="41">
        <f t="shared" si="99"/>
        <v>223.43964000000003</v>
      </c>
      <c r="V145" s="41">
        <f t="shared" si="99"/>
        <v>223.43964000000003</v>
      </c>
      <c r="W145" s="41">
        <f t="shared" si="99"/>
        <v>223.43964000000003</v>
      </c>
      <c r="X145" s="41">
        <f t="shared" si="99"/>
        <v>223.43964000000003</v>
      </c>
      <c r="Y145" s="41">
        <f t="shared" si="99"/>
        <v>223.43964000000003</v>
      </c>
      <c r="Z145" s="41">
        <f t="shared" si="99"/>
        <v>223.43964000000003</v>
      </c>
      <c r="AA145" s="41">
        <f t="shared" si="99"/>
        <v>223.43964000000003</v>
      </c>
      <c r="AB145" s="41">
        <f t="shared" si="99"/>
        <v>223.43964000000003</v>
      </c>
      <c r="AC145" s="41">
        <f t="shared" si="99"/>
        <v>223.43964000000003</v>
      </c>
      <c r="AD145" s="41">
        <f t="shared" si="99"/>
        <v>223.43964000000003</v>
      </c>
      <c r="AE145" s="41">
        <f t="shared" si="99"/>
        <v>223.43964000000003</v>
      </c>
      <c r="AF145" s="41">
        <f t="shared" si="99"/>
        <v>223.43964000000003</v>
      </c>
      <c r="AG145" s="41">
        <f t="shared" si="99"/>
        <v>415.83684000000005</v>
      </c>
      <c r="AH145" s="41">
        <f t="shared" si="99"/>
        <v>415.83684000000005</v>
      </c>
      <c r="AI145" s="41">
        <f t="shared" si="99"/>
        <v>415.83684000000005</v>
      </c>
      <c r="AJ145" s="41">
        <f t="shared" si="99"/>
        <v>415.83684000000005</v>
      </c>
      <c r="AK145" s="41">
        <f t="shared" si="99"/>
        <v>415.83684000000005</v>
      </c>
      <c r="AL145" s="41">
        <f t="shared" si="99"/>
        <v>415.83684000000005</v>
      </c>
      <c r="AM145" s="41">
        <f t="shared" si="99"/>
        <v>415.83684000000005</v>
      </c>
      <c r="AN145" s="41">
        <f t="shared" si="99"/>
        <v>415.83684000000005</v>
      </c>
      <c r="AO145" s="41">
        <f t="shared" si="99"/>
        <v>415.83684000000005</v>
      </c>
      <c r="AP145" s="41">
        <f t="shared" si="99"/>
        <v>415.83684000000005</v>
      </c>
      <c r="AQ145" s="41">
        <f t="shared" si="99"/>
        <v>415.83684000000005</v>
      </c>
      <c r="AR145" s="41">
        <f t="shared" si="99"/>
        <v>415.83684000000005</v>
      </c>
      <c r="AS145" s="41">
        <f t="shared" si="99"/>
        <v>405.10396955683478</v>
      </c>
      <c r="AT145" s="41">
        <f t="shared" si="99"/>
        <v>405.10396955683478</v>
      </c>
      <c r="AU145" s="41">
        <f t="shared" si="99"/>
        <v>405.10396955683478</v>
      </c>
      <c r="AV145" s="41">
        <f t="shared" si="99"/>
        <v>405.10396955683478</v>
      </c>
      <c r="AW145" s="41">
        <f t="shared" si="99"/>
        <v>405.10396955683478</v>
      </c>
      <c r="AX145" s="41">
        <f t="shared" si="99"/>
        <v>405.10396955683478</v>
      </c>
      <c r="AY145" s="41">
        <f t="shared" si="99"/>
        <v>405.10396955683478</v>
      </c>
      <c r="AZ145" s="41">
        <f t="shared" si="99"/>
        <v>405.10396955683478</v>
      </c>
      <c r="BA145" s="41">
        <f t="shared" si="99"/>
        <v>405.10396955683478</v>
      </c>
      <c r="BB145" s="41">
        <f t="shared" si="99"/>
        <v>405.10396955683478</v>
      </c>
      <c r="BC145" s="41">
        <f t="shared" si="99"/>
        <v>405.10396955683478</v>
      </c>
      <c r="BD145" s="41">
        <f t="shared" si="99"/>
        <v>405.10396955683478</v>
      </c>
      <c r="BE145" s="41">
        <f t="shared" si="99"/>
        <v>445.61436651251864</v>
      </c>
      <c r="BF145" s="41">
        <f t="shared" si="99"/>
        <v>445.61436651251864</v>
      </c>
      <c r="BG145" s="41">
        <f t="shared" si="99"/>
        <v>445.61436651251864</v>
      </c>
      <c r="BH145" s="41">
        <f t="shared" si="99"/>
        <v>445.61436651251864</v>
      </c>
      <c r="BI145" s="41">
        <f t="shared" si="99"/>
        <v>445.61436651251864</v>
      </c>
    </row>
    <row r="146" spans="4:61" x14ac:dyDescent="0.35">
      <c r="E146">
        <v>9</v>
      </c>
      <c r="J146" t="s">
        <v>50</v>
      </c>
      <c r="N146" s="41">
        <f t="shared" ref="N146:BI146" si="100">IFERROR(INDEX($N$110:$BI$110,1,MATCH(N120,$N$109:$BI$109,0)),0)</f>
        <v>0</v>
      </c>
      <c r="O146" s="41">
        <f t="shared" si="100"/>
        <v>0</v>
      </c>
      <c r="P146" s="41">
        <f t="shared" si="100"/>
        <v>0</v>
      </c>
      <c r="Q146" s="41">
        <f t="shared" si="100"/>
        <v>0</v>
      </c>
      <c r="R146" s="41">
        <f t="shared" si="100"/>
        <v>0</v>
      </c>
      <c r="S146" s="41">
        <f t="shared" si="100"/>
        <v>0</v>
      </c>
      <c r="T146" s="41">
        <f t="shared" si="100"/>
        <v>0</v>
      </c>
      <c r="U146" s="41">
        <f t="shared" si="100"/>
        <v>0</v>
      </c>
      <c r="V146" s="41">
        <f t="shared" si="100"/>
        <v>110.84748</v>
      </c>
      <c r="W146" s="41">
        <f t="shared" si="100"/>
        <v>110.84748</v>
      </c>
      <c r="X146" s="41">
        <f t="shared" si="100"/>
        <v>110.84748</v>
      </c>
      <c r="Y146" s="41">
        <f t="shared" si="100"/>
        <v>110.84748</v>
      </c>
      <c r="Z146" s="41">
        <f t="shared" si="100"/>
        <v>110.84748</v>
      </c>
      <c r="AA146" s="41">
        <f t="shared" si="100"/>
        <v>110.84748</v>
      </c>
      <c r="AB146" s="41">
        <f t="shared" si="100"/>
        <v>110.84748</v>
      </c>
      <c r="AC146" s="41">
        <f t="shared" si="100"/>
        <v>110.84748</v>
      </c>
      <c r="AD146" s="41">
        <f t="shared" si="100"/>
        <v>110.84748</v>
      </c>
      <c r="AE146" s="41">
        <f t="shared" si="100"/>
        <v>110.84748</v>
      </c>
      <c r="AF146" s="41">
        <f t="shared" si="100"/>
        <v>110.84748</v>
      </c>
      <c r="AG146" s="41">
        <f t="shared" si="100"/>
        <v>110.84748</v>
      </c>
      <c r="AH146" s="41">
        <f t="shared" si="100"/>
        <v>411.27012000000002</v>
      </c>
      <c r="AI146" s="41">
        <f t="shared" si="100"/>
        <v>411.27012000000002</v>
      </c>
      <c r="AJ146" s="41">
        <f t="shared" si="100"/>
        <v>411.27012000000002</v>
      </c>
      <c r="AK146" s="41">
        <f t="shared" si="100"/>
        <v>411.27012000000002</v>
      </c>
      <c r="AL146" s="41">
        <f t="shared" si="100"/>
        <v>411.27012000000002</v>
      </c>
      <c r="AM146" s="41">
        <f t="shared" si="100"/>
        <v>411.27012000000002</v>
      </c>
      <c r="AN146" s="41">
        <f t="shared" si="100"/>
        <v>411.27012000000002</v>
      </c>
      <c r="AO146" s="41">
        <f t="shared" si="100"/>
        <v>411.27012000000002</v>
      </c>
      <c r="AP146" s="41">
        <f t="shared" si="100"/>
        <v>411.27012000000002</v>
      </c>
      <c r="AQ146" s="41">
        <f t="shared" si="100"/>
        <v>411.27012000000002</v>
      </c>
      <c r="AR146" s="41">
        <f t="shared" si="100"/>
        <v>411.27012000000002</v>
      </c>
      <c r="AS146" s="41">
        <f t="shared" si="100"/>
        <v>411.27012000000002</v>
      </c>
      <c r="AT146" s="41">
        <f t="shared" si="100"/>
        <v>468.12506003093938</v>
      </c>
      <c r="AU146" s="41">
        <f t="shared" si="100"/>
        <v>468.12506003093938</v>
      </c>
      <c r="AV146" s="41">
        <f t="shared" si="100"/>
        <v>468.12506003093938</v>
      </c>
      <c r="AW146" s="41">
        <f t="shared" si="100"/>
        <v>468.12506003093938</v>
      </c>
      <c r="AX146" s="41">
        <f t="shared" si="100"/>
        <v>468.12506003093938</v>
      </c>
      <c r="AY146" s="41">
        <f t="shared" si="100"/>
        <v>468.12506003093938</v>
      </c>
      <c r="AZ146" s="41">
        <f t="shared" si="100"/>
        <v>468.12506003093938</v>
      </c>
      <c r="BA146" s="41">
        <f t="shared" si="100"/>
        <v>468.12506003093938</v>
      </c>
      <c r="BB146" s="41">
        <f t="shared" si="100"/>
        <v>468.12506003093938</v>
      </c>
      <c r="BC146" s="41">
        <f t="shared" si="100"/>
        <v>468.12506003093938</v>
      </c>
      <c r="BD146" s="41">
        <f t="shared" si="100"/>
        <v>468.12506003093938</v>
      </c>
      <c r="BE146" s="41">
        <f t="shared" si="100"/>
        <v>468.12506003093938</v>
      </c>
      <c r="BF146" s="41">
        <f t="shared" si="100"/>
        <v>514.93756603403335</v>
      </c>
      <c r="BG146" s="41">
        <f t="shared" si="100"/>
        <v>514.93756603403335</v>
      </c>
      <c r="BH146" s="41">
        <f t="shared" si="100"/>
        <v>514.93756603403335</v>
      </c>
      <c r="BI146" s="41">
        <f t="shared" si="100"/>
        <v>514.93756603403335</v>
      </c>
    </row>
    <row r="147" spans="4:61" x14ac:dyDescent="0.35">
      <c r="E147">
        <v>10</v>
      </c>
      <c r="J147" t="s">
        <v>50</v>
      </c>
      <c r="N147" s="41">
        <f t="shared" ref="N147:BI147" si="101">IFERROR(INDEX($N$110:$BI$110,1,MATCH(N121,$N$109:$BI$109,0)),0)</f>
        <v>0</v>
      </c>
      <c r="O147" s="41">
        <f t="shared" si="101"/>
        <v>0</v>
      </c>
      <c r="P147" s="41">
        <f t="shared" si="101"/>
        <v>0</v>
      </c>
      <c r="Q147" s="41">
        <f t="shared" si="101"/>
        <v>0</v>
      </c>
      <c r="R147" s="41">
        <f t="shared" si="101"/>
        <v>0</v>
      </c>
      <c r="S147" s="41">
        <f t="shared" si="101"/>
        <v>0</v>
      </c>
      <c r="T147" s="41">
        <f t="shared" si="101"/>
        <v>0</v>
      </c>
      <c r="U147" s="41">
        <f t="shared" si="101"/>
        <v>0</v>
      </c>
      <c r="V147" s="41">
        <f t="shared" si="101"/>
        <v>0</v>
      </c>
      <c r="W147" s="41">
        <f t="shared" si="101"/>
        <v>118.92768000000001</v>
      </c>
      <c r="X147" s="41">
        <f t="shared" si="101"/>
        <v>118.92768000000001</v>
      </c>
      <c r="Y147" s="41">
        <f t="shared" si="101"/>
        <v>118.92768000000001</v>
      </c>
      <c r="Z147" s="41">
        <f t="shared" si="101"/>
        <v>118.92768000000001</v>
      </c>
      <c r="AA147" s="41">
        <f t="shared" si="101"/>
        <v>118.92768000000001</v>
      </c>
      <c r="AB147" s="41">
        <f t="shared" si="101"/>
        <v>118.92768000000001</v>
      </c>
      <c r="AC147" s="41">
        <f t="shared" si="101"/>
        <v>118.92768000000001</v>
      </c>
      <c r="AD147" s="41">
        <f t="shared" si="101"/>
        <v>118.92768000000001</v>
      </c>
      <c r="AE147" s="41">
        <f t="shared" si="101"/>
        <v>118.92768000000001</v>
      </c>
      <c r="AF147" s="41">
        <f t="shared" si="101"/>
        <v>118.92768000000001</v>
      </c>
      <c r="AG147" s="41">
        <f t="shared" si="101"/>
        <v>118.92768000000001</v>
      </c>
      <c r="AH147" s="41">
        <f t="shared" si="101"/>
        <v>118.92768000000001</v>
      </c>
      <c r="AI147" s="41">
        <f t="shared" si="101"/>
        <v>507.79836</v>
      </c>
      <c r="AJ147" s="41">
        <f t="shared" si="101"/>
        <v>507.79836</v>
      </c>
      <c r="AK147" s="41">
        <f t="shared" si="101"/>
        <v>507.79836</v>
      </c>
      <c r="AL147" s="41">
        <f t="shared" si="101"/>
        <v>507.79836</v>
      </c>
      <c r="AM147" s="41">
        <f t="shared" si="101"/>
        <v>507.79836</v>
      </c>
      <c r="AN147" s="41">
        <f t="shared" si="101"/>
        <v>507.79836</v>
      </c>
      <c r="AO147" s="41">
        <f t="shared" si="101"/>
        <v>507.79836</v>
      </c>
      <c r="AP147" s="41">
        <f t="shared" si="101"/>
        <v>507.79836</v>
      </c>
      <c r="AQ147" s="41">
        <f t="shared" si="101"/>
        <v>507.79836</v>
      </c>
      <c r="AR147" s="41">
        <f t="shared" si="101"/>
        <v>507.79836</v>
      </c>
      <c r="AS147" s="41">
        <f t="shared" si="101"/>
        <v>507.79836</v>
      </c>
      <c r="AT147" s="41">
        <f t="shared" si="101"/>
        <v>507.79836</v>
      </c>
      <c r="AU147" s="41">
        <f t="shared" si="101"/>
        <v>559.61909922038728</v>
      </c>
      <c r="AV147" s="41">
        <f t="shared" si="101"/>
        <v>559.61909922038728</v>
      </c>
      <c r="AW147" s="41">
        <f t="shared" si="101"/>
        <v>559.61909922038728</v>
      </c>
      <c r="AX147" s="41">
        <f t="shared" si="101"/>
        <v>559.61909922038728</v>
      </c>
      <c r="AY147" s="41">
        <f t="shared" si="101"/>
        <v>559.61909922038728</v>
      </c>
      <c r="AZ147" s="41">
        <f t="shared" si="101"/>
        <v>559.61909922038728</v>
      </c>
      <c r="BA147" s="41">
        <f t="shared" si="101"/>
        <v>559.61909922038728</v>
      </c>
      <c r="BB147" s="41">
        <f t="shared" si="101"/>
        <v>559.61909922038728</v>
      </c>
      <c r="BC147" s="41">
        <f t="shared" si="101"/>
        <v>559.61909922038728</v>
      </c>
      <c r="BD147" s="41">
        <f t="shared" si="101"/>
        <v>559.61909922038728</v>
      </c>
      <c r="BE147" s="41">
        <f t="shared" si="101"/>
        <v>559.61909922038728</v>
      </c>
      <c r="BF147" s="41">
        <f t="shared" si="101"/>
        <v>559.61909922038728</v>
      </c>
      <c r="BG147" s="41">
        <f t="shared" si="101"/>
        <v>615.58100914242596</v>
      </c>
      <c r="BH147" s="41">
        <f t="shared" si="101"/>
        <v>615.58100914242596</v>
      </c>
      <c r="BI147" s="41">
        <f t="shared" si="101"/>
        <v>615.58100914242596</v>
      </c>
    </row>
    <row r="148" spans="4:61" x14ac:dyDescent="0.35">
      <c r="E148">
        <v>11</v>
      </c>
      <c r="J148" t="s">
        <v>50</v>
      </c>
      <c r="N148" s="41">
        <f t="shared" ref="N148:BI148" si="102">IFERROR(INDEX($N$110:$BI$110,1,MATCH(N122,$N$109:$BI$109,0)),0)</f>
        <v>0</v>
      </c>
      <c r="O148" s="41">
        <f t="shared" si="102"/>
        <v>0</v>
      </c>
      <c r="P148" s="41">
        <f t="shared" si="102"/>
        <v>0</v>
      </c>
      <c r="Q148" s="41">
        <f t="shared" si="102"/>
        <v>0</v>
      </c>
      <c r="R148" s="41">
        <f t="shared" si="102"/>
        <v>0</v>
      </c>
      <c r="S148" s="41">
        <f t="shared" si="102"/>
        <v>0</v>
      </c>
      <c r="T148" s="41">
        <f t="shared" si="102"/>
        <v>0</v>
      </c>
      <c r="U148" s="41">
        <f t="shared" si="102"/>
        <v>0</v>
      </c>
      <c r="V148" s="41">
        <f t="shared" si="102"/>
        <v>0</v>
      </c>
      <c r="W148" s="41">
        <f t="shared" si="102"/>
        <v>0</v>
      </c>
      <c r="X148" s="41">
        <f t="shared" si="102"/>
        <v>164.43407999999999</v>
      </c>
      <c r="Y148" s="41">
        <f t="shared" si="102"/>
        <v>164.43407999999999</v>
      </c>
      <c r="Z148" s="41">
        <f t="shared" si="102"/>
        <v>164.43407999999999</v>
      </c>
      <c r="AA148" s="41">
        <f t="shared" si="102"/>
        <v>164.43407999999999</v>
      </c>
      <c r="AB148" s="41">
        <f t="shared" si="102"/>
        <v>164.43407999999999</v>
      </c>
      <c r="AC148" s="41">
        <f t="shared" si="102"/>
        <v>164.43407999999999</v>
      </c>
      <c r="AD148" s="41">
        <f t="shared" si="102"/>
        <v>164.43407999999999</v>
      </c>
      <c r="AE148" s="41">
        <f t="shared" si="102"/>
        <v>164.43407999999999</v>
      </c>
      <c r="AF148" s="41">
        <f t="shared" si="102"/>
        <v>164.43407999999999</v>
      </c>
      <c r="AG148" s="41">
        <f t="shared" si="102"/>
        <v>164.43407999999999</v>
      </c>
      <c r="AH148" s="41">
        <f t="shared" si="102"/>
        <v>164.43407999999999</v>
      </c>
      <c r="AI148" s="41">
        <f t="shared" si="102"/>
        <v>164.43407999999999</v>
      </c>
      <c r="AJ148" s="41">
        <f t="shared" si="102"/>
        <v>501.94524000000001</v>
      </c>
      <c r="AK148" s="41">
        <f t="shared" si="102"/>
        <v>501.94524000000001</v>
      </c>
      <c r="AL148" s="41">
        <f t="shared" si="102"/>
        <v>501.94524000000001</v>
      </c>
      <c r="AM148" s="41">
        <f t="shared" si="102"/>
        <v>501.94524000000001</v>
      </c>
      <c r="AN148" s="41">
        <f t="shared" si="102"/>
        <v>501.94524000000001</v>
      </c>
      <c r="AO148" s="41">
        <f t="shared" si="102"/>
        <v>501.94524000000001</v>
      </c>
      <c r="AP148" s="41">
        <f t="shared" si="102"/>
        <v>501.94524000000001</v>
      </c>
      <c r="AQ148" s="41">
        <f t="shared" si="102"/>
        <v>501.94524000000001</v>
      </c>
      <c r="AR148" s="41">
        <f t="shared" si="102"/>
        <v>501.94524000000001</v>
      </c>
      <c r="AS148" s="41">
        <f t="shared" si="102"/>
        <v>501.94524000000001</v>
      </c>
      <c r="AT148" s="41">
        <f t="shared" si="102"/>
        <v>501.94524000000001</v>
      </c>
      <c r="AU148" s="41">
        <f t="shared" si="102"/>
        <v>501.94524000000001</v>
      </c>
      <c r="AV148" s="41">
        <f t="shared" si="102"/>
        <v>573.88663412759354</v>
      </c>
      <c r="AW148" s="41">
        <f t="shared" si="102"/>
        <v>573.88663412759354</v>
      </c>
      <c r="AX148" s="41">
        <f t="shared" si="102"/>
        <v>573.88663412759354</v>
      </c>
      <c r="AY148" s="41">
        <f t="shared" si="102"/>
        <v>573.88663412759354</v>
      </c>
      <c r="AZ148" s="41">
        <f t="shared" si="102"/>
        <v>573.88663412759354</v>
      </c>
      <c r="BA148" s="41">
        <f t="shared" si="102"/>
        <v>573.88663412759354</v>
      </c>
      <c r="BB148" s="41">
        <f t="shared" si="102"/>
        <v>573.88663412759354</v>
      </c>
      <c r="BC148" s="41">
        <f t="shared" si="102"/>
        <v>573.88663412759354</v>
      </c>
      <c r="BD148" s="41">
        <f t="shared" si="102"/>
        <v>573.88663412759354</v>
      </c>
      <c r="BE148" s="41">
        <f t="shared" si="102"/>
        <v>573.88663412759354</v>
      </c>
      <c r="BF148" s="41">
        <f t="shared" si="102"/>
        <v>573.88663412759354</v>
      </c>
      <c r="BG148" s="41">
        <f t="shared" si="102"/>
        <v>573.88663412759354</v>
      </c>
      <c r="BH148" s="41">
        <f t="shared" si="102"/>
        <v>631.27529754035299</v>
      </c>
      <c r="BI148" s="41">
        <f t="shared" si="102"/>
        <v>631.27529754035299</v>
      </c>
    </row>
    <row r="149" spans="4:61" x14ac:dyDescent="0.35">
      <c r="E149">
        <v>12</v>
      </c>
      <c r="J149" t="s">
        <v>50</v>
      </c>
      <c r="N149" s="41">
        <f t="shared" ref="N149:BI149" si="103">IFERROR(INDEX($N$110:$BI$110,1,MATCH(N123,$N$109:$BI$109,0)),0)</f>
        <v>0</v>
      </c>
      <c r="O149" s="41">
        <f t="shared" si="103"/>
        <v>0</v>
      </c>
      <c r="P149" s="41">
        <f t="shared" si="103"/>
        <v>0</v>
      </c>
      <c r="Q149" s="41">
        <f t="shared" si="103"/>
        <v>0</v>
      </c>
      <c r="R149" s="41">
        <f t="shared" si="103"/>
        <v>0</v>
      </c>
      <c r="S149" s="41">
        <f t="shared" si="103"/>
        <v>0</v>
      </c>
      <c r="T149" s="41">
        <f t="shared" si="103"/>
        <v>0</v>
      </c>
      <c r="U149" s="41">
        <f t="shared" si="103"/>
        <v>0</v>
      </c>
      <c r="V149" s="41">
        <f t="shared" si="103"/>
        <v>0</v>
      </c>
      <c r="W149" s="41">
        <f t="shared" si="103"/>
        <v>0</v>
      </c>
      <c r="X149" s="41">
        <f t="shared" si="103"/>
        <v>0</v>
      </c>
      <c r="Y149" s="41">
        <f t="shared" si="103"/>
        <v>251.67612000000003</v>
      </c>
      <c r="Z149" s="41">
        <f t="shared" si="103"/>
        <v>251.67612000000003</v>
      </c>
      <c r="AA149" s="41">
        <f t="shared" si="103"/>
        <v>251.67612000000003</v>
      </c>
      <c r="AB149" s="41">
        <f t="shared" si="103"/>
        <v>251.67612000000003</v>
      </c>
      <c r="AC149" s="41">
        <f t="shared" si="103"/>
        <v>251.67612000000003</v>
      </c>
      <c r="AD149" s="41">
        <f t="shared" si="103"/>
        <v>251.67612000000003</v>
      </c>
      <c r="AE149" s="41">
        <f t="shared" si="103"/>
        <v>251.67612000000003</v>
      </c>
      <c r="AF149" s="41">
        <f t="shared" si="103"/>
        <v>251.67612000000003</v>
      </c>
      <c r="AG149" s="41">
        <f t="shared" si="103"/>
        <v>251.67612000000003</v>
      </c>
      <c r="AH149" s="41">
        <f t="shared" si="103"/>
        <v>251.67612000000003</v>
      </c>
      <c r="AI149" s="41">
        <f t="shared" si="103"/>
        <v>251.67612000000003</v>
      </c>
      <c r="AJ149" s="41">
        <f t="shared" si="103"/>
        <v>251.67612000000003</v>
      </c>
      <c r="AK149" s="41">
        <f t="shared" si="103"/>
        <v>569.26415999999995</v>
      </c>
      <c r="AL149" s="41">
        <f t="shared" si="103"/>
        <v>569.26415999999995</v>
      </c>
      <c r="AM149" s="41">
        <f t="shared" si="103"/>
        <v>569.26415999999995</v>
      </c>
      <c r="AN149" s="41">
        <f t="shared" si="103"/>
        <v>569.26415999999995</v>
      </c>
      <c r="AO149" s="41">
        <f t="shared" si="103"/>
        <v>569.26415999999995</v>
      </c>
      <c r="AP149" s="41">
        <f t="shared" si="103"/>
        <v>569.26415999999995</v>
      </c>
      <c r="AQ149" s="41">
        <f t="shared" si="103"/>
        <v>569.26415999999995</v>
      </c>
      <c r="AR149" s="41">
        <f t="shared" si="103"/>
        <v>569.26415999999995</v>
      </c>
      <c r="AS149" s="41">
        <f t="shared" si="103"/>
        <v>569.26415999999995</v>
      </c>
      <c r="AT149" s="41">
        <f t="shared" si="103"/>
        <v>569.26415999999995</v>
      </c>
      <c r="AU149" s="41">
        <f t="shared" si="103"/>
        <v>569.26415999999995</v>
      </c>
      <c r="AV149" s="41">
        <f t="shared" si="103"/>
        <v>569.26415999999995</v>
      </c>
      <c r="AW149" s="41">
        <f t="shared" si="103"/>
        <v>633.17532356454126</v>
      </c>
      <c r="AX149" s="41">
        <f t="shared" si="103"/>
        <v>633.17532356454126</v>
      </c>
      <c r="AY149" s="41">
        <f t="shared" si="103"/>
        <v>633.17532356454126</v>
      </c>
      <c r="AZ149" s="41">
        <f t="shared" si="103"/>
        <v>633.17532356454126</v>
      </c>
      <c r="BA149" s="41">
        <f t="shared" si="103"/>
        <v>633.17532356454126</v>
      </c>
      <c r="BB149" s="41">
        <f t="shared" si="103"/>
        <v>633.17532356454126</v>
      </c>
      <c r="BC149" s="41">
        <f t="shared" si="103"/>
        <v>633.17532356454126</v>
      </c>
      <c r="BD149" s="41">
        <f t="shared" si="103"/>
        <v>633.17532356454126</v>
      </c>
      <c r="BE149" s="41">
        <f t="shared" si="103"/>
        <v>633.17532356454126</v>
      </c>
      <c r="BF149" s="41">
        <f t="shared" si="103"/>
        <v>633.17532356454126</v>
      </c>
      <c r="BG149" s="41">
        <f t="shared" si="103"/>
        <v>633.17532356454126</v>
      </c>
      <c r="BH149" s="41">
        <f t="shared" si="103"/>
        <v>633.17532356454126</v>
      </c>
      <c r="BI149" s="41">
        <f t="shared" si="103"/>
        <v>696.49285592099557</v>
      </c>
    </row>
    <row r="150" spans="4:61" x14ac:dyDescent="0.35"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</row>
    <row r="151" spans="4:61" x14ac:dyDescent="0.35">
      <c r="E151" t="s">
        <v>85</v>
      </c>
      <c r="J151" t="s">
        <v>50</v>
      </c>
      <c r="N151" s="41">
        <f t="shared" ref="N151:BI151" si="104">SUMPRODUCT(N125:N136,N138:N149)</f>
        <v>0</v>
      </c>
      <c r="O151" s="41">
        <f t="shared" si="104"/>
        <v>0</v>
      </c>
      <c r="P151" s="41">
        <f t="shared" si="104"/>
        <v>0</v>
      </c>
      <c r="Q151" s="41">
        <f t="shared" si="104"/>
        <v>3.1593235291023631E-5</v>
      </c>
      <c r="R151" s="41">
        <f t="shared" si="104"/>
        <v>0.56532675996811621</v>
      </c>
      <c r="S151" s="41">
        <f t="shared" si="104"/>
        <v>8.7530329823154815</v>
      </c>
      <c r="T151" s="41">
        <f t="shared" si="104"/>
        <v>39.314610047107848</v>
      </c>
      <c r="U151" s="41">
        <f t="shared" si="104"/>
        <v>67.592350985685599</v>
      </c>
      <c r="V151" s="41">
        <f t="shared" si="104"/>
        <v>146.24918259095674</v>
      </c>
      <c r="W151" s="41">
        <f t="shared" si="104"/>
        <v>209.69992370540453</v>
      </c>
      <c r="X151" s="41">
        <f t="shared" si="104"/>
        <v>114.71770189387152</v>
      </c>
      <c r="Y151" s="41">
        <f t="shared" si="104"/>
        <v>124.00092992593133</v>
      </c>
      <c r="Z151" s="41">
        <f t="shared" si="104"/>
        <v>175.84219306504141</v>
      </c>
      <c r="AA151" s="41">
        <f t="shared" si="104"/>
        <v>232.83393109249963</v>
      </c>
      <c r="AB151" s="41">
        <f t="shared" si="104"/>
        <v>271.86080758803985</v>
      </c>
      <c r="AC151" s="41">
        <f t="shared" si="104"/>
        <v>326.81491026089196</v>
      </c>
      <c r="AD151" s="41">
        <f t="shared" si="104"/>
        <v>380.67482060627714</v>
      </c>
      <c r="AE151" s="41">
        <f t="shared" si="104"/>
        <v>451.15340229904399</v>
      </c>
      <c r="AF151" s="41">
        <f t="shared" si="104"/>
        <v>459.85530695114517</v>
      </c>
      <c r="AG151" s="41">
        <f t="shared" si="104"/>
        <v>567.32978795123734</v>
      </c>
      <c r="AH151" s="41">
        <f t="shared" si="104"/>
        <v>473.94508682100383</v>
      </c>
      <c r="AI151" s="41">
        <f t="shared" si="104"/>
        <v>417.94156278575082</v>
      </c>
      <c r="AJ151" s="41">
        <f t="shared" si="104"/>
        <v>417.22509110338746</v>
      </c>
      <c r="AK151" s="41">
        <f t="shared" si="104"/>
        <v>507.3170095287748</v>
      </c>
      <c r="AL151" s="41">
        <f t="shared" si="104"/>
        <v>519.07175112205289</v>
      </c>
      <c r="AM151" s="41">
        <f t="shared" si="104"/>
        <v>525.70779379745477</v>
      </c>
      <c r="AN151" s="41">
        <f t="shared" si="104"/>
        <v>527.18162972669825</v>
      </c>
      <c r="AO151" s="41">
        <f t="shared" si="104"/>
        <v>531.21874282384783</v>
      </c>
      <c r="AP151" s="41">
        <f t="shared" si="104"/>
        <v>605.87882220696713</v>
      </c>
      <c r="AQ151" s="41">
        <f t="shared" si="104"/>
        <v>579.91662112504844</v>
      </c>
      <c r="AR151" s="41">
        <f t="shared" si="104"/>
        <v>597.81844117878063</v>
      </c>
      <c r="AS151" s="41">
        <f t="shared" si="104"/>
        <v>567.59142640084099</v>
      </c>
      <c r="AT151" s="41">
        <f t="shared" si="104"/>
        <v>494.05572651414161</v>
      </c>
      <c r="AU151" s="41">
        <f t="shared" si="104"/>
        <v>415.04635866393687</v>
      </c>
      <c r="AV151" s="41">
        <f t="shared" si="104"/>
        <v>470.67328336813205</v>
      </c>
      <c r="AW151" s="41">
        <f t="shared" si="104"/>
        <v>561.75737170011939</v>
      </c>
      <c r="AX151" s="41">
        <f t="shared" si="104"/>
        <v>590.68044140811537</v>
      </c>
      <c r="AY151" s="41">
        <f t="shared" si="104"/>
        <v>585.16855498228631</v>
      </c>
      <c r="AZ151" s="41">
        <f t="shared" si="104"/>
        <v>584.41123314491801</v>
      </c>
      <c r="BA151" s="41">
        <f t="shared" si="104"/>
        <v>585.2107032846219</v>
      </c>
      <c r="BB151" s="41">
        <f t="shared" si="104"/>
        <v>666.57253820498966</v>
      </c>
      <c r="BC151" s="41">
        <f t="shared" si="104"/>
        <v>637.91263229349408</v>
      </c>
      <c r="BD151" s="41">
        <f t="shared" si="104"/>
        <v>657.6004146905774</v>
      </c>
      <c r="BE151" s="41">
        <f t="shared" si="104"/>
        <v>624.35057043829352</v>
      </c>
      <c r="BF151" s="41">
        <f t="shared" si="104"/>
        <v>543.46129917228836</v>
      </c>
      <c r="BG151" s="41">
        <f t="shared" si="104"/>
        <v>456.55099453034575</v>
      </c>
      <c r="BH151" s="41">
        <f t="shared" si="104"/>
        <v>517.74061170494531</v>
      </c>
      <c r="BI151" s="41">
        <f t="shared" si="104"/>
        <v>617.93310887013126</v>
      </c>
    </row>
    <row r="152" spans="4:61" x14ac:dyDescent="0.35"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</row>
    <row r="153" spans="4:61" x14ac:dyDescent="0.35">
      <c r="D153" s="1" t="s">
        <v>90</v>
      </c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</row>
    <row r="154" spans="4:61" x14ac:dyDescent="0.35"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</row>
    <row r="155" spans="4:61" s="4" customFormat="1" x14ac:dyDescent="0.35">
      <c r="E155" s="4" t="str">
        <f>Time!E19</f>
        <v>Frise mensuelle-début de période</v>
      </c>
      <c r="J155" s="4" t="str">
        <f>Time!J19</f>
        <v>date</v>
      </c>
      <c r="N155" s="5">
        <f>Time!N19</f>
        <v>43831</v>
      </c>
      <c r="O155" s="5">
        <f>Time!O19</f>
        <v>43862</v>
      </c>
      <c r="P155" s="5">
        <f>Time!P19</f>
        <v>43891</v>
      </c>
      <c r="Q155" s="5">
        <f>Time!Q19</f>
        <v>43922</v>
      </c>
      <c r="R155" s="5">
        <f>Time!R19</f>
        <v>43952</v>
      </c>
      <c r="S155" s="5">
        <f>Time!S19</f>
        <v>43983</v>
      </c>
      <c r="T155" s="5">
        <f>Time!T19</f>
        <v>44013</v>
      </c>
      <c r="U155" s="5">
        <f>Time!U19</f>
        <v>44044</v>
      </c>
      <c r="V155" s="5">
        <f>Time!V19</f>
        <v>44075</v>
      </c>
      <c r="W155" s="5">
        <f>Time!W19</f>
        <v>44105</v>
      </c>
      <c r="X155" s="5">
        <f>Time!X19</f>
        <v>44136</v>
      </c>
      <c r="Y155" s="5">
        <f>Time!Y19</f>
        <v>44166</v>
      </c>
      <c r="Z155" s="5">
        <f>Time!Z19</f>
        <v>44197</v>
      </c>
      <c r="AA155" s="5">
        <f>Time!AA19</f>
        <v>44228</v>
      </c>
      <c r="AB155" s="5">
        <f>Time!AB19</f>
        <v>44256</v>
      </c>
      <c r="AC155" s="5">
        <f>Time!AC19</f>
        <v>44287</v>
      </c>
      <c r="AD155" s="5">
        <f>Time!AD19</f>
        <v>44317</v>
      </c>
      <c r="AE155" s="5">
        <f>Time!AE19</f>
        <v>44348</v>
      </c>
      <c r="AF155" s="5">
        <f>Time!AF19</f>
        <v>44378</v>
      </c>
      <c r="AG155" s="5">
        <f>Time!AG19</f>
        <v>44409</v>
      </c>
      <c r="AH155" s="5">
        <f>Time!AH19</f>
        <v>44440</v>
      </c>
      <c r="AI155" s="5">
        <f>Time!AI19</f>
        <v>44470</v>
      </c>
      <c r="AJ155" s="5">
        <f>Time!AJ19</f>
        <v>44501</v>
      </c>
      <c r="AK155" s="5">
        <f>Time!AK19</f>
        <v>44531</v>
      </c>
      <c r="AL155" s="5">
        <f>Time!AL19</f>
        <v>44562</v>
      </c>
      <c r="AM155" s="5">
        <f>Time!AM19</f>
        <v>44593</v>
      </c>
      <c r="AN155" s="5">
        <f>Time!AN19</f>
        <v>44621</v>
      </c>
      <c r="AO155" s="5">
        <f>Time!AO19</f>
        <v>44652</v>
      </c>
      <c r="AP155" s="5">
        <f>Time!AP19</f>
        <v>44682</v>
      </c>
      <c r="AQ155" s="5">
        <f>Time!AQ19</f>
        <v>44713</v>
      </c>
      <c r="AR155" s="5">
        <f>Time!AR19</f>
        <v>44743</v>
      </c>
      <c r="AS155" s="5">
        <f>Time!AS19</f>
        <v>44774</v>
      </c>
      <c r="AT155" s="5">
        <f>Time!AT19</f>
        <v>44805</v>
      </c>
      <c r="AU155" s="5">
        <f>Time!AU19</f>
        <v>44835</v>
      </c>
      <c r="AV155" s="5">
        <f>Time!AV19</f>
        <v>44866</v>
      </c>
      <c r="AW155" s="5">
        <f>Time!AW19</f>
        <v>44896</v>
      </c>
      <c r="AX155" s="5">
        <f>Time!AX19</f>
        <v>44927</v>
      </c>
      <c r="AY155" s="5">
        <f>Time!AY19</f>
        <v>44958</v>
      </c>
      <c r="AZ155" s="5">
        <f>Time!AZ19</f>
        <v>44986</v>
      </c>
      <c r="BA155" s="5">
        <f>Time!BA19</f>
        <v>45017</v>
      </c>
      <c r="BB155" s="5">
        <f>Time!BB19</f>
        <v>45047</v>
      </c>
      <c r="BC155" s="5">
        <f>Time!BC19</f>
        <v>45078</v>
      </c>
      <c r="BD155" s="5">
        <f>Time!BD19</f>
        <v>45108</v>
      </c>
      <c r="BE155" s="5">
        <f>Time!BE19</f>
        <v>45139</v>
      </c>
      <c r="BF155" s="5">
        <f>Time!BF19</f>
        <v>45170</v>
      </c>
      <c r="BG155" s="5">
        <f>Time!BG19</f>
        <v>45200</v>
      </c>
      <c r="BH155" s="5">
        <f>Time!BH19</f>
        <v>45231</v>
      </c>
      <c r="BI155" s="5">
        <f>Time!BI19</f>
        <v>45261</v>
      </c>
    </row>
    <row r="156" spans="4:61" s="4" customFormat="1" x14ac:dyDescent="0.35">
      <c r="E156" s="4" t="str">
        <f>E103</f>
        <v>Volumes dépôts hors rejet-Demande d'avance</v>
      </c>
      <c r="J156" s="4" t="str">
        <f>J103</f>
        <v>Volume</v>
      </c>
      <c r="N156" s="85">
        <f t="shared" ref="N156:BI156" si="105">N103</f>
        <v>0</v>
      </c>
      <c r="O156" s="85">
        <f t="shared" si="105"/>
        <v>0</v>
      </c>
      <c r="P156" s="85">
        <f t="shared" si="105"/>
        <v>0</v>
      </c>
      <c r="Q156" s="85">
        <f t="shared" si="105"/>
        <v>5.83704</v>
      </c>
      <c r="R156" s="85">
        <f t="shared" si="105"/>
        <v>38.64828</v>
      </c>
      <c r="S156" s="85">
        <f t="shared" si="105"/>
        <v>57.180480000000003</v>
      </c>
      <c r="T156" s="85">
        <f t="shared" si="105"/>
        <v>144.36624</v>
      </c>
      <c r="U156" s="85">
        <f t="shared" si="105"/>
        <v>223.43964000000003</v>
      </c>
      <c r="V156" s="85">
        <f t="shared" si="105"/>
        <v>110.84748</v>
      </c>
      <c r="W156" s="85">
        <f t="shared" si="105"/>
        <v>118.92768000000001</v>
      </c>
      <c r="X156" s="85">
        <f t="shared" si="105"/>
        <v>164.43407999999999</v>
      </c>
      <c r="Y156" s="85">
        <f t="shared" si="105"/>
        <v>251.67612000000003</v>
      </c>
      <c r="Z156" s="85">
        <f t="shared" si="105"/>
        <v>269.48472000000004</v>
      </c>
      <c r="AA156" s="85">
        <f t="shared" si="105"/>
        <v>319.62216000000001</v>
      </c>
      <c r="AB156" s="85">
        <f t="shared" si="105"/>
        <v>362.93364000000003</v>
      </c>
      <c r="AC156" s="85">
        <f t="shared" si="105"/>
        <v>460.32215999999994</v>
      </c>
      <c r="AD156" s="85">
        <f t="shared" si="105"/>
        <v>442.81907999999999</v>
      </c>
      <c r="AE156" s="85">
        <f t="shared" si="105"/>
        <v>571.24199999999996</v>
      </c>
      <c r="AF156" s="85">
        <f t="shared" si="105"/>
        <v>486.65315999999996</v>
      </c>
      <c r="AG156" s="85">
        <f t="shared" si="105"/>
        <v>415.83684000000005</v>
      </c>
      <c r="AH156" s="85">
        <f t="shared" si="105"/>
        <v>411.27012000000002</v>
      </c>
      <c r="AI156" s="85">
        <f t="shared" si="105"/>
        <v>507.79836</v>
      </c>
      <c r="AJ156" s="85">
        <f t="shared" si="105"/>
        <v>501.94524000000001</v>
      </c>
      <c r="AK156" s="85">
        <f t="shared" si="105"/>
        <v>569.26415999999995</v>
      </c>
      <c r="AL156" s="85">
        <f t="shared" si="105"/>
        <v>525.58875466425775</v>
      </c>
      <c r="AM156" s="85">
        <f t="shared" si="105"/>
        <v>513.54194833455119</v>
      </c>
      <c r="AN156" s="85">
        <f t="shared" si="105"/>
        <v>593.94112348736542</v>
      </c>
      <c r="AO156" s="85">
        <f t="shared" si="105"/>
        <v>583.27928561812212</v>
      </c>
      <c r="AP156" s="85">
        <f t="shared" si="105"/>
        <v>596.6303899502044</v>
      </c>
      <c r="AQ156" s="85">
        <f t="shared" si="105"/>
        <v>561.81362746489867</v>
      </c>
      <c r="AR156" s="85">
        <f t="shared" si="105"/>
        <v>511.96278349332971</v>
      </c>
      <c r="AS156" s="85">
        <f t="shared" si="105"/>
        <v>405.10396955683478</v>
      </c>
      <c r="AT156" s="85">
        <f t="shared" si="105"/>
        <v>468.12506003093938</v>
      </c>
      <c r="AU156" s="85">
        <f t="shared" si="105"/>
        <v>559.61909922038728</v>
      </c>
      <c r="AV156" s="85">
        <f t="shared" si="105"/>
        <v>573.88663412759354</v>
      </c>
      <c r="AW156" s="85">
        <f t="shared" si="105"/>
        <v>633.17532356454126</v>
      </c>
      <c r="AX156" s="85">
        <f t="shared" si="105"/>
        <v>582.79440036137134</v>
      </c>
      <c r="AY156" s="85">
        <f t="shared" si="105"/>
        <v>565.59894884921255</v>
      </c>
      <c r="AZ156" s="85">
        <f t="shared" si="105"/>
        <v>653.40287017571904</v>
      </c>
      <c r="BA156" s="85">
        <f t="shared" si="105"/>
        <v>641.60944348376427</v>
      </c>
      <c r="BB156" s="85">
        <f t="shared" si="105"/>
        <v>656.29346350763842</v>
      </c>
      <c r="BC156" s="85">
        <f t="shared" si="105"/>
        <v>617.9949903886469</v>
      </c>
      <c r="BD156" s="85">
        <f t="shared" si="105"/>
        <v>563.15906184307175</v>
      </c>
      <c r="BE156" s="85">
        <f t="shared" si="105"/>
        <v>445.61436651251864</v>
      </c>
      <c r="BF156" s="85">
        <f t="shared" si="105"/>
        <v>514.93756603403335</v>
      </c>
      <c r="BG156" s="85">
        <f t="shared" si="105"/>
        <v>615.58100914242596</v>
      </c>
      <c r="BH156" s="85">
        <f t="shared" si="105"/>
        <v>631.27529754035299</v>
      </c>
      <c r="BI156" s="85">
        <f t="shared" si="105"/>
        <v>696.49285592099557</v>
      </c>
    </row>
    <row r="157" spans="4:61" s="4" customFormat="1" x14ac:dyDescent="0.35">
      <c r="E157" s="4" t="str">
        <f>E104</f>
        <v>Montant dépôts hors rejet-Demande d'avance</v>
      </c>
      <c r="J157" s="4" t="str">
        <f>J104</f>
        <v>EUR</v>
      </c>
      <c r="N157" s="85">
        <f t="shared" ref="N157:BI157" si="106">N104</f>
        <v>0</v>
      </c>
      <c r="O157" s="85">
        <f t="shared" si="106"/>
        <v>0</v>
      </c>
      <c r="P157" s="85">
        <f t="shared" si="106"/>
        <v>0</v>
      </c>
      <c r="Q157" s="85">
        <f t="shared" si="106"/>
        <v>5835.3555640415998</v>
      </c>
      <c r="R157" s="85">
        <f t="shared" si="106"/>
        <v>37360.433919168005</v>
      </c>
      <c r="S157" s="85">
        <f t="shared" si="106"/>
        <v>71932.216399219207</v>
      </c>
      <c r="T157" s="85">
        <f t="shared" si="106"/>
        <v>298928.59854513593</v>
      </c>
      <c r="U157" s="85">
        <f t="shared" si="106"/>
        <v>594122.4266718768</v>
      </c>
      <c r="V157" s="85">
        <f t="shared" si="106"/>
        <v>195269.29449292802</v>
      </c>
      <c r="W157" s="85">
        <f t="shared" si="106"/>
        <v>169393.96694565602</v>
      </c>
      <c r="X157" s="85">
        <f t="shared" si="106"/>
        <v>216678.86162332317</v>
      </c>
      <c r="Y157" s="85">
        <f t="shared" si="106"/>
        <v>342469.53222670086</v>
      </c>
      <c r="Z157" s="85">
        <f t="shared" si="106"/>
        <v>340504.88756314083</v>
      </c>
      <c r="AA157" s="85">
        <f t="shared" si="106"/>
        <v>314866.99850026087</v>
      </c>
      <c r="AB157" s="85">
        <f t="shared" si="106"/>
        <v>432775.75322090404</v>
      </c>
      <c r="AC157" s="85">
        <f t="shared" si="106"/>
        <v>509807.08038897597</v>
      </c>
      <c r="AD157" s="85">
        <f t="shared" si="106"/>
        <v>563462.91886669432</v>
      </c>
      <c r="AE157" s="85">
        <f t="shared" si="106"/>
        <v>758573.61544229754</v>
      </c>
      <c r="AF157" s="85">
        <f t="shared" si="106"/>
        <v>747603.41094470886</v>
      </c>
      <c r="AG157" s="85">
        <f t="shared" si="106"/>
        <v>634408.34290204814</v>
      </c>
      <c r="AH157" s="85">
        <f t="shared" si="106"/>
        <v>590141.02024032001</v>
      </c>
      <c r="AI157" s="85">
        <f t="shared" si="106"/>
        <v>679559.66795683198</v>
      </c>
      <c r="AJ157" s="85">
        <f t="shared" si="106"/>
        <v>746152.67040271196</v>
      </c>
      <c r="AK157" s="85">
        <f t="shared" si="106"/>
        <v>890319.63700847025</v>
      </c>
      <c r="AL157" s="85">
        <f t="shared" si="106"/>
        <v>763985.92871110747</v>
      </c>
      <c r="AM157" s="85">
        <f t="shared" si="106"/>
        <v>720852.154672337</v>
      </c>
      <c r="AN157" s="85">
        <f t="shared" si="106"/>
        <v>825779.26268684305</v>
      </c>
      <c r="AO157" s="85">
        <f t="shared" si="106"/>
        <v>810039.89188965131</v>
      </c>
      <c r="AP157" s="85">
        <f t="shared" si="106"/>
        <v>828543.65174579923</v>
      </c>
      <c r="AQ157" s="85">
        <f t="shared" si="106"/>
        <v>780192.85164454347</v>
      </c>
      <c r="AR157" s="85">
        <f t="shared" si="106"/>
        <v>710964.78044993756</v>
      </c>
      <c r="AS157" s="85">
        <f t="shared" si="106"/>
        <v>562569.51493039588</v>
      </c>
      <c r="AT157" s="85">
        <f t="shared" si="106"/>
        <v>650087.1572215436</v>
      </c>
      <c r="AU157" s="85">
        <f t="shared" si="106"/>
        <v>777145.29812827823</v>
      </c>
      <c r="AV157" s="85">
        <f t="shared" si="106"/>
        <v>796958.68134636933</v>
      </c>
      <c r="AW157" s="85">
        <f t="shared" si="106"/>
        <v>879293.1232771409</v>
      </c>
      <c r="AX157" s="85">
        <f t="shared" si="106"/>
        <v>824061.22816139495</v>
      </c>
      <c r="AY157" s="85">
        <f t="shared" si="106"/>
        <v>806903.39819475706</v>
      </c>
      <c r="AZ157" s="85">
        <f t="shared" si="106"/>
        <v>934339.88909652678</v>
      </c>
      <c r="BA157" s="85">
        <f t="shared" si="106"/>
        <v>917725.55080024083</v>
      </c>
      <c r="BB157" s="85">
        <f t="shared" si="106"/>
        <v>938739.12859850924</v>
      </c>
      <c r="BC157" s="85">
        <f t="shared" si="106"/>
        <v>883958.49652999209</v>
      </c>
      <c r="BD157" s="85">
        <f t="shared" si="106"/>
        <v>805523.09623954946</v>
      </c>
      <c r="BE157" s="85">
        <f t="shared" si="106"/>
        <v>637391.2604161317</v>
      </c>
      <c r="BF157" s="85">
        <f t="shared" si="106"/>
        <v>736548.74913200911</v>
      </c>
      <c r="BG157" s="85">
        <f t="shared" si="106"/>
        <v>880505.62277933955</v>
      </c>
      <c r="BH157" s="85">
        <f t="shared" si="106"/>
        <v>902954.18596543663</v>
      </c>
      <c r="BI157" s="85">
        <f t="shared" si="106"/>
        <v>996239.10867300071</v>
      </c>
    </row>
    <row r="158" spans="4:61" x14ac:dyDescent="0.35"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</row>
    <row r="159" spans="4:61" x14ac:dyDescent="0.35">
      <c r="E159" t="s">
        <v>91</v>
      </c>
      <c r="J159" t="s">
        <v>51</v>
      </c>
      <c r="N159" s="41">
        <f>IFERROR(N157/N156,0)</f>
        <v>0</v>
      </c>
      <c r="O159" s="41">
        <f t="shared" ref="O159:BI159" si="107">IFERROR(O157/O156,0)</f>
        <v>0</v>
      </c>
      <c r="P159" s="41">
        <f t="shared" si="107"/>
        <v>0</v>
      </c>
      <c r="Q159" s="41">
        <f t="shared" si="107"/>
        <v>999.71142292011018</v>
      </c>
      <c r="R159" s="41">
        <f t="shared" si="107"/>
        <v>966.67779055544008</v>
      </c>
      <c r="S159" s="41">
        <f t="shared" si="107"/>
        <v>1257.9855293138357</v>
      </c>
      <c r="T159" s="41">
        <f t="shared" si="107"/>
        <v>2070.6267514145684</v>
      </c>
      <c r="U159" s="41">
        <f t="shared" si="107"/>
        <v>2658.9839952833649</v>
      </c>
      <c r="V159" s="41">
        <f t="shared" si="107"/>
        <v>1761.6033715238993</v>
      </c>
      <c r="W159" s="41">
        <f t="shared" si="107"/>
        <v>1424.3443321660359</v>
      </c>
      <c r="X159" s="41">
        <f t="shared" si="107"/>
        <v>1317.7247783629962</v>
      </c>
      <c r="Y159" s="41">
        <f t="shared" si="107"/>
        <v>1360.7549743960644</v>
      </c>
      <c r="Z159" s="41">
        <f t="shared" si="107"/>
        <v>1263.5406102547884</v>
      </c>
      <c r="AA159" s="41">
        <f t="shared" si="107"/>
        <v>985.12255376867756</v>
      </c>
      <c r="AB159" s="41">
        <f t="shared" si="107"/>
        <v>1192.4376952792361</v>
      </c>
      <c r="AC159" s="41">
        <f t="shared" si="107"/>
        <v>1107.5006260593148</v>
      </c>
      <c r="AD159" s="41">
        <f t="shared" si="107"/>
        <v>1272.4449878417488</v>
      </c>
      <c r="AE159" s="41">
        <f t="shared" si="107"/>
        <v>1327.9373985846587</v>
      </c>
      <c r="AF159" s="41">
        <f t="shared" si="107"/>
        <v>1536.2140275524132</v>
      </c>
      <c r="AG159" s="41">
        <f t="shared" si="107"/>
        <v>1525.6184202006923</v>
      </c>
      <c r="AH159" s="41">
        <f t="shared" si="107"/>
        <v>1434.9231600883622</v>
      </c>
      <c r="AI159" s="41">
        <f t="shared" si="107"/>
        <v>1338.2470710555899</v>
      </c>
      <c r="AJ159" s="41">
        <f t="shared" si="107"/>
        <v>1486.5220564751485</v>
      </c>
      <c r="AK159" s="41">
        <f t="shared" si="107"/>
        <v>1563.9832955731313</v>
      </c>
      <c r="AL159" s="41">
        <f t="shared" si="107"/>
        <v>1453.5811923889735</v>
      </c>
      <c r="AM159" s="41">
        <f t="shared" si="107"/>
        <v>1403.6869957948047</v>
      </c>
      <c r="AN159" s="41">
        <f t="shared" si="107"/>
        <v>1390.338587498748</v>
      </c>
      <c r="AO159" s="41">
        <f t="shared" si="107"/>
        <v>1388.7684885487108</v>
      </c>
      <c r="AP159" s="41">
        <f t="shared" si="107"/>
        <v>1388.7050772169862</v>
      </c>
      <c r="AQ159" s="41">
        <f t="shared" si="107"/>
        <v>1388.7040354735589</v>
      </c>
      <c r="AR159" s="41">
        <f t="shared" si="107"/>
        <v>1388.7040296146852</v>
      </c>
      <c r="AS159" s="41">
        <f t="shared" si="107"/>
        <v>1388.7040295996635</v>
      </c>
      <c r="AT159" s="41">
        <f t="shared" si="107"/>
        <v>1388.7040295996501</v>
      </c>
      <c r="AU159" s="41">
        <f t="shared" si="107"/>
        <v>1388.7040295996501</v>
      </c>
      <c r="AV159" s="41">
        <f t="shared" si="107"/>
        <v>1388.7040295996503</v>
      </c>
      <c r="AW159" s="41">
        <f t="shared" si="107"/>
        <v>1388.7040295996503</v>
      </c>
      <c r="AX159" s="41">
        <f t="shared" si="107"/>
        <v>1413.9827487196551</v>
      </c>
      <c r="AY159" s="41">
        <f t="shared" si="107"/>
        <v>1426.6352507134445</v>
      </c>
      <c r="AZ159" s="41">
        <f t="shared" si="107"/>
        <v>1429.9598788803232</v>
      </c>
      <c r="BA159" s="41">
        <f t="shared" si="107"/>
        <v>1430.3491947020627</v>
      </c>
      <c r="BB159" s="41">
        <f t="shared" si="107"/>
        <v>1430.3648913114362</v>
      </c>
      <c r="BC159" s="41">
        <f t="shared" si="107"/>
        <v>1430.3651490347602</v>
      </c>
      <c r="BD159" s="41">
        <f t="shared" si="107"/>
        <v>1430.3651504839215</v>
      </c>
      <c r="BE159" s="41">
        <f t="shared" si="107"/>
        <v>1430.3651504876368</v>
      </c>
      <c r="BF159" s="41">
        <f t="shared" si="107"/>
        <v>1430.3651504876398</v>
      </c>
      <c r="BG159" s="41">
        <f t="shared" si="107"/>
        <v>1430.3651504876402</v>
      </c>
      <c r="BH159" s="41">
        <f t="shared" si="107"/>
        <v>1430.3651504876398</v>
      </c>
      <c r="BI159" s="41">
        <f t="shared" si="107"/>
        <v>1430.3651504876395</v>
      </c>
    </row>
    <row r="160" spans="4:61" x14ac:dyDescent="0.35"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</row>
    <row r="161" spans="5:61" x14ac:dyDescent="0.35">
      <c r="E161">
        <f t="shared" ref="E161:E172" si="108">E13</f>
        <v>1</v>
      </c>
      <c r="J161" t="str">
        <f t="shared" ref="J161:J172" si="109">J13</f>
        <v>date</v>
      </c>
      <c r="N161" s="7">
        <f t="shared" ref="N161:BI161" si="110">N13</f>
        <v>43831</v>
      </c>
      <c r="O161" s="7">
        <f t="shared" si="110"/>
        <v>43831</v>
      </c>
      <c r="P161" s="7">
        <f t="shared" si="110"/>
        <v>43831</v>
      </c>
      <c r="Q161" s="7">
        <f t="shared" si="110"/>
        <v>43831</v>
      </c>
      <c r="R161" s="7">
        <f t="shared" si="110"/>
        <v>43831</v>
      </c>
      <c r="S161" s="7">
        <f t="shared" si="110"/>
        <v>43831</v>
      </c>
      <c r="T161" s="7">
        <f t="shared" si="110"/>
        <v>43831</v>
      </c>
      <c r="U161" s="7">
        <f t="shared" si="110"/>
        <v>43831</v>
      </c>
      <c r="V161" s="7">
        <f t="shared" si="110"/>
        <v>43831</v>
      </c>
      <c r="W161" s="7">
        <f t="shared" si="110"/>
        <v>43831</v>
      </c>
      <c r="X161" s="7">
        <f t="shared" si="110"/>
        <v>43831</v>
      </c>
      <c r="Y161" s="7">
        <f t="shared" si="110"/>
        <v>43831</v>
      </c>
      <c r="Z161" s="7">
        <f t="shared" si="110"/>
        <v>44197</v>
      </c>
      <c r="AA161" s="7">
        <f t="shared" si="110"/>
        <v>44197</v>
      </c>
      <c r="AB161" s="7">
        <f t="shared" si="110"/>
        <v>44197</v>
      </c>
      <c r="AC161" s="7">
        <f t="shared" si="110"/>
        <v>44197</v>
      </c>
      <c r="AD161" s="7">
        <f t="shared" si="110"/>
        <v>44197</v>
      </c>
      <c r="AE161" s="7">
        <f t="shared" si="110"/>
        <v>44197</v>
      </c>
      <c r="AF161" s="7">
        <f t="shared" si="110"/>
        <v>44197</v>
      </c>
      <c r="AG161" s="7">
        <f t="shared" si="110"/>
        <v>44197</v>
      </c>
      <c r="AH161" s="7">
        <f t="shared" si="110"/>
        <v>44197</v>
      </c>
      <c r="AI161" s="7">
        <f t="shared" si="110"/>
        <v>44197</v>
      </c>
      <c r="AJ161" s="7">
        <f t="shared" si="110"/>
        <v>44197</v>
      </c>
      <c r="AK161" s="7">
        <f t="shared" si="110"/>
        <v>44197</v>
      </c>
      <c r="AL161" s="7">
        <f t="shared" si="110"/>
        <v>44562</v>
      </c>
      <c r="AM161" s="7">
        <f t="shared" si="110"/>
        <v>44562</v>
      </c>
      <c r="AN161" s="7">
        <f t="shared" si="110"/>
        <v>44562</v>
      </c>
      <c r="AO161" s="7">
        <f t="shared" si="110"/>
        <v>44562</v>
      </c>
      <c r="AP161" s="7">
        <f t="shared" si="110"/>
        <v>44562</v>
      </c>
      <c r="AQ161" s="7">
        <f t="shared" si="110"/>
        <v>44562</v>
      </c>
      <c r="AR161" s="7">
        <f t="shared" si="110"/>
        <v>44562</v>
      </c>
      <c r="AS161" s="7">
        <f t="shared" si="110"/>
        <v>44562</v>
      </c>
      <c r="AT161" s="7">
        <f t="shared" si="110"/>
        <v>44562</v>
      </c>
      <c r="AU161" s="7">
        <f t="shared" si="110"/>
        <v>44562</v>
      </c>
      <c r="AV161" s="7">
        <f t="shared" si="110"/>
        <v>44562</v>
      </c>
      <c r="AW161" s="7">
        <f t="shared" si="110"/>
        <v>44562</v>
      </c>
      <c r="AX161" s="7">
        <f t="shared" si="110"/>
        <v>44927</v>
      </c>
      <c r="AY161" s="7">
        <f t="shared" si="110"/>
        <v>44927</v>
      </c>
      <c r="AZ161" s="7">
        <f t="shared" si="110"/>
        <v>44927</v>
      </c>
      <c r="BA161" s="7">
        <f t="shared" si="110"/>
        <v>44927</v>
      </c>
      <c r="BB161" s="7">
        <f t="shared" si="110"/>
        <v>44927</v>
      </c>
      <c r="BC161" s="7">
        <f t="shared" si="110"/>
        <v>44927</v>
      </c>
      <c r="BD161" s="7">
        <f t="shared" si="110"/>
        <v>44927</v>
      </c>
      <c r="BE161" s="7">
        <f t="shared" si="110"/>
        <v>44927</v>
      </c>
      <c r="BF161" s="7">
        <f t="shared" si="110"/>
        <v>44927</v>
      </c>
      <c r="BG161" s="7">
        <f t="shared" si="110"/>
        <v>44927</v>
      </c>
      <c r="BH161" s="7">
        <f t="shared" si="110"/>
        <v>44927</v>
      </c>
      <c r="BI161" s="7">
        <f t="shared" si="110"/>
        <v>44927</v>
      </c>
    </row>
    <row r="162" spans="5:61" x14ac:dyDescent="0.35">
      <c r="E162">
        <f t="shared" si="108"/>
        <v>2</v>
      </c>
      <c r="J162" t="str">
        <f t="shared" si="109"/>
        <v>date</v>
      </c>
      <c r="N162" s="78"/>
      <c r="O162" s="7">
        <f t="shared" ref="O162:BI162" si="111">O14</f>
        <v>43862</v>
      </c>
      <c r="P162" s="7">
        <f t="shared" si="111"/>
        <v>43862</v>
      </c>
      <c r="Q162" s="7">
        <f t="shared" si="111"/>
        <v>43862</v>
      </c>
      <c r="R162" s="7">
        <f t="shared" si="111"/>
        <v>43862</v>
      </c>
      <c r="S162" s="7">
        <f t="shared" si="111"/>
        <v>43862</v>
      </c>
      <c r="T162" s="7">
        <f t="shared" si="111"/>
        <v>43862</v>
      </c>
      <c r="U162" s="7">
        <f t="shared" si="111"/>
        <v>43862</v>
      </c>
      <c r="V162" s="7">
        <f t="shared" si="111"/>
        <v>43862</v>
      </c>
      <c r="W162" s="7">
        <f t="shared" si="111"/>
        <v>43862</v>
      </c>
      <c r="X162" s="7">
        <f t="shared" si="111"/>
        <v>43862</v>
      </c>
      <c r="Y162" s="7">
        <f t="shared" si="111"/>
        <v>43862</v>
      </c>
      <c r="Z162" s="7">
        <f t="shared" si="111"/>
        <v>43862</v>
      </c>
      <c r="AA162" s="7">
        <f t="shared" si="111"/>
        <v>44228</v>
      </c>
      <c r="AB162" s="7">
        <f t="shared" si="111"/>
        <v>44228</v>
      </c>
      <c r="AC162" s="7">
        <f t="shared" si="111"/>
        <v>44228</v>
      </c>
      <c r="AD162" s="7">
        <f t="shared" si="111"/>
        <v>44228</v>
      </c>
      <c r="AE162" s="7">
        <f t="shared" si="111"/>
        <v>44228</v>
      </c>
      <c r="AF162" s="7">
        <f t="shared" si="111"/>
        <v>44228</v>
      </c>
      <c r="AG162" s="7">
        <f t="shared" si="111"/>
        <v>44228</v>
      </c>
      <c r="AH162" s="7">
        <f t="shared" si="111"/>
        <v>44228</v>
      </c>
      <c r="AI162" s="7">
        <f t="shared" si="111"/>
        <v>44228</v>
      </c>
      <c r="AJ162" s="7">
        <f t="shared" si="111"/>
        <v>44228</v>
      </c>
      <c r="AK162" s="7">
        <f t="shared" si="111"/>
        <v>44228</v>
      </c>
      <c r="AL162" s="7">
        <f t="shared" si="111"/>
        <v>44228</v>
      </c>
      <c r="AM162" s="7">
        <f t="shared" si="111"/>
        <v>44593</v>
      </c>
      <c r="AN162" s="7">
        <f t="shared" si="111"/>
        <v>44593</v>
      </c>
      <c r="AO162" s="7">
        <f t="shared" si="111"/>
        <v>44593</v>
      </c>
      <c r="AP162" s="7">
        <f t="shared" si="111"/>
        <v>44593</v>
      </c>
      <c r="AQ162" s="7">
        <f t="shared" si="111"/>
        <v>44593</v>
      </c>
      <c r="AR162" s="7">
        <f t="shared" si="111"/>
        <v>44593</v>
      </c>
      <c r="AS162" s="7">
        <f t="shared" si="111"/>
        <v>44593</v>
      </c>
      <c r="AT162" s="7">
        <f t="shared" si="111"/>
        <v>44593</v>
      </c>
      <c r="AU162" s="7">
        <f t="shared" si="111"/>
        <v>44593</v>
      </c>
      <c r="AV162" s="7">
        <f t="shared" si="111"/>
        <v>44593</v>
      </c>
      <c r="AW162" s="7">
        <f t="shared" si="111"/>
        <v>44593</v>
      </c>
      <c r="AX162" s="7">
        <f t="shared" si="111"/>
        <v>44593</v>
      </c>
      <c r="AY162" s="7">
        <f t="shared" si="111"/>
        <v>44958</v>
      </c>
      <c r="AZ162" s="7">
        <f t="shared" si="111"/>
        <v>44958</v>
      </c>
      <c r="BA162" s="7">
        <f t="shared" si="111"/>
        <v>44958</v>
      </c>
      <c r="BB162" s="7">
        <f t="shared" si="111"/>
        <v>44958</v>
      </c>
      <c r="BC162" s="7">
        <f t="shared" si="111"/>
        <v>44958</v>
      </c>
      <c r="BD162" s="7">
        <f t="shared" si="111"/>
        <v>44958</v>
      </c>
      <c r="BE162" s="7">
        <f t="shared" si="111"/>
        <v>44958</v>
      </c>
      <c r="BF162" s="7">
        <f t="shared" si="111"/>
        <v>44958</v>
      </c>
      <c r="BG162" s="7">
        <f t="shared" si="111"/>
        <v>44958</v>
      </c>
      <c r="BH162" s="7">
        <f t="shared" si="111"/>
        <v>44958</v>
      </c>
      <c r="BI162" s="7">
        <f t="shared" si="111"/>
        <v>44958</v>
      </c>
    </row>
    <row r="163" spans="5:61" x14ac:dyDescent="0.35">
      <c r="E163">
        <f t="shared" si="108"/>
        <v>3</v>
      </c>
      <c r="J163" t="str">
        <f t="shared" si="109"/>
        <v>date</v>
      </c>
      <c r="N163" s="78"/>
      <c r="O163" s="78"/>
      <c r="P163" s="7">
        <f t="shared" ref="P163:BI163" si="112">P15</f>
        <v>43891</v>
      </c>
      <c r="Q163" s="7">
        <f t="shared" si="112"/>
        <v>43891</v>
      </c>
      <c r="R163" s="7">
        <f t="shared" si="112"/>
        <v>43891</v>
      </c>
      <c r="S163" s="7">
        <f t="shared" si="112"/>
        <v>43891</v>
      </c>
      <c r="T163" s="7">
        <f t="shared" si="112"/>
        <v>43891</v>
      </c>
      <c r="U163" s="7">
        <f t="shared" si="112"/>
        <v>43891</v>
      </c>
      <c r="V163" s="7">
        <f t="shared" si="112"/>
        <v>43891</v>
      </c>
      <c r="W163" s="7">
        <f t="shared" si="112"/>
        <v>43891</v>
      </c>
      <c r="X163" s="7">
        <f t="shared" si="112"/>
        <v>43891</v>
      </c>
      <c r="Y163" s="7">
        <f t="shared" si="112"/>
        <v>43891</v>
      </c>
      <c r="Z163" s="7">
        <f t="shared" si="112"/>
        <v>43891</v>
      </c>
      <c r="AA163" s="7">
        <f t="shared" si="112"/>
        <v>43891</v>
      </c>
      <c r="AB163" s="7">
        <f t="shared" si="112"/>
        <v>44256</v>
      </c>
      <c r="AC163" s="7">
        <f t="shared" si="112"/>
        <v>44256</v>
      </c>
      <c r="AD163" s="7">
        <f t="shared" si="112"/>
        <v>44256</v>
      </c>
      <c r="AE163" s="7">
        <f t="shared" si="112"/>
        <v>44256</v>
      </c>
      <c r="AF163" s="7">
        <f t="shared" si="112"/>
        <v>44256</v>
      </c>
      <c r="AG163" s="7">
        <f t="shared" si="112"/>
        <v>44256</v>
      </c>
      <c r="AH163" s="7">
        <f t="shared" si="112"/>
        <v>44256</v>
      </c>
      <c r="AI163" s="7">
        <f t="shared" si="112"/>
        <v>44256</v>
      </c>
      <c r="AJ163" s="7">
        <f t="shared" si="112"/>
        <v>44256</v>
      </c>
      <c r="AK163" s="7">
        <f t="shared" si="112"/>
        <v>44256</v>
      </c>
      <c r="AL163" s="7">
        <f t="shared" si="112"/>
        <v>44256</v>
      </c>
      <c r="AM163" s="7">
        <f t="shared" si="112"/>
        <v>44256</v>
      </c>
      <c r="AN163" s="7">
        <f t="shared" si="112"/>
        <v>44621</v>
      </c>
      <c r="AO163" s="7">
        <f t="shared" si="112"/>
        <v>44621</v>
      </c>
      <c r="AP163" s="7">
        <f t="shared" si="112"/>
        <v>44621</v>
      </c>
      <c r="AQ163" s="7">
        <f t="shared" si="112"/>
        <v>44621</v>
      </c>
      <c r="AR163" s="7">
        <f t="shared" si="112"/>
        <v>44621</v>
      </c>
      <c r="AS163" s="7">
        <f t="shared" si="112"/>
        <v>44621</v>
      </c>
      <c r="AT163" s="7">
        <f t="shared" si="112"/>
        <v>44621</v>
      </c>
      <c r="AU163" s="7">
        <f t="shared" si="112"/>
        <v>44621</v>
      </c>
      <c r="AV163" s="7">
        <f t="shared" si="112"/>
        <v>44621</v>
      </c>
      <c r="AW163" s="7">
        <f t="shared" si="112"/>
        <v>44621</v>
      </c>
      <c r="AX163" s="7">
        <f t="shared" si="112"/>
        <v>44621</v>
      </c>
      <c r="AY163" s="7">
        <f t="shared" si="112"/>
        <v>44621</v>
      </c>
      <c r="AZ163" s="7">
        <f t="shared" si="112"/>
        <v>44986</v>
      </c>
      <c r="BA163" s="7">
        <f t="shared" si="112"/>
        <v>44986</v>
      </c>
      <c r="BB163" s="7">
        <f t="shared" si="112"/>
        <v>44986</v>
      </c>
      <c r="BC163" s="7">
        <f t="shared" si="112"/>
        <v>44986</v>
      </c>
      <c r="BD163" s="7">
        <f t="shared" si="112"/>
        <v>44986</v>
      </c>
      <c r="BE163" s="7">
        <f t="shared" si="112"/>
        <v>44986</v>
      </c>
      <c r="BF163" s="7">
        <f t="shared" si="112"/>
        <v>44986</v>
      </c>
      <c r="BG163" s="7">
        <f t="shared" si="112"/>
        <v>44986</v>
      </c>
      <c r="BH163" s="7">
        <f t="shared" si="112"/>
        <v>44986</v>
      </c>
      <c r="BI163" s="7">
        <f t="shared" si="112"/>
        <v>44986</v>
      </c>
    </row>
    <row r="164" spans="5:61" x14ac:dyDescent="0.35">
      <c r="E164">
        <f t="shared" si="108"/>
        <v>4</v>
      </c>
      <c r="J164" t="str">
        <f t="shared" si="109"/>
        <v>date</v>
      </c>
      <c r="N164" s="78"/>
      <c r="O164" s="78"/>
      <c r="P164" s="78"/>
      <c r="Q164" s="7">
        <f t="shared" ref="Q164:BI164" si="113">Q16</f>
        <v>43922</v>
      </c>
      <c r="R164" s="7">
        <f t="shared" si="113"/>
        <v>43922</v>
      </c>
      <c r="S164" s="7">
        <f t="shared" si="113"/>
        <v>43922</v>
      </c>
      <c r="T164" s="7">
        <f t="shared" si="113"/>
        <v>43922</v>
      </c>
      <c r="U164" s="7">
        <f t="shared" si="113"/>
        <v>43922</v>
      </c>
      <c r="V164" s="7">
        <f t="shared" si="113"/>
        <v>43922</v>
      </c>
      <c r="W164" s="7">
        <f t="shared" si="113"/>
        <v>43922</v>
      </c>
      <c r="X164" s="7">
        <f t="shared" si="113"/>
        <v>43922</v>
      </c>
      <c r="Y164" s="7">
        <f t="shared" si="113"/>
        <v>43922</v>
      </c>
      <c r="Z164" s="7">
        <f t="shared" si="113"/>
        <v>43922</v>
      </c>
      <c r="AA164" s="7">
        <f t="shared" si="113"/>
        <v>43922</v>
      </c>
      <c r="AB164" s="7">
        <f t="shared" si="113"/>
        <v>43922</v>
      </c>
      <c r="AC164" s="7">
        <f t="shared" si="113"/>
        <v>44287</v>
      </c>
      <c r="AD164" s="7">
        <f t="shared" si="113"/>
        <v>44287</v>
      </c>
      <c r="AE164" s="7">
        <f t="shared" si="113"/>
        <v>44287</v>
      </c>
      <c r="AF164" s="7">
        <f t="shared" si="113"/>
        <v>44287</v>
      </c>
      <c r="AG164" s="7">
        <f t="shared" si="113"/>
        <v>44287</v>
      </c>
      <c r="AH164" s="7">
        <f t="shared" si="113"/>
        <v>44287</v>
      </c>
      <c r="AI164" s="7">
        <f t="shared" si="113"/>
        <v>44287</v>
      </c>
      <c r="AJ164" s="7">
        <f t="shared" si="113"/>
        <v>44287</v>
      </c>
      <c r="AK164" s="7">
        <f t="shared" si="113"/>
        <v>44287</v>
      </c>
      <c r="AL164" s="7">
        <f t="shared" si="113"/>
        <v>44287</v>
      </c>
      <c r="AM164" s="7">
        <f t="shared" si="113"/>
        <v>44287</v>
      </c>
      <c r="AN164" s="7">
        <f t="shared" si="113"/>
        <v>44287</v>
      </c>
      <c r="AO164" s="7">
        <f t="shared" si="113"/>
        <v>44652</v>
      </c>
      <c r="AP164" s="7">
        <f t="shared" si="113"/>
        <v>44652</v>
      </c>
      <c r="AQ164" s="7">
        <f t="shared" si="113"/>
        <v>44652</v>
      </c>
      <c r="AR164" s="7">
        <f t="shared" si="113"/>
        <v>44652</v>
      </c>
      <c r="AS164" s="7">
        <f t="shared" si="113"/>
        <v>44652</v>
      </c>
      <c r="AT164" s="7">
        <f t="shared" si="113"/>
        <v>44652</v>
      </c>
      <c r="AU164" s="7">
        <f t="shared" si="113"/>
        <v>44652</v>
      </c>
      <c r="AV164" s="7">
        <f t="shared" si="113"/>
        <v>44652</v>
      </c>
      <c r="AW164" s="7">
        <f t="shared" si="113"/>
        <v>44652</v>
      </c>
      <c r="AX164" s="7">
        <f t="shared" si="113"/>
        <v>44652</v>
      </c>
      <c r="AY164" s="7">
        <f t="shared" si="113"/>
        <v>44652</v>
      </c>
      <c r="AZ164" s="7">
        <f t="shared" si="113"/>
        <v>44652</v>
      </c>
      <c r="BA164" s="7">
        <f t="shared" si="113"/>
        <v>45017</v>
      </c>
      <c r="BB164" s="7">
        <f t="shared" si="113"/>
        <v>45017</v>
      </c>
      <c r="BC164" s="7">
        <f t="shared" si="113"/>
        <v>45017</v>
      </c>
      <c r="BD164" s="7">
        <f t="shared" si="113"/>
        <v>45017</v>
      </c>
      <c r="BE164" s="7">
        <f t="shared" si="113"/>
        <v>45017</v>
      </c>
      <c r="BF164" s="7">
        <f t="shared" si="113"/>
        <v>45017</v>
      </c>
      <c r="BG164" s="7">
        <f t="shared" si="113"/>
        <v>45017</v>
      </c>
      <c r="BH164" s="7">
        <f t="shared" si="113"/>
        <v>45017</v>
      </c>
      <c r="BI164" s="7">
        <f t="shared" si="113"/>
        <v>45017</v>
      </c>
    </row>
    <row r="165" spans="5:61" x14ac:dyDescent="0.35">
      <c r="E165">
        <f t="shared" si="108"/>
        <v>5</v>
      </c>
      <c r="J165" t="str">
        <f t="shared" si="109"/>
        <v>date</v>
      </c>
      <c r="N165" s="78"/>
      <c r="O165" s="78"/>
      <c r="P165" s="78"/>
      <c r="Q165" s="78"/>
      <c r="R165" s="7">
        <f t="shared" ref="R165:BI165" si="114">R17</f>
        <v>43952</v>
      </c>
      <c r="S165" s="7">
        <f t="shared" si="114"/>
        <v>43952</v>
      </c>
      <c r="T165" s="7">
        <f t="shared" si="114"/>
        <v>43952</v>
      </c>
      <c r="U165" s="7">
        <f t="shared" si="114"/>
        <v>43952</v>
      </c>
      <c r="V165" s="7">
        <f t="shared" si="114"/>
        <v>43952</v>
      </c>
      <c r="W165" s="7">
        <f t="shared" si="114"/>
        <v>43952</v>
      </c>
      <c r="X165" s="7">
        <f t="shared" si="114"/>
        <v>43952</v>
      </c>
      <c r="Y165" s="7">
        <f t="shared" si="114"/>
        <v>43952</v>
      </c>
      <c r="Z165" s="7">
        <f t="shared" si="114"/>
        <v>43952</v>
      </c>
      <c r="AA165" s="7">
        <f t="shared" si="114"/>
        <v>43952</v>
      </c>
      <c r="AB165" s="7">
        <f t="shared" si="114"/>
        <v>43952</v>
      </c>
      <c r="AC165" s="7">
        <f t="shared" si="114"/>
        <v>43952</v>
      </c>
      <c r="AD165" s="7">
        <f t="shared" si="114"/>
        <v>44317</v>
      </c>
      <c r="AE165" s="7">
        <f t="shared" si="114"/>
        <v>44317</v>
      </c>
      <c r="AF165" s="7">
        <f t="shared" si="114"/>
        <v>44317</v>
      </c>
      <c r="AG165" s="7">
        <f t="shared" si="114"/>
        <v>44317</v>
      </c>
      <c r="AH165" s="7">
        <f t="shared" si="114"/>
        <v>44317</v>
      </c>
      <c r="AI165" s="7">
        <f t="shared" si="114"/>
        <v>44317</v>
      </c>
      <c r="AJ165" s="7">
        <f t="shared" si="114"/>
        <v>44317</v>
      </c>
      <c r="AK165" s="7">
        <f t="shared" si="114"/>
        <v>44317</v>
      </c>
      <c r="AL165" s="7">
        <f t="shared" si="114"/>
        <v>44317</v>
      </c>
      <c r="AM165" s="7">
        <f t="shared" si="114"/>
        <v>44317</v>
      </c>
      <c r="AN165" s="7">
        <f t="shared" si="114"/>
        <v>44317</v>
      </c>
      <c r="AO165" s="7">
        <f t="shared" si="114"/>
        <v>44317</v>
      </c>
      <c r="AP165" s="7">
        <f t="shared" si="114"/>
        <v>44682</v>
      </c>
      <c r="AQ165" s="7">
        <f t="shared" si="114"/>
        <v>44682</v>
      </c>
      <c r="AR165" s="7">
        <f t="shared" si="114"/>
        <v>44682</v>
      </c>
      <c r="AS165" s="7">
        <f t="shared" si="114"/>
        <v>44682</v>
      </c>
      <c r="AT165" s="7">
        <f t="shared" si="114"/>
        <v>44682</v>
      </c>
      <c r="AU165" s="7">
        <f t="shared" si="114"/>
        <v>44682</v>
      </c>
      <c r="AV165" s="7">
        <f t="shared" si="114"/>
        <v>44682</v>
      </c>
      <c r="AW165" s="7">
        <f t="shared" si="114"/>
        <v>44682</v>
      </c>
      <c r="AX165" s="7">
        <f t="shared" si="114"/>
        <v>44682</v>
      </c>
      <c r="AY165" s="7">
        <f t="shared" si="114"/>
        <v>44682</v>
      </c>
      <c r="AZ165" s="7">
        <f t="shared" si="114"/>
        <v>44682</v>
      </c>
      <c r="BA165" s="7">
        <f t="shared" si="114"/>
        <v>44682</v>
      </c>
      <c r="BB165" s="7">
        <f t="shared" si="114"/>
        <v>45047</v>
      </c>
      <c r="BC165" s="7">
        <f t="shared" si="114"/>
        <v>45047</v>
      </c>
      <c r="BD165" s="7">
        <f t="shared" si="114"/>
        <v>45047</v>
      </c>
      <c r="BE165" s="7">
        <f t="shared" si="114"/>
        <v>45047</v>
      </c>
      <c r="BF165" s="7">
        <f t="shared" si="114"/>
        <v>45047</v>
      </c>
      <c r="BG165" s="7">
        <f t="shared" si="114"/>
        <v>45047</v>
      </c>
      <c r="BH165" s="7">
        <f t="shared" si="114"/>
        <v>45047</v>
      </c>
      <c r="BI165" s="7">
        <f t="shared" si="114"/>
        <v>45047</v>
      </c>
    </row>
    <row r="166" spans="5:61" x14ac:dyDescent="0.35">
      <c r="E166">
        <f t="shared" si="108"/>
        <v>6</v>
      </c>
      <c r="J166" t="str">
        <f t="shared" si="109"/>
        <v>date</v>
      </c>
      <c r="N166" s="78"/>
      <c r="O166" s="78"/>
      <c r="P166" s="78"/>
      <c r="Q166" s="78"/>
      <c r="R166" s="78"/>
      <c r="S166" s="7">
        <f t="shared" ref="S166:BI166" si="115">S18</f>
        <v>43983</v>
      </c>
      <c r="T166" s="7">
        <f t="shared" si="115"/>
        <v>43983</v>
      </c>
      <c r="U166" s="7">
        <f t="shared" si="115"/>
        <v>43983</v>
      </c>
      <c r="V166" s="7">
        <f t="shared" si="115"/>
        <v>43983</v>
      </c>
      <c r="W166" s="7">
        <f t="shared" si="115"/>
        <v>43983</v>
      </c>
      <c r="X166" s="7">
        <f t="shared" si="115"/>
        <v>43983</v>
      </c>
      <c r="Y166" s="7">
        <f t="shared" si="115"/>
        <v>43983</v>
      </c>
      <c r="Z166" s="7">
        <f t="shared" si="115"/>
        <v>43983</v>
      </c>
      <c r="AA166" s="7">
        <f t="shared" si="115"/>
        <v>43983</v>
      </c>
      <c r="AB166" s="7">
        <f t="shared" si="115"/>
        <v>43983</v>
      </c>
      <c r="AC166" s="7">
        <f t="shared" si="115"/>
        <v>43983</v>
      </c>
      <c r="AD166" s="7">
        <f t="shared" si="115"/>
        <v>43983</v>
      </c>
      <c r="AE166" s="7">
        <f t="shared" si="115"/>
        <v>44348</v>
      </c>
      <c r="AF166" s="7">
        <f t="shared" si="115"/>
        <v>44348</v>
      </c>
      <c r="AG166" s="7">
        <f t="shared" si="115"/>
        <v>44348</v>
      </c>
      <c r="AH166" s="7">
        <f t="shared" si="115"/>
        <v>44348</v>
      </c>
      <c r="AI166" s="7">
        <f t="shared" si="115"/>
        <v>44348</v>
      </c>
      <c r="AJ166" s="7">
        <f t="shared" si="115"/>
        <v>44348</v>
      </c>
      <c r="AK166" s="7">
        <f t="shared" si="115"/>
        <v>44348</v>
      </c>
      <c r="AL166" s="7">
        <f t="shared" si="115"/>
        <v>44348</v>
      </c>
      <c r="AM166" s="7">
        <f t="shared" si="115"/>
        <v>44348</v>
      </c>
      <c r="AN166" s="7">
        <f t="shared" si="115"/>
        <v>44348</v>
      </c>
      <c r="AO166" s="7">
        <f t="shared" si="115"/>
        <v>44348</v>
      </c>
      <c r="AP166" s="7">
        <f t="shared" si="115"/>
        <v>44348</v>
      </c>
      <c r="AQ166" s="7">
        <f t="shared" si="115"/>
        <v>44713</v>
      </c>
      <c r="AR166" s="7">
        <f t="shared" si="115"/>
        <v>44713</v>
      </c>
      <c r="AS166" s="7">
        <f t="shared" si="115"/>
        <v>44713</v>
      </c>
      <c r="AT166" s="7">
        <f t="shared" si="115"/>
        <v>44713</v>
      </c>
      <c r="AU166" s="7">
        <f t="shared" si="115"/>
        <v>44713</v>
      </c>
      <c r="AV166" s="7">
        <f t="shared" si="115"/>
        <v>44713</v>
      </c>
      <c r="AW166" s="7">
        <f t="shared" si="115"/>
        <v>44713</v>
      </c>
      <c r="AX166" s="7">
        <f t="shared" si="115"/>
        <v>44713</v>
      </c>
      <c r="AY166" s="7">
        <f t="shared" si="115"/>
        <v>44713</v>
      </c>
      <c r="AZ166" s="7">
        <f t="shared" si="115"/>
        <v>44713</v>
      </c>
      <c r="BA166" s="7">
        <f t="shared" si="115"/>
        <v>44713</v>
      </c>
      <c r="BB166" s="7">
        <f t="shared" si="115"/>
        <v>44713</v>
      </c>
      <c r="BC166" s="7">
        <f t="shared" si="115"/>
        <v>45078</v>
      </c>
      <c r="BD166" s="7">
        <f t="shared" si="115"/>
        <v>45078</v>
      </c>
      <c r="BE166" s="7">
        <f t="shared" si="115"/>
        <v>45078</v>
      </c>
      <c r="BF166" s="7">
        <f t="shared" si="115"/>
        <v>45078</v>
      </c>
      <c r="BG166" s="7">
        <f t="shared" si="115"/>
        <v>45078</v>
      </c>
      <c r="BH166" s="7">
        <f t="shared" si="115"/>
        <v>45078</v>
      </c>
      <c r="BI166" s="7">
        <f t="shared" si="115"/>
        <v>45078</v>
      </c>
    </row>
    <row r="167" spans="5:61" x14ac:dyDescent="0.35">
      <c r="E167">
        <f t="shared" si="108"/>
        <v>7</v>
      </c>
      <c r="J167" t="str">
        <f t="shared" si="109"/>
        <v>date</v>
      </c>
      <c r="N167" s="78"/>
      <c r="O167" s="78"/>
      <c r="P167" s="78"/>
      <c r="Q167" s="78"/>
      <c r="R167" s="78"/>
      <c r="S167" s="78"/>
      <c r="T167" s="7">
        <f t="shared" ref="T167:BI167" si="116">T19</f>
        <v>44013</v>
      </c>
      <c r="U167" s="7">
        <f t="shared" si="116"/>
        <v>44013</v>
      </c>
      <c r="V167" s="7">
        <f t="shared" si="116"/>
        <v>44013</v>
      </c>
      <c r="W167" s="7">
        <f t="shared" si="116"/>
        <v>44013</v>
      </c>
      <c r="X167" s="7">
        <f t="shared" si="116"/>
        <v>44013</v>
      </c>
      <c r="Y167" s="7">
        <f t="shared" si="116"/>
        <v>44013</v>
      </c>
      <c r="Z167" s="7">
        <f t="shared" si="116"/>
        <v>44013</v>
      </c>
      <c r="AA167" s="7">
        <f t="shared" si="116"/>
        <v>44013</v>
      </c>
      <c r="AB167" s="7">
        <f t="shared" si="116"/>
        <v>44013</v>
      </c>
      <c r="AC167" s="7">
        <f t="shared" si="116"/>
        <v>44013</v>
      </c>
      <c r="AD167" s="7">
        <f t="shared" si="116"/>
        <v>44013</v>
      </c>
      <c r="AE167" s="7">
        <f t="shared" si="116"/>
        <v>44013</v>
      </c>
      <c r="AF167" s="7">
        <f t="shared" si="116"/>
        <v>44378</v>
      </c>
      <c r="AG167" s="7">
        <f t="shared" si="116"/>
        <v>44378</v>
      </c>
      <c r="AH167" s="7">
        <f t="shared" si="116"/>
        <v>44378</v>
      </c>
      <c r="AI167" s="7">
        <f t="shared" si="116"/>
        <v>44378</v>
      </c>
      <c r="AJ167" s="7">
        <f t="shared" si="116"/>
        <v>44378</v>
      </c>
      <c r="AK167" s="7">
        <f t="shared" si="116"/>
        <v>44378</v>
      </c>
      <c r="AL167" s="7">
        <f t="shared" si="116"/>
        <v>44378</v>
      </c>
      <c r="AM167" s="7">
        <f t="shared" si="116"/>
        <v>44378</v>
      </c>
      <c r="AN167" s="7">
        <f t="shared" si="116"/>
        <v>44378</v>
      </c>
      <c r="AO167" s="7">
        <f t="shared" si="116"/>
        <v>44378</v>
      </c>
      <c r="AP167" s="7">
        <f t="shared" si="116"/>
        <v>44378</v>
      </c>
      <c r="AQ167" s="7">
        <f t="shared" si="116"/>
        <v>44378</v>
      </c>
      <c r="AR167" s="7">
        <f t="shared" si="116"/>
        <v>44743</v>
      </c>
      <c r="AS167" s="7">
        <f t="shared" si="116"/>
        <v>44743</v>
      </c>
      <c r="AT167" s="7">
        <f t="shared" si="116"/>
        <v>44743</v>
      </c>
      <c r="AU167" s="7">
        <f t="shared" si="116"/>
        <v>44743</v>
      </c>
      <c r="AV167" s="7">
        <f t="shared" si="116"/>
        <v>44743</v>
      </c>
      <c r="AW167" s="7">
        <f t="shared" si="116"/>
        <v>44743</v>
      </c>
      <c r="AX167" s="7">
        <f t="shared" si="116"/>
        <v>44743</v>
      </c>
      <c r="AY167" s="7">
        <f t="shared" si="116"/>
        <v>44743</v>
      </c>
      <c r="AZ167" s="7">
        <f t="shared" si="116"/>
        <v>44743</v>
      </c>
      <c r="BA167" s="7">
        <f t="shared" si="116"/>
        <v>44743</v>
      </c>
      <c r="BB167" s="7">
        <f t="shared" si="116"/>
        <v>44743</v>
      </c>
      <c r="BC167" s="7">
        <f t="shared" si="116"/>
        <v>44743</v>
      </c>
      <c r="BD167" s="7">
        <f t="shared" si="116"/>
        <v>45108</v>
      </c>
      <c r="BE167" s="7">
        <f t="shared" si="116"/>
        <v>45108</v>
      </c>
      <c r="BF167" s="7">
        <f t="shared" si="116"/>
        <v>45108</v>
      </c>
      <c r="BG167" s="7">
        <f t="shared" si="116"/>
        <v>45108</v>
      </c>
      <c r="BH167" s="7">
        <f t="shared" si="116"/>
        <v>45108</v>
      </c>
      <c r="BI167" s="7">
        <f t="shared" si="116"/>
        <v>45108</v>
      </c>
    </row>
    <row r="168" spans="5:61" x14ac:dyDescent="0.35">
      <c r="E168">
        <f t="shared" si="108"/>
        <v>8</v>
      </c>
      <c r="J168" t="str">
        <f t="shared" si="109"/>
        <v>date</v>
      </c>
      <c r="N168" s="78"/>
      <c r="O168" s="78"/>
      <c r="P168" s="78"/>
      <c r="Q168" s="78"/>
      <c r="R168" s="78"/>
      <c r="S168" s="78"/>
      <c r="T168" s="78"/>
      <c r="U168" s="7">
        <f t="shared" ref="U168:BI168" si="117">U20</f>
        <v>44044</v>
      </c>
      <c r="V168" s="7">
        <f t="shared" si="117"/>
        <v>44044</v>
      </c>
      <c r="W168" s="7">
        <f t="shared" si="117"/>
        <v>44044</v>
      </c>
      <c r="X168" s="7">
        <f t="shared" si="117"/>
        <v>44044</v>
      </c>
      <c r="Y168" s="7">
        <f t="shared" si="117"/>
        <v>44044</v>
      </c>
      <c r="Z168" s="7">
        <f t="shared" si="117"/>
        <v>44044</v>
      </c>
      <c r="AA168" s="7">
        <f t="shared" si="117"/>
        <v>44044</v>
      </c>
      <c r="AB168" s="7">
        <f t="shared" si="117"/>
        <v>44044</v>
      </c>
      <c r="AC168" s="7">
        <f t="shared" si="117"/>
        <v>44044</v>
      </c>
      <c r="AD168" s="7">
        <f t="shared" si="117"/>
        <v>44044</v>
      </c>
      <c r="AE168" s="7">
        <f t="shared" si="117"/>
        <v>44044</v>
      </c>
      <c r="AF168" s="7">
        <f t="shared" si="117"/>
        <v>44044</v>
      </c>
      <c r="AG168" s="7">
        <f t="shared" si="117"/>
        <v>44409</v>
      </c>
      <c r="AH168" s="7">
        <f t="shared" si="117"/>
        <v>44409</v>
      </c>
      <c r="AI168" s="7">
        <f t="shared" si="117"/>
        <v>44409</v>
      </c>
      <c r="AJ168" s="7">
        <f t="shared" si="117"/>
        <v>44409</v>
      </c>
      <c r="AK168" s="7">
        <f t="shared" si="117"/>
        <v>44409</v>
      </c>
      <c r="AL168" s="7">
        <f t="shared" si="117"/>
        <v>44409</v>
      </c>
      <c r="AM168" s="7">
        <f t="shared" si="117"/>
        <v>44409</v>
      </c>
      <c r="AN168" s="7">
        <f t="shared" si="117"/>
        <v>44409</v>
      </c>
      <c r="AO168" s="7">
        <f t="shared" si="117"/>
        <v>44409</v>
      </c>
      <c r="AP168" s="7">
        <f t="shared" si="117"/>
        <v>44409</v>
      </c>
      <c r="AQ168" s="7">
        <f t="shared" si="117"/>
        <v>44409</v>
      </c>
      <c r="AR168" s="7">
        <f t="shared" si="117"/>
        <v>44409</v>
      </c>
      <c r="AS168" s="7">
        <f t="shared" si="117"/>
        <v>44774</v>
      </c>
      <c r="AT168" s="7">
        <f t="shared" si="117"/>
        <v>44774</v>
      </c>
      <c r="AU168" s="7">
        <f t="shared" si="117"/>
        <v>44774</v>
      </c>
      <c r="AV168" s="7">
        <f t="shared" si="117"/>
        <v>44774</v>
      </c>
      <c r="AW168" s="7">
        <f t="shared" si="117"/>
        <v>44774</v>
      </c>
      <c r="AX168" s="7">
        <f t="shared" si="117"/>
        <v>44774</v>
      </c>
      <c r="AY168" s="7">
        <f t="shared" si="117"/>
        <v>44774</v>
      </c>
      <c r="AZ168" s="7">
        <f t="shared" si="117"/>
        <v>44774</v>
      </c>
      <c r="BA168" s="7">
        <f t="shared" si="117"/>
        <v>44774</v>
      </c>
      <c r="BB168" s="7">
        <f t="shared" si="117"/>
        <v>44774</v>
      </c>
      <c r="BC168" s="7">
        <f t="shared" si="117"/>
        <v>44774</v>
      </c>
      <c r="BD168" s="7">
        <f t="shared" si="117"/>
        <v>44774</v>
      </c>
      <c r="BE168" s="7">
        <f t="shared" si="117"/>
        <v>45139</v>
      </c>
      <c r="BF168" s="7">
        <f t="shared" si="117"/>
        <v>45139</v>
      </c>
      <c r="BG168" s="7">
        <f t="shared" si="117"/>
        <v>45139</v>
      </c>
      <c r="BH168" s="7">
        <f t="shared" si="117"/>
        <v>45139</v>
      </c>
      <c r="BI168" s="7">
        <f t="shared" si="117"/>
        <v>45139</v>
      </c>
    </row>
    <row r="169" spans="5:61" x14ac:dyDescent="0.35">
      <c r="E169">
        <f t="shared" si="108"/>
        <v>9</v>
      </c>
      <c r="J169" t="str">
        <f t="shared" si="109"/>
        <v>date</v>
      </c>
      <c r="N169" s="78"/>
      <c r="O169" s="78"/>
      <c r="P169" s="78"/>
      <c r="Q169" s="78"/>
      <c r="R169" s="78"/>
      <c r="S169" s="78"/>
      <c r="T169" s="78"/>
      <c r="U169" s="78"/>
      <c r="V169" s="7">
        <f t="shared" ref="V169:BI169" si="118">V21</f>
        <v>44075</v>
      </c>
      <c r="W169" s="7">
        <f t="shared" si="118"/>
        <v>44075</v>
      </c>
      <c r="X169" s="7">
        <f t="shared" si="118"/>
        <v>44075</v>
      </c>
      <c r="Y169" s="7">
        <f t="shared" si="118"/>
        <v>44075</v>
      </c>
      <c r="Z169" s="7">
        <f t="shared" si="118"/>
        <v>44075</v>
      </c>
      <c r="AA169" s="7">
        <f t="shared" si="118"/>
        <v>44075</v>
      </c>
      <c r="AB169" s="7">
        <f t="shared" si="118"/>
        <v>44075</v>
      </c>
      <c r="AC169" s="7">
        <f t="shared" si="118"/>
        <v>44075</v>
      </c>
      <c r="AD169" s="7">
        <f t="shared" si="118"/>
        <v>44075</v>
      </c>
      <c r="AE169" s="7">
        <f t="shared" si="118"/>
        <v>44075</v>
      </c>
      <c r="AF169" s="7">
        <f t="shared" si="118"/>
        <v>44075</v>
      </c>
      <c r="AG169" s="7">
        <f t="shared" si="118"/>
        <v>44075</v>
      </c>
      <c r="AH169" s="7">
        <f t="shared" si="118"/>
        <v>44440</v>
      </c>
      <c r="AI169" s="7">
        <f t="shared" si="118"/>
        <v>44440</v>
      </c>
      <c r="AJ169" s="7">
        <f t="shared" si="118"/>
        <v>44440</v>
      </c>
      <c r="AK169" s="7">
        <f t="shared" si="118"/>
        <v>44440</v>
      </c>
      <c r="AL169" s="7">
        <f t="shared" si="118"/>
        <v>44440</v>
      </c>
      <c r="AM169" s="7">
        <f t="shared" si="118"/>
        <v>44440</v>
      </c>
      <c r="AN169" s="7">
        <f t="shared" si="118"/>
        <v>44440</v>
      </c>
      <c r="AO169" s="7">
        <f t="shared" si="118"/>
        <v>44440</v>
      </c>
      <c r="AP169" s="7">
        <f t="shared" si="118"/>
        <v>44440</v>
      </c>
      <c r="AQ169" s="7">
        <f t="shared" si="118"/>
        <v>44440</v>
      </c>
      <c r="AR169" s="7">
        <f t="shared" si="118"/>
        <v>44440</v>
      </c>
      <c r="AS169" s="7">
        <f t="shared" si="118"/>
        <v>44440</v>
      </c>
      <c r="AT169" s="7">
        <f t="shared" si="118"/>
        <v>44805</v>
      </c>
      <c r="AU169" s="7">
        <f t="shared" si="118"/>
        <v>44805</v>
      </c>
      <c r="AV169" s="7">
        <f t="shared" si="118"/>
        <v>44805</v>
      </c>
      <c r="AW169" s="7">
        <f t="shared" si="118"/>
        <v>44805</v>
      </c>
      <c r="AX169" s="7">
        <f t="shared" si="118"/>
        <v>44805</v>
      </c>
      <c r="AY169" s="7">
        <f t="shared" si="118"/>
        <v>44805</v>
      </c>
      <c r="AZ169" s="7">
        <f t="shared" si="118"/>
        <v>44805</v>
      </c>
      <c r="BA169" s="7">
        <f t="shared" si="118"/>
        <v>44805</v>
      </c>
      <c r="BB169" s="7">
        <f t="shared" si="118"/>
        <v>44805</v>
      </c>
      <c r="BC169" s="7">
        <f t="shared" si="118"/>
        <v>44805</v>
      </c>
      <c r="BD169" s="7">
        <f t="shared" si="118"/>
        <v>44805</v>
      </c>
      <c r="BE169" s="7">
        <f t="shared" si="118"/>
        <v>44805</v>
      </c>
      <c r="BF169" s="7">
        <f t="shared" si="118"/>
        <v>45170</v>
      </c>
      <c r="BG169" s="7">
        <f t="shared" si="118"/>
        <v>45170</v>
      </c>
      <c r="BH169" s="7">
        <f t="shared" si="118"/>
        <v>45170</v>
      </c>
      <c r="BI169" s="7">
        <f t="shared" si="118"/>
        <v>45170</v>
      </c>
    </row>
    <row r="170" spans="5:61" x14ac:dyDescent="0.35">
      <c r="E170">
        <f t="shared" si="108"/>
        <v>10</v>
      </c>
      <c r="J170" t="str">
        <f t="shared" si="109"/>
        <v>date</v>
      </c>
      <c r="N170" s="78"/>
      <c r="O170" s="78"/>
      <c r="P170" s="78"/>
      <c r="Q170" s="78"/>
      <c r="R170" s="78"/>
      <c r="S170" s="78"/>
      <c r="T170" s="78"/>
      <c r="U170" s="78"/>
      <c r="V170" s="78"/>
      <c r="W170" s="7">
        <f t="shared" ref="W170:BI170" si="119">W22</f>
        <v>44105</v>
      </c>
      <c r="X170" s="7">
        <f t="shared" si="119"/>
        <v>44105</v>
      </c>
      <c r="Y170" s="7">
        <f t="shared" si="119"/>
        <v>44105</v>
      </c>
      <c r="Z170" s="7">
        <f t="shared" si="119"/>
        <v>44105</v>
      </c>
      <c r="AA170" s="7">
        <f t="shared" si="119"/>
        <v>44105</v>
      </c>
      <c r="AB170" s="7">
        <f t="shared" si="119"/>
        <v>44105</v>
      </c>
      <c r="AC170" s="7">
        <f t="shared" si="119"/>
        <v>44105</v>
      </c>
      <c r="AD170" s="7">
        <f t="shared" si="119"/>
        <v>44105</v>
      </c>
      <c r="AE170" s="7">
        <f t="shared" si="119"/>
        <v>44105</v>
      </c>
      <c r="AF170" s="7">
        <f t="shared" si="119"/>
        <v>44105</v>
      </c>
      <c r="AG170" s="7">
        <f t="shared" si="119"/>
        <v>44105</v>
      </c>
      <c r="AH170" s="7">
        <f t="shared" si="119"/>
        <v>44105</v>
      </c>
      <c r="AI170" s="7">
        <f t="shared" si="119"/>
        <v>44470</v>
      </c>
      <c r="AJ170" s="7">
        <f t="shared" si="119"/>
        <v>44470</v>
      </c>
      <c r="AK170" s="7">
        <f t="shared" si="119"/>
        <v>44470</v>
      </c>
      <c r="AL170" s="7">
        <f t="shared" si="119"/>
        <v>44470</v>
      </c>
      <c r="AM170" s="7">
        <f t="shared" si="119"/>
        <v>44470</v>
      </c>
      <c r="AN170" s="7">
        <f t="shared" si="119"/>
        <v>44470</v>
      </c>
      <c r="AO170" s="7">
        <f t="shared" si="119"/>
        <v>44470</v>
      </c>
      <c r="AP170" s="7">
        <f t="shared" si="119"/>
        <v>44470</v>
      </c>
      <c r="AQ170" s="7">
        <f t="shared" si="119"/>
        <v>44470</v>
      </c>
      <c r="AR170" s="7">
        <f t="shared" si="119"/>
        <v>44470</v>
      </c>
      <c r="AS170" s="7">
        <f t="shared" si="119"/>
        <v>44470</v>
      </c>
      <c r="AT170" s="7">
        <f t="shared" si="119"/>
        <v>44470</v>
      </c>
      <c r="AU170" s="7">
        <f t="shared" si="119"/>
        <v>44835</v>
      </c>
      <c r="AV170" s="7">
        <f t="shared" si="119"/>
        <v>44835</v>
      </c>
      <c r="AW170" s="7">
        <f t="shared" si="119"/>
        <v>44835</v>
      </c>
      <c r="AX170" s="7">
        <f t="shared" si="119"/>
        <v>44835</v>
      </c>
      <c r="AY170" s="7">
        <f t="shared" si="119"/>
        <v>44835</v>
      </c>
      <c r="AZ170" s="7">
        <f t="shared" si="119"/>
        <v>44835</v>
      </c>
      <c r="BA170" s="7">
        <f t="shared" si="119"/>
        <v>44835</v>
      </c>
      <c r="BB170" s="7">
        <f t="shared" si="119"/>
        <v>44835</v>
      </c>
      <c r="BC170" s="7">
        <f t="shared" si="119"/>
        <v>44835</v>
      </c>
      <c r="BD170" s="7">
        <f t="shared" si="119"/>
        <v>44835</v>
      </c>
      <c r="BE170" s="7">
        <f t="shared" si="119"/>
        <v>44835</v>
      </c>
      <c r="BF170" s="7">
        <f t="shared" si="119"/>
        <v>44835</v>
      </c>
      <c r="BG170" s="7">
        <f t="shared" si="119"/>
        <v>45200</v>
      </c>
      <c r="BH170" s="7">
        <f t="shared" si="119"/>
        <v>45200</v>
      </c>
      <c r="BI170" s="7">
        <f t="shared" si="119"/>
        <v>45200</v>
      </c>
    </row>
    <row r="171" spans="5:61" x14ac:dyDescent="0.35">
      <c r="E171">
        <f t="shared" si="108"/>
        <v>11</v>
      </c>
      <c r="J171" t="str">
        <f t="shared" si="109"/>
        <v>date</v>
      </c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">
        <f t="shared" ref="X171:BI171" si="120">X23</f>
        <v>44136</v>
      </c>
      <c r="Y171" s="7">
        <f t="shared" si="120"/>
        <v>44136</v>
      </c>
      <c r="Z171" s="7">
        <f t="shared" si="120"/>
        <v>44136</v>
      </c>
      <c r="AA171" s="7">
        <f t="shared" si="120"/>
        <v>44136</v>
      </c>
      <c r="AB171" s="7">
        <f t="shared" si="120"/>
        <v>44136</v>
      </c>
      <c r="AC171" s="7">
        <f t="shared" si="120"/>
        <v>44136</v>
      </c>
      <c r="AD171" s="7">
        <f t="shared" si="120"/>
        <v>44136</v>
      </c>
      <c r="AE171" s="7">
        <f t="shared" si="120"/>
        <v>44136</v>
      </c>
      <c r="AF171" s="7">
        <f t="shared" si="120"/>
        <v>44136</v>
      </c>
      <c r="AG171" s="7">
        <f t="shared" si="120"/>
        <v>44136</v>
      </c>
      <c r="AH171" s="7">
        <f t="shared" si="120"/>
        <v>44136</v>
      </c>
      <c r="AI171" s="7">
        <f t="shared" si="120"/>
        <v>44136</v>
      </c>
      <c r="AJ171" s="7">
        <f t="shared" si="120"/>
        <v>44501</v>
      </c>
      <c r="AK171" s="7">
        <f t="shared" si="120"/>
        <v>44501</v>
      </c>
      <c r="AL171" s="7">
        <f t="shared" si="120"/>
        <v>44501</v>
      </c>
      <c r="AM171" s="7">
        <f t="shared" si="120"/>
        <v>44501</v>
      </c>
      <c r="AN171" s="7">
        <f t="shared" si="120"/>
        <v>44501</v>
      </c>
      <c r="AO171" s="7">
        <f t="shared" si="120"/>
        <v>44501</v>
      </c>
      <c r="AP171" s="7">
        <f t="shared" si="120"/>
        <v>44501</v>
      </c>
      <c r="AQ171" s="7">
        <f t="shared" si="120"/>
        <v>44501</v>
      </c>
      <c r="AR171" s="7">
        <f t="shared" si="120"/>
        <v>44501</v>
      </c>
      <c r="AS171" s="7">
        <f t="shared" si="120"/>
        <v>44501</v>
      </c>
      <c r="AT171" s="7">
        <f t="shared" si="120"/>
        <v>44501</v>
      </c>
      <c r="AU171" s="7">
        <f t="shared" si="120"/>
        <v>44501</v>
      </c>
      <c r="AV171" s="7">
        <f t="shared" si="120"/>
        <v>44866</v>
      </c>
      <c r="AW171" s="7">
        <f t="shared" si="120"/>
        <v>44866</v>
      </c>
      <c r="AX171" s="7">
        <f t="shared" si="120"/>
        <v>44866</v>
      </c>
      <c r="AY171" s="7">
        <f t="shared" si="120"/>
        <v>44866</v>
      </c>
      <c r="AZ171" s="7">
        <f t="shared" si="120"/>
        <v>44866</v>
      </c>
      <c r="BA171" s="7">
        <f t="shared" si="120"/>
        <v>44866</v>
      </c>
      <c r="BB171" s="7">
        <f t="shared" si="120"/>
        <v>44866</v>
      </c>
      <c r="BC171" s="7">
        <f t="shared" si="120"/>
        <v>44866</v>
      </c>
      <c r="BD171" s="7">
        <f t="shared" si="120"/>
        <v>44866</v>
      </c>
      <c r="BE171" s="7">
        <f t="shared" si="120"/>
        <v>44866</v>
      </c>
      <c r="BF171" s="7">
        <f t="shared" si="120"/>
        <v>44866</v>
      </c>
      <c r="BG171" s="7">
        <f t="shared" si="120"/>
        <v>44866</v>
      </c>
      <c r="BH171" s="7">
        <f t="shared" si="120"/>
        <v>45231</v>
      </c>
      <c r="BI171" s="7">
        <f t="shared" si="120"/>
        <v>45231</v>
      </c>
    </row>
    <row r="172" spans="5:61" x14ac:dyDescent="0.35">
      <c r="E172">
        <f t="shared" si="108"/>
        <v>12</v>
      </c>
      <c r="J172" t="str">
        <f t="shared" si="109"/>
        <v>date</v>
      </c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">
        <f t="shared" ref="Y172:BI172" si="121">Y24</f>
        <v>44166</v>
      </c>
      <c r="Z172" s="7">
        <f t="shared" si="121"/>
        <v>44166</v>
      </c>
      <c r="AA172" s="7">
        <f t="shared" si="121"/>
        <v>44166</v>
      </c>
      <c r="AB172" s="7">
        <f t="shared" si="121"/>
        <v>44166</v>
      </c>
      <c r="AC172" s="7">
        <f t="shared" si="121"/>
        <v>44166</v>
      </c>
      <c r="AD172" s="7">
        <f t="shared" si="121"/>
        <v>44166</v>
      </c>
      <c r="AE172" s="7">
        <f t="shared" si="121"/>
        <v>44166</v>
      </c>
      <c r="AF172" s="7">
        <f t="shared" si="121"/>
        <v>44166</v>
      </c>
      <c r="AG172" s="7">
        <f t="shared" si="121"/>
        <v>44166</v>
      </c>
      <c r="AH172" s="7">
        <f t="shared" si="121"/>
        <v>44166</v>
      </c>
      <c r="AI172" s="7">
        <f t="shared" si="121"/>
        <v>44166</v>
      </c>
      <c r="AJ172" s="7">
        <f t="shared" si="121"/>
        <v>44166</v>
      </c>
      <c r="AK172" s="7">
        <f t="shared" si="121"/>
        <v>44531</v>
      </c>
      <c r="AL172" s="7">
        <f t="shared" si="121"/>
        <v>44531</v>
      </c>
      <c r="AM172" s="7">
        <f t="shared" si="121"/>
        <v>44531</v>
      </c>
      <c r="AN172" s="7">
        <f t="shared" si="121"/>
        <v>44531</v>
      </c>
      <c r="AO172" s="7">
        <f t="shared" si="121"/>
        <v>44531</v>
      </c>
      <c r="AP172" s="7">
        <f t="shared" si="121"/>
        <v>44531</v>
      </c>
      <c r="AQ172" s="7">
        <f t="shared" si="121"/>
        <v>44531</v>
      </c>
      <c r="AR172" s="7">
        <f t="shared" si="121"/>
        <v>44531</v>
      </c>
      <c r="AS172" s="7">
        <f t="shared" si="121"/>
        <v>44531</v>
      </c>
      <c r="AT172" s="7">
        <f t="shared" si="121"/>
        <v>44531</v>
      </c>
      <c r="AU172" s="7">
        <f t="shared" si="121"/>
        <v>44531</v>
      </c>
      <c r="AV172" s="7">
        <f t="shared" si="121"/>
        <v>44531</v>
      </c>
      <c r="AW172" s="7">
        <f t="shared" si="121"/>
        <v>44896</v>
      </c>
      <c r="AX172" s="7">
        <f t="shared" si="121"/>
        <v>44896</v>
      </c>
      <c r="AY172" s="7">
        <f t="shared" si="121"/>
        <v>44896</v>
      </c>
      <c r="AZ172" s="7">
        <f t="shared" si="121"/>
        <v>44896</v>
      </c>
      <c r="BA172" s="7">
        <f t="shared" si="121"/>
        <v>44896</v>
      </c>
      <c r="BB172" s="7">
        <f t="shared" si="121"/>
        <v>44896</v>
      </c>
      <c r="BC172" s="7">
        <f t="shared" si="121"/>
        <v>44896</v>
      </c>
      <c r="BD172" s="7">
        <f t="shared" si="121"/>
        <v>44896</v>
      </c>
      <c r="BE172" s="7">
        <f t="shared" si="121"/>
        <v>44896</v>
      </c>
      <c r="BF172" s="7">
        <f t="shared" si="121"/>
        <v>44896</v>
      </c>
      <c r="BG172" s="7">
        <f t="shared" si="121"/>
        <v>44896</v>
      </c>
      <c r="BH172" s="7">
        <f t="shared" si="121"/>
        <v>44896</v>
      </c>
      <c r="BI172" s="7">
        <f t="shared" si="121"/>
        <v>45261</v>
      </c>
    </row>
    <row r="173" spans="5:61" x14ac:dyDescent="0.35"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</row>
    <row r="174" spans="5:61" x14ac:dyDescent="0.35">
      <c r="E174" s="12" t="s">
        <v>92</v>
      </c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</row>
    <row r="175" spans="5:61" x14ac:dyDescent="0.35">
      <c r="E175">
        <v>1</v>
      </c>
      <c r="J175" t="s">
        <v>51</v>
      </c>
      <c r="N175" s="41">
        <f t="shared" ref="N175:BI175" si="122">IFERROR(INDEX($N$159:$BI$159,1,MATCH(N161,$N$155:$BI$155,0)),0)</f>
        <v>0</v>
      </c>
      <c r="O175" s="41">
        <f t="shared" si="122"/>
        <v>0</v>
      </c>
      <c r="P175" s="41">
        <f t="shared" si="122"/>
        <v>0</v>
      </c>
      <c r="Q175" s="41">
        <f t="shared" si="122"/>
        <v>0</v>
      </c>
      <c r="R175" s="41">
        <f t="shared" si="122"/>
        <v>0</v>
      </c>
      <c r="S175" s="41">
        <f t="shared" si="122"/>
        <v>0</v>
      </c>
      <c r="T175" s="41">
        <f t="shared" si="122"/>
        <v>0</v>
      </c>
      <c r="U175" s="41">
        <f t="shared" si="122"/>
        <v>0</v>
      </c>
      <c r="V175" s="41">
        <f t="shared" si="122"/>
        <v>0</v>
      </c>
      <c r="W175" s="41">
        <f t="shared" si="122"/>
        <v>0</v>
      </c>
      <c r="X175" s="41">
        <f t="shared" si="122"/>
        <v>0</v>
      </c>
      <c r="Y175" s="41">
        <f t="shared" si="122"/>
        <v>0</v>
      </c>
      <c r="Z175" s="41">
        <f t="shared" si="122"/>
        <v>1263.5406102547884</v>
      </c>
      <c r="AA175" s="41">
        <f t="shared" si="122"/>
        <v>1263.5406102547884</v>
      </c>
      <c r="AB175" s="41">
        <f t="shared" si="122"/>
        <v>1263.5406102547884</v>
      </c>
      <c r="AC175" s="41">
        <f t="shared" si="122"/>
        <v>1263.5406102547884</v>
      </c>
      <c r="AD175" s="41">
        <f t="shared" si="122"/>
        <v>1263.5406102547884</v>
      </c>
      <c r="AE175" s="41">
        <f t="shared" si="122"/>
        <v>1263.5406102547884</v>
      </c>
      <c r="AF175" s="41">
        <f t="shared" si="122"/>
        <v>1263.5406102547884</v>
      </c>
      <c r="AG175" s="41">
        <f t="shared" si="122"/>
        <v>1263.5406102547884</v>
      </c>
      <c r="AH175" s="41">
        <f t="shared" si="122"/>
        <v>1263.5406102547884</v>
      </c>
      <c r="AI175" s="41">
        <f t="shared" si="122"/>
        <v>1263.5406102547884</v>
      </c>
      <c r="AJ175" s="41">
        <f t="shared" si="122"/>
        <v>1263.5406102547884</v>
      </c>
      <c r="AK175" s="41">
        <f t="shared" si="122"/>
        <v>1263.5406102547884</v>
      </c>
      <c r="AL175" s="41">
        <f t="shared" si="122"/>
        <v>1453.5811923889735</v>
      </c>
      <c r="AM175" s="41">
        <f t="shared" si="122"/>
        <v>1453.5811923889735</v>
      </c>
      <c r="AN175" s="41">
        <f t="shared" si="122"/>
        <v>1453.5811923889735</v>
      </c>
      <c r="AO175" s="41">
        <f t="shared" si="122"/>
        <v>1453.5811923889735</v>
      </c>
      <c r="AP175" s="41">
        <f t="shared" si="122"/>
        <v>1453.5811923889735</v>
      </c>
      <c r="AQ175" s="41">
        <f t="shared" si="122"/>
        <v>1453.5811923889735</v>
      </c>
      <c r="AR175" s="41">
        <f t="shared" si="122"/>
        <v>1453.5811923889735</v>
      </c>
      <c r="AS175" s="41">
        <f t="shared" si="122"/>
        <v>1453.5811923889735</v>
      </c>
      <c r="AT175" s="41">
        <f t="shared" si="122"/>
        <v>1453.5811923889735</v>
      </c>
      <c r="AU175" s="41">
        <f t="shared" si="122"/>
        <v>1453.5811923889735</v>
      </c>
      <c r="AV175" s="41">
        <f t="shared" si="122"/>
        <v>1453.5811923889735</v>
      </c>
      <c r="AW175" s="41">
        <f t="shared" si="122"/>
        <v>1453.5811923889735</v>
      </c>
      <c r="AX175" s="41">
        <f t="shared" si="122"/>
        <v>1413.9827487196551</v>
      </c>
      <c r="AY175" s="41">
        <f t="shared" si="122"/>
        <v>1413.9827487196551</v>
      </c>
      <c r="AZ175" s="41">
        <f t="shared" si="122"/>
        <v>1413.9827487196551</v>
      </c>
      <c r="BA175" s="41">
        <f t="shared" si="122"/>
        <v>1413.9827487196551</v>
      </c>
      <c r="BB175" s="41">
        <f t="shared" si="122"/>
        <v>1413.9827487196551</v>
      </c>
      <c r="BC175" s="41">
        <f t="shared" si="122"/>
        <v>1413.9827487196551</v>
      </c>
      <c r="BD175" s="41">
        <f t="shared" si="122"/>
        <v>1413.9827487196551</v>
      </c>
      <c r="BE175" s="41">
        <f t="shared" si="122"/>
        <v>1413.9827487196551</v>
      </c>
      <c r="BF175" s="41">
        <f t="shared" si="122"/>
        <v>1413.9827487196551</v>
      </c>
      <c r="BG175" s="41">
        <f t="shared" si="122"/>
        <v>1413.9827487196551</v>
      </c>
      <c r="BH175" s="41">
        <f t="shared" si="122"/>
        <v>1413.9827487196551</v>
      </c>
      <c r="BI175" s="41">
        <f t="shared" si="122"/>
        <v>1413.9827487196551</v>
      </c>
    </row>
    <row r="176" spans="5:61" x14ac:dyDescent="0.35">
      <c r="E176">
        <v>2</v>
      </c>
      <c r="J176" t="s">
        <v>51</v>
      </c>
      <c r="N176" s="41">
        <f t="shared" ref="N176:BI176" si="123">IFERROR(INDEX($N$159:$BI$159,1,MATCH(N162,$N$155:$BI$155,0)),0)</f>
        <v>0</v>
      </c>
      <c r="O176" s="41">
        <f t="shared" si="123"/>
        <v>0</v>
      </c>
      <c r="P176" s="41">
        <f t="shared" si="123"/>
        <v>0</v>
      </c>
      <c r="Q176" s="41">
        <f t="shared" si="123"/>
        <v>0</v>
      </c>
      <c r="R176" s="41">
        <f t="shared" si="123"/>
        <v>0</v>
      </c>
      <c r="S176" s="41">
        <f t="shared" si="123"/>
        <v>0</v>
      </c>
      <c r="T176" s="41">
        <f t="shared" si="123"/>
        <v>0</v>
      </c>
      <c r="U176" s="41">
        <f t="shared" si="123"/>
        <v>0</v>
      </c>
      <c r="V176" s="41">
        <f t="shared" si="123"/>
        <v>0</v>
      </c>
      <c r="W176" s="41">
        <f t="shared" si="123"/>
        <v>0</v>
      </c>
      <c r="X176" s="41">
        <f t="shared" si="123"/>
        <v>0</v>
      </c>
      <c r="Y176" s="41">
        <f t="shared" si="123"/>
        <v>0</v>
      </c>
      <c r="Z176" s="41">
        <f t="shared" si="123"/>
        <v>0</v>
      </c>
      <c r="AA176" s="41">
        <f t="shared" si="123"/>
        <v>985.12255376867756</v>
      </c>
      <c r="AB176" s="41">
        <f t="shared" si="123"/>
        <v>985.12255376867756</v>
      </c>
      <c r="AC176" s="41">
        <f t="shared" si="123"/>
        <v>985.12255376867756</v>
      </c>
      <c r="AD176" s="41">
        <f t="shared" si="123"/>
        <v>985.12255376867756</v>
      </c>
      <c r="AE176" s="41">
        <f t="shared" si="123"/>
        <v>985.12255376867756</v>
      </c>
      <c r="AF176" s="41">
        <f t="shared" si="123"/>
        <v>985.12255376867756</v>
      </c>
      <c r="AG176" s="41">
        <f t="shared" si="123"/>
        <v>985.12255376867756</v>
      </c>
      <c r="AH176" s="41">
        <f t="shared" si="123"/>
        <v>985.12255376867756</v>
      </c>
      <c r="AI176" s="41">
        <f t="shared" si="123"/>
        <v>985.12255376867756</v>
      </c>
      <c r="AJ176" s="41">
        <f t="shared" si="123"/>
        <v>985.12255376867756</v>
      </c>
      <c r="AK176" s="41">
        <f t="shared" si="123"/>
        <v>985.12255376867756</v>
      </c>
      <c r="AL176" s="41">
        <f t="shared" si="123"/>
        <v>985.12255376867756</v>
      </c>
      <c r="AM176" s="41">
        <f t="shared" si="123"/>
        <v>1403.6869957948047</v>
      </c>
      <c r="AN176" s="41">
        <f t="shared" si="123"/>
        <v>1403.6869957948047</v>
      </c>
      <c r="AO176" s="41">
        <f t="shared" si="123"/>
        <v>1403.6869957948047</v>
      </c>
      <c r="AP176" s="41">
        <f t="shared" si="123"/>
        <v>1403.6869957948047</v>
      </c>
      <c r="AQ176" s="41">
        <f t="shared" si="123"/>
        <v>1403.6869957948047</v>
      </c>
      <c r="AR176" s="41">
        <f t="shared" si="123"/>
        <v>1403.6869957948047</v>
      </c>
      <c r="AS176" s="41">
        <f t="shared" si="123"/>
        <v>1403.6869957948047</v>
      </c>
      <c r="AT176" s="41">
        <f t="shared" si="123"/>
        <v>1403.6869957948047</v>
      </c>
      <c r="AU176" s="41">
        <f t="shared" si="123"/>
        <v>1403.6869957948047</v>
      </c>
      <c r="AV176" s="41">
        <f t="shared" si="123"/>
        <v>1403.6869957948047</v>
      </c>
      <c r="AW176" s="41">
        <f t="shared" si="123"/>
        <v>1403.6869957948047</v>
      </c>
      <c r="AX176" s="41">
        <f t="shared" si="123"/>
        <v>1403.6869957948047</v>
      </c>
      <c r="AY176" s="41">
        <f t="shared" si="123"/>
        <v>1426.6352507134445</v>
      </c>
      <c r="AZ176" s="41">
        <f t="shared" si="123"/>
        <v>1426.6352507134445</v>
      </c>
      <c r="BA176" s="41">
        <f t="shared" si="123"/>
        <v>1426.6352507134445</v>
      </c>
      <c r="BB176" s="41">
        <f t="shared" si="123"/>
        <v>1426.6352507134445</v>
      </c>
      <c r="BC176" s="41">
        <f t="shared" si="123"/>
        <v>1426.6352507134445</v>
      </c>
      <c r="BD176" s="41">
        <f t="shared" si="123"/>
        <v>1426.6352507134445</v>
      </c>
      <c r="BE176" s="41">
        <f t="shared" si="123"/>
        <v>1426.6352507134445</v>
      </c>
      <c r="BF176" s="41">
        <f t="shared" si="123"/>
        <v>1426.6352507134445</v>
      </c>
      <c r="BG176" s="41">
        <f t="shared" si="123"/>
        <v>1426.6352507134445</v>
      </c>
      <c r="BH176" s="41">
        <f t="shared" si="123"/>
        <v>1426.6352507134445</v>
      </c>
      <c r="BI176" s="41">
        <f t="shared" si="123"/>
        <v>1426.6352507134445</v>
      </c>
    </row>
    <row r="177" spans="5:61" x14ac:dyDescent="0.35">
      <c r="E177">
        <v>3</v>
      </c>
      <c r="J177" t="s">
        <v>51</v>
      </c>
      <c r="N177" s="41">
        <f t="shared" ref="N177:BI177" si="124">IFERROR(INDEX($N$159:$BI$159,1,MATCH(N163,$N$155:$BI$155,0)),0)</f>
        <v>0</v>
      </c>
      <c r="O177" s="41">
        <f t="shared" si="124"/>
        <v>0</v>
      </c>
      <c r="P177" s="41">
        <f t="shared" si="124"/>
        <v>0</v>
      </c>
      <c r="Q177" s="41">
        <f t="shared" si="124"/>
        <v>0</v>
      </c>
      <c r="R177" s="41">
        <f t="shared" si="124"/>
        <v>0</v>
      </c>
      <c r="S177" s="41">
        <f t="shared" si="124"/>
        <v>0</v>
      </c>
      <c r="T177" s="41">
        <f t="shared" si="124"/>
        <v>0</v>
      </c>
      <c r="U177" s="41">
        <f t="shared" si="124"/>
        <v>0</v>
      </c>
      <c r="V177" s="41">
        <f t="shared" si="124"/>
        <v>0</v>
      </c>
      <c r="W177" s="41">
        <f t="shared" si="124"/>
        <v>0</v>
      </c>
      <c r="X177" s="41">
        <f t="shared" si="124"/>
        <v>0</v>
      </c>
      <c r="Y177" s="41">
        <f t="shared" si="124"/>
        <v>0</v>
      </c>
      <c r="Z177" s="41">
        <f t="shared" si="124"/>
        <v>0</v>
      </c>
      <c r="AA177" s="41">
        <f t="shared" si="124"/>
        <v>0</v>
      </c>
      <c r="AB177" s="41">
        <f t="shared" si="124"/>
        <v>1192.4376952792361</v>
      </c>
      <c r="AC177" s="41">
        <f t="shared" si="124"/>
        <v>1192.4376952792361</v>
      </c>
      <c r="AD177" s="41">
        <f t="shared" si="124"/>
        <v>1192.4376952792361</v>
      </c>
      <c r="AE177" s="41">
        <f t="shared" si="124"/>
        <v>1192.4376952792361</v>
      </c>
      <c r="AF177" s="41">
        <f t="shared" si="124"/>
        <v>1192.4376952792361</v>
      </c>
      <c r="AG177" s="41">
        <f t="shared" si="124"/>
        <v>1192.4376952792361</v>
      </c>
      <c r="AH177" s="41">
        <f t="shared" si="124"/>
        <v>1192.4376952792361</v>
      </c>
      <c r="AI177" s="41">
        <f t="shared" si="124"/>
        <v>1192.4376952792361</v>
      </c>
      <c r="AJ177" s="41">
        <f t="shared" si="124"/>
        <v>1192.4376952792361</v>
      </c>
      <c r="AK177" s="41">
        <f t="shared" si="124"/>
        <v>1192.4376952792361</v>
      </c>
      <c r="AL177" s="41">
        <f t="shared" si="124"/>
        <v>1192.4376952792361</v>
      </c>
      <c r="AM177" s="41">
        <f t="shared" si="124"/>
        <v>1192.4376952792361</v>
      </c>
      <c r="AN177" s="41">
        <f t="shared" si="124"/>
        <v>1390.338587498748</v>
      </c>
      <c r="AO177" s="41">
        <f t="shared" si="124"/>
        <v>1390.338587498748</v>
      </c>
      <c r="AP177" s="41">
        <f t="shared" si="124"/>
        <v>1390.338587498748</v>
      </c>
      <c r="AQ177" s="41">
        <f t="shared" si="124"/>
        <v>1390.338587498748</v>
      </c>
      <c r="AR177" s="41">
        <f t="shared" si="124"/>
        <v>1390.338587498748</v>
      </c>
      <c r="AS177" s="41">
        <f t="shared" si="124"/>
        <v>1390.338587498748</v>
      </c>
      <c r="AT177" s="41">
        <f t="shared" si="124"/>
        <v>1390.338587498748</v>
      </c>
      <c r="AU177" s="41">
        <f t="shared" si="124"/>
        <v>1390.338587498748</v>
      </c>
      <c r="AV177" s="41">
        <f t="shared" si="124"/>
        <v>1390.338587498748</v>
      </c>
      <c r="AW177" s="41">
        <f t="shared" si="124"/>
        <v>1390.338587498748</v>
      </c>
      <c r="AX177" s="41">
        <f t="shared" si="124"/>
        <v>1390.338587498748</v>
      </c>
      <c r="AY177" s="41">
        <f t="shared" si="124"/>
        <v>1390.338587498748</v>
      </c>
      <c r="AZ177" s="41">
        <f t="shared" si="124"/>
        <v>1429.9598788803232</v>
      </c>
      <c r="BA177" s="41">
        <f t="shared" si="124"/>
        <v>1429.9598788803232</v>
      </c>
      <c r="BB177" s="41">
        <f t="shared" si="124"/>
        <v>1429.9598788803232</v>
      </c>
      <c r="BC177" s="41">
        <f t="shared" si="124"/>
        <v>1429.9598788803232</v>
      </c>
      <c r="BD177" s="41">
        <f t="shared" si="124"/>
        <v>1429.9598788803232</v>
      </c>
      <c r="BE177" s="41">
        <f t="shared" si="124"/>
        <v>1429.9598788803232</v>
      </c>
      <c r="BF177" s="41">
        <f t="shared" si="124"/>
        <v>1429.9598788803232</v>
      </c>
      <c r="BG177" s="41">
        <f t="shared" si="124"/>
        <v>1429.9598788803232</v>
      </c>
      <c r="BH177" s="41">
        <f t="shared" si="124"/>
        <v>1429.9598788803232</v>
      </c>
      <c r="BI177" s="41">
        <f t="shared" si="124"/>
        <v>1429.9598788803232</v>
      </c>
    </row>
    <row r="178" spans="5:61" x14ac:dyDescent="0.35">
      <c r="E178">
        <v>4</v>
      </c>
      <c r="J178" t="s">
        <v>51</v>
      </c>
      <c r="N178" s="41">
        <f t="shared" ref="N178:BI178" si="125">IFERROR(INDEX($N$159:$BI$159,1,MATCH(N164,$N$155:$BI$155,0)),0)</f>
        <v>0</v>
      </c>
      <c r="O178" s="41">
        <f t="shared" si="125"/>
        <v>0</v>
      </c>
      <c r="P178" s="41">
        <f t="shared" si="125"/>
        <v>0</v>
      </c>
      <c r="Q178" s="41">
        <f t="shared" si="125"/>
        <v>999.71142292011018</v>
      </c>
      <c r="R178" s="41">
        <f t="shared" si="125"/>
        <v>999.71142292011018</v>
      </c>
      <c r="S178" s="41">
        <f t="shared" si="125"/>
        <v>999.71142292011018</v>
      </c>
      <c r="T178" s="41">
        <f t="shared" si="125"/>
        <v>999.71142292011018</v>
      </c>
      <c r="U178" s="41">
        <f t="shared" si="125"/>
        <v>999.71142292011018</v>
      </c>
      <c r="V178" s="41">
        <f t="shared" si="125"/>
        <v>999.71142292011018</v>
      </c>
      <c r="W178" s="41">
        <f t="shared" si="125"/>
        <v>999.71142292011018</v>
      </c>
      <c r="X178" s="41">
        <f t="shared" si="125"/>
        <v>999.71142292011018</v>
      </c>
      <c r="Y178" s="41">
        <f t="shared" si="125"/>
        <v>999.71142292011018</v>
      </c>
      <c r="Z178" s="41">
        <f t="shared" si="125"/>
        <v>999.71142292011018</v>
      </c>
      <c r="AA178" s="41">
        <f t="shared" si="125"/>
        <v>999.71142292011018</v>
      </c>
      <c r="AB178" s="41">
        <f t="shared" si="125"/>
        <v>999.71142292011018</v>
      </c>
      <c r="AC178" s="41">
        <f t="shared" si="125"/>
        <v>1107.5006260593148</v>
      </c>
      <c r="AD178" s="41">
        <f t="shared" si="125"/>
        <v>1107.5006260593148</v>
      </c>
      <c r="AE178" s="41">
        <f t="shared" si="125"/>
        <v>1107.5006260593148</v>
      </c>
      <c r="AF178" s="41">
        <f t="shared" si="125"/>
        <v>1107.5006260593148</v>
      </c>
      <c r="AG178" s="41">
        <f t="shared" si="125"/>
        <v>1107.5006260593148</v>
      </c>
      <c r="AH178" s="41">
        <f t="shared" si="125"/>
        <v>1107.5006260593148</v>
      </c>
      <c r="AI178" s="41">
        <f t="shared" si="125"/>
        <v>1107.5006260593148</v>
      </c>
      <c r="AJ178" s="41">
        <f t="shared" si="125"/>
        <v>1107.5006260593148</v>
      </c>
      <c r="AK178" s="41">
        <f t="shared" si="125"/>
        <v>1107.5006260593148</v>
      </c>
      <c r="AL178" s="41">
        <f t="shared" si="125"/>
        <v>1107.5006260593148</v>
      </c>
      <c r="AM178" s="41">
        <f t="shared" si="125"/>
        <v>1107.5006260593148</v>
      </c>
      <c r="AN178" s="41">
        <f t="shared" si="125"/>
        <v>1107.5006260593148</v>
      </c>
      <c r="AO178" s="41">
        <f t="shared" si="125"/>
        <v>1388.7684885487108</v>
      </c>
      <c r="AP178" s="41">
        <f t="shared" si="125"/>
        <v>1388.7684885487108</v>
      </c>
      <c r="AQ178" s="41">
        <f t="shared" si="125"/>
        <v>1388.7684885487108</v>
      </c>
      <c r="AR178" s="41">
        <f t="shared" si="125"/>
        <v>1388.7684885487108</v>
      </c>
      <c r="AS178" s="41">
        <f t="shared" si="125"/>
        <v>1388.7684885487108</v>
      </c>
      <c r="AT178" s="41">
        <f t="shared" si="125"/>
        <v>1388.7684885487108</v>
      </c>
      <c r="AU178" s="41">
        <f t="shared" si="125"/>
        <v>1388.7684885487108</v>
      </c>
      <c r="AV178" s="41">
        <f t="shared" si="125"/>
        <v>1388.7684885487108</v>
      </c>
      <c r="AW178" s="41">
        <f t="shared" si="125"/>
        <v>1388.7684885487108</v>
      </c>
      <c r="AX178" s="41">
        <f t="shared" si="125"/>
        <v>1388.7684885487108</v>
      </c>
      <c r="AY178" s="41">
        <f t="shared" si="125"/>
        <v>1388.7684885487108</v>
      </c>
      <c r="AZ178" s="41">
        <f t="shared" si="125"/>
        <v>1388.7684885487108</v>
      </c>
      <c r="BA178" s="41">
        <f t="shared" si="125"/>
        <v>1430.3491947020627</v>
      </c>
      <c r="BB178" s="41">
        <f t="shared" si="125"/>
        <v>1430.3491947020627</v>
      </c>
      <c r="BC178" s="41">
        <f t="shared" si="125"/>
        <v>1430.3491947020627</v>
      </c>
      <c r="BD178" s="41">
        <f t="shared" si="125"/>
        <v>1430.3491947020627</v>
      </c>
      <c r="BE178" s="41">
        <f t="shared" si="125"/>
        <v>1430.3491947020627</v>
      </c>
      <c r="BF178" s="41">
        <f t="shared" si="125"/>
        <v>1430.3491947020627</v>
      </c>
      <c r="BG178" s="41">
        <f t="shared" si="125"/>
        <v>1430.3491947020627</v>
      </c>
      <c r="BH178" s="41">
        <f t="shared" si="125"/>
        <v>1430.3491947020627</v>
      </c>
      <c r="BI178" s="41">
        <f t="shared" si="125"/>
        <v>1430.3491947020627</v>
      </c>
    </row>
    <row r="179" spans="5:61" x14ac:dyDescent="0.35">
      <c r="E179">
        <v>5</v>
      </c>
      <c r="J179" t="s">
        <v>51</v>
      </c>
      <c r="N179" s="41">
        <f t="shared" ref="N179:BI179" si="126">IFERROR(INDEX($N$159:$BI$159,1,MATCH(N165,$N$155:$BI$155,0)),0)</f>
        <v>0</v>
      </c>
      <c r="O179" s="41">
        <f t="shared" si="126"/>
        <v>0</v>
      </c>
      <c r="P179" s="41">
        <f t="shared" si="126"/>
        <v>0</v>
      </c>
      <c r="Q179" s="41">
        <f t="shared" si="126"/>
        <v>0</v>
      </c>
      <c r="R179" s="41">
        <f t="shared" si="126"/>
        <v>966.67779055544008</v>
      </c>
      <c r="S179" s="41">
        <f t="shared" si="126"/>
        <v>966.67779055544008</v>
      </c>
      <c r="T179" s="41">
        <f t="shared" si="126"/>
        <v>966.67779055544008</v>
      </c>
      <c r="U179" s="41">
        <f t="shared" si="126"/>
        <v>966.67779055544008</v>
      </c>
      <c r="V179" s="41">
        <f t="shared" si="126"/>
        <v>966.67779055544008</v>
      </c>
      <c r="W179" s="41">
        <f t="shared" si="126"/>
        <v>966.67779055544008</v>
      </c>
      <c r="X179" s="41">
        <f t="shared" si="126"/>
        <v>966.67779055544008</v>
      </c>
      <c r="Y179" s="41">
        <f t="shared" si="126"/>
        <v>966.67779055544008</v>
      </c>
      <c r="Z179" s="41">
        <f t="shared" si="126"/>
        <v>966.67779055544008</v>
      </c>
      <c r="AA179" s="41">
        <f t="shared" si="126"/>
        <v>966.67779055544008</v>
      </c>
      <c r="AB179" s="41">
        <f t="shared" si="126"/>
        <v>966.67779055544008</v>
      </c>
      <c r="AC179" s="41">
        <f t="shared" si="126"/>
        <v>966.67779055544008</v>
      </c>
      <c r="AD179" s="41">
        <f t="shared" si="126"/>
        <v>1272.4449878417488</v>
      </c>
      <c r="AE179" s="41">
        <f t="shared" si="126"/>
        <v>1272.4449878417488</v>
      </c>
      <c r="AF179" s="41">
        <f t="shared" si="126"/>
        <v>1272.4449878417488</v>
      </c>
      <c r="AG179" s="41">
        <f t="shared" si="126"/>
        <v>1272.4449878417488</v>
      </c>
      <c r="AH179" s="41">
        <f t="shared" si="126"/>
        <v>1272.4449878417488</v>
      </c>
      <c r="AI179" s="41">
        <f t="shared" si="126"/>
        <v>1272.4449878417488</v>
      </c>
      <c r="AJ179" s="41">
        <f t="shared" si="126"/>
        <v>1272.4449878417488</v>
      </c>
      <c r="AK179" s="41">
        <f t="shared" si="126"/>
        <v>1272.4449878417488</v>
      </c>
      <c r="AL179" s="41">
        <f t="shared" si="126"/>
        <v>1272.4449878417488</v>
      </c>
      <c r="AM179" s="41">
        <f t="shared" si="126"/>
        <v>1272.4449878417488</v>
      </c>
      <c r="AN179" s="41">
        <f t="shared" si="126"/>
        <v>1272.4449878417488</v>
      </c>
      <c r="AO179" s="41">
        <f t="shared" si="126"/>
        <v>1272.4449878417488</v>
      </c>
      <c r="AP179" s="41">
        <f t="shared" si="126"/>
        <v>1388.7050772169862</v>
      </c>
      <c r="AQ179" s="41">
        <f t="shared" si="126"/>
        <v>1388.7050772169862</v>
      </c>
      <c r="AR179" s="41">
        <f t="shared" si="126"/>
        <v>1388.7050772169862</v>
      </c>
      <c r="AS179" s="41">
        <f t="shared" si="126"/>
        <v>1388.7050772169862</v>
      </c>
      <c r="AT179" s="41">
        <f t="shared" si="126"/>
        <v>1388.7050772169862</v>
      </c>
      <c r="AU179" s="41">
        <f t="shared" si="126"/>
        <v>1388.7050772169862</v>
      </c>
      <c r="AV179" s="41">
        <f t="shared" si="126"/>
        <v>1388.7050772169862</v>
      </c>
      <c r="AW179" s="41">
        <f t="shared" si="126"/>
        <v>1388.7050772169862</v>
      </c>
      <c r="AX179" s="41">
        <f t="shared" si="126"/>
        <v>1388.7050772169862</v>
      </c>
      <c r="AY179" s="41">
        <f t="shared" si="126"/>
        <v>1388.7050772169862</v>
      </c>
      <c r="AZ179" s="41">
        <f t="shared" si="126"/>
        <v>1388.7050772169862</v>
      </c>
      <c r="BA179" s="41">
        <f t="shared" si="126"/>
        <v>1388.7050772169862</v>
      </c>
      <c r="BB179" s="41">
        <f t="shared" si="126"/>
        <v>1430.3648913114362</v>
      </c>
      <c r="BC179" s="41">
        <f t="shared" si="126"/>
        <v>1430.3648913114362</v>
      </c>
      <c r="BD179" s="41">
        <f t="shared" si="126"/>
        <v>1430.3648913114362</v>
      </c>
      <c r="BE179" s="41">
        <f t="shared" si="126"/>
        <v>1430.3648913114362</v>
      </c>
      <c r="BF179" s="41">
        <f t="shared" si="126"/>
        <v>1430.3648913114362</v>
      </c>
      <c r="BG179" s="41">
        <f t="shared" si="126"/>
        <v>1430.3648913114362</v>
      </c>
      <c r="BH179" s="41">
        <f t="shared" si="126"/>
        <v>1430.3648913114362</v>
      </c>
      <c r="BI179" s="41">
        <f t="shared" si="126"/>
        <v>1430.3648913114362</v>
      </c>
    </row>
    <row r="180" spans="5:61" x14ac:dyDescent="0.35">
      <c r="E180">
        <v>6</v>
      </c>
      <c r="J180" t="s">
        <v>51</v>
      </c>
      <c r="N180" s="41">
        <f t="shared" ref="N180:BI180" si="127">IFERROR(INDEX($N$159:$BI$159,1,MATCH(N166,$N$155:$BI$155,0)),0)</f>
        <v>0</v>
      </c>
      <c r="O180" s="41">
        <f t="shared" si="127"/>
        <v>0</v>
      </c>
      <c r="P180" s="41">
        <f t="shared" si="127"/>
        <v>0</v>
      </c>
      <c r="Q180" s="41">
        <f t="shared" si="127"/>
        <v>0</v>
      </c>
      <c r="R180" s="41">
        <f t="shared" si="127"/>
        <v>0</v>
      </c>
      <c r="S180" s="41">
        <f t="shared" si="127"/>
        <v>1257.9855293138357</v>
      </c>
      <c r="T180" s="41">
        <f t="shared" si="127"/>
        <v>1257.9855293138357</v>
      </c>
      <c r="U180" s="41">
        <f t="shared" si="127"/>
        <v>1257.9855293138357</v>
      </c>
      <c r="V180" s="41">
        <f t="shared" si="127"/>
        <v>1257.9855293138357</v>
      </c>
      <c r="W180" s="41">
        <f t="shared" si="127"/>
        <v>1257.9855293138357</v>
      </c>
      <c r="X180" s="41">
        <f t="shared" si="127"/>
        <v>1257.9855293138357</v>
      </c>
      <c r="Y180" s="41">
        <f t="shared" si="127"/>
        <v>1257.9855293138357</v>
      </c>
      <c r="Z180" s="41">
        <f t="shared" si="127"/>
        <v>1257.9855293138357</v>
      </c>
      <c r="AA180" s="41">
        <f t="shared" si="127"/>
        <v>1257.9855293138357</v>
      </c>
      <c r="AB180" s="41">
        <f t="shared" si="127"/>
        <v>1257.9855293138357</v>
      </c>
      <c r="AC180" s="41">
        <f t="shared" si="127"/>
        <v>1257.9855293138357</v>
      </c>
      <c r="AD180" s="41">
        <f t="shared" si="127"/>
        <v>1257.9855293138357</v>
      </c>
      <c r="AE180" s="41">
        <f t="shared" si="127"/>
        <v>1327.9373985846587</v>
      </c>
      <c r="AF180" s="41">
        <f t="shared" si="127"/>
        <v>1327.9373985846587</v>
      </c>
      <c r="AG180" s="41">
        <f t="shared" si="127"/>
        <v>1327.9373985846587</v>
      </c>
      <c r="AH180" s="41">
        <f t="shared" si="127"/>
        <v>1327.9373985846587</v>
      </c>
      <c r="AI180" s="41">
        <f t="shared" si="127"/>
        <v>1327.9373985846587</v>
      </c>
      <c r="AJ180" s="41">
        <f t="shared" si="127"/>
        <v>1327.9373985846587</v>
      </c>
      <c r="AK180" s="41">
        <f t="shared" si="127"/>
        <v>1327.9373985846587</v>
      </c>
      <c r="AL180" s="41">
        <f t="shared" si="127"/>
        <v>1327.9373985846587</v>
      </c>
      <c r="AM180" s="41">
        <f t="shared" si="127"/>
        <v>1327.9373985846587</v>
      </c>
      <c r="AN180" s="41">
        <f t="shared" si="127"/>
        <v>1327.9373985846587</v>
      </c>
      <c r="AO180" s="41">
        <f t="shared" si="127"/>
        <v>1327.9373985846587</v>
      </c>
      <c r="AP180" s="41">
        <f t="shared" si="127"/>
        <v>1327.9373985846587</v>
      </c>
      <c r="AQ180" s="41">
        <f t="shared" si="127"/>
        <v>1388.7040354735589</v>
      </c>
      <c r="AR180" s="41">
        <f t="shared" si="127"/>
        <v>1388.7040354735589</v>
      </c>
      <c r="AS180" s="41">
        <f t="shared" si="127"/>
        <v>1388.7040354735589</v>
      </c>
      <c r="AT180" s="41">
        <f t="shared" si="127"/>
        <v>1388.7040354735589</v>
      </c>
      <c r="AU180" s="41">
        <f t="shared" si="127"/>
        <v>1388.7040354735589</v>
      </c>
      <c r="AV180" s="41">
        <f t="shared" si="127"/>
        <v>1388.7040354735589</v>
      </c>
      <c r="AW180" s="41">
        <f t="shared" si="127"/>
        <v>1388.7040354735589</v>
      </c>
      <c r="AX180" s="41">
        <f t="shared" si="127"/>
        <v>1388.7040354735589</v>
      </c>
      <c r="AY180" s="41">
        <f t="shared" si="127"/>
        <v>1388.7040354735589</v>
      </c>
      <c r="AZ180" s="41">
        <f t="shared" si="127"/>
        <v>1388.7040354735589</v>
      </c>
      <c r="BA180" s="41">
        <f t="shared" si="127"/>
        <v>1388.7040354735589</v>
      </c>
      <c r="BB180" s="41">
        <f t="shared" si="127"/>
        <v>1388.7040354735589</v>
      </c>
      <c r="BC180" s="41">
        <f t="shared" si="127"/>
        <v>1430.3651490347602</v>
      </c>
      <c r="BD180" s="41">
        <f t="shared" si="127"/>
        <v>1430.3651490347602</v>
      </c>
      <c r="BE180" s="41">
        <f t="shared" si="127"/>
        <v>1430.3651490347602</v>
      </c>
      <c r="BF180" s="41">
        <f t="shared" si="127"/>
        <v>1430.3651490347602</v>
      </c>
      <c r="BG180" s="41">
        <f t="shared" si="127"/>
        <v>1430.3651490347602</v>
      </c>
      <c r="BH180" s="41">
        <f t="shared" si="127"/>
        <v>1430.3651490347602</v>
      </c>
      <c r="BI180" s="41">
        <f t="shared" si="127"/>
        <v>1430.3651490347602</v>
      </c>
    </row>
    <row r="181" spans="5:61" x14ac:dyDescent="0.35">
      <c r="E181">
        <v>7</v>
      </c>
      <c r="J181" t="s">
        <v>51</v>
      </c>
      <c r="N181" s="41">
        <f t="shared" ref="N181:BI181" si="128">IFERROR(INDEX($N$159:$BI$159,1,MATCH(N167,$N$155:$BI$155,0)),0)</f>
        <v>0</v>
      </c>
      <c r="O181" s="41">
        <f t="shared" si="128"/>
        <v>0</v>
      </c>
      <c r="P181" s="41">
        <f t="shared" si="128"/>
        <v>0</v>
      </c>
      <c r="Q181" s="41">
        <f t="shared" si="128"/>
        <v>0</v>
      </c>
      <c r="R181" s="41">
        <f t="shared" si="128"/>
        <v>0</v>
      </c>
      <c r="S181" s="41">
        <f t="shared" si="128"/>
        <v>0</v>
      </c>
      <c r="T181" s="41">
        <f t="shared" si="128"/>
        <v>2070.6267514145684</v>
      </c>
      <c r="U181" s="41">
        <f t="shared" si="128"/>
        <v>2070.6267514145684</v>
      </c>
      <c r="V181" s="41">
        <f t="shared" si="128"/>
        <v>2070.6267514145684</v>
      </c>
      <c r="W181" s="41">
        <f t="shared" si="128"/>
        <v>2070.6267514145684</v>
      </c>
      <c r="X181" s="41">
        <f t="shared" si="128"/>
        <v>2070.6267514145684</v>
      </c>
      <c r="Y181" s="41">
        <f t="shared" si="128"/>
        <v>2070.6267514145684</v>
      </c>
      <c r="Z181" s="41">
        <f t="shared" si="128"/>
        <v>2070.6267514145684</v>
      </c>
      <c r="AA181" s="41">
        <f t="shared" si="128"/>
        <v>2070.6267514145684</v>
      </c>
      <c r="AB181" s="41">
        <f t="shared" si="128"/>
        <v>2070.6267514145684</v>
      </c>
      <c r="AC181" s="41">
        <f t="shared" si="128"/>
        <v>2070.6267514145684</v>
      </c>
      <c r="AD181" s="41">
        <f t="shared" si="128"/>
        <v>2070.6267514145684</v>
      </c>
      <c r="AE181" s="41">
        <f t="shared" si="128"/>
        <v>2070.6267514145684</v>
      </c>
      <c r="AF181" s="41">
        <f t="shared" si="128"/>
        <v>1536.2140275524132</v>
      </c>
      <c r="AG181" s="41">
        <f t="shared" si="128"/>
        <v>1536.2140275524132</v>
      </c>
      <c r="AH181" s="41">
        <f t="shared" si="128"/>
        <v>1536.2140275524132</v>
      </c>
      <c r="AI181" s="41">
        <f t="shared" si="128"/>
        <v>1536.2140275524132</v>
      </c>
      <c r="AJ181" s="41">
        <f t="shared" si="128"/>
        <v>1536.2140275524132</v>
      </c>
      <c r="AK181" s="41">
        <f t="shared" si="128"/>
        <v>1536.2140275524132</v>
      </c>
      <c r="AL181" s="41">
        <f t="shared" si="128"/>
        <v>1536.2140275524132</v>
      </c>
      <c r="AM181" s="41">
        <f t="shared" si="128"/>
        <v>1536.2140275524132</v>
      </c>
      <c r="AN181" s="41">
        <f t="shared" si="128"/>
        <v>1536.2140275524132</v>
      </c>
      <c r="AO181" s="41">
        <f t="shared" si="128"/>
        <v>1536.2140275524132</v>
      </c>
      <c r="AP181" s="41">
        <f t="shared" si="128"/>
        <v>1536.2140275524132</v>
      </c>
      <c r="AQ181" s="41">
        <f t="shared" si="128"/>
        <v>1536.2140275524132</v>
      </c>
      <c r="AR181" s="41">
        <f t="shared" si="128"/>
        <v>1388.7040296146852</v>
      </c>
      <c r="AS181" s="41">
        <f t="shared" si="128"/>
        <v>1388.7040296146852</v>
      </c>
      <c r="AT181" s="41">
        <f t="shared" si="128"/>
        <v>1388.7040296146852</v>
      </c>
      <c r="AU181" s="41">
        <f t="shared" si="128"/>
        <v>1388.7040296146852</v>
      </c>
      <c r="AV181" s="41">
        <f t="shared" si="128"/>
        <v>1388.7040296146852</v>
      </c>
      <c r="AW181" s="41">
        <f t="shared" si="128"/>
        <v>1388.7040296146852</v>
      </c>
      <c r="AX181" s="41">
        <f t="shared" si="128"/>
        <v>1388.7040296146852</v>
      </c>
      <c r="AY181" s="41">
        <f t="shared" si="128"/>
        <v>1388.7040296146852</v>
      </c>
      <c r="AZ181" s="41">
        <f t="shared" si="128"/>
        <v>1388.7040296146852</v>
      </c>
      <c r="BA181" s="41">
        <f t="shared" si="128"/>
        <v>1388.7040296146852</v>
      </c>
      <c r="BB181" s="41">
        <f t="shared" si="128"/>
        <v>1388.7040296146852</v>
      </c>
      <c r="BC181" s="41">
        <f t="shared" si="128"/>
        <v>1388.7040296146852</v>
      </c>
      <c r="BD181" s="41">
        <f t="shared" si="128"/>
        <v>1430.3651504839215</v>
      </c>
      <c r="BE181" s="41">
        <f t="shared" si="128"/>
        <v>1430.3651504839215</v>
      </c>
      <c r="BF181" s="41">
        <f t="shared" si="128"/>
        <v>1430.3651504839215</v>
      </c>
      <c r="BG181" s="41">
        <f t="shared" si="128"/>
        <v>1430.3651504839215</v>
      </c>
      <c r="BH181" s="41">
        <f t="shared" si="128"/>
        <v>1430.3651504839215</v>
      </c>
      <c r="BI181" s="41">
        <f t="shared" si="128"/>
        <v>1430.3651504839215</v>
      </c>
    </row>
    <row r="182" spans="5:61" x14ac:dyDescent="0.35">
      <c r="E182">
        <v>8</v>
      </c>
      <c r="J182" t="s">
        <v>51</v>
      </c>
      <c r="N182" s="41">
        <f t="shared" ref="N182:BI182" si="129">IFERROR(INDEX($N$159:$BI$159,1,MATCH(N168,$N$155:$BI$155,0)),0)</f>
        <v>0</v>
      </c>
      <c r="O182" s="41">
        <f t="shared" si="129"/>
        <v>0</v>
      </c>
      <c r="P182" s="41">
        <f t="shared" si="129"/>
        <v>0</v>
      </c>
      <c r="Q182" s="41">
        <f t="shared" si="129"/>
        <v>0</v>
      </c>
      <c r="R182" s="41">
        <f t="shared" si="129"/>
        <v>0</v>
      </c>
      <c r="S182" s="41">
        <f t="shared" si="129"/>
        <v>0</v>
      </c>
      <c r="T182" s="41">
        <f t="shared" si="129"/>
        <v>0</v>
      </c>
      <c r="U182" s="41">
        <f t="shared" si="129"/>
        <v>2658.9839952833649</v>
      </c>
      <c r="V182" s="41">
        <f t="shared" si="129"/>
        <v>2658.9839952833649</v>
      </c>
      <c r="W182" s="41">
        <f t="shared" si="129"/>
        <v>2658.9839952833649</v>
      </c>
      <c r="X182" s="41">
        <f t="shared" si="129"/>
        <v>2658.9839952833649</v>
      </c>
      <c r="Y182" s="41">
        <f t="shared" si="129"/>
        <v>2658.9839952833649</v>
      </c>
      <c r="Z182" s="41">
        <f t="shared" si="129"/>
        <v>2658.9839952833649</v>
      </c>
      <c r="AA182" s="41">
        <f t="shared" si="129"/>
        <v>2658.9839952833649</v>
      </c>
      <c r="AB182" s="41">
        <f t="shared" si="129"/>
        <v>2658.9839952833649</v>
      </c>
      <c r="AC182" s="41">
        <f t="shared" si="129"/>
        <v>2658.9839952833649</v>
      </c>
      <c r="AD182" s="41">
        <f t="shared" si="129"/>
        <v>2658.9839952833649</v>
      </c>
      <c r="AE182" s="41">
        <f t="shared" si="129"/>
        <v>2658.9839952833649</v>
      </c>
      <c r="AF182" s="41">
        <f t="shared" si="129"/>
        <v>2658.9839952833649</v>
      </c>
      <c r="AG182" s="41">
        <f t="shared" si="129"/>
        <v>1525.6184202006923</v>
      </c>
      <c r="AH182" s="41">
        <f t="shared" si="129"/>
        <v>1525.6184202006923</v>
      </c>
      <c r="AI182" s="41">
        <f t="shared" si="129"/>
        <v>1525.6184202006923</v>
      </c>
      <c r="AJ182" s="41">
        <f t="shared" si="129"/>
        <v>1525.6184202006923</v>
      </c>
      <c r="AK182" s="41">
        <f t="shared" si="129"/>
        <v>1525.6184202006923</v>
      </c>
      <c r="AL182" s="41">
        <f t="shared" si="129"/>
        <v>1525.6184202006923</v>
      </c>
      <c r="AM182" s="41">
        <f t="shared" si="129"/>
        <v>1525.6184202006923</v>
      </c>
      <c r="AN182" s="41">
        <f t="shared" si="129"/>
        <v>1525.6184202006923</v>
      </c>
      <c r="AO182" s="41">
        <f t="shared" si="129"/>
        <v>1525.6184202006923</v>
      </c>
      <c r="AP182" s="41">
        <f t="shared" si="129"/>
        <v>1525.6184202006923</v>
      </c>
      <c r="AQ182" s="41">
        <f t="shared" si="129"/>
        <v>1525.6184202006923</v>
      </c>
      <c r="AR182" s="41">
        <f t="shared" si="129"/>
        <v>1525.6184202006923</v>
      </c>
      <c r="AS182" s="41">
        <f t="shared" si="129"/>
        <v>1388.7040295996635</v>
      </c>
      <c r="AT182" s="41">
        <f t="shared" si="129"/>
        <v>1388.7040295996635</v>
      </c>
      <c r="AU182" s="41">
        <f t="shared" si="129"/>
        <v>1388.7040295996635</v>
      </c>
      <c r="AV182" s="41">
        <f t="shared" si="129"/>
        <v>1388.7040295996635</v>
      </c>
      <c r="AW182" s="41">
        <f t="shared" si="129"/>
        <v>1388.7040295996635</v>
      </c>
      <c r="AX182" s="41">
        <f t="shared" si="129"/>
        <v>1388.7040295996635</v>
      </c>
      <c r="AY182" s="41">
        <f t="shared" si="129"/>
        <v>1388.7040295996635</v>
      </c>
      <c r="AZ182" s="41">
        <f t="shared" si="129"/>
        <v>1388.7040295996635</v>
      </c>
      <c r="BA182" s="41">
        <f t="shared" si="129"/>
        <v>1388.7040295996635</v>
      </c>
      <c r="BB182" s="41">
        <f t="shared" si="129"/>
        <v>1388.7040295996635</v>
      </c>
      <c r="BC182" s="41">
        <f t="shared" si="129"/>
        <v>1388.7040295996635</v>
      </c>
      <c r="BD182" s="41">
        <f t="shared" si="129"/>
        <v>1388.7040295996635</v>
      </c>
      <c r="BE182" s="41">
        <f t="shared" si="129"/>
        <v>1430.3651504876368</v>
      </c>
      <c r="BF182" s="41">
        <f t="shared" si="129"/>
        <v>1430.3651504876368</v>
      </c>
      <c r="BG182" s="41">
        <f t="shared" si="129"/>
        <v>1430.3651504876368</v>
      </c>
      <c r="BH182" s="41">
        <f t="shared" si="129"/>
        <v>1430.3651504876368</v>
      </c>
      <c r="BI182" s="41">
        <f t="shared" si="129"/>
        <v>1430.3651504876368</v>
      </c>
    </row>
    <row r="183" spans="5:61" x14ac:dyDescent="0.35">
      <c r="E183">
        <v>9</v>
      </c>
      <c r="J183" t="s">
        <v>51</v>
      </c>
      <c r="N183" s="41">
        <f t="shared" ref="N183:BI183" si="130">IFERROR(INDEX($N$159:$BI$159,1,MATCH(N169,$N$155:$BI$155,0)),0)</f>
        <v>0</v>
      </c>
      <c r="O183" s="41">
        <f t="shared" si="130"/>
        <v>0</v>
      </c>
      <c r="P183" s="41">
        <f t="shared" si="130"/>
        <v>0</v>
      </c>
      <c r="Q183" s="41">
        <f t="shared" si="130"/>
        <v>0</v>
      </c>
      <c r="R183" s="41">
        <f t="shared" si="130"/>
        <v>0</v>
      </c>
      <c r="S183" s="41">
        <f t="shared" si="130"/>
        <v>0</v>
      </c>
      <c r="T183" s="41">
        <f t="shared" si="130"/>
        <v>0</v>
      </c>
      <c r="U183" s="41">
        <f t="shared" si="130"/>
        <v>0</v>
      </c>
      <c r="V183" s="41">
        <f t="shared" si="130"/>
        <v>1761.6033715238993</v>
      </c>
      <c r="W183" s="41">
        <f t="shared" si="130"/>
        <v>1761.6033715238993</v>
      </c>
      <c r="X183" s="41">
        <f t="shared" si="130"/>
        <v>1761.6033715238993</v>
      </c>
      <c r="Y183" s="41">
        <f t="shared" si="130"/>
        <v>1761.6033715238993</v>
      </c>
      <c r="Z183" s="41">
        <f t="shared" si="130"/>
        <v>1761.6033715238993</v>
      </c>
      <c r="AA183" s="41">
        <f t="shared" si="130"/>
        <v>1761.6033715238993</v>
      </c>
      <c r="AB183" s="41">
        <f t="shared" si="130"/>
        <v>1761.6033715238993</v>
      </c>
      <c r="AC183" s="41">
        <f t="shared" si="130"/>
        <v>1761.6033715238993</v>
      </c>
      <c r="AD183" s="41">
        <f t="shared" si="130"/>
        <v>1761.6033715238993</v>
      </c>
      <c r="AE183" s="41">
        <f t="shared" si="130"/>
        <v>1761.6033715238993</v>
      </c>
      <c r="AF183" s="41">
        <f t="shared" si="130"/>
        <v>1761.6033715238993</v>
      </c>
      <c r="AG183" s="41">
        <f t="shared" si="130"/>
        <v>1761.6033715238993</v>
      </c>
      <c r="AH183" s="41">
        <f t="shared" si="130"/>
        <v>1434.9231600883622</v>
      </c>
      <c r="AI183" s="41">
        <f t="shared" si="130"/>
        <v>1434.9231600883622</v>
      </c>
      <c r="AJ183" s="41">
        <f t="shared" si="130"/>
        <v>1434.9231600883622</v>
      </c>
      <c r="AK183" s="41">
        <f t="shared" si="130"/>
        <v>1434.9231600883622</v>
      </c>
      <c r="AL183" s="41">
        <f t="shared" si="130"/>
        <v>1434.9231600883622</v>
      </c>
      <c r="AM183" s="41">
        <f t="shared" si="130"/>
        <v>1434.9231600883622</v>
      </c>
      <c r="AN183" s="41">
        <f t="shared" si="130"/>
        <v>1434.9231600883622</v>
      </c>
      <c r="AO183" s="41">
        <f t="shared" si="130"/>
        <v>1434.9231600883622</v>
      </c>
      <c r="AP183" s="41">
        <f t="shared" si="130"/>
        <v>1434.9231600883622</v>
      </c>
      <c r="AQ183" s="41">
        <f t="shared" si="130"/>
        <v>1434.9231600883622</v>
      </c>
      <c r="AR183" s="41">
        <f t="shared" si="130"/>
        <v>1434.9231600883622</v>
      </c>
      <c r="AS183" s="41">
        <f t="shared" si="130"/>
        <v>1434.9231600883622</v>
      </c>
      <c r="AT183" s="41">
        <f t="shared" si="130"/>
        <v>1388.7040295996501</v>
      </c>
      <c r="AU183" s="41">
        <f t="shared" si="130"/>
        <v>1388.7040295996501</v>
      </c>
      <c r="AV183" s="41">
        <f t="shared" si="130"/>
        <v>1388.7040295996501</v>
      </c>
      <c r="AW183" s="41">
        <f t="shared" si="130"/>
        <v>1388.7040295996501</v>
      </c>
      <c r="AX183" s="41">
        <f t="shared" si="130"/>
        <v>1388.7040295996501</v>
      </c>
      <c r="AY183" s="41">
        <f t="shared" si="130"/>
        <v>1388.7040295996501</v>
      </c>
      <c r="AZ183" s="41">
        <f t="shared" si="130"/>
        <v>1388.7040295996501</v>
      </c>
      <c r="BA183" s="41">
        <f t="shared" si="130"/>
        <v>1388.7040295996501</v>
      </c>
      <c r="BB183" s="41">
        <f t="shared" si="130"/>
        <v>1388.7040295996501</v>
      </c>
      <c r="BC183" s="41">
        <f t="shared" si="130"/>
        <v>1388.7040295996501</v>
      </c>
      <c r="BD183" s="41">
        <f t="shared" si="130"/>
        <v>1388.7040295996501</v>
      </c>
      <c r="BE183" s="41">
        <f t="shared" si="130"/>
        <v>1388.7040295996501</v>
      </c>
      <c r="BF183" s="41">
        <f t="shared" si="130"/>
        <v>1430.3651504876398</v>
      </c>
      <c r="BG183" s="41">
        <f t="shared" si="130"/>
        <v>1430.3651504876398</v>
      </c>
      <c r="BH183" s="41">
        <f t="shared" si="130"/>
        <v>1430.3651504876398</v>
      </c>
      <c r="BI183" s="41">
        <f t="shared" si="130"/>
        <v>1430.3651504876398</v>
      </c>
    </row>
    <row r="184" spans="5:61" x14ac:dyDescent="0.35">
      <c r="E184">
        <v>10</v>
      </c>
      <c r="J184" t="s">
        <v>51</v>
      </c>
      <c r="N184" s="41">
        <f t="shared" ref="N184:BI184" si="131">IFERROR(INDEX($N$159:$BI$159,1,MATCH(N170,$N$155:$BI$155,0)),0)</f>
        <v>0</v>
      </c>
      <c r="O184" s="41">
        <f t="shared" si="131"/>
        <v>0</v>
      </c>
      <c r="P184" s="41">
        <f t="shared" si="131"/>
        <v>0</v>
      </c>
      <c r="Q184" s="41">
        <f t="shared" si="131"/>
        <v>0</v>
      </c>
      <c r="R184" s="41">
        <f t="shared" si="131"/>
        <v>0</v>
      </c>
      <c r="S184" s="41">
        <f t="shared" si="131"/>
        <v>0</v>
      </c>
      <c r="T184" s="41">
        <f t="shared" si="131"/>
        <v>0</v>
      </c>
      <c r="U184" s="41">
        <f t="shared" si="131"/>
        <v>0</v>
      </c>
      <c r="V184" s="41">
        <f t="shared" si="131"/>
        <v>0</v>
      </c>
      <c r="W184" s="41">
        <f t="shared" si="131"/>
        <v>1424.3443321660359</v>
      </c>
      <c r="X184" s="41">
        <f t="shared" si="131"/>
        <v>1424.3443321660359</v>
      </c>
      <c r="Y184" s="41">
        <f t="shared" si="131"/>
        <v>1424.3443321660359</v>
      </c>
      <c r="Z184" s="41">
        <f t="shared" si="131"/>
        <v>1424.3443321660359</v>
      </c>
      <c r="AA184" s="41">
        <f t="shared" si="131"/>
        <v>1424.3443321660359</v>
      </c>
      <c r="AB184" s="41">
        <f t="shared" si="131"/>
        <v>1424.3443321660359</v>
      </c>
      <c r="AC184" s="41">
        <f t="shared" si="131"/>
        <v>1424.3443321660359</v>
      </c>
      <c r="AD184" s="41">
        <f t="shared" si="131"/>
        <v>1424.3443321660359</v>
      </c>
      <c r="AE184" s="41">
        <f t="shared" si="131"/>
        <v>1424.3443321660359</v>
      </c>
      <c r="AF184" s="41">
        <f t="shared" si="131"/>
        <v>1424.3443321660359</v>
      </c>
      <c r="AG184" s="41">
        <f t="shared" si="131"/>
        <v>1424.3443321660359</v>
      </c>
      <c r="AH184" s="41">
        <f t="shared" si="131"/>
        <v>1424.3443321660359</v>
      </c>
      <c r="AI184" s="41">
        <f t="shared" si="131"/>
        <v>1338.2470710555899</v>
      </c>
      <c r="AJ184" s="41">
        <f t="shared" si="131"/>
        <v>1338.2470710555899</v>
      </c>
      <c r="AK184" s="41">
        <f t="shared" si="131"/>
        <v>1338.2470710555899</v>
      </c>
      <c r="AL184" s="41">
        <f t="shared" si="131"/>
        <v>1338.2470710555899</v>
      </c>
      <c r="AM184" s="41">
        <f t="shared" si="131"/>
        <v>1338.2470710555899</v>
      </c>
      <c r="AN184" s="41">
        <f t="shared" si="131"/>
        <v>1338.2470710555899</v>
      </c>
      <c r="AO184" s="41">
        <f t="shared" si="131"/>
        <v>1338.2470710555899</v>
      </c>
      <c r="AP184" s="41">
        <f t="shared" si="131"/>
        <v>1338.2470710555899</v>
      </c>
      <c r="AQ184" s="41">
        <f t="shared" si="131"/>
        <v>1338.2470710555899</v>
      </c>
      <c r="AR184" s="41">
        <f t="shared" si="131"/>
        <v>1338.2470710555899</v>
      </c>
      <c r="AS184" s="41">
        <f t="shared" si="131"/>
        <v>1338.2470710555899</v>
      </c>
      <c r="AT184" s="41">
        <f t="shared" si="131"/>
        <v>1338.2470710555899</v>
      </c>
      <c r="AU184" s="41">
        <f t="shared" si="131"/>
        <v>1388.7040295996501</v>
      </c>
      <c r="AV184" s="41">
        <f t="shared" si="131"/>
        <v>1388.7040295996501</v>
      </c>
      <c r="AW184" s="41">
        <f t="shared" si="131"/>
        <v>1388.7040295996501</v>
      </c>
      <c r="AX184" s="41">
        <f t="shared" si="131"/>
        <v>1388.7040295996501</v>
      </c>
      <c r="AY184" s="41">
        <f t="shared" si="131"/>
        <v>1388.7040295996501</v>
      </c>
      <c r="AZ184" s="41">
        <f t="shared" si="131"/>
        <v>1388.7040295996501</v>
      </c>
      <c r="BA184" s="41">
        <f t="shared" si="131"/>
        <v>1388.7040295996501</v>
      </c>
      <c r="BB184" s="41">
        <f t="shared" si="131"/>
        <v>1388.7040295996501</v>
      </c>
      <c r="BC184" s="41">
        <f t="shared" si="131"/>
        <v>1388.7040295996501</v>
      </c>
      <c r="BD184" s="41">
        <f t="shared" si="131"/>
        <v>1388.7040295996501</v>
      </c>
      <c r="BE184" s="41">
        <f t="shared" si="131"/>
        <v>1388.7040295996501</v>
      </c>
      <c r="BF184" s="41">
        <f t="shared" si="131"/>
        <v>1388.7040295996501</v>
      </c>
      <c r="BG184" s="41">
        <f t="shared" si="131"/>
        <v>1430.3651504876402</v>
      </c>
      <c r="BH184" s="41">
        <f t="shared" si="131"/>
        <v>1430.3651504876402</v>
      </c>
      <c r="BI184" s="41">
        <f t="shared" si="131"/>
        <v>1430.3651504876402</v>
      </c>
    </row>
    <row r="185" spans="5:61" x14ac:dyDescent="0.35">
      <c r="E185">
        <v>11</v>
      </c>
      <c r="J185" t="s">
        <v>51</v>
      </c>
      <c r="N185" s="41">
        <f t="shared" ref="N185:BI185" si="132">IFERROR(INDEX($N$159:$BI$159,1,MATCH(N171,$N$155:$BI$155,0)),0)</f>
        <v>0</v>
      </c>
      <c r="O185" s="41">
        <f t="shared" si="132"/>
        <v>0</v>
      </c>
      <c r="P185" s="41">
        <f t="shared" si="132"/>
        <v>0</v>
      </c>
      <c r="Q185" s="41">
        <f t="shared" si="132"/>
        <v>0</v>
      </c>
      <c r="R185" s="41">
        <f t="shared" si="132"/>
        <v>0</v>
      </c>
      <c r="S185" s="41">
        <f t="shared" si="132"/>
        <v>0</v>
      </c>
      <c r="T185" s="41">
        <f t="shared" si="132"/>
        <v>0</v>
      </c>
      <c r="U185" s="41">
        <f t="shared" si="132"/>
        <v>0</v>
      </c>
      <c r="V185" s="41">
        <f t="shared" si="132"/>
        <v>0</v>
      </c>
      <c r="W185" s="41">
        <f t="shared" si="132"/>
        <v>0</v>
      </c>
      <c r="X185" s="41">
        <f t="shared" si="132"/>
        <v>1317.7247783629962</v>
      </c>
      <c r="Y185" s="41">
        <f t="shared" si="132"/>
        <v>1317.7247783629962</v>
      </c>
      <c r="Z185" s="41">
        <f t="shared" si="132"/>
        <v>1317.7247783629962</v>
      </c>
      <c r="AA185" s="41">
        <f t="shared" si="132"/>
        <v>1317.7247783629962</v>
      </c>
      <c r="AB185" s="41">
        <f t="shared" si="132"/>
        <v>1317.7247783629962</v>
      </c>
      <c r="AC185" s="41">
        <f t="shared" si="132"/>
        <v>1317.7247783629962</v>
      </c>
      <c r="AD185" s="41">
        <f t="shared" si="132"/>
        <v>1317.7247783629962</v>
      </c>
      <c r="AE185" s="41">
        <f t="shared" si="132"/>
        <v>1317.7247783629962</v>
      </c>
      <c r="AF185" s="41">
        <f t="shared" si="132"/>
        <v>1317.7247783629962</v>
      </c>
      <c r="AG185" s="41">
        <f t="shared" si="132"/>
        <v>1317.7247783629962</v>
      </c>
      <c r="AH185" s="41">
        <f t="shared" si="132"/>
        <v>1317.7247783629962</v>
      </c>
      <c r="AI185" s="41">
        <f t="shared" si="132"/>
        <v>1317.7247783629962</v>
      </c>
      <c r="AJ185" s="41">
        <f t="shared" si="132"/>
        <v>1486.5220564751485</v>
      </c>
      <c r="AK185" s="41">
        <f t="shared" si="132"/>
        <v>1486.5220564751485</v>
      </c>
      <c r="AL185" s="41">
        <f t="shared" si="132"/>
        <v>1486.5220564751485</v>
      </c>
      <c r="AM185" s="41">
        <f t="shared" si="132"/>
        <v>1486.5220564751485</v>
      </c>
      <c r="AN185" s="41">
        <f t="shared" si="132"/>
        <v>1486.5220564751485</v>
      </c>
      <c r="AO185" s="41">
        <f t="shared" si="132"/>
        <v>1486.5220564751485</v>
      </c>
      <c r="AP185" s="41">
        <f t="shared" si="132"/>
        <v>1486.5220564751485</v>
      </c>
      <c r="AQ185" s="41">
        <f t="shared" si="132"/>
        <v>1486.5220564751485</v>
      </c>
      <c r="AR185" s="41">
        <f t="shared" si="132"/>
        <v>1486.5220564751485</v>
      </c>
      <c r="AS185" s="41">
        <f t="shared" si="132"/>
        <v>1486.5220564751485</v>
      </c>
      <c r="AT185" s="41">
        <f t="shared" si="132"/>
        <v>1486.5220564751485</v>
      </c>
      <c r="AU185" s="41">
        <f t="shared" si="132"/>
        <v>1486.5220564751485</v>
      </c>
      <c r="AV185" s="41">
        <f t="shared" si="132"/>
        <v>1388.7040295996503</v>
      </c>
      <c r="AW185" s="41">
        <f t="shared" si="132"/>
        <v>1388.7040295996503</v>
      </c>
      <c r="AX185" s="41">
        <f t="shared" si="132"/>
        <v>1388.7040295996503</v>
      </c>
      <c r="AY185" s="41">
        <f t="shared" si="132"/>
        <v>1388.7040295996503</v>
      </c>
      <c r="AZ185" s="41">
        <f t="shared" si="132"/>
        <v>1388.7040295996503</v>
      </c>
      <c r="BA185" s="41">
        <f t="shared" si="132"/>
        <v>1388.7040295996503</v>
      </c>
      <c r="BB185" s="41">
        <f t="shared" si="132"/>
        <v>1388.7040295996503</v>
      </c>
      <c r="BC185" s="41">
        <f t="shared" si="132"/>
        <v>1388.7040295996503</v>
      </c>
      <c r="BD185" s="41">
        <f t="shared" si="132"/>
        <v>1388.7040295996503</v>
      </c>
      <c r="BE185" s="41">
        <f t="shared" si="132"/>
        <v>1388.7040295996503</v>
      </c>
      <c r="BF185" s="41">
        <f t="shared" si="132"/>
        <v>1388.7040295996503</v>
      </c>
      <c r="BG185" s="41">
        <f t="shared" si="132"/>
        <v>1388.7040295996503</v>
      </c>
      <c r="BH185" s="41">
        <f t="shared" si="132"/>
        <v>1430.3651504876398</v>
      </c>
      <c r="BI185" s="41">
        <f t="shared" si="132"/>
        <v>1430.3651504876398</v>
      </c>
    </row>
    <row r="186" spans="5:61" x14ac:dyDescent="0.35">
      <c r="E186">
        <v>12</v>
      </c>
      <c r="J186" t="s">
        <v>51</v>
      </c>
      <c r="N186" s="41">
        <f t="shared" ref="N186:BI186" si="133">IFERROR(INDEX($N$159:$BI$159,1,MATCH(N172,$N$155:$BI$155,0)),0)</f>
        <v>0</v>
      </c>
      <c r="O186" s="41">
        <f t="shared" si="133"/>
        <v>0</v>
      </c>
      <c r="P186" s="41">
        <f t="shared" si="133"/>
        <v>0</v>
      </c>
      <c r="Q186" s="41">
        <f t="shared" si="133"/>
        <v>0</v>
      </c>
      <c r="R186" s="41">
        <f t="shared" si="133"/>
        <v>0</v>
      </c>
      <c r="S186" s="41">
        <f t="shared" si="133"/>
        <v>0</v>
      </c>
      <c r="T186" s="41">
        <f t="shared" si="133"/>
        <v>0</v>
      </c>
      <c r="U186" s="41">
        <f t="shared" si="133"/>
        <v>0</v>
      </c>
      <c r="V186" s="41">
        <f t="shared" si="133"/>
        <v>0</v>
      </c>
      <c r="W186" s="41">
        <f t="shared" si="133"/>
        <v>0</v>
      </c>
      <c r="X186" s="41">
        <f t="shared" si="133"/>
        <v>0</v>
      </c>
      <c r="Y186" s="41">
        <f t="shared" si="133"/>
        <v>1360.7549743960644</v>
      </c>
      <c r="Z186" s="41">
        <f t="shared" si="133"/>
        <v>1360.7549743960644</v>
      </c>
      <c r="AA186" s="41">
        <f t="shared" si="133"/>
        <v>1360.7549743960644</v>
      </c>
      <c r="AB186" s="41">
        <f t="shared" si="133"/>
        <v>1360.7549743960644</v>
      </c>
      <c r="AC186" s="41">
        <f t="shared" si="133"/>
        <v>1360.7549743960644</v>
      </c>
      <c r="AD186" s="41">
        <f t="shared" si="133"/>
        <v>1360.7549743960644</v>
      </c>
      <c r="AE186" s="41">
        <f t="shared" si="133"/>
        <v>1360.7549743960644</v>
      </c>
      <c r="AF186" s="41">
        <f t="shared" si="133"/>
        <v>1360.7549743960644</v>
      </c>
      <c r="AG186" s="41">
        <f t="shared" si="133"/>
        <v>1360.7549743960644</v>
      </c>
      <c r="AH186" s="41">
        <f t="shared" si="133"/>
        <v>1360.7549743960644</v>
      </c>
      <c r="AI186" s="41">
        <f t="shared" si="133"/>
        <v>1360.7549743960644</v>
      </c>
      <c r="AJ186" s="41">
        <f t="shared" si="133"/>
        <v>1360.7549743960644</v>
      </c>
      <c r="AK186" s="41">
        <f t="shared" si="133"/>
        <v>1563.9832955731313</v>
      </c>
      <c r="AL186" s="41">
        <f t="shared" si="133"/>
        <v>1563.9832955731313</v>
      </c>
      <c r="AM186" s="41">
        <f t="shared" si="133"/>
        <v>1563.9832955731313</v>
      </c>
      <c r="AN186" s="41">
        <f t="shared" si="133"/>
        <v>1563.9832955731313</v>
      </c>
      <c r="AO186" s="41">
        <f t="shared" si="133"/>
        <v>1563.9832955731313</v>
      </c>
      <c r="AP186" s="41">
        <f t="shared" si="133"/>
        <v>1563.9832955731313</v>
      </c>
      <c r="AQ186" s="41">
        <f t="shared" si="133"/>
        <v>1563.9832955731313</v>
      </c>
      <c r="AR186" s="41">
        <f t="shared" si="133"/>
        <v>1563.9832955731313</v>
      </c>
      <c r="AS186" s="41">
        <f t="shared" si="133"/>
        <v>1563.9832955731313</v>
      </c>
      <c r="AT186" s="41">
        <f t="shared" si="133"/>
        <v>1563.9832955731313</v>
      </c>
      <c r="AU186" s="41">
        <f t="shared" si="133"/>
        <v>1563.9832955731313</v>
      </c>
      <c r="AV186" s="41">
        <f t="shared" si="133"/>
        <v>1563.9832955731313</v>
      </c>
      <c r="AW186" s="41">
        <f t="shared" si="133"/>
        <v>1388.7040295996503</v>
      </c>
      <c r="AX186" s="41">
        <f t="shared" si="133"/>
        <v>1388.7040295996503</v>
      </c>
      <c r="AY186" s="41">
        <f t="shared" si="133"/>
        <v>1388.7040295996503</v>
      </c>
      <c r="AZ186" s="41">
        <f t="shared" si="133"/>
        <v>1388.7040295996503</v>
      </c>
      <c r="BA186" s="41">
        <f t="shared" si="133"/>
        <v>1388.7040295996503</v>
      </c>
      <c r="BB186" s="41">
        <f t="shared" si="133"/>
        <v>1388.7040295996503</v>
      </c>
      <c r="BC186" s="41">
        <f t="shared" si="133"/>
        <v>1388.7040295996503</v>
      </c>
      <c r="BD186" s="41">
        <f t="shared" si="133"/>
        <v>1388.7040295996503</v>
      </c>
      <c r="BE186" s="41">
        <f t="shared" si="133"/>
        <v>1388.7040295996503</v>
      </c>
      <c r="BF186" s="41">
        <f t="shared" si="133"/>
        <v>1388.7040295996503</v>
      </c>
      <c r="BG186" s="41">
        <f t="shared" si="133"/>
        <v>1388.7040295996503</v>
      </c>
      <c r="BH186" s="41">
        <f t="shared" si="133"/>
        <v>1388.7040295996503</v>
      </c>
      <c r="BI186" s="41">
        <f t="shared" si="133"/>
        <v>1430.3651504876395</v>
      </c>
    </row>
    <row r="187" spans="5:61" x14ac:dyDescent="0.35"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</row>
    <row r="188" spans="5:61" x14ac:dyDescent="0.35">
      <c r="E188" s="12" t="s">
        <v>116</v>
      </c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</row>
    <row r="189" spans="5:61" x14ac:dyDescent="0.35">
      <c r="E189">
        <v>1</v>
      </c>
      <c r="J189" t="s">
        <v>50</v>
      </c>
      <c r="N189" s="41">
        <f>N138*N125</f>
        <v>0</v>
      </c>
      <c r="O189" s="41">
        <f t="shared" ref="O189:BI189" si="134">O138*O125</f>
        <v>0</v>
      </c>
      <c r="P189" s="41">
        <f t="shared" si="134"/>
        <v>0</v>
      </c>
      <c r="Q189" s="41">
        <f t="shared" si="134"/>
        <v>0</v>
      </c>
      <c r="R189" s="41">
        <f t="shared" si="134"/>
        <v>0</v>
      </c>
      <c r="S189" s="41">
        <f t="shared" si="134"/>
        <v>0</v>
      </c>
      <c r="T189" s="41">
        <f t="shared" si="134"/>
        <v>0</v>
      </c>
      <c r="U189" s="41">
        <f t="shared" si="134"/>
        <v>0</v>
      </c>
      <c r="V189" s="41">
        <f t="shared" si="134"/>
        <v>0</v>
      </c>
      <c r="W189" s="41">
        <f t="shared" si="134"/>
        <v>0</v>
      </c>
      <c r="X189" s="41">
        <f t="shared" si="134"/>
        <v>0</v>
      </c>
      <c r="Y189" s="41">
        <f t="shared" si="134"/>
        <v>0</v>
      </c>
      <c r="Z189" s="41">
        <f t="shared" si="134"/>
        <v>2.3013740346766922E-3</v>
      </c>
      <c r="AA189" s="41">
        <f t="shared" si="134"/>
        <v>18.001218553887185</v>
      </c>
      <c r="AB189" s="41">
        <f t="shared" si="134"/>
        <v>236.71362829222446</v>
      </c>
      <c r="AC189" s="41">
        <f t="shared" si="134"/>
        <v>14.767002505589698</v>
      </c>
      <c r="AD189" s="41">
        <f t="shared" si="134"/>
        <v>5.6927426218988768E-4</v>
      </c>
      <c r="AE189" s="41">
        <f t="shared" si="134"/>
        <v>1.825047659664847E-12</v>
      </c>
      <c r="AF189" s="41">
        <f t="shared" si="134"/>
        <v>0</v>
      </c>
      <c r="AG189" s="41">
        <f t="shared" si="134"/>
        <v>0</v>
      </c>
      <c r="AH189" s="41">
        <f t="shared" si="134"/>
        <v>0</v>
      </c>
      <c r="AI189" s="41">
        <f t="shared" si="134"/>
        <v>0</v>
      </c>
      <c r="AJ189" s="41">
        <f t="shared" si="134"/>
        <v>0</v>
      </c>
      <c r="AK189" s="41">
        <f t="shared" si="134"/>
        <v>0</v>
      </c>
      <c r="AL189" s="41">
        <f t="shared" si="134"/>
        <v>4.4884782814490582E-3</v>
      </c>
      <c r="AM189" s="41">
        <f t="shared" si="134"/>
        <v>35.108625239222079</v>
      </c>
      <c r="AN189" s="41">
        <f t="shared" si="134"/>
        <v>461.67374946590013</v>
      </c>
      <c r="AO189" s="41">
        <f t="shared" si="134"/>
        <v>28.800781198417713</v>
      </c>
      <c r="AP189" s="41">
        <f t="shared" si="134"/>
        <v>1.1102824328102802E-3</v>
      </c>
      <c r="AQ189" s="41">
        <f t="shared" si="134"/>
        <v>3.5594764951651617E-12</v>
      </c>
      <c r="AR189" s="41">
        <f t="shared" si="134"/>
        <v>0</v>
      </c>
      <c r="AS189" s="41">
        <f t="shared" si="134"/>
        <v>0</v>
      </c>
      <c r="AT189" s="41">
        <f t="shared" si="134"/>
        <v>0</v>
      </c>
      <c r="AU189" s="41">
        <f t="shared" si="134"/>
        <v>0</v>
      </c>
      <c r="AV189" s="41">
        <f t="shared" si="134"/>
        <v>0</v>
      </c>
      <c r="AW189" s="41">
        <f t="shared" si="134"/>
        <v>0</v>
      </c>
      <c r="AX189" s="41">
        <f t="shared" si="134"/>
        <v>4.9770090881094574E-3</v>
      </c>
      <c r="AY189" s="41">
        <f t="shared" si="134"/>
        <v>38.929885794217469</v>
      </c>
      <c r="AZ189" s="41">
        <f t="shared" si="134"/>
        <v>511.92281721179398</v>
      </c>
      <c r="BA189" s="41">
        <f t="shared" si="134"/>
        <v>31.935489219500145</v>
      </c>
      <c r="BB189" s="41">
        <f t="shared" si="134"/>
        <v>1.2311267676850756E-3</v>
      </c>
      <c r="BC189" s="41">
        <f t="shared" si="134"/>
        <v>3.9468937476132173E-12</v>
      </c>
      <c r="BD189" s="41">
        <f t="shared" si="134"/>
        <v>0</v>
      </c>
      <c r="BE189" s="41">
        <f t="shared" si="134"/>
        <v>0</v>
      </c>
      <c r="BF189" s="41">
        <f t="shared" si="134"/>
        <v>0</v>
      </c>
      <c r="BG189" s="41">
        <f t="shared" si="134"/>
        <v>0</v>
      </c>
      <c r="BH189" s="41">
        <f t="shared" si="134"/>
        <v>0</v>
      </c>
      <c r="BI189" s="41">
        <f t="shared" si="134"/>
        <v>0</v>
      </c>
    </row>
    <row r="190" spans="5:61" x14ac:dyDescent="0.35">
      <c r="E190">
        <v>2</v>
      </c>
      <c r="J190" t="s">
        <v>50</v>
      </c>
      <c r="N190" s="41">
        <f t="shared" ref="N190:BI190" si="135">N139*N126</f>
        <v>0</v>
      </c>
      <c r="O190" s="41">
        <f t="shared" si="135"/>
        <v>0</v>
      </c>
      <c r="P190" s="41">
        <f t="shared" si="135"/>
        <v>0</v>
      </c>
      <c r="Q190" s="41">
        <f t="shared" si="135"/>
        <v>0</v>
      </c>
      <c r="R190" s="41">
        <f t="shared" si="135"/>
        <v>0</v>
      </c>
      <c r="S190" s="41">
        <f t="shared" si="135"/>
        <v>0</v>
      </c>
      <c r="T190" s="41">
        <f t="shared" si="135"/>
        <v>0</v>
      </c>
      <c r="U190" s="41">
        <f t="shared" si="135"/>
        <v>0</v>
      </c>
      <c r="V190" s="41">
        <f t="shared" si="135"/>
        <v>0</v>
      </c>
      <c r="W190" s="41">
        <f t="shared" si="135"/>
        <v>0</v>
      </c>
      <c r="X190" s="41">
        <f t="shared" si="135"/>
        <v>0</v>
      </c>
      <c r="Y190" s="41">
        <f t="shared" si="135"/>
        <v>0</v>
      </c>
      <c r="Z190" s="41">
        <f t="shared" si="135"/>
        <v>0</v>
      </c>
      <c r="AA190" s="41">
        <f t="shared" si="135"/>
        <v>6.7518733491611941E-4</v>
      </c>
      <c r="AB190" s="41">
        <f t="shared" si="135"/>
        <v>21.352386785772239</v>
      </c>
      <c r="AC190" s="41">
        <f t="shared" si="135"/>
        <v>276.91603605378566</v>
      </c>
      <c r="AD190" s="41">
        <f t="shared" si="135"/>
        <v>21.35238678577225</v>
      </c>
      <c r="AE190" s="41">
        <f t="shared" si="135"/>
        <v>6.7518733019453821E-4</v>
      </c>
      <c r="AF190" s="41">
        <f t="shared" si="135"/>
        <v>4.7195300201252625E-12</v>
      </c>
      <c r="AG190" s="41">
        <f t="shared" si="135"/>
        <v>0</v>
      </c>
      <c r="AH190" s="41">
        <f t="shared" si="135"/>
        <v>0</v>
      </c>
      <c r="AI190" s="41">
        <f t="shared" si="135"/>
        <v>0</v>
      </c>
      <c r="AJ190" s="41">
        <f t="shared" si="135"/>
        <v>0</v>
      </c>
      <c r="AK190" s="41">
        <f t="shared" si="135"/>
        <v>0</v>
      </c>
      <c r="AL190" s="41">
        <f t="shared" si="135"/>
        <v>0</v>
      </c>
      <c r="AM190" s="41">
        <f t="shared" si="135"/>
        <v>1.0848341036918E-3</v>
      </c>
      <c r="AN190" s="41">
        <f t="shared" si="135"/>
        <v>34.307215468284177</v>
      </c>
      <c r="AO190" s="41">
        <f t="shared" si="135"/>
        <v>444.92534772977541</v>
      </c>
      <c r="AP190" s="41">
        <f t="shared" si="135"/>
        <v>34.307215468284191</v>
      </c>
      <c r="AQ190" s="41">
        <f t="shared" si="135"/>
        <v>1.0848340961055612E-3</v>
      </c>
      <c r="AR190" s="41">
        <f t="shared" si="135"/>
        <v>7.582943065520022E-12</v>
      </c>
      <c r="AS190" s="41">
        <f t="shared" si="135"/>
        <v>0</v>
      </c>
      <c r="AT190" s="41">
        <f t="shared" si="135"/>
        <v>0</v>
      </c>
      <c r="AU190" s="41">
        <f t="shared" si="135"/>
        <v>0</v>
      </c>
      <c r="AV190" s="41">
        <f t="shared" si="135"/>
        <v>0</v>
      </c>
      <c r="AW190" s="41">
        <f t="shared" si="135"/>
        <v>0</v>
      </c>
      <c r="AX190" s="41">
        <f t="shared" si="135"/>
        <v>0</v>
      </c>
      <c r="AY190" s="41">
        <f t="shared" si="135"/>
        <v>1.1948021592271898E-3</v>
      </c>
      <c r="AZ190" s="41">
        <f t="shared" si="135"/>
        <v>37.784888011064673</v>
      </c>
      <c r="BA190" s="41">
        <f t="shared" si="135"/>
        <v>490.02678322276472</v>
      </c>
      <c r="BB190" s="41">
        <f t="shared" si="135"/>
        <v>37.784888011064687</v>
      </c>
      <c r="BC190" s="41">
        <f t="shared" si="135"/>
        <v>1.1948021508719452E-3</v>
      </c>
      <c r="BD190" s="41">
        <f t="shared" si="135"/>
        <v>8.3516149770252207E-12</v>
      </c>
      <c r="BE190" s="41">
        <f t="shared" si="135"/>
        <v>0</v>
      </c>
      <c r="BF190" s="41">
        <f t="shared" si="135"/>
        <v>0</v>
      </c>
      <c r="BG190" s="41">
        <f t="shared" si="135"/>
        <v>0</v>
      </c>
      <c r="BH190" s="41">
        <f t="shared" si="135"/>
        <v>0</v>
      </c>
      <c r="BI190" s="41">
        <f t="shared" si="135"/>
        <v>0</v>
      </c>
    </row>
    <row r="191" spans="5:61" x14ac:dyDescent="0.35">
      <c r="E191">
        <v>3</v>
      </c>
      <c r="J191" t="s">
        <v>50</v>
      </c>
      <c r="N191" s="41">
        <f t="shared" ref="N191:BI191" si="136">N140*N127</f>
        <v>0</v>
      </c>
      <c r="O191" s="41">
        <f t="shared" si="136"/>
        <v>0</v>
      </c>
      <c r="P191" s="41">
        <f t="shared" si="136"/>
        <v>0</v>
      </c>
      <c r="Q191" s="41">
        <f t="shared" si="136"/>
        <v>0</v>
      </c>
      <c r="R191" s="41">
        <f t="shared" si="136"/>
        <v>0</v>
      </c>
      <c r="S191" s="41">
        <f t="shared" si="136"/>
        <v>0</v>
      </c>
      <c r="T191" s="41">
        <f t="shared" si="136"/>
        <v>0</v>
      </c>
      <c r="U191" s="41">
        <f t="shared" si="136"/>
        <v>0</v>
      </c>
      <c r="V191" s="41">
        <f t="shared" si="136"/>
        <v>0</v>
      </c>
      <c r="W191" s="41">
        <f t="shared" si="136"/>
        <v>0</v>
      </c>
      <c r="X191" s="41">
        <f t="shared" si="136"/>
        <v>0</v>
      </c>
      <c r="Y191" s="41">
        <f t="shared" si="136"/>
        <v>0</v>
      </c>
      <c r="Z191" s="41">
        <f t="shared" si="136"/>
        <v>0</v>
      </c>
      <c r="AA191" s="41">
        <f t="shared" si="136"/>
        <v>0</v>
      </c>
      <c r="AB191" s="41">
        <f t="shared" si="136"/>
        <v>3.0994189778429664E-3</v>
      </c>
      <c r="AC191" s="41">
        <f t="shared" si="136"/>
        <v>35.129052805441603</v>
      </c>
      <c r="AD191" s="41">
        <f t="shared" si="136"/>
        <v>314.76116627356487</v>
      </c>
      <c r="AE191" s="41">
        <f t="shared" si="136"/>
        <v>13.04003357654182</v>
      </c>
      <c r="AF191" s="41">
        <f t="shared" si="136"/>
        <v>2.8792547337750193E-4</v>
      </c>
      <c r="AG191" s="41">
        <f t="shared" si="136"/>
        <v>5.2381846860072309E-13</v>
      </c>
      <c r="AH191" s="41">
        <f t="shared" si="136"/>
        <v>0</v>
      </c>
      <c r="AI191" s="41">
        <f t="shared" si="136"/>
        <v>0</v>
      </c>
      <c r="AJ191" s="41">
        <f t="shared" si="136"/>
        <v>0</v>
      </c>
      <c r="AK191" s="41">
        <f t="shared" si="136"/>
        <v>0</v>
      </c>
      <c r="AL191" s="41">
        <f t="shared" si="136"/>
        <v>0</v>
      </c>
      <c r="AM191" s="41">
        <f t="shared" si="136"/>
        <v>0</v>
      </c>
      <c r="AN191" s="41">
        <f t="shared" si="136"/>
        <v>5.0722010499167644E-3</v>
      </c>
      <c r="AO191" s="41">
        <f t="shared" si="136"/>
        <v>57.488716367848873</v>
      </c>
      <c r="AP191" s="41">
        <f t="shared" si="136"/>
        <v>515.10684081727595</v>
      </c>
      <c r="AQ191" s="41">
        <f t="shared" si="136"/>
        <v>21.340022910976828</v>
      </c>
      <c r="AR191" s="41">
        <f t="shared" si="136"/>
        <v>4.7119021300550979E-4</v>
      </c>
      <c r="AS191" s="41">
        <f t="shared" si="136"/>
        <v>8.5722924373762838E-13</v>
      </c>
      <c r="AT191" s="41">
        <f t="shared" si="136"/>
        <v>0</v>
      </c>
      <c r="AU191" s="41">
        <f t="shared" si="136"/>
        <v>0</v>
      </c>
      <c r="AV191" s="41">
        <f t="shared" si="136"/>
        <v>0</v>
      </c>
      <c r="AW191" s="41">
        <f t="shared" si="136"/>
        <v>0</v>
      </c>
      <c r="AX191" s="41">
        <f t="shared" si="136"/>
        <v>0</v>
      </c>
      <c r="AY191" s="41">
        <f t="shared" si="136"/>
        <v>0</v>
      </c>
      <c r="AZ191" s="41">
        <f t="shared" si="136"/>
        <v>5.5799987457753643E-3</v>
      </c>
      <c r="BA191" s="41">
        <f t="shared" si="136"/>
        <v>63.244134463892458</v>
      </c>
      <c r="BB191" s="41">
        <f t="shared" si="136"/>
        <v>566.67618207836563</v>
      </c>
      <c r="BC191" s="41">
        <f t="shared" si="136"/>
        <v>23.476455271823717</v>
      </c>
      <c r="BD191" s="41">
        <f t="shared" si="136"/>
        <v>5.1836289053161988E-4</v>
      </c>
      <c r="BE191" s="41">
        <f t="shared" si="136"/>
        <v>9.4304978407281885E-13</v>
      </c>
      <c r="BF191" s="41">
        <f t="shared" si="136"/>
        <v>0</v>
      </c>
      <c r="BG191" s="41">
        <f t="shared" si="136"/>
        <v>0</v>
      </c>
      <c r="BH191" s="41">
        <f t="shared" si="136"/>
        <v>0</v>
      </c>
      <c r="BI191" s="41">
        <f t="shared" si="136"/>
        <v>0</v>
      </c>
    </row>
    <row r="192" spans="5:61" x14ac:dyDescent="0.35">
      <c r="E192">
        <v>4</v>
      </c>
      <c r="J192" t="s">
        <v>50</v>
      </c>
      <c r="N192" s="41">
        <f t="shared" ref="N192:BI192" si="137">N141*N128</f>
        <v>0</v>
      </c>
      <c r="O192" s="41">
        <f t="shared" si="137"/>
        <v>0</v>
      </c>
      <c r="P192" s="41">
        <f t="shared" si="137"/>
        <v>0</v>
      </c>
      <c r="Q192" s="41">
        <f t="shared" si="137"/>
        <v>3.1593235291023631E-5</v>
      </c>
      <c r="R192" s="41">
        <f t="shared" si="137"/>
        <v>0.56499670731029983</v>
      </c>
      <c r="S192" s="41">
        <f t="shared" si="137"/>
        <v>5.0118813107142834</v>
      </c>
      <c r="T192" s="41">
        <f t="shared" si="137"/>
        <v>0.2601257580519698</v>
      </c>
      <c r="U192" s="41">
        <f t="shared" si="137"/>
        <v>4.630688147627797E-6</v>
      </c>
      <c r="V192" s="41">
        <f t="shared" si="137"/>
        <v>8.4245410647554303E-15</v>
      </c>
      <c r="W192" s="41">
        <f t="shared" si="137"/>
        <v>0</v>
      </c>
      <c r="X192" s="41">
        <f t="shared" si="137"/>
        <v>0</v>
      </c>
      <c r="Y192" s="41">
        <f t="shared" si="137"/>
        <v>0</v>
      </c>
      <c r="Z192" s="41">
        <f t="shared" si="137"/>
        <v>0</v>
      </c>
      <c r="AA192" s="41">
        <f t="shared" si="137"/>
        <v>0</v>
      </c>
      <c r="AB192" s="41">
        <f t="shared" si="137"/>
        <v>0</v>
      </c>
      <c r="AC192" s="41">
        <f t="shared" si="137"/>
        <v>2.4915139026890727E-3</v>
      </c>
      <c r="AD192" s="41">
        <f t="shared" si="137"/>
        <v>44.556916639592153</v>
      </c>
      <c r="AE192" s="41">
        <f t="shared" si="137"/>
        <v>395.24828176809302</v>
      </c>
      <c r="AF192" s="41">
        <f t="shared" si="137"/>
        <v>20.51410489188358</v>
      </c>
      <c r="AG192" s="41">
        <f t="shared" si="137"/>
        <v>3.6518652782958937E-4</v>
      </c>
      <c r="AH192" s="41">
        <f t="shared" si="137"/>
        <v>6.6437833901034071E-13</v>
      </c>
      <c r="AI192" s="41">
        <f t="shared" si="137"/>
        <v>0</v>
      </c>
      <c r="AJ192" s="41">
        <f t="shared" si="137"/>
        <v>0</v>
      </c>
      <c r="AK192" s="41">
        <f t="shared" si="137"/>
        <v>0</v>
      </c>
      <c r="AL192" s="41">
        <f t="shared" si="137"/>
        <v>0</v>
      </c>
      <c r="AM192" s="41">
        <f t="shared" si="137"/>
        <v>0</v>
      </c>
      <c r="AN192" s="41">
        <f t="shared" si="137"/>
        <v>0</v>
      </c>
      <c r="AO192" s="41">
        <f t="shared" si="137"/>
        <v>3.1570247438622158E-3</v>
      </c>
      <c r="AP192" s="41">
        <f t="shared" si="137"/>
        <v>56.458560471838965</v>
      </c>
      <c r="AQ192" s="41">
        <f t="shared" si="137"/>
        <v>500.82345684049528</v>
      </c>
      <c r="AR192" s="41">
        <f t="shared" si="137"/>
        <v>25.993648549166259</v>
      </c>
      <c r="AS192" s="41">
        <f t="shared" si="137"/>
        <v>4.6273187688771139E-4</v>
      </c>
      <c r="AT192" s="41">
        <f t="shared" si="137"/>
        <v>8.418411204841977E-13</v>
      </c>
      <c r="AU192" s="41">
        <f t="shared" si="137"/>
        <v>0</v>
      </c>
      <c r="AV192" s="41">
        <f t="shared" si="137"/>
        <v>0</v>
      </c>
      <c r="AW192" s="41">
        <f t="shared" si="137"/>
        <v>0</v>
      </c>
      <c r="AX192" s="41">
        <f t="shared" si="137"/>
        <v>0</v>
      </c>
      <c r="AY192" s="41">
        <f t="shared" si="137"/>
        <v>0</v>
      </c>
      <c r="AZ192" s="41">
        <f t="shared" si="137"/>
        <v>0</v>
      </c>
      <c r="BA192" s="41">
        <f t="shared" si="137"/>
        <v>3.4727392844533006E-3</v>
      </c>
      <c r="BB192" s="41">
        <f t="shared" si="137"/>
        <v>62.10463230464768</v>
      </c>
      <c r="BC192" s="41">
        <f t="shared" si="137"/>
        <v>550.90771668072694</v>
      </c>
      <c r="BD192" s="41">
        <f t="shared" si="137"/>
        <v>28.593112752271129</v>
      </c>
      <c r="BE192" s="41">
        <f t="shared" si="137"/>
        <v>5.0900683314596682E-4</v>
      </c>
      <c r="BF192" s="41">
        <f t="shared" si="137"/>
        <v>9.260284500643906E-13</v>
      </c>
      <c r="BG192" s="41">
        <f t="shared" si="137"/>
        <v>0</v>
      </c>
      <c r="BH192" s="41">
        <f t="shared" si="137"/>
        <v>0</v>
      </c>
      <c r="BI192" s="41">
        <f t="shared" si="137"/>
        <v>0</v>
      </c>
    </row>
    <row r="193" spans="4:61" x14ac:dyDescent="0.35">
      <c r="E193">
        <v>5</v>
      </c>
      <c r="J193" t="s">
        <v>50</v>
      </c>
      <c r="N193" s="41">
        <f t="shared" ref="N193:BI193" si="138">N142*N129</f>
        <v>0</v>
      </c>
      <c r="O193" s="41">
        <f t="shared" si="138"/>
        <v>0</v>
      </c>
      <c r="P193" s="41">
        <f t="shared" si="138"/>
        <v>0</v>
      </c>
      <c r="Q193" s="41">
        <f t="shared" si="138"/>
        <v>0</v>
      </c>
      <c r="R193" s="41">
        <f t="shared" si="138"/>
        <v>3.3005265781642276E-4</v>
      </c>
      <c r="S193" s="41">
        <f t="shared" si="138"/>
        <v>3.7408421797425349</v>
      </c>
      <c r="T193" s="41">
        <f t="shared" si="138"/>
        <v>33.518462734033939</v>
      </c>
      <c r="U193" s="41">
        <f t="shared" si="138"/>
        <v>1.3886265139562608</v>
      </c>
      <c r="V193" s="41">
        <f t="shared" si="138"/>
        <v>1.8519609390106207E-5</v>
      </c>
      <c r="W193" s="41">
        <f t="shared" si="138"/>
        <v>5.5780673413607928E-14</v>
      </c>
      <c r="X193" s="41">
        <f t="shared" si="138"/>
        <v>0</v>
      </c>
      <c r="Y193" s="41">
        <f t="shared" si="138"/>
        <v>0</v>
      </c>
      <c r="Z193" s="41">
        <f t="shared" si="138"/>
        <v>0</v>
      </c>
      <c r="AA193" s="41">
        <f t="shared" si="138"/>
        <v>0</v>
      </c>
      <c r="AB193" s="41">
        <f t="shared" si="138"/>
        <v>0</v>
      </c>
      <c r="AC193" s="41">
        <f t="shared" si="138"/>
        <v>0</v>
      </c>
      <c r="AD193" s="41">
        <f t="shared" si="138"/>
        <v>3.7816330839515527E-3</v>
      </c>
      <c r="AE193" s="41">
        <f t="shared" si="138"/>
        <v>42.861319894670189</v>
      </c>
      <c r="AF193" s="41">
        <f t="shared" si="138"/>
        <v>384.04334761855364</v>
      </c>
      <c r="AG193" s="41">
        <f t="shared" si="138"/>
        <v>15.910418662194504</v>
      </c>
      <c r="AH193" s="41">
        <f t="shared" si="138"/>
        <v>2.1219149706238396E-4</v>
      </c>
      <c r="AI193" s="41">
        <f t="shared" si="138"/>
        <v>6.3911631986712792E-13</v>
      </c>
      <c r="AJ193" s="41">
        <f t="shared" si="138"/>
        <v>0</v>
      </c>
      <c r="AK193" s="41">
        <f t="shared" si="138"/>
        <v>0</v>
      </c>
      <c r="AL193" s="41">
        <f t="shared" si="138"/>
        <v>0</v>
      </c>
      <c r="AM193" s="41">
        <f t="shared" si="138"/>
        <v>0</v>
      </c>
      <c r="AN193" s="41">
        <f t="shared" si="138"/>
        <v>0</v>
      </c>
      <c r="AO193" s="41">
        <f t="shared" si="138"/>
        <v>0</v>
      </c>
      <c r="AP193" s="41">
        <f t="shared" si="138"/>
        <v>5.0951671312957185E-3</v>
      </c>
      <c r="AQ193" s="41">
        <f t="shared" si="138"/>
        <v>57.749015698550139</v>
      </c>
      <c r="AR193" s="41">
        <f t="shared" si="138"/>
        <v>517.43915878114285</v>
      </c>
      <c r="AS193" s="41">
        <f t="shared" si="138"/>
        <v>21.436834408075001</v>
      </c>
      <c r="AT193" s="41">
        <f t="shared" si="138"/>
        <v>2.8589530432258654E-4</v>
      </c>
      <c r="AU193" s="41">
        <f t="shared" si="138"/>
        <v>8.6111063494794325E-13</v>
      </c>
      <c r="AV193" s="41">
        <f t="shared" si="138"/>
        <v>0</v>
      </c>
      <c r="AW193" s="41">
        <f t="shared" si="138"/>
        <v>0</v>
      </c>
      <c r="AX193" s="41">
        <f t="shared" si="138"/>
        <v>0</v>
      </c>
      <c r="AY193" s="41">
        <f t="shared" si="138"/>
        <v>0</v>
      </c>
      <c r="AZ193" s="41">
        <f t="shared" si="138"/>
        <v>0</v>
      </c>
      <c r="BA193" s="41">
        <f t="shared" si="138"/>
        <v>0</v>
      </c>
      <c r="BB193" s="41">
        <f t="shared" si="138"/>
        <v>5.6046841395850349E-3</v>
      </c>
      <c r="BC193" s="41">
        <f t="shared" si="138"/>
        <v>63.523920613768375</v>
      </c>
      <c r="BD193" s="41">
        <f t="shared" si="138"/>
        <v>569.18310463417367</v>
      </c>
      <c r="BE193" s="41">
        <f t="shared" si="138"/>
        <v>23.580519090704488</v>
      </c>
      <c r="BF193" s="41">
        <f t="shared" si="138"/>
        <v>3.1448485131657574E-4</v>
      </c>
      <c r="BG193" s="41">
        <f t="shared" si="138"/>
        <v>9.4722174832632108E-13</v>
      </c>
      <c r="BH193" s="41">
        <f t="shared" si="138"/>
        <v>0</v>
      </c>
      <c r="BI193" s="41">
        <f t="shared" si="138"/>
        <v>0</v>
      </c>
    </row>
    <row r="194" spans="4:61" x14ac:dyDescent="0.35">
      <c r="E194">
        <v>6</v>
      </c>
      <c r="J194" t="s">
        <v>50</v>
      </c>
      <c r="N194" s="41">
        <f t="shared" ref="N194:BI194" si="139">N143*N130</f>
        <v>0</v>
      </c>
      <c r="O194" s="41">
        <f t="shared" si="139"/>
        <v>0</v>
      </c>
      <c r="P194" s="41">
        <f t="shared" si="139"/>
        <v>0</v>
      </c>
      <c r="Q194" s="41">
        <f t="shared" si="139"/>
        <v>0</v>
      </c>
      <c r="R194" s="41">
        <f t="shared" si="139"/>
        <v>0</v>
      </c>
      <c r="S194" s="41">
        <f t="shared" si="139"/>
        <v>3.0949185866358138E-4</v>
      </c>
      <c r="T194" s="41">
        <f t="shared" si="139"/>
        <v>5.5347886809791351</v>
      </c>
      <c r="U194" s="41">
        <f t="shared" si="139"/>
        <v>49.590868933731933</v>
      </c>
      <c r="V194" s="41">
        <f t="shared" si="139"/>
        <v>2.0544675305457436</v>
      </c>
      <c r="W194" s="41">
        <f t="shared" si="139"/>
        <v>4.5362884443428228E-5</v>
      </c>
      <c r="X194" s="41">
        <f t="shared" si="139"/>
        <v>8.2528011091653761E-14</v>
      </c>
      <c r="Y194" s="41">
        <f t="shared" si="139"/>
        <v>0</v>
      </c>
      <c r="Z194" s="41">
        <f t="shared" si="139"/>
        <v>0</v>
      </c>
      <c r="AA194" s="41">
        <f t="shared" si="139"/>
        <v>0</v>
      </c>
      <c r="AB194" s="41">
        <f t="shared" si="139"/>
        <v>0</v>
      </c>
      <c r="AC194" s="41">
        <f t="shared" si="139"/>
        <v>0</v>
      </c>
      <c r="AD194" s="41">
        <f t="shared" si="139"/>
        <v>0</v>
      </c>
      <c r="AE194" s="41">
        <f t="shared" si="139"/>
        <v>3.0918724069245577E-3</v>
      </c>
      <c r="AF194" s="41">
        <f t="shared" si="139"/>
        <v>55.293410543246281</v>
      </c>
      <c r="AG194" s="41">
        <f t="shared" si="139"/>
        <v>495.42059023364084</v>
      </c>
      <c r="AH194" s="41">
        <f t="shared" si="139"/>
        <v>20.524454168345766</v>
      </c>
      <c r="AI194" s="41">
        <f t="shared" si="139"/>
        <v>4.5318235935117767E-4</v>
      </c>
      <c r="AJ194" s="41">
        <f t="shared" si="139"/>
        <v>8.2446782734280074E-13</v>
      </c>
      <c r="AK194" s="41">
        <f t="shared" si="139"/>
        <v>0</v>
      </c>
      <c r="AL194" s="41">
        <f t="shared" si="139"/>
        <v>0</v>
      </c>
      <c r="AM194" s="41">
        <f t="shared" si="139"/>
        <v>0</v>
      </c>
      <c r="AN194" s="41">
        <f t="shared" si="139"/>
        <v>0</v>
      </c>
      <c r="AO194" s="41">
        <f t="shared" si="139"/>
        <v>0</v>
      </c>
      <c r="AP194" s="41">
        <f t="shared" si="139"/>
        <v>0</v>
      </c>
      <c r="AQ194" s="41">
        <f t="shared" si="139"/>
        <v>3.0408409266001329E-3</v>
      </c>
      <c r="AR194" s="41">
        <f t="shared" si="139"/>
        <v>54.38079054447514</v>
      </c>
      <c r="AS194" s="41">
        <f t="shared" si="139"/>
        <v>487.24365316269274</v>
      </c>
      <c r="AT194" s="41">
        <f t="shared" si="139"/>
        <v>20.18569721423739</v>
      </c>
      <c r="AU194" s="41">
        <f t="shared" si="139"/>
        <v>4.4570256600562699E-4</v>
      </c>
      <c r="AV194" s="41">
        <f t="shared" si="139"/>
        <v>8.1085995218762394E-13</v>
      </c>
      <c r="AW194" s="41">
        <f t="shared" si="139"/>
        <v>0</v>
      </c>
      <c r="AX194" s="41">
        <f t="shared" si="139"/>
        <v>0</v>
      </c>
      <c r="AY194" s="41">
        <f t="shared" si="139"/>
        <v>0</v>
      </c>
      <c r="AZ194" s="41">
        <f t="shared" si="139"/>
        <v>0</v>
      </c>
      <c r="BA194" s="41">
        <f t="shared" si="139"/>
        <v>0</v>
      </c>
      <c r="BB194" s="41">
        <f t="shared" si="139"/>
        <v>0</v>
      </c>
      <c r="BC194" s="41">
        <f t="shared" si="139"/>
        <v>3.3449250202195651E-3</v>
      </c>
      <c r="BD194" s="41">
        <f t="shared" si="139"/>
        <v>59.818869616080391</v>
      </c>
      <c r="BE194" s="41">
        <f t="shared" si="139"/>
        <v>535.96801863269275</v>
      </c>
      <c r="BF194" s="41">
        <f t="shared" si="139"/>
        <v>22.204266942029939</v>
      </c>
      <c r="BG194" s="41">
        <f t="shared" si="139"/>
        <v>4.9027282274681375E-4</v>
      </c>
      <c r="BH194" s="41">
        <f t="shared" si="139"/>
        <v>8.9194594766222152E-13</v>
      </c>
      <c r="BI194" s="41">
        <f t="shared" si="139"/>
        <v>0</v>
      </c>
    </row>
    <row r="195" spans="4:61" x14ac:dyDescent="0.35">
      <c r="E195">
        <v>7</v>
      </c>
      <c r="J195" t="s">
        <v>50</v>
      </c>
      <c r="N195" s="41">
        <f t="shared" ref="N195:BI195" si="140">N144*N131</f>
        <v>0</v>
      </c>
      <c r="O195" s="41">
        <f t="shared" si="140"/>
        <v>0</v>
      </c>
      <c r="P195" s="41">
        <f t="shared" si="140"/>
        <v>0</v>
      </c>
      <c r="Q195" s="41">
        <f t="shared" si="140"/>
        <v>0</v>
      </c>
      <c r="R195" s="41">
        <f t="shared" si="140"/>
        <v>0</v>
      </c>
      <c r="S195" s="41">
        <f t="shared" si="140"/>
        <v>0</v>
      </c>
      <c r="T195" s="41">
        <f t="shared" si="140"/>
        <v>1.2328740428025145E-3</v>
      </c>
      <c r="U195" s="41">
        <f t="shared" si="140"/>
        <v>16.610942753905189</v>
      </c>
      <c r="V195" s="41">
        <f t="shared" si="140"/>
        <v>122.56693929971878</v>
      </c>
      <c r="W195" s="41">
        <f t="shared" si="140"/>
        <v>5.1870558944453133</v>
      </c>
      <c r="X195" s="41">
        <f t="shared" si="140"/>
        <v>6.917788770724924E-5</v>
      </c>
      <c r="Y195" s="41">
        <f t="shared" si="140"/>
        <v>2.0836234071452965E-13</v>
      </c>
      <c r="Z195" s="41">
        <f t="shared" si="140"/>
        <v>0</v>
      </c>
      <c r="AA195" s="41">
        <f t="shared" si="140"/>
        <v>0</v>
      </c>
      <c r="AB195" s="41">
        <f t="shared" si="140"/>
        <v>0</v>
      </c>
      <c r="AC195" s="41">
        <f t="shared" si="140"/>
        <v>0</v>
      </c>
      <c r="AD195" s="41">
        <f t="shared" si="140"/>
        <v>0</v>
      </c>
      <c r="AE195" s="41">
        <f t="shared" si="140"/>
        <v>0</v>
      </c>
      <c r="AF195" s="41">
        <f t="shared" si="140"/>
        <v>4.1559719835594445E-3</v>
      </c>
      <c r="AG195" s="41">
        <f t="shared" si="140"/>
        <v>55.994862661568668</v>
      </c>
      <c r="AH195" s="41">
        <f t="shared" si="140"/>
        <v>413.16853803033399</v>
      </c>
      <c r="AI195" s="41">
        <f t="shared" si="140"/>
        <v>17.485370140057938</v>
      </c>
      <c r="AJ195" s="41">
        <f t="shared" si="140"/>
        <v>2.3319605508086928E-4</v>
      </c>
      <c r="AK195" s="41">
        <f t="shared" si="140"/>
        <v>7.023816062101673E-13</v>
      </c>
      <c r="AL195" s="41">
        <f t="shared" si="140"/>
        <v>0</v>
      </c>
      <c r="AM195" s="41">
        <f t="shared" si="140"/>
        <v>0</v>
      </c>
      <c r="AN195" s="41">
        <f t="shared" si="140"/>
        <v>0</v>
      </c>
      <c r="AO195" s="41">
        <f t="shared" si="140"/>
        <v>0</v>
      </c>
      <c r="AP195" s="41">
        <f t="shared" si="140"/>
        <v>0</v>
      </c>
      <c r="AQ195" s="41">
        <f t="shared" si="140"/>
        <v>0</v>
      </c>
      <c r="AR195" s="41">
        <f t="shared" si="140"/>
        <v>4.3721137756988736E-3</v>
      </c>
      <c r="AS195" s="41">
        <f t="shared" si="140"/>
        <v>58.907016548589581</v>
      </c>
      <c r="AT195" s="41">
        <f t="shared" si="140"/>
        <v>434.65640864610731</v>
      </c>
      <c r="AU195" s="41">
        <f t="shared" si="140"/>
        <v>18.394740860852963</v>
      </c>
      <c r="AV195" s="41">
        <f t="shared" si="140"/>
        <v>2.4532400335973507E-4</v>
      </c>
      <c r="AW195" s="41">
        <f t="shared" si="140"/>
        <v>7.3891073098112232E-13</v>
      </c>
      <c r="AX195" s="41">
        <f t="shared" si="140"/>
        <v>0</v>
      </c>
      <c r="AY195" s="41">
        <f t="shared" si="140"/>
        <v>0</v>
      </c>
      <c r="AZ195" s="41">
        <f t="shared" si="140"/>
        <v>0</v>
      </c>
      <c r="BA195" s="41">
        <f t="shared" si="140"/>
        <v>0</v>
      </c>
      <c r="BB195" s="41">
        <f t="shared" si="140"/>
        <v>0</v>
      </c>
      <c r="BC195" s="41">
        <f t="shared" si="140"/>
        <v>0</v>
      </c>
      <c r="BD195" s="41">
        <f t="shared" si="140"/>
        <v>4.8093251532722548E-3</v>
      </c>
      <c r="BE195" s="41">
        <f t="shared" si="140"/>
        <v>64.797718203495606</v>
      </c>
      <c r="BF195" s="41">
        <f t="shared" si="140"/>
        <v>478.12204951106537</v>
      </c>
      <c r="BG195" s="41">
        <f t="shared" si="140"/>
        <v>20.234214946952957</v>
      </c>
      <c r="BH195" s="41">
        <f t="shared" si="140"/>
        <v>2.6985640369590457E-4</v>
      </c>
      <c r="BI195" s="41">
        <f t="shared" si="140"/>
        <v>8.1280180407982488E-13</v>
      </c>
    </row>
    <row r="196" spans="4:61" x14ac:dyDescent="0.35">
      <c r="E196">
        <v>8</v>
      </c>
      <c r="J196" t="s">
        <v>50</v>
      </c>
      <c r="N196" s="41">
        <f t="shared" ref="N196:BI196" si="141">N145*N132</f>
        <v>0</v>
      </c>
      <c r="O196" s="41">
        <f t="shared" si="141"/>
        <v>0</v>
      </c>
      <c r="P196" s="41">
        <f t="shared" si="141"/>
        <v>0</v>
      </c>
      <c r="Q196" s="41">
        <f t="shared" si="141"/>
        <v>0</v>
      </c>
      <c r="R196" s="41">
        <f t="shared" si="141"/>
        <v>0</v>
      </c>
      <c r="S196" s="41">
        <f t="shared" si="141"/>
        <v>0</v>
      </c>
      <c r="T196" s="41">
        <f t="shared" si="141"/>
        <v>0</v>
      </c>
      <c r="U196" s="41">
        <f t="shared" si="141"/>
        <v>1.9081534040724371E-3</v>
      </c>
      <c r="V196" s="41">
        <f t="shared" si="141"/>
        <v>21.62715727423025</v>
      </c>
      <c r="W196" s="41">
        <f t="shared" si="141"/>
        <v>193.78231700468845</v>
      </c>
      <c r="X196" s="41">
        <f t="shared" si="141"/>
        <v>8.0280803067205806</v>
      </c>
      <c r="Y196" s="41">
        <f t="shared" si="141"/>
        <v>1.7726095635085969E-4</v>
      </c>
      <c r="Z196" s="41">
        <f t="shared" si="141"/>
        <v>3.2248818282454297E-13</v>
      </c>
      <c r="AA196" s="41">
        <f t="shared" si="141"/>
        <v>0</v>
      </c>
      <c r="AB196" s="41">
        <f t="shared" si="141"/>
        <v>0</v>
      </c>
      <c r="AC196" s="41">
        <f t="shared" si="141"/>
        <v>0</v>
      </c>
      <c r="AD196" s="41">
        <f t="shared" si="141"/>
        <v>0</v>
      </c>
      <c r="AE196" s="41">
        <f t="shared" si="141"/>
        <v>0</v>
      </c>
      <c r="AF196" s="41">
        <f t="shared" si="141"/>
        <v>0</v>
      </c>
      <c r="AG196" s="41">
        <f t="shared" si="141"/>
        <v>3.5512073049559396E-3</v>
      </c>
      <c r="AH196" s="41">
        <f t="shared" si="141"/>
        <v>40.249656413243954</v>
      </c>
      <c r="AI196" s="41">
        <f t="shared" si="141"/>
        <v>360.64248201934049</v>
      </c>
      <c r="AJ196" s="41">
        <f t="shared" si="141"/>
        <v>14.940820465038867</v>
      </c>
      <c r="AK196" s="41">
        <f t="shared" si="141"/>
        <v>3.2989507118933516E-4</v>
      </c>
      <c r="AL196" s="41">
        <f t="shared" si="141"/>
        <v>6.0017312453197758E-13</v>
      </c>
      <c r="AM196" s="41">
        <f t="shared" si="141"/>
        <v>0</v>
      </c>
      <c r="AN196" s="41">
        <f t="shared" si="141"/>
        <v>0</v>
      </c>
      <c r="AO196" s="41">
        <f t="shared" si="141"/>
        <v>0</v>
      </c>
      <c r="AP196" s="41">
        <f t="shared" si="141"/>
        <v>0</v>
      </c>
      <c r="AQ196" s="41">
        <f t="shared" si="141"/>
        <v>0</v>
      </c>
      <c r="AR196" s="41">
        <f t="shared" si="141"/>
        <v>0</v>
      </c>
      <c r="AS196" s="41">
        <f t="shared" si="141"/>
        <v>3.4595496059389064E-3</v>
      </c>
      <c r="AT196" s="41">
        <f t="shared" si="141"/>
        <v>39.210801011049995</v>
      </c>
      <c r="AU196" s="41">
        <f t="shared" si="141"/>
        <v>351.33419409608882</v>
      </c>
      <c r="AV196" s="41">
        <f t="shared" si="141"/>
        <v>14.555193519706524</v>
      </c>
      <c r="AW196" s="41">
        <f t="shared" si="141"/>
        <v>3.2138038293104155E-4</v>
      </c>
      <c r="AX196" s="41">
        <f t="shared" si="141"/>
        <v>5.8468248067976035E-13</v>
      </c>
      <c r="AY196" s="41">
        <f t="shared" si="141"/>
        <v>0</v>
      </c>
      <c r="AZ196" s="41">
        <f t="shared" si="141"/>
        <v>0</v>
      </c>
      <c r="BA196" s="41">
        <f t="shared" si="141"/>
        <v>0</v>
      </c>
      <c r="BB196" s="41">
        <f t="shared" si="141"/>
        <v>0</v>
      </c>
      <c r="BC196" s="41">
        <f t="shared" si="141"/>
        <v>0</v>
      </c>
      <c r="BD196" s="41">
        <f t="shared" si="141"/>
        <v>0</v>
      </c>
      <c r="BE196" s="41">
        <f t="shared" si="141"/>
        <v>3.8055045665328006E-3</v>
      </c>
      <c r="BF196" s="41">
        <f t="shared" si="141"/>
        <v>43.131881112155035</v>
      </c>
      <c r="BG196" s="41">
        <f t="shared" si="141"/>
        <v>386.46761350569801</v>
      </c>
      <c r="BH196" s="41">
        <f t="shared" si="141"/>
        <v>16.010712871677189</v>
      </c>
      <c r="BI196" s="41">
        <f t="shared" si="141"/>
        <v>3.5351842122414604E-4</v>
      </c>
    </row>
    <row r="197" spans="4:61" x14ac:dyDescent="0.35">
      <c r="E197">
        <v>9</v>
      </c>
      <c r="J197" t="s">
        <v>50</v>
      </c>
      <c r="N197" s="41">
        <f t="shared" ref="N197:BI197" si="142">N146*N133</f>
        <v>0</v>
      </c>
      <c r="O197" s="41">
        <f t="shared" si="142"/>
        <v>0</v>
      </c>
      <c r="P197" s="41">
        <f t="shared" si="142"/>
        <v>0</v>
      </c>
      <c r="Q197" s="41">
        <f t="shared" si="142"/>
        <v>0</v>
      </c>
      <c r="R197" s="41">
        <f t="shared" si="142"/>
        <v>0</v>
      </c>
      <c r="S197" s="41">
        <f t="shared" si="142"/>
        <v>0</v>
      </c>
      <c r="T197" s="41">
        <f t="shared" si="142"/>
        <v>0</v>
      </c>
      <c r="U197" s="41">
        <f t="shared" si="142"/>
        <v>0</v>
      </c>
      <c r="V197" s="41">
        <f t="shared" si="142"/>
        <v>5.9996685255832348E-4</v>
      </c>
      <c r="W197" s="41">
        <f t="shared" si="142"/>
        <v>10.729489812241189</v>
      </c>
      <c r="X197" s="41">
        <f t="shared" si="142"/>
        <v>95.177420979087913</v>
      </c>
      <c r="Y197" s="41">
        <f t="shared" si="142"/>
        <v>4.9398813033918847</v>
      </c>
      <c r="Z197" s="41">
        <f t="shared" si="142"/>
        <v>8.7938426296617686E-5</v>
      </c>
      <c r="AA197" s="41">
        <f t="shared" si="142"/>
        <v>1.5998505187297953E-13</v>
      </c>
      <c r="AB197" s="41">
        <f t="shared" si="142"/>
        <v>0</v>
      </c>
      <c r="AC197" s="41">
        <f t="shared" si="142"/>
        <v>0</v>
      </c>
      <c r="AD197" s="41">
        <f t="shared" si="142"/>
        <v>0</v>
      </c>
      <c r="AE197" s="41">
        <f t="shared" si="142"/>
        <v>0</v>
      </c>
      <c r="AF197" s="41">
        <f t="shared" si="142"/>
        <v>0</v>
      </c>
      <c r="AG197" s="41">
        <f t="shared" si="142"/>
        <v>0</v>
      </c>
      <c r="AH197" s="41">
        <f t="shared" si="142"/>
        <v>2.226017582426628E-3</v>
      </c>
      <c r="AI197" s="41">
        <f t="shared" si="142"/>
        <v>39.808920893999677</v>
      </c>
      <c r="AJ197" s="41">
        <f t="shared" si="142"/>
        <v>353.13052987185642</v>
      </c>
      <c r="AK197" s="41">
        <f t="shared" si="142"/>
        <v>18.328116944397262</v>
      </c>
      <c r="AL197" s="41">
        <f t="shared" si="142"/>
        <v>3.2627216365785773E-4</v>
      </c>
      <c r="AM197" s="41">
        <f t="shared" si="142"/>
        <v>5.935820235336564E-13</v>
      </c>
      <c r="AN197" s="41">
        <f t="shared" si="142"/>
        <v>0</v>
      </c>
      <c r="AO197" s="41">
        <f t="shared" si="142"/>
        <v>0</v>
      </c>
      <c r="AP197" s="41">
        <f t="shared" si="142"/>
        <v>0</v>
      </c>
      <c r="AQ197" s="41">
        <f t="shared" si="142"/>
        <v>0</v>
      </c>
      <c r="AR197" s="41">
        <f t="shared" si="142"/>
        <v>0</v>
      </c>
      <c r="AS197" s="41">
        <f t="shared" si="142"/>
        <v>0</v>
      </c>
      <c r="AT197" s="41">
        <f t="shared" si="142"/>
        <v>2.533747441713956E-3</v>
      </c>
      <c r="AU197" s="41">
        <f t="shared" si="142"/>
        <v>45.312198910221134</v>
      </c>
      <c r="AV197" s="41">
        <f t="shared" si="142"/>
        <v>401.94811744412698</v>
      </c>
      <c r="AW197" s="41">
        <f t="shared" si="142"/>
        <v>20.861838552360783</v>
      </c>
      <c r="AX197" s="41">
        <f t="shared" si="142"/>
        <v>3.7137678807971539E-4</v>
      </c>
      <c r="AY197" s="41">
        <f t="shared" si="142"/>
        <v>6.7564018606549721E-13</v>
      </c>
      <c r="AZ197" s="41">
        <f t="shared" si="142"/>
        <v>0</v>
      </c>
      <c r="BA197" s="41">
        <f t="shared" si="142"/>
        <v>0</v>
      </c>
      <c r="BB197" s="41">
        <f t="shared" si="142"/>
        <v>0</v>
      </c>
      <c r="BC197" s="41">
        <f t="shared" si="142"/>
        <v>0</v>
      </c>
      <c r="BD197" s="41">
        <f t="shared" si="142"/>
        <v>0</v>
      </c>
      <c r="BE197" s="41">
        <f t="shared" si="142"/>
        <v>0</v>
      </c>
      <c r="BF197" s="41">
        <f t="shared" si="142"/>
        <v>2.7871221858853518E-3</v>
      </c>
      <c r="BG197" s="41">
        <f t="shared" si="142"/>
        <v>49.843418801243253</v>
      </c>
      <c r="BH197" s="41">
        <f t="shared" si="142"/>
        <v>442.14292918853971</v>
      </c>
      <c r="BI197" s="41">
        <f t="shared" si="142"/>
        <v>22.948022407596863</v>
      </c>
    </row>
    <row r="198" spans="4:61" x14ac:dyDescent="0.35">
      <c r="E198">
        <v>10</v>
      </c>
      <c r="J198" t="s">
        <v>50</v>
      </c>
      <c r="N198" s="41">
        <f t="shared" ref="N198:BI198" si="143">N147*N134</f>
        <v>0</v>
      </c>
      <c r="O198" s="41">
        <f t="shared" si="143"/>
        <v>0</v>
      </c>
      <c r="P198" s="41">
        <f t="shared" si="143"/>
        <v>0</v>
      </c>
      <c r="Q198" s="41">
        <f t="shared" si="143"/>
        <v>0</v>
      </c>
      <c r="R198" s="41">
        <f t="shared" si="143"/>
        <v>0</v>
      </c>
      <c r="S198" s="41">
        <f t="shared" si="143"/>
        <v>0</v>
      </c>
      <c r="T198" s="41">
        <f t="shared" si="143"/>
        <v>0</v>
      </c>
      <c r="U198" s="41">
        <f t="shared" si="143"/>
        <v>0</v>
      </c>
      <c r="V198" s="41">
        <f t="shared" si="143"/>
        <v>0</v>
      </c>
      <c r="W198" s="41">
        <f t="shared" si="143"/>
        <v>1.0156311450843615E-3</v>
      </c>
      <c r="X198" s="41">
        <f t="shared" si="143"/>
        <v>11.511241423497314</v>
      </c>
      <c r="Y198" s="41">
        <f t="shared" si="143"/>
        <v>103.14231345159769</v>
      </c>
      <c r="Z198" s="41">
        <f t="shared" si="143"/>
        <v>4.2730525056045376</v>
      </c>
      <c r="AA198" s="41">
        <f t="shared" si="143"/>
        <v>5.6988154577054184E-5</v>
      </c>
      <c r="AB198" s="41">
        <f t="shared" si="143"/>
        <v>8.0542111646764173E-13</v>
      </c>
      <c r="AC198" s="41">
        <f t="shared" si="143"/>
        <v>0</v>
      </c>
      <c r="AD198" s="41">
        <f t="shared" si="143"/>
        <v>0</v>
      </c>
      <c r="AE198" s="41">
        <f t="shared" si="143"/>
        <v>0</v>
      </c>
      <c r="AF198" s="41">
        <f t="shared" si="143"/>
        <v>0</v>
      </c>
      <c r="AG198" s="41">
        <f t="shared" si="143"/>
        <v>0</v>
      </c>
      <c r="AH198" s="41">
        <f t="shared" si="143"/>
        <v>0</v>
      </c>
      <c r="AI198" s="41">
        <f t="shared" si="143"/>
        <v>4.3365499927246606E-3</v>
      </c>
      <c r="AJ198" s="41">
        <f t="shared" si="143"/>
        <v>49.150790769785473</v>
      </c>
      <c r="AK198" s="41">
        <f t="shared" si="143"/>
        <v>440.39787556040147</v>
      </c>
      <c r="AL198" s="41">
        <f t="shared" si="143"/>
        <v>18.245113791338355</v>
      </c>
      <c r="AM198" s="41">
        <f t="shared" si="143"/>
        <v>2.433284785649111E-4</v>
      </c>
      <c r="AN198" s="41">
        <f t="shared" si="143"/>
        <v>3.4389935299472542E-12</v>
      </c>
      <c r="AO198" s="41">
        <f t="shared" si="143"/>
        <v>0</v>
      </c>
      <c r="AP198" s="41">
        <f t="shared" si="143"/>
        <v>0</v>
      </c>
      <c r="AQ198" s="41">
        <f t="shared" si="143"/>
        <v>0</v>
      </c>
      <c r="AR198" s="41">
        <f t="shared" si="143"/>
        <v>0</v>
      </c>
      <c r="AS198" s="41">
        <f t="shared" si="143"/>
        <v>0</v>
      </c>
      <c r="AT198" s="41">
        <f t="shared" si="143"/>
        <v>0</v>
      </c>
      <c r="AU198" s="41">
        <f t="shared" si="143"/>
        <v>4.7790942071036851E-3</v>
      </c>
      <c r="AV198" s="41">
        <f t="shared" si="143"/>
        <v>54.166620893689128</v>
      </c>
      <c r="AW198" s="41">
        <f t="shared" si="143"/>
        <v>485.34040641581447</v>
      </c>
      <c r="AX198" s="41">
        <f t="shared" si="143"/>
        <v>20.107024656562963</v>
      </c>
      <c r="AY198" s="41">
        <f t="shared" si="143"/>
        <v>2.6816010983013585E-4</v>
      </c>
      <c r="AZ198" s="41">
        <f t="shared" si="143"/>
        <v>3.7899422547442302E-12</v>
      </c>
      <c r="BA198" s="41">
        <f t="shared" si="143"/>
        <v>0</v>
      </c>
      <c r="BB198" s="41">
        <f t="shared" si="143"/>
        <v>0</v>
      </c>
      <c r="BC198" s="41">
        <f t="shared" si="143"/>
        <v>0</v>
      </c>
      <c r="BD198" s="41">
        <f t="shared" si="143"/>
        <v>0</v>
      </c>
      <c r="BE198" s="41">
        <f t="shared" si="143"/>
        <v>0</v>
      </c>
      <c r="BF198" s="41">
        <f t="shared" si="143"/>
        <v>0</v>
      </c>
      <c r="BG198" s="41">
        <f t="shared" si="143"/>
        <v>5.257003627814053E-3</v>
      </c>
      <c r="BH198" s="41">
        <f t="shared" si="143"/>
        <v>59.583282983058034</v>
      </c>
      <c r="BI198" s="41">
        <f t="shared" si="143"/>
        <v>533.87444705739586</v>
      </c>
    </row>
    <row r="199" spans="4:61" x14ac:dyDescent="0.35">
      <c r="E199">
        <v>11</v>
      </c>
      <c r="J199" t="s">
        <v>50</v>
      </c>
      <c r="N199" s="41">
        <f t="shared" ref="N199:BI199" si="144">N148*N135</f>
        <v>0</v>
      </c>
      <c r="O199" s="41">
        <f t="shared" si="144"/>
        <v>0</v>
      </c>
      <c r="P199" s="41">
        <f t="shared" si="144"/>
        <v>0</v>
      </c>
      <c r="Q199" s="41">
        <f t="shared" si="144"/>
        <v>0</v>
      </c>
      <c r="R199" s="41">
        <f t="shared" si="144"/>
        <v>0</v>
      </c>
      <c r="S199" s="41">
        <f t="shared" si="144"/>
        <v>0</v>
      </c>
      <c r="T199" s="41">
        <f t="shared" si="144"/>
        <v>0</v>
      </c>
      <c r="U199" s="41">
        <f t="shared" si="144"/>
        <v>0</v>
      </c>
      <c r="V199" s="41">
        <f t="shared" si="144"/>
        <v>0</v>
      </c>
      <c r="W199" s="41">
        <f t="shared" si="144"/>
        <v>0</v>
      </c>
      <c r="X199" s="41">
        <f t="shared" si="144"/>
        <v>8.9000667792288606E-4</v>
      </c>
      <c r="Y199" s="41">
        <f t="shared" si="144"/>
        <v>15.91640861971109</v>
      </c>
      <c r="Z199" s="41">
        <f t="shared" si="144"/>
        <v>142.60861240617061</v>
      </c>
      <c r="AA199" s="41">
        <f t="shared" si="144"/>
        <v>5.9078216078948182</v>
      </c>
      <c r="AB199" s="41">
        <f t="shared" si="144"/>
        <v>3.4735954443306823E-4</v>
      </c>
      <c r="AC199" s="41">
        <f t="shared" si="144"/>
        <v>1.1136068600592351E-12</v>
      </c>
      <c r="AD199" s="41">
        <f t="shared" si="144"/>
        <v>0</v>
      </c>
      <c r="AE199" s="41">
        <f t="shared" si="144"/>
        <v>0</v>
      </c>
      <c r="AF199" s="41">
        <f t="shared" si="144"/>
        <v>0</v>
      </c>
      <c r="AG199" s="41">
        <f t="shared" si="144"/>
        <v>0</v>
      </c>
      <c r="AH199" s="41">
        <f t="shared" si="144"/>
        <v>0</v>
      </c>
      <c r="AI199" s="41">
        <f t="shared" si="144"/>
        <v>0</v>
      </c>
      <c r="AJ199" s="41">
        <f t="shared" si="144"/>
        <v>2.7168006507629428E-3</v>
      </c>
      <c r="AK199" s="41">
        <f t="shared" si="144"/>
        <v>48.585825666789709</v>
      </c>
      <c r="AL199" s="41">
        <f t="shared" si="144"/>
        <v>435.32164488214545</v>
      </c>
      <c r="AM199" s="41">
        <f t="shared" si="144"/>
        <v>18.033992313831479</v>
      </c>
      <c r="AN199" s="41">
        <f t="shared" si="144"/>
        <v>1.060336579234348E-3</v>
      </c>
      <c r="AO199" s="41">
        <f t="shared" si="144"/>
        <v>3.3993540915489009E-12</v>
      </c>
      <c r="AP199" s="41">
        <f t="shared" si="144"/>
        <v>0</v>
      </c>
      <c r="AQ199" s="41">
        <f t="shared" si="144"/>
        <v>0</v>
      </c>
      <c r="AR199" s="41">
        <f t="shared" si="144"/>
        <v>0</v>
      </c>
      <c r="AS199" s="41">
        <f t="shared" si="144"/>
        <v>0</v>
      </c>
      <c r="AT199" s="41">
        <f t="shared" si="144"/>
        <v>0</v>
      </c>
      <c r="AU199" s="41">
        <f t="shared" si="144"/>
        <v>0</v>
      </c>
      <c r="AV199" s="41">
        <f t="shared" si="144"/>
        <v>3.1061866052599701E-3</v>
      </c>
      <c r="AW199" s="41">
        <f t="shared" si="144"/>
        <v>55.549398094150646</v>
      </c>
      <c r="AX199" s="41">
        <f t="shared" si="144"/>
        <v>497.71419994799032</v>
      </c>
      <c r="AY199" s="41">
        <f t="shared" si="144"/>
        <v>20.618717589328348</v>
      </c>
      <c r="AZ199" s="41">
        <f t="shared" si="144"/>
        <v>1.2123095150761193E-3</v>
      </c>
      <c r="BA199" s="41">
        <f t="shared" si="144"/>
        <v>3.8865671438718337E-12</v>
      </c>
      <c r="BB199" s="41">
        <f t="shared" si="144"/>
        <v>0</v>
      </c>
      <c r="BC199" s="41">
        <f t="shared" si="144"/>
        <v>0</v>
      </c>
      <c r="BD199" s="41">
        <f t="shared" si="144"/>
        <v>0</v>
      </c>
      <c r="BE199" s="41">
        <f t="shared" si="144"/>
        <v>0</v>
      </c>
      <c r="BF199" s="41">
        <f t="shared" si="144"/>
        <v>0</v>
      </c>
      <c r="BG199" s="41">
        <f t="shared" si="144"/>
        <v>0</v>
      </c>
      <c r="BH199" s="41">
        <f t="shared" si="144"/>
        <v>3.4168052657859676E-3</v>
      </c>
      <c r="BI199" s="41">
        <f t="shared" si="144"/>
        <v>61.104337903565721</v>
      </c>
    </row>
    <row r="200" spans="4:61" x14ac:dyDescent="0.35">
      <c r="E200">
        <v>12</v>
      </c>
      <c r="J200" t="s">
        <v>50</v>
      </c>
      <c r="N200" s="41">
        <f t="shared" ref="N200:BI200" si="145">N149*N136</f>
        <v>0</v>
      </c>
      <c r="O200" s="41">
        <f t="shared" si="145"/>
        <v>0</v>
      </c>
      <c r="P200" s="41">
        <f t="shared" si="145"/>
        <v>0</v>
      </c>
      <c r="Q200" s="41">
        <f t="shared" si="145"/>
        <v>0</v>
      </c>
      <c r="R200" s="41">
        <f t="shared" si="145"/>
        <v>0</v>
      </c>
      <c r="S200" s="41">
        <f t="shared" si="145"/>
        <v>0</v>
      </c>
      <c r="T200" s="41">
        <f t="shared" si="145"/>
        <v>0</v>
      </c>
      <c r="U200" s="41">
        <f t="shared" si="145"/>
        <v>0</v>
      </c>
      <c r="V200" s="41">
        <f t="shared" si="145"/>
        <v>0</v>
      </c>
      <c r="W200" s="41">
        <f t="shared" si="145"/>
        <v>0</v>
      </c>
      <c r="X200" s="41">
        <f t="shared" si="145"/>
        <v>0</v>
      </c>
      <c r="Y200" s="41">
        <f t="shared" si="145"/>
        <v>2.1492902741059874E-3</v>
      </c>
      <c r="Z200" s="41">
        <f t="shared" si="145"/>
        <v>28.958138840804974</v>
      </c>
      <c r="AA200" s="41">
        <f t="shared" si="145"/>
        <v>208.92415875522798</v>
      </c>
      <c r="AB200" s="41">
        <f t="shared" si="145"/>
        <v>13.791345731520108</v>
      </c>
      <c r="AC200" s="41">
        <f t="shared" si="145"/>
        <v>3.273821711509797E-4</v>
      </c>
      <c r="AD200" s="41">
        <f t="shared" si="145"/>
        <v>1.7044414013511757E-12</v>
      </c>
      <c r="AE200" s="41">
        <f t="shared" si="145"/>
        <v>0</v>
      </c>
      <c r="AF200" s="41">
        <f t="shared" si="145"/>
        <v>0</v>
      </c>
      <c r="AG200" s="41">
        <f t="shared" si="145"/>
        <v>0</v>
      </c>
      <c r="AH200" s="41">
        <f t="shared" si="145"/>
        <v>0</v>
      </c>
      <c r="AI200" s="41">
        <f t="shared" si="145"/>
        <v>0</v>
      </c>
      <c r="AJ200" s="41">
        <f t="shared" si="145"/>
        <v>0</v>
      </c>
      <c r="AK200" s="41">
        <f t="shared" si="145"/>
        <v>4.8614621144235474E-3</v>
      </c>
      <c r="AL200" s="41">
        <f t="shared" si="145"/>
        <v>65.500177698123352</v>
      </c>
      <c r="AM200" s="41">
        <f t="shared" si="145"/>
        <v>472.56384808181832</v>
      </c>
      <c r="AN200" s="41">
        <f t="shared" si="145"/>
        <v>31.194532254881306</v>
      </c>
      <c r="AO200" s="41">
        <f t="shared" si="145"/>
        <v>7.4050305869002853E-4</v>
      </c>
      <c r="AP200" s="41">
        <f t="shared" si="145"/>
        <v>3.8552620829079842E-12</v>
      </c>
      <c r="AQ200" s="41">
        <f t="shared" si="145"/>
        <v>0</v>
      </c>
      <c r="AR200" s="41">
        <f t="shared" si="145"/>
        <v>0</v>
      </c>
      <c r="AS200" s="41">
        <f t="shared" si="145"/>
        <v>0</v>
      </c>
      <c r="AT200" s="41">
        <f t="shared" si="145"/>
        <v>0</v>
      </c>
      <c r="AU200" s="41">
        <f t="shared" si="145"/>
        <v>0</v>
      </c>
      <c r="AV200" s="41">
        <f t="shared" si="145"/>
        <v>0</v>
      </c>
      <c r="AW200" s="41">
        <f t="shared" si="145"/>
        <v>5.4072574098058251E-3</v>
      </c>
      <c r="AX200" s="41">
        <f t="shared" si="145"/>
        <v>72.853868417685391</v>
      </c>
      <c r="AY200" s="41">
        <f t="shared" si="145"/>
        <v>525.61848863647072</v>
      </c>
      <c r="AZ200" s="41">
        <f t="shared" si="145"/>
        <v>34.696735613794822</v>
      </c>
      <c r="BA200" s="41">
        <f t="shared" si="145"/>
        <v>8.2363917620703782E-4</v>
      </c>
      <c r="BB200" s="41">
        <f t="shared" si="145"/>
        <v>4.2880915193596063E-12</v>
      </c>
      <c r="BC200" s="41">
        <f t="shared" si="145"/>
        <v>0</v>
      </c>
      <c r="BD200" s="41">
        <f t="shared" si="145"/>
        <v>0</v>
      </c>
      <c r="BE200" s="41">
        <f t="shared" si="145"/>
        <v>0</v>
      </c>
      <c r="BF200" s="41">
        <f t="shared" si="145"/>
        <v>0</v>
      </c>
      <c r="BG200" s="41">
        <f t="shared" si="145"/>
        <v>0</v>
      </c>
      <c r="BH200" s="41">
        <f t="shared" si="145"/>
        <v>0</v>
      </c>
      <c r="BI200" s="41">
        <f t="shared" si="145"/>
        <v>5.9479831507864098E-3</v>
      </c>
    </row>
    <row r="201" spans="4:61" x14ac:dyDescent="0.35"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</row>
    <row r="202" spans="4:61" x14ac:dyDescent="0.35">
      <c r="E202" t="str">
        <f>"Volumes-"&amp;Paramétrage_général!I30</f>
        <v>Volumes-Paiement de l'avance</v>
      </c>
      <c r="J202" t="s">
        <v>50</v>
      </c>
      <c r="N202" s="41">
        <f>SUM(N189:N200)</f>
        <v>0</v>
      </c>
      <c r="O202" s="41">
        <f t="shared" ref="O202:BI202" si="146">SUM(O189:O200)</f>
        <v>0</v>
      </c>
      <c r="P202" s="41">
        <f t="shared" si="146"/>
        <v>0</v>
      </c>
      <c r="Q202" s="41">
        <f t="shared" si="146"/>
        <v>3.1593235291023631E-5</v>
      </c>
      <c r="R202" s="41">
        <f t="shared" si="146"/>
        <v>0.56532675996811621</v>
      </c>
      <c r="S202" s="41">
        <f t="shared" si="146"/>
        <v>8.7530329823154815</v>
      </c>
      <c r="T202" s="41">
        <f t="shared" si="146"/>
        <v>39.314610047107848</v>
      </c>
      <c r="U202" s="41">
        <f t="shared" si="146"/>
        <v>67.592350985685599</v>
      </c>
      <c r="V202" s="41">
        <f t="shared" si="146"/>
        <v>146.24918259095674</v>
      </c>
      <c r="W202" s="41">
        <f t="shared" si="146"/>
        <v>209.69992370540453</v>
      </c>
      <c r="X202" s="41">
        <f t="shared" si="146"/>
        <v>114.71770189387152</v>
      </c>
      <c r="Y202" s="41">
        <f t="shared" si="146"/>
        <v>124.00092992593133</v>
      </c>
      <c r="Z202" s="41">
        <f t="shared" si="146"/>
        <v>175.84219306504141</v>
      </c>
      <c r="AA202" s="41">
        <f t="shared" si="146"/>
        <v>232.83393109249963</v>
      </c>
      <c r="AB202" s="41">
        <f t="shared" si="146"/>
        <v>271.86080758803985</v>
      </c>
      <c r="AC202" s="41">
        <f t="shared" si="146"/>
        <v>326.81491026089196</v>
      </c>
      <c r="AD202" s="41">
        <f t="shared" si="146"/>
        <v>380.67482060627714</v>
      </c>
      <c r="AE202" s="41">
        <f t="shared" si="146"/>
        <v>451.15340229904399</v>
      </c>
      <c r="AF202" s="41">
        <f t="shared" si="146"/>
        <v>459.85530695114517</v>
      </c>
      <c r="AG202" s="41">
        <f t="shared" si="146"/>
        <v>567.32978795123734</v>
      </c>
      <c r="AH202" s="41">
        <f t="shared" si="146"/>
        <v>473.94508682100383</v>
      </c>
      <c r="AI202" s="41">
        <f t="shared" si="146"/>
        <v>417.94156278575082</v>
      </c>
      <c r="AJ202" s="41">
        <f t="shared" si="146"/>
        <v>417.22509110338746</v>
      </c>
      <c r="AK202" s="41">
        <f t="shared" si="146"/>
        <v>507.3170095287748</v>
      </c>
      <c r="AL202" s="41">
        <f t="shared" si="146"/>
        <v>519.07175112205289</v>
      </c>
      <c r="AM202" s="41">
        <f t="shared" si="146"/>
        <v>525.70779379745477</v>
      </c>
      <c r="AN202" s="41">
        <f t="shared" si="146"/>
        <v>527.18162972669825</v>
      </c>
      <c r="AO202" s="41">
        <f t="shared" si="146"/>
        <v>531.21874282384783</v>
      </c>
      <c r="AP202" s="41">
        <f t="shared" si="146"/>
        <v>605.87882220696713</v>
      </c>
      <c r="AQ202" s="41">
        <f t="shared" si="146"/>
        <v>579.91662112504844</v>
      </c>
      <c r="AR202" s="41">
        <f t="shared" si="146"/>
        <v>597.81844117878063</v>
      </c>
      <c r="AS202" s="41">
        <f t="shared" si="146"/>
        <v>567.59142640084099</v>
      </c>
      <c r="AT202" s="41">
        <f t="shared" si="146"/>
        <v>494.05572651414161</v>
      </c>
      <c r="AU202" s="41">
        <f t="shared" si="146"/>
        <v>415.04635866393687</v>
      </c>
      <c r="AV202" s="41">
        <f t="shared" si="146"/>
        <v>470.67328336813205</v>
      </c>
      <c r="AW202" s="41">
        <f t="shared" si="146"/>
        <v>561.75737170011939</v>
      </c>
      <c r="AX202" s="41">
        <f t="shared" si="146"/>
        <v>590.68044140811537</v>
      </c>
      <c r="AY202" s="41">
        <f t="shared" si="146"/>
        <v>585.16855498228631</v>
      </c>
      <c r="AZ202" s="41">
        <f t="shared" si="146"/>
        <v>584.41123314491801</v>
      </c>
      <c r="BA202" s="41">
        <f t="shared" si="146"/>
        <v>585.2107032846219</v>
      </c>
      <c r="BB202" s="41">
        <f t="shared" si="146"/>
        <v>666.57253820498966</v>
      </c>
      <c r="BC202" s="41">
        <f t="shared" si="146"/>
        <v>637.91263229349408</v>
      </c>
      <c r="BD202" s="41">
        <f t="shared" si="146"/>
        <v>657.6004146905774</v>
      </c>
      <c r="BE202" s="41">
        <f t="shared" si="146"/>
        <v>624.35057043829352</v>
      </c>
      <c r="BF202" s="41">
        <f t="shared" si="146"/>
        <v>543.46129917228836</v>
      </c>
      <c r="BG202" s="41">
        <f t="shared" si="146"/>
        <v>456.55099453034575</v>
      </c>
      <c r="BH202" s="41">
        <f t="shared" si="146"/>
        <v>517.74061170494531</v>
      </c>
      <c r="BI202" s="41">
        <f t="shared" si="146"/>
        <v>617.93310887013126</v>
      </c>
    </row>
    <row r="203" spans="4:61" x14ac:dyDescent="0.35">
      <c r="E203" t="s">
        <v>117</v>
      </c>
      <c r="J203" t="s">
        <v>51</v>
      </c>
      <c r="N203" s="41">
        <f>SUMPRODUCT(N175:N186,N189:N200)</f>
        <v>0</v>
      </c>
      <c r="O203" s="41">
        <f t="shared" ref="O203:BI203" si="147">SUMPRODUCT(O175:O186,O189:O200)</f>
        <v>0</v>
      </c>
      <c r="P203" s="41">
        <f t="shared" si="147"/>
        <v>0</v>
      </c>
      <c r="Q203" s="41">
        <f t="shared" si="147"/>
        <v>3.1584118207439074E-2</v>
      </c>
      <c r="R203" s="41">
        <f t="shared" si="147"/>
        <v>565.15271678438171</v>
      </c>
      <c r="S203" s="41">
        <f t="shared" si="147"/>
        <v>8627.0133860506321</v>
      </c>
      <c r="T203" s="41">
        <f t="shared" si="147"/>
        <v>39626.841080727005</v>
      </c>
      <c r="U203" s="41">
        <f t="shared" si="147"/>
        <v>98127.090726317634</v>
      </c>
      <c r="V203" s="41">
        <f t="shared" si="147"/>
        <v>313882.21363865479</v>
      </c>
      <c r="W203" s="41">
        <f t="shared" si="147"/>
        <v>544907.14528280788</v>
      </c>
      <c r="X203" s="41">
        <f t="shared" si="147"/>
        <v>205408.69024132105</v>
      </c>
      <c r="Y203" s="41">
        <f t="shared" si="147"/>
        <v>176589.12314248079</v>
      </c>
      <c r="Z203" s="41">
        <f t="shared" si="147"/>
        <v>233413.19456203983</v>
      </c>
      <c r="AA203" s="41">
        <f t="shared" si="147"/>
        <v>314825.48820649623</v>
      </c>
      <c r="AB203" s="41">
        <f t="shared" si="147"/>
        <v>338902.7960435233</v>
      </c>
      <c r="AC203" s="41">
        <f t="shared" si="147"/>
        <v>333347.3515791411</v>
      </c>
      <c r="AD203" s="41">
        <f t="shared" si="147"/>
        <v>445720.14176894614</v>
      </c>
      <c r="AE203" s="41">
        <f t="shared" si="147"/>
        <v>507830.58971893194</v>
      </c>
      <c r="AF203" s="41">
        <f t="shared" si="147"/>
        <v>584826.33235332626</v>
      </c>
      <c r="AG203" s="41">
        <f t="shared" si="147"/>
        <v>764158.57800447033</v>
      </c>
      <c r="AH203" s="41">
        <f t="shared" si="147"/>
        <v>723379.57553819031</v>
      </c>
      <c r="AI203" s="41">
        <f t="shared" si="147"/>
        <v>634193.23230376188</v>
      </c>
      <c r="AJ203" s="41">
        <f t="shared" si="147"/>
        <v>595289.46537265088</v>
      </c>
      <c r="AK203" s="41">
        <f t="shared" si="147"/>
        <v>687892.61457741179</v>
      </c>
      <c r="AL203" s="41">
        <f t="shared" si="147"/>
        <v>773979.87319071963</v>
      </c>
      <c r="AM203" s="41">
        <f t="shared" si="147"/>
        <v>816924.97757205111</v>
      </c>
      <c r="AN203" s="41">
        <f t="shared" si="147"/>
        <v>768033.22710850392</v>
      </c>
      <c r="AO203" s="41">
        <f t="shared" si="147"/>
        <v>746334.52180678945</v>
      </c>
      <c r="AP203" s="41">
        <f t="shared" si="147"/>
        <v>842746.0689498398</v>
      </c>
      <c r="AQ203" s="41">
        <f t="shared" si="147"/>
        <v>805399.78939779801</v>
      </c>
      <c r="AR203" s="41">
        <f t="shared" si="147"/>
        <v>830195.09692507039</v>
      </c>
      <c r="AS203" s="41">
        <f t="shared" si="147"/>
        <v>788216.52635939815</v>
      </c>
      <c r="AT203" s="41">
        <f t="shared" si="147"/>
        <v>686097.17838237528</v>
      </c>
      <c r="AU203" s="41">
        <f t="shared" si="147"/>
        <v>576376.55074755475</v>
      </c>
      <c r="AV203" s="41">
        <f t="shared" si="147"/>
        <v>653625.88523822324</v>
      </c>
      <c r="AW203" s="41">
        <f t="shared" si="147"/>
        <v>780114.72573726426</v>
      </c>
      <c r="AX203" s="41">
        <f t="shared" si="147"/>
        <v>820280.43500156479</v>
      </c>
      <c r="AY203" s="41">
        <f t="shared" si="147"/>
        <v>813610.07326757628</v>
      </c>
      <c r="AZ203" s="41">
        <f t="shared" si="147"/>
        <v>825948.44466856192</v>
      </c>
      <c r="BA203" s="41">
        <f t="shared" si="147"/>
        <v>834688.39944637311</v>
      </c>
      <c r="BB203" s="41">
        <f t="shared" si="147"/>
        <v>953070.52620964602</v>
      </c>
      <c r="BC203" s="41">
        <f t="shared" si="147"/>
        <v>912429.67286190216</v>
      </c>
      <c r="BD203" s="41">
        <f t="shared" si="147"/>
        <v>940608.11207834224</v>
      </c>
      <c r="BE203" s="41">
        <f t="shared" si="147"/>
        <v>893049.29074344435</v>
      </c>
      <c r="BF203" s="41">
        <f t="shared" si="147"/>
        <v>777348.10294065916</v>
      </c>
      <c r="BG203" s="41">
        <f t="shared" si="147"/>
        <v>653034.63199660252</v>
      </c>
      <c r="BH203" s="41">
        <f t="shared" si="147"/>
        <v>740558.1279749067</v>
      </c>
      <c r="BI203" s="41">
        <f t="shared" si="147"/>
        <v>883869.98426032066</v>
      </c>
    </row>
    <row r="204" spans="4:61" x14ac:dyDescent="0.35"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</row>
    <row r="205" spans="4:61" x14ac:dyDescent="0.35">
      <c r="D205" s="1" t="s">
        <v>93</v>
      </c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</row>
    <row r="206" spans="4:61" x14ac:dyDescent="0.35"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</row>
    <row r="207" spans="4:61" s="4" customFormat="1" x14ac:dyDescent="0.35">
      <c r="E207" s="4" t="str">
        <f>Time!E$38</f>
        <v>Bool-Projeté</v>
      </c>
      <c r="J207" s="4" t="str">
        <f>Time!J$38</f>
        <v>booléen</v>
      </c>
      <c r="N207" s="83">
        <f>Time!N$38</f>
        <v>0</v>
      </c>
      <c r="O207" s="83">
        <f>Time!O$38</f>
        <v>0</v>
      </c>
      <c r="P207" s="83">
        <f>Time!P$38</f>
        <v>0</v>
      </c>
      <c r="Q207" s="83">
        <f>Time!Q$38</f>
        <v>0</v>
      </c>
      <c r="R207" s="83">
        <f>Time!R$38</f>
        <v>0</v>
      </c>
      <c r="S207" s="83">
        <f>Time!S$38</f>
        <v>0</v>
      </c>
      <c r="T207" s="83">
        <f>Time!T$38</f>
        <v>0</v>
      </c>
      <c r="U207" s="83">
        <f>Time!U$38</f>
        <v>0</v>
      </c>
      <c r="V207" s="83">
        <f>Time!V$38</f>
        <v>0</v>
      </c>
      <c r="W207" s="83">
        <f>Time!W$38</f>
        <v>0</v>
      </c>
      <c r="X207" s="83">
        <f>Time!X$38</f>
        <v>0</v>
      </c>
      <c r="Y207" s="83">
        <f>Time!Y$38</f>
        <v>0</v>
      </c>
      <c r="Z207" s="83">
        <f>Time!Z$38</f>
        <v>0</v>
      </c>
      <c r="AA207" s="83">
        <f>Time!AA$38</f>
        <v>0</v>
      </c>
      <c r="AB207" s="83">
        <f>Time!AB$38</f>
        <v>0</v>
      </c>
      <c r="AC207" s="83">
        <f>Time!AC$38</f>
        <v>0</v>
      </c>
      <c r="AD207" s="83">
        <f>Time!AD$38</f>
        <v>0</v>
      </c>
      <c r="AE207" s="83">
        <f>Time!AE$38</f>
        <v>0</v>
      </c>
      <c r="AF207" s="83">
        <f>Time!AF$38</f>
        <v>0</v>
      </c>
      <c r="AG207" s="83">
        <f>Time!AG$38</f>
        <v>0</v>
      </c>
      <c r="AH207" s="83">
        <f>Time!AH$38</f>
        <v>0</v>
      </c>
      <c r="AI207" s="83">
        <f>Time!AI$38</f>
        <v>0</v>
      </c>
      <c r="AJ207" s="83">
        <f>Time!AJ$38</f>
        <v>0</v>
      </c>
      <c r="AK207" s="83">
        <f>Time!AK$38</f>
        <v>0</v>
      </c>
      <c r="AL207" s="83">
        <f>Time!AL$38</f>
        <v>1</v>
      </c>
      <c r="AM207" s="83">
        <f>Time!AM$38</f>
        <v>1</v>
      </c>
      <c r="AN207" s="83">
        <f>Time!AN$38</f>
        <v>1</v>
      </c>
      <c r="AO207" s="83">
        <f>Time!AO$38</f>
        <v>1</v>
      </c>
      <c r="AP207" s="83">
        <f>Time!AP$38</f>
        <v>1</v>
      </c>
      <c r="AQ207" s="83">
        <f>Time!AQ$38</f>
        <v>1</v>
      </c>
      <c r="AR207" s="83">
        <f>Time!AR$38</f>
        <v>1</v>
      </c>
      <c r="AS207" s="83">
        <f>Time!AS$38</f>
        <v>1</v>
      </c>
      <c r="AT207" s="83">
        <f>Time!AT$38</f>
        <v>1</v>
      </c>
      <c r="AU207" s="83">
        <f>Time!AU$38</f>
        <v>1</v>
      </c>
      <c r="AV207" s="83">
        <f>Time!AV$38</f>
        <v>1</v>
      </c>
      <c r="AW207" s="83">
        <f>Time!AW$38</f>
        <v>1</v>
      </c>
      <c r="AX207" s="83">
        <f>Time!AX$38</f>
        <v>1</v>
      </c>
      <c r="AY207" s="83">
        <f>Time!AY$38</f>
        <v>1</v>
      </c>
      <c r="AZ207" s="83">
        <f>Time!AZ$38</f>
        <v>1</v>
      </c>
      <c r="BA207" s="83">
        <f>Time!BA$38</f>
        <v>1</v>
      </c>
      <c r="BB207" s="83">
        <f>Time!BB$38</f>
        <v>1</v>
      </c>
      <c r="BC207" s="83">
        <f>Time!BC$38</f>
        <v>1</v>
      </c>
      <c r="BD207" s="83">
        <f>Time!BD$38</f>
        <v>1</v>
      </c>
      <c r="BE207" s="83">
        <f>Time!BE$38</f>
        <v>1</v>
      </c>
      <c r="BF207" s="83">
        <f>Time!BF$38</f>
        <v>1</v>
      </c>
      <c r="BG207" s="83">
        <f>Time!BG$38</f>
        <v>1</v>
      </c>
      <c r="BH207" s="83">
        <f>Time!BH$38</f>
        <v>1</v>
      </c>
      <c r="BI207" s="83">
        <f>Time!BI$38</f>
        <v>1</v>
      </c>
    </row>
    <row r="208" spans="4:61" s="4" customFormat="1" x14ac:dyDescent="0.35">
      <c r="E208" s="4" t="str">
        <f>Données_historiques!E15</f>
        <v>Paiement de l'avance-Exécution</v>
      </c>
      <c r="J208" s="4" t="str">
        <f>Données_historiques!J15</f>
        <v>Volume</v>
      </c>
      <c r="N208" s="85">
        <f>Données_historiques!N15</f>
        <v>0</v>
      </c>
      <c r="O208" s="85">
        <f>Données_historiques!O15</f>
        <v>0</v>
      </c>
      <c r="P208" s="85">
        <f>Données_historiques!P15</f>
        <v>0</v>
      </c>
      <c r="Q208" s="85">
        <f>Données_historiques!Q15</f>
        <v>0</v>
      </c>
      <c r="R208" s="85">
        <f>Données_historiques!R15</f>
        <v>0</v>
      </c>
      <c r="S208" s="85">
        <f>Données_historiques!S15</f>
        <v>0</v>
      </c>
      <c r="T208" s="85">
        <f>Données_historiques!T15</f>
        <v>0</v>
      </c>
      <c r="U208" s="85">
        <f>Données_historiques!U15</f>
        <v>5</v>
      </c>
      <c r="V208" s="85">
        <f>Données_historiques!V15</f>
        <v>25</v>
      </c>
      <c r="W208" s="85">
        <f>Données_historiques!W15</f>
        <v>195</v>
      </c>
      <c r="X208" s="85">
        <f>Données_historiques!X15</f>
        <v>51</v>
      </c>
      <c r="Y208" s="85">
        <f>Données_historiques!Y15</f>
        <v>590</v>
      </c>
      <c r="Z208" s="85">
        <f>Données_historiques!Z15</f>
        <v>707</v>
      </c>
      <c r="AA208" s="85">
        <f>Données_historiques!AA15</f>
        <v>743</v>
      </c>
      <c r="AB208" s="85">
        <f>Données_historiques!AB15</f>
        <v>462</v>
      </c>
      <c r="AC208" s="85">
        <f>Données_historiques!AC15</f>
        <v>505</v>
      </c>
      <c r="AD208" s="85">
        <f>Données_historiques!AD15</f>
        <v>491</v>
      </c>
      <c r="AE208" s="85">
        <f>Données_historiques!AE15</f>
        <v>422</v>
      </c>
      <c r="AF208" s="85">
        <f>Données_historiques!AF15</f>
        <v>592</v>
      </c>
      <c r="AG208" s="85">
        <f>Données_historiques!AG15</f>
        <v>430</v>
      </c>
      <c r="AH208" s="85">
        <f>Données_historiques!AH15</f>
        <v>555</v>
      </c>
      <c r="AI208" s="85">
        <f>Données_historiques!AI15</f>
        <v>487</v>
      </c>
      <c r="AJ208" s="85">
        <f>Données_historiques!AJ15</f>
        <v>325</v>
      </c>
      <c r="AK208" s="85">
        <f>Données_historiques!AK15</f>
        <v>762</v>
      </c>
      <c r="AL208" s="85">
        <f>Données_historiques!AL15</f>
        <v>0</v>
      </c>
      <c r="AM208" s="85">
        <f>Données_historiques!AM15</f>
        <v>0</v>
      </c>
      <c r="AN208" s="85">
        <f>Données_historiques!AN15</f>
        <v>0</v>
      </c>
      <c r="AO208" s="85">
        <f>Données_historiques!AO15</f>
        <v>0</v>
      </c>
      <c r="AP208" s="85">
        <f>Données_historiques!AP15</f>
        <v>0</v>
      </c>
      <c r="AQ208" s="85">
        <f>Données_historiques!AQ15</f>
        <v>0</v>
      </c>
      <c r="AR208" s="85">
        <f>Données_historiques!AR15</f>
        <v>0</v>
      </c>
      <c r="AS208" s="85">
        <f>Données_historiques!AS15</f>
        <v>0</v>
      </c>
      <c r="AT208" s="85">
        <f>Données_historiques!AT15</f>
        <v>0</v>
      </c>
      <c r="AU208" s="85">
        <f>Données_historiques!AU15</f>
        <v>0</v>
      </c>
      <c r="AV208" s="85">
        <f>Données_historiques!AV15</f>
        <v>0</v>
      </c>
      <c r="AW208" s="85">
        <f>Données_historiques!AW15</f>
        <v>0</v>
      </c>
      <c r="AX208" s="85">
        <f>Données_historiques!AX15</f>
        <v>0</v>
      </c>
      <c r="AY208" s="85">
        <f>Données_historiques!AY15</f>
        <v>0</v>
      </c>
      <c r="AZ208" s="85">
        <f>Données_historiques!AZ15</f>
        <v>0</v>
      </c>
      <c r="BA208" s="85">
        <f>Données_historiques!BA15</f>
        <v>0</v>
      </c>
      <c r="BB208" s="85">
        <f>Données_historiques!BB15</f>
        <v>0</v>
      </c>
      <c r="BC208" s="85">
        <f>Données_historiques!BC15</f>
        <v>0</v>
      </c>
      <c r="BD208" s="85">
        <f>Données_historiques!BD15</f>
        <v>0</v>
      </c>
      <c r="BE208" s="85">
        <f>Données_historiques!BE15</f>
        <v>0</v>
      </c>
      <c r="BF208" s="85">
        <f>Données_historiques!BF15</f>
        <v>0</v>
      </c>
      <c r="BG208" s="85">
        <f>Données_historiques!BG15</f>
        <v>0</v>
      </c>
      <c r="BH208" s="85">
        <f>Données_historiques!BH15</f>
        <v>0</v>
      </c>
      <c r="BI208" s="85">
        <f>Données_historiques!BI15</f>
        <v>0</v>
      </c>
    </row>
    <row r="209" spans="4:61" s="4" customFormat="1" x14ac:dyDescent="0.35">
      <c r="E209" s="4" t="str">
        <f>Données_historiques!E26</f>
        <v>Paiement de l'avance-Exécution</v>
      </c>
      <c r="J209" s="4" t="str">
        <f>Données_historiques!J26</f>
        <v>EUR</v>
      </c>
      <c r="N209" s="85">
        <f>Données_historiques!N26</f>
        <v>0</v>
      </c>
      <c r="O209" s="85">
        <f>Données_historiques!O26</f>
        <v>0</v>
      </c>
      <c r="P209" s="85">
        <f>Données_historiques!P26</f>
        <v>0</v>
      </c>
      <c r="Q209" s="85">
        <f>Données_historiques!Q26</f>
        <v>0</v>
      </c>
      <c r="R209" s="85">
        <f>Données_historiques!R26</f>
        <v>0</v>
      </c>
      <c r="S209" s="85">
        <f>Données_historiques!S26</f>
        <v>0</v>
      </c>
      <c r="T209" s="85">
        <f>Données_historiques!T26</f>
        <v>0</v>
      </c>
      <c r="U209" s="85">
        <f>Données_historiques!U26</f>
        <v>14559.87</v>
      </c>
      <c r="V209" s="85">
        <f>Données_historiques!V26</f>
        <v>148309.84</v>
      </c>
      <c r="W209" s="85">
        <f>Données_historiques!W26</f>
        <v>890807.46</v>
      </c>
      <c r="X209" s="85">
        <f>Données_historiques!X26</f>
        <v>234430.93</v>
      </c>
      <c r="Y209" s="85">
        <f>Données_historiques!Y26</f>
        <v>2315794.2000000002</v>
      </c>
      <c r="Z209" s="85">
        <f>Données_historiques!Z26</f>
        <v>2375652.29</v>
      </c>
      <c r="AA209" s="85">
        <f>Données_historiques!AA26</f>
        <v>1888569.45</v>
      </c>
      <c r="AB209" s="85">
        <f>Données_historiques!AB26</f>
        <v>1044032.1399999999</v>
      </c>
      <c r="AC209" s="85">
        <f>Données_historiques!AC26</f>
        <v>1134493.48</v>
      </c>
      <c r="AD209" s="85">
        <f>Données_historiques!AD26</f>
        <v>1147931.47</v>
      </c>
      <c r="AE209" s="85">
        <f>Données_historiques!AE26</f>
        <v>838255.64</v>
      </c>
      <c r="AF209" s="85">
        <f>Données_historiques!AF26</f>
        <v>1314362.21</v>
      </c>
      <c r="AG209" s="85">
        <f>Données_historiques!AG26</f>
        <v>1063650.3399999999</v>
      </c>
      <c r="AH209" s="85">
        <f>Données_historiques!AH26</f>
        <v>1326775.6399999999</v>
      </c>
      <c r="AI209" s="85">
        <f>Données_historiques!AI26</f>
        <v>1348086.03</v>
      </c>
      <c r="AJ209" s="85">
        <f>Données_historiques!AJ26</f>
        <v>967246.41</v>
      </c>
      <c r="AK209" s="85">
        <f>Données_historiques!AK26</f>
        <v>1934359.77</v>
      </c>
      <c r="AL209" s="85">
        <f>Données_historiques!AL26</f>
        <v>0</v>
      </c>
      <c r="AM209" s="85">
        <f>Données_historiques!AM26</f>
        <v>0</v>
      </c>
      <c r="AN209" s="85">
        <f>Données_historiques!AN26</f>
        <v>0</v>
      </c>
      <c r="AO209" s="85">
        <f>Données_historiques!AO26</f>
        <v>0</v>
      </c>
      <c r="AP209" s="85">
        <f>Données_historiques!AP26</f>
        <v>0</v>
      </c>
      <c r="AQ209" s="85">
        <f>Données_historiques!AQ26</f>
        <v>0</v>
      </c>
      <c r="AR209" s="85">
        <f>Données_historiques!AR26</f>
        <v>0</v>
      </c>
      <c r="AS209" s="85">
        <f>Données_historiques!AS26</f>
        <v>0</v>
      </c>
      <c r="AT209" s="85">
        <f>Données_historiques!AT26</f>
        <v>0</v>
      </c>
      <c r="AU209" s="85">
        <f>Données_historiques!AU26</f>
        <v>0</v>
      </c>
      <c r="AV209" s="85">
        <f>Données_historiques!AV26</f>
        <v>0</v>
      </c>
      <c r="AW209" s="85">
        <f>Données_historiques!AW26</f>
        <v>0</v>
      </c>
      <c r="AX209" s="85">
        <f>Données_historiques!AX26</f>
        <v>0</v>
      </c>
      <c r="AY209" s="85">
        <f>Données_historiques!AY26</f>
        <v>0</v>
      </c>
      <c r="AZ209" s="85">
        <f>Données_historiques!AZ26</f>
        <v>0</v>
      </c>
      <c r="BA209" s="85">
        <f>Données_historiques!BA26</f>
        <v>0</v>
      </c>
      <c r="BB209" s="85">
        <f>Données_historiques!BB26</f>
        <v>0</v>
      </c>
      <c r="BC209" s="85">
        <f>Données_historiques!BC26</f>
        <v>0</v>
      </c>
      <c r="BD209" s="85">
        <f>Données_historiques!BD26</f>
        <v>0</v>
      </c>
      <c r="BE209" s="85">
        <f>Données_historiques!BE26</f>
        <v>0</v>
      </c>
      <c r="BF209" s="85">
        <f>Données_historiques!BF26</f>
        <v>0</v>
      </c>
      <c r="BG209" s="85">
        <f>Données_historiques!BG26</f>
        <v>0</v>
      </c>
      <c r="BH209" s="85">
        <f>Données_historiques!BH26</f>
        <v>0</v>
      </c>
      <c r="BI209" s="85">
        <f>Données_historiques!BI26</f>
        <v>0</v>
      </c>
    </row>
    <row r="210" spans="4:61" x14ac:dyDescent="0.35"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</row>
    <row r="211" spans="4:61" x14ac:dyDescent="0.35">
      <c r="E211" t="str">
        <f>E202</f>
        <v>Volumes-Paiement de l'avance</v>
      </c>
      <c r="J211" t="str">
        <f>J202</f>
        <v>Volume</v>
      </c>
      <c r="N211" s="41">
        <f t="shared" ref="N211:BI211" si="148">N202</f>
        <v>0</v>
      </c>
      <c r="O211" s="41">
        <f t="shared" si="148"/>
        <v>0</v>
      </c>
      <c r="P211" s="41">
        <f t="shared" si="148"/>
        <v>0</v>
      </c>
      <c r="Q211" s="41">
        <f t="shared" si="148"/>
        <v>3.1593235291023631E-5</v>
      </c>
      <c r="R211" s="41">
        <f t="shared" si="148"/>
        <v>0.56532675996811621</v>
      </c>
      <c r="S211" s="41">
        <f t="shared" si="148"/>
        <v>8.7530329823154815</v>
      </c>
      <c r="T211" s="41">
        <f t="shared" si="148"/>
        <v>39.314610047107848</v>
      </c>
      <c r="U211" s="41">
        <f t="shared" si="148"/>
        <v>67.592350985685599</v>
      </c>
      <c r="V211" s="41">
        <f t="shared" si="148"/>
        <v>146.24918259095674</v>
      </c>
      <c r="W211" s="41">
        <f t="shared" si="148"/>
        <v>209.69992370540453</v>
      </c>
      <c r="X211" s="41">
        <f t="shared" si="148"/>
        <v>114.71770189387152</v>
      </c>
      <c r="Y211" s="41">
        <f t="shared" si="148"/>
        <v>124.00092992593133</v>
      </c>
      <c r="Z211" s="41">
        <f t="shared" si="148"/>
        <v>175.84219306504141</v>
      </c>
      <c r="AA211" s="41">
        <f t="shared" si="148"/>
        <v>232.83393109249963</v>
      </c>
      <c r="AB211" s="41">
        <f t="shared" si="148"/>
        <v>271.86080758803985</v>
      </c>
      <c r="AC211" s="41">
        <f t="shared" si="148"/>
        <v>326.81491026089196</v>
      </c>
      <c r="AD211" s="41">
        <f t="shared" si="148"/>
        <v>380.67482060627714</v>
      </c>
      <c r="AE211" s="41">
        <f t="shared" si="148"/>
        <v>451.15340229904399</v>
      </c>
      <c r="AF211" s="41">
        <f t="shared" si="148"/>
        <v>459.85530695114517</v>
      </c>
      <c r="AG211" s="41">
        <f t="shared" si="148"/>
        <v>567.32978795123734</v>
      </c>
      <c r="AH211" s="41">
        <f t="shared" si="148"/>
        <v>473.94508682100383</v>
      </c>
      <c r="AI211" s="41">
        <f t="shared" si="148"/>
        <v>417.94156278575082</v>
      </c>
      <c r="AJ211" s="41">
        <f t="shared" si="148"/>
        <v>417.22509110338746</v>
      </c>
      <c r="AK211" s="41">
        <f t="shared" si="148"/>
        <v>507.3170095287748</v>
      </c>
      <c r="AL211" s="41">
        <f t="shared" si="148"/>
        <v>519.07175112205289</v>
      </c>
      <c r="AM211" s="41">
        <f t="shared" si="148"/>
        <v>525.70779379745477</v>
      </c>
      <c r="AN211" s="41">
        <f t="shared" si="148"/>
        <v>527.18162972669825</v>
      </c>
      <c r="AO211" s="41">
        <f t="shared" si="148"/>
        <v>531.21874282384783</v>
      </c>
      <c r="AP211" s="41">
        <f t="shared" si="148"/>
        <v>605.87882220696713</v>
      </c>
      <c r="AQ211" s="41">
        <f t="shared" si="148"/>
        <v>579.91662112504844</v>
      </c>
      <c r="AR211" s="41">
        <f t="shared" si="148"/>
        <v>597.81844117878063</v>
      </c>
      <c r="AS211" s="41">
        <f t="shared" si="148"/>
        <v>567.59142640084099</v>
      </c>
      <c r="AT211" s="41">
        <f t="shared" si="148"/>
        <v>494.05572651414161</v>
      </c>
      <c r="AU211" s="41">
        <f t="shared" si="148"/>
        <v>415.04635866393687</v>
      </c>
      <c r="AV211" s="41">
        <f t="shared" si="148"/>
        <v>470.67328336813205</v>
      </c>
      <c r="AW211" s="41">
        <f t="shared" si="148"/>
        <v>561.75737170011939</v>
      </c>
      <c r="AX211" s="41">
        <f t="shared" si="148"/>
        <v>590.68044140811537</v>
      </c>
      <c r="AY211" s="41">
        <f t="shared" si="148"/>
        <v>585.16855498228631</v>
      </c>
      <c r="AZ211" s="41">
        <f t="shared" si="148"/>
        <v>584.41123314491801</v>
      </c>
      <c r="BA211" s="41">
        <f t="shared" si="148"/>
        <v>585.2107032846219</v>
      </c>
      <c r="BB211" s="41">
        <f t="shared" si="148"/>
        <v>666.57253820498966</v>
      </c>
      <c r="BC211" s="41">
        <f t="shared" si="148"/>
        <v>637.91263229349408</v>
      </c>
      <c r="BD211" s="41">
        <f t="shared" si="148"/>
        <v>657.6004146905774</v>
      </c>
      <c r="BE211" s="41">
        <f t="shared" si="148"/>
        <v>624.35057043829352</v>
      </c>
      <c r="BF211" s="41">
        <f t="shared" si="148"/>
        <v>543.46129917228836</v>
      </c>
      <c r="BG211" s="41">
        <f t="shared" si="148"/>
        <v>456.55099453034575</v>
      </c>
      <c r="BH211" s="41">
        <f t="shared" si="148"/>
        <v>517.74061170494531</v>
      </c>
      <c r="BI211" s="41">
        <f t="shared" si="148"/>
        <v>617.93310887013126</v>
      </c>
    </row>
    <row r="212" spans="4:61" x14ac:dyDescent="0.35">
      <c r="E212" t="str">
        <f>E203</f>
        <v>Montant avance payée - Trajectoire</v>
      </c>
      <c r="J212" t="str">
        <f>J203</f>
        <v>EUR</v>
      </c>
      <c r="N212" s="41">
        <f t="shared" ref="N212:BI212" si="149">N203</f>
        <v>0</v>
      </c>
      <c r="O212" s="41">
        <f t="shared" si="149"/>
        <v>0</v>
      </c>
      <c r="P212" s="41">
        <f t="shared" si="149"/>
        <v>0</v>
      </c>
      <c r="Q212" s="41">
        <f t="shared" si="149"/>
        <v>3.1584118207439074E-2</v>
      </c>
      <c r="R212" s="41">
        <f t="shared" si="149"/>
        <v>565.15271678438171</v>
      </c>
      <c r="S212" s="41">
        <f t="shared" si="149"/>
        <v>8627.0133860506321</v>
      </c>
      <c r="T212" s="41">
        <f t="shared" si="149"/>
        <v>39626.841080727005</v>
      </c>
      <c r="U212" s="41">
        <f t="shared" si="149"/>
        <v>98127.090726317634</v>
      </c>
      <c r="V212" s="41">
        <f t="shared" si="149"/>
        <v>313882.21363865479</v>
      </c>
      <c r="W212" s="41">
        <f t="shared" si="149"/>
        <v>544907.14528280788</v>
      </c>
      <c r="X212" s="41">
        <f t="shared" si="149"/>
        <v>205408.69024132105</v>
      </c>
      <c r="Y212" s="41">
        <f t="shared" si="149"/>
        <v>176589.12314248079</v>
      </c>
      <c r="Z212" s="41">
        <f t="shared" si="149"/>
        <v>233413.19456203983</v>
      </c>
      <c r="AA212" s="41">
        <f t="shared" si="149"/>
        <v>314825.48820649623</v>
      </c>
      <c r="AB212" s="41">
        <f t="shared" si="149"/>
        <v>338902.7960435233</v>
      </c>
      <c r="AC212" s="41">
        <f t="shared" si="149"/>
        <v>333347.3515791411</v>
      </c>
      <c r="AD212" s="41">
        <f t="shared" si="149"/>
        <v>445720.14176894614</v>
      </c>
      <c r="AE212" s="41">
        <f t="shared" si="149"/>
        <v>507830.58971893194</v>
      </c>
      <c r="AF212" s="41">
        <f t="shared" si="149"/>
        <v>584826.33235332626</v>
      </c>
      <c r="AG212" s="41">
        <f t="shared" si="149"/>
        <v>764158.57800447033</v>
      </c>
      <c r="AH212" s="41">
        <f t="shared" si="149"/>
        <v>723379.57553819031</v>
      </c>
      <c r="AI212" s="41">
        <f t="shared" si="149"/>
        <v>634193.23230376188</v>
      </c>
      <c r="AJ212" s="41">
        <f t="shared" si="149"/>
        <v>595289.46537265088</v>
      </c>
      <c r="AK212" s="41">
        <f t="shared" si="149"/>
        <v>687892.61457741179</v>
      </c>
      <c r="AL212" s="41">
        <f t="shared" si="149"/>
        <v>773979.87319071963</v>
      </c>
      <c r="AM212" s="41">
        <f t="shared" si="149"/>
        <v>816924.97757205111</v>
      </c>
      <c r="AN212" s="41">
        <f t="shared" si="149"/>
        <v>768033.22710850392</v>
      </c>
      <c r="AO212" s="41">
        <f t="shared" si="149"/>
        <v>746334.52180678945</v>
      </c>
      <c r="AP212" s="41">
        <f t="shared" si="149"/>
        <v>842746.0689498398</v>
      </c>
      <c r="AQ212" s="41">
        <f t="shared" si="149"/>
        <v>805399.78939779801</v>
      </c>
      <c r="AR212" s="41">
        <f t="shared" si="149"/>
        <v>830195.09692507039</v>
      </c>
      <c r="AS212" s="41">
        <f t="shared" si="149"/>
        <v>788216.52635939815</v>
      </c>
      <c r="AT212" s="41">
        <f t="shared" si="149"/>
        <v>686097.17838237528</v>
      </c>
      <c r="AU212" s="41">
        <f t="shared" si="149"/>
        <v>576376.55074755475</v>
      </c>
      <c r="AV212" s="41">
        <f t="shared" si="149"/>
        <v>653625.88523822324</v>
      </c>
      <c r="AW212" s="41">
        <f t="shared" si="149"/>
        <v>780114.72573726426</v>
      </c>
      <c r="AX212" s="41">
        <f t="shared" si="149"/>
        <v>820280.43500156479</v>
      </c>
      <c r="AY212" s="41">
        <f t="shared" si="149"/>
        <v>813610.07326757628</v>
      </c>
      <c r="AZ212" s="41">
        <f t="shared" si="149"/>
        <v>825948.44466856192</v>
      </c>
      <c r="BA212" s="41">
        <f t="shared" si="149"/>
        <v>834688.39944637311</v>
      </c>
      <c r="BB212" s="41">
        <f t="shared" si="149"/>
        <v>953070.52620964602</v>
      </c>
      <c r="BC212" s="41">
        <f t="shared" si="149"/>
        <v>912429.67286190216</v>
      </c>
      <c r="BD212" s="41">
        <f t="shared" si="149"/>
        <v>940608.11207834224</v>
      </c>
      <c r="BE212" s="41">
        <f t="shared" si="149"/>
        <v>893049.29074344435</v>
      </c>
      <c r="BF212" s="41">
        <f t="shared" si="149"/>
        <v>777348.10294065916</v>
      </c>
      <c r="BG212" s="41">
        <f t="shared" si="149"/>
        <v>653034.63199660252</v>
      </c>
      <c r="BH212" s="41">
        <f t="shared" si="149"/>
        <v>740558.1279749067</v>
      </c>
      <c r="BI212" s="41">
        <f t="shared" si="149"/>
        <v>883869.98426032066</v>
      </c>
    </row>
    <row r="214" spans="4:61" s="8" customFormat="1" x14ac:dyDescent="0.35">
      <c r="E214" s="28" t="str">
        <f>"Volumes-"&amp;Paramétrage_général!I30&amp;"-Projection"</f>
        <v>Volumes-Paiement de l'avance-Projection</v>
      </c>
      <c r="F214" s="28"/>
      <c r="G214" s="28"/>
      <c r="H214" s="28"/>
      <c r="I214" s="28"/>
      <c r="J214" s="28" t="s">
        <v>50</v>
      </c>
      <c r="K214" s="28"/>
      <c r="L214" s="28"/>
      <c r="M214" s="28"/>
      <c r="N214" s="88">
        <f t="shared" ref="N214:BI214" si="150">(1-N$207)*N208+N$207*N211</f>
        <v>0</v>
      </c>
      <c r="O214" s="88">
        <f t="shared" si="150"/>
        <v>0</v>
      </c>
      <c r="P214" s="88">
        <f t="shared" si="150"/>
        <v>0</v>
      </c>
      <c r="Q214" s="88">
        <f t="shared" si="150"/>
        <v>0</v>
      </c>
      <c r="R214" s="88">
        <f t="shared" si="150"/>
        <v>0</v>
      </c>
      <c r="S214" s="88">
        <f t="shared" si="150"/>
        <v>0</v>
      </c>
      <c r="T214" s="88">
        <f t="shared" si="150"/>
        <v>0</v>
      </c>
      <c r="U214" s="88">
        <f t="shared" si="150"/>
        <v>5</v>
      </c>
      <c r="V214" s="88">
        <f t="shared" si="150"/>
        <v>25</v>
      </c>
      <c r="W214" s="88">
        <f t="shared" si="150"/>
        <v>195</v>
      </c>
      <c r="X214" s="88">
        <f t="shared" si="150"/>
        <v>51</v>
      </c>
      <c r="Y214" s="88">
        <f t="shared" si="150"/>
        <v>590</v>
      </c>
      <c r="Z214" s="88">
        <f t="shared" si="150"/>
        <v>707</v>
      </c>
      <c r="AA214" s="88">
        <f t="shared" si="150"/>
        <v>743</v>
      </c>
      <c r="AB214" s="88">
        <f t="shared" si="150"/>
        <v>462</v>
      </c>
      <c r="AC214" s="88">
        <f t="shared" si="150"/>
        <v>505</v>
      </c>
      <c r="AD214" s="88">
        <f t="shared" si="150"/>
        <v>491</v>
      </c>
      <c r="AE214" s="88">
        <f t="shared" si="150"/>
        <v>422</v>
      </c>
      <c r="AF214" s="88">
        <f t="shared" si="150"/>
        <v>592</v>
      </c>
      <c r="AG214" s="88">
        <f t="shared" si="150"/>
        <v>430</v>
      </c>
      <c r="AH214" s="88">
        <f t="shared" si="150"/>
        <v>555</v>
      </c>
      <c r="AI214" s="88">
        <f t="shared" si="150"/>
        <v>487</v>
      </c>
      <c r="AJ214" s="88">
        <f t="shared" si="150"/>
        <v>325</v>
      </c>
      <c r="AK214" s="88">
        <f t="shared" si="150"/>
        <v>762</v>
      </c>
      <c r="AL214" s="88">
        <f t="shared" si="150"/>
        <v>519.07175112205289</v>
      </c>
      <c r="AM214" s="88">
        <f t="shared" si="150"/>
        <v>525.70779379745477</v>
      </c>
      <c r="AN214" s="88">
        <f t="shared" si="150"/>
        <v>527.18162972669825</v>
      </c>
      <c r="AO214" s="88">
        <f t="shared" si="150"/>
        <v>531.21874282384783</v>
      </c>
      <c r="AP214" s="88">
        <f t="shared" si="150"/>
        <v>605.87882220696713</v>
      </c>
      <c r="AQ214" s="88">
        <f t="shared" si="150"/>
        <v>579.91662112504844</v>
      </c>
      <c r="AR214" s="88">
        <f t="shared" si="150"/>
        <v>597.81844117878063</v>
      </c>
      <c r="AS214" s="88">
        <f t="shared" si="150"/>
        <v>567.59142640084099</v>
      </c>
      <c r="AT214" s="88">
        <f t="shared" si="150"/>
        <v>494.05572651414161</v>
      </c>
      <c r="AU214" s="88">
        <f t="shared" si="150"/>
        <v>415.04635866393687</v>
      </c>
      <c r="AV214" s="88">
        <f t="shared" si="150"/>
        <v>470.67328336813205</v>
      </c>
      <c r="AW214" s="88">
        <f t="shared" si="150"/>
        <v>561.75737170011939</v>
      </c>
      <c r="AX214" s="88">
        <f t="shared" si="150"/>
        <v>590.68044140811537</v>
      </c>
      <c r="AY214" s="88">
        <f t="shared" si="150"/>
        <v>585.16855498228631</v>
      </c>
      <c r="AZ214" s="88">
        <f t="shared" si="150"/>
        <v>584.41123314491801</v>
      </c>
      <c r="BA214" s="88">
        <f t="shared" si="150"/>
        <v>585.2107032846219</v>
      </c>
      <c r="BB214" s="88">
        <f t="shared" si="150"/>
        <v>666.57253820498966</v>
      </c>
      <c r="BC214" s="88">
        <f t="shared" si="150"/>
        <v>637.91263229349408</v>
      </c>
      <c r="BD214" s="88">
        <f t="shared" si="150"/>
        <v>657.6004146905774</v>
      </c>
      <c r="BE214" s="88">
        <f t="shared" si="150"/>
        <v>624.35057043829352</v>
      </c>
      <c r="BF214" s="88">
        <f t="shared" si="150"/>
        <v>543.46129917228836</v>
      </c>
      <c r="BG214" s="88">
        <f t="shared" si="150"/>
        <v>456.55099453034575</v>
      </c>
      <c r="BH214" s="88">
        <f t="shared" si="150"/>
        <v>517.74061170494531</v>
      </c>
      <c r="BI214" s="88">
        <f t="shared" si="150"/>
        <v>617.93310887013126</v>
      </c>
    </row>
    <row r="215" spans="4:61" s="8" customFormat="1" x14ac:dyDescent="0.35">
      <c r="E215" s="18" t="str">
        <f>"Montant-"&amp;Paramétrage_général!I$30&amp;"-Projection"</f>
        <v>Montant-Paiement de l'avance-Projection</v>
      </c>
      <c r="F215" s="18"/>
      <c r="G215" s="18"/>
      <c r="H215" s="18"/>
      <c r="I215" s="18"/>
      <c r="J215" s="18" t="s">
        <v>51</v>
      </c>
      <c r="K215" s="18"/>
      <c r="L215" s="18"/>
      <c r="M215" s="18"/>
      <c r="N215" s="90">
        <f>(1-N$207)*N209+N$207*N212</f>
        <v>0</v>
      </c>
      <c r="O215" s="90">
        <f t="shared" ref="O215:BI215" si="151">(1-O$207)*O209+O$207*O212</f>
        <v>0</v>
      </c>
      <c r="P215" s="90">
        <f t="shared" si="151"/>
        <v>0</v>
      </c>
      <c r="Q215" s="90">
        <f t="shared" si="151"/>
        <v>0</v>
      </c>
      <c r="R215" s="90">
        <f t="shared" si="151"/>
        <v>0</v>
      </c>
      <c r="S215" s="90">
        <f t="shared" si="151"/>
        <v>0</v>
      </c>
      <c r="T215" s="90">
        <f t="shared" si="151"/>
        <v>0</v>
      </c>
      <c r="U215" s="90">
        <f t="shared" si="151"/>
        <v>14559.87</v>
      </c>
      <c r="V215" s="90">
        <f t="shared" si="151"/>
        <v>148309.84</v>
      </c>
      <c r="W215" s="90">
        <f t="shared" si="151"/>
        <v>890807.46</v>
      </c>
      <c r="X215" s="90">
        <f t="shared" si="151"/>
        <v>234430.93</v>
      </c>
      <c r="Y215" s="90">
        <f t="shared" si="151"/>
        <v>2315794.2000000002</v>
      </c>
      <c r="Z215" s="90">
        <f t="shared" si="151"/>
        <v>2375652.29</v>
      </c>
      <c r="AA215" s="90">
        <f t="shared" si="151"/>
        <v>1888569.45</v>
      </c>
      <c r="AB215" s="90">
        <f t="shared" si="151"/>
        <v>1044032.1399999999</v>
      </c>
      <c r="AC215" s="90">
        <f t="shared" si="151"/>
        <v>1134493.48</v>
      </c>
      <c r="AD215" s="90">
        <f t="shared" si="151"/>
        <v>1147931.47</v>
      </c>
      <c r="AE215" s="90">
        <f t="shared" si="151"/>
        <v>838255.64</v>
      </c>
      <c r="AF215" s="90">
        <f t="shared" si="151"/>
        <v>1314362.21</v>
      </c>
      <c r="AG215" s="90">
        <f t="shared" si="151"/>
        <v>1063650.3399999999</v>
      </c>
      <c r="AH215" s="90">
        <f t="shared" si="151"/>
        <v>1326775.6399999999</v>
      </c>
      <c r="AI215" s="90">
        <f t="shared" si="151"/>
        <v>1348086.03</v>
      </c>
      <c r="AJ215" s="90">
        <f t="shared" si="151"/>
        <v>967246.41</v>
      </c>
      <c r="AK215" s="90">
        <f t="shared" si="151"/>
        <v>1934359.77</v>
      </c>
      <c r="AL215" s="90">
        <f t="shared" si="151"/>
        <v>773979.87319071963</v>
      </c>
      <c r="AM215" s="90">
        <f t="shared" si="151"/>
        <v>816924.97757205111</v>
      </c>
      <c r="AN215" s="90">
        <f t="shared" si="151"/>
        <v>768033.22710850392</v>
      </c>
      <c r="AO215" s="90">
        <f t="shared" si="151"/>
        <v>746334.52180678945</v>
      </c>
      <c r="AP215" s="90">
        <f t="shared" si="151"/>
        <v>842746.0689498398</v>
      </c>
      <c r="AQ215" s="90">
        <f t="shared" si="151"/>
        <v>805399.78939779801</v>
      </c>
      <c r="AR215" s="90">
        <f t="shared" si="151"/>
        <v>830195.09692507039</v>
      </c>
      <c r="AS215" s="90">
        <f t="shared" si="151"/>
        <v>788216.52635939815</v>
      </c>
      <c r="AT215" s="90">
        <f t="shared" si="151"/>
        <v>686097.17838237528</v>
      </c>
      <c r="AU215" s="90">
        <f t="shared" si="151"/>
        <v>576376.55074755475</v>
      </c>
      <c r="AV215" s="90">
        <f t="shared" si="151"/>
        <v>653625.88523822324</v>
      </c>
      <c r="AW215" s="90">
        <f t="shared" si="151"/>
        <v>780114.72573726426</v>
      </c>
      <c r="AX215" s="90">
        <f t="shared" si="151"/>
        <v>820280.43500156479</v>
      </c>
      <c r="AY215" s="90">
        <f t="shared" si="151"/>
        <v>813610.07326757628</v>
      </c>
      <c r="AZ215" s="90">
        <f t="shared" si="151"/>
        <v>825948.44466856192</v>
      </c>
      <c r="BA215" s="90">
        <f t="shared" si="151"/>
        <v>834688.39944637311</v>
      </c>
      <c r="BB215" s="90">
        <f t="shared" si="151"/>
        <v>953070.52620964602</v>
      </c>
      <c r="BC215" s="90">
        <f t="shared" si="151"/>
        <v>912429.67286190216</v>
      </c>
      <c r="BD215" s="90">
        <f t="shared" si="151"/>
        <v>940608.11207834224</v>
      </c>
      <c r="BE215" s="90">
        <f t="shared" si="151"/>
        <v>893049.29074344435</v>
      </c>
      <c r="BF215" s="90">
        <f t="shared" si="151"/>
        <v>777348.10294065916</v>
      </c>
      <c r="BG215" s="90">
        <f t="shared" si="151"/>
        <v>653034.63199660252</v>
      </c>
      <c r="BH215" s="90">
        <f t="shared" si="151"/>
        <v>740558.1279749067</v>
      </c>
      <c r="BI215" s="90">
        <f t="shared" si="151"/>
        <v>883869.98426032066</v>
      </c>
    </row>
    <row r="217" spans="4:61" x14ac:dyDescent="0.35">
      <c r="D217" s="1" t="s">
        <v>25</v>
      </c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</row>
    <row r="218" spans="4:61" x14ac:dyDescent="0.35"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</row>
  </sheetData>
  <sheetProtection algorithmName="SHA-512" hashValue="ErYQEtdmGfKDbNx8XBrGfoMF20oOkp55vA2fzBqoH2/81WLjilm4mWHQdlGpWmUoqF5RD/YjvZjQLfb5Rfm9ZA==" saltValue="tZ3tPCww5sVbjU/hwoxJEg==" spinCount="100000" sheet="1" objects="1" scenarios="1"/>
  <conditionalFormatting sqref="G2">
    <cfRule type="cellIs" dxfId="39" priority="4" operator="greaterThan">
      <formula>0</formula>
    </cfRule>
    <cfRule type="cellIs" dxfId="38" priority="5" operator="equal">
      <formula>0</formula>
    </cfRule>
  </conditionalFormatting>
  <conditionalFormatting sqref="G1">
    <cfRule type="cellIs" dxfId="37" priority="2" operator="greaterThan">
      <formula>0</formula>
    </cfRule>
    <cfRule type="cellIs" dxfId="36" priority="3" operator="equal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59133BD6-3831-412A-851B-2BFEF0BCFD9C}">
            <xm:f>Paramétrage_général!$I$20</xm:f>
            <x14:dxf>
              <font>
                <b/>
                <i val="0"/>
                <color theme="0"/>
              </font>
              <fill>
                <patternFill>
                  <bgColor rgb="FF002060"/>
                </patternFill>
              </fill>
            </x14:dxf>
          </x14:cfRule>
          <xm:sqref>N4:BI4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BFBFBF"/>
  </sheetPr>
  <dimension ref="B1:BJ250"/>
  <sheetViews>
    <sheetView zoomScale="70" zoomScaleNormal="70" workbookViewId="0">
      <pane xSplit="10" ySplit="6" topLeftCell="L224" activePane="bottomRight" state="frozen"/>
      <selection activeCell="I37" sqref="I37"/>
      <selection pane="topRight" activeCell="I37" sqref="I37"/>
      <selection pane="bottomLeft" activeCell="I37" sqref="I37"/>
      <selection pane="bottomRight" activeCell="N4" sqref="N4:BI4"/>
    </sheetView>
  </sheetViews>
  <sheetFormatPr baseColWidth="10" defaultRowHeight="14.5" x14ac:dyDescent="0.35"/>
  <cols>
    <col min="1" max="4" width="2.6328125" customWidth="1"/>
    <col min="14" max="61" width="13.1796875" bestFit="1" customWidth="1"/>
  </cols>
  <sheetData>
    <row r="1" spans="2:61" s="6" customFormat="1" x14ac:dyDescent="0.35">
      <c r="B1" s="9" t="str">
        <f ca="1">RIGHT(CELL("nomfichier",A1),LEN(CELL("nomfichier",A1))-FIND("]",CELL("nomfichier",A1),1))</f>
        <v>Demandes de solde</v>
      </c>
      <c r="F1" s="54" t="str">
        <f>Controles!F1</f>
        <v>Erreurs</v>
      </c>
      <c r="G1">
        <f>Controles!G1</f>
        <v>0</v>
      </c>
    </row>
    <row r="2" spans="2:61" x14ac:dyDescent="0.35">
      <c r="F2" s="55" t="str">
        <f>Controles!F2</f>
        <v>Alertes</v>
      </c>
      <c r="G2">
        <f>Controles!G2</f>
        <v>0</v>
      </c>
    </row>
    <row r="3" spans="2:61" x14ac:dyDescent="0.35">
      <c r="N3" s="3">
        <f>Time!N20</f>
        <v>43861</v>
      </c>
      <c r="O3" s="3">
        <f>Time!O20</f>
        <v>43890</v>
      </c>
      <c r="P3" s="3">
        <f>Time!P20</f>
        <v>43921</v>
      </c>
      <c r="Q3" s="3">
        <f>Time!Q20</f>
        <v>43951</v>
      </c>
      <c r="R3" s="3">
        <f>Time!R20</f>
        <v>43982</v>
      </c>
      <c r="S3" s="3">
        <f>Time!S20</f>
        <v>44012</v>
      </c>
      <c r="T3" s="3">
        <f>Time!T20</f>
        <v>44043</v>
      </c>
      <c r="U3" s="3">
        <f>Time!U20</f>
        <v>44074</v>
      </c>
      <c r="V3" s="3">
        <f>Time!V20</f>
        <v>44104</v>
      </c>
      <c r="W3" s="3">
        <f>Time!W20</f>
        <v>44135</v>
      </c>
      <c r="X3" s="3">
        <f>Time!X20</f>
        <v>44165</v>
      </c>
      <c r="Y3" s="3">
        <f>Time!Y20</f>
        <v>44196</v>
      </c>
      <c r="Z3" s="3">
        <f>Time!Z20</f>
        <v>44227</v>
      </c>
      <c r="AA3" s="3">
        <f>Time!AA20</f>
        <v>44255</v>
      </c>
      <c r="AB3" s="3">
        <f>Time!AB20</f>
        <v>44286</v>
      </c>
      <c r="AC3" s="3">
        <f>Time!AC20</f>
        <v>44316</v>
      </c>
      <c r="AD3" s="3">
        <f>Time!AD20</f>
        <v>44347</v>
      </c>
      <c r="AE3" s="3">
        <f>Time!AE20</f>
        <v>44377</v>
      </c>
      <c r="AF3" s="3">
        <f>Time!AF20</f>
        <v>44408</v>
      </c>
      <c r="AG3" s="3">
        <f>Time!AG20</f>
        <v>44439</v>
      </c>
      <c r="AH3" s="3">
        <f>Time!AH20</f>
        <v>44469</v>
      </c>
      <c r="AI3" s="3">
        <f>Time!AI20</f>
        <v>44500</v>
      </c>
      <c r="AJ3" s="3">
        <f>Time!AJ20</f>
        <v>44530</v>
      </c>
      <c r="AK3" s="3">
        <f>Time!AK20</f>
        <v>44561</v>
      </c>
      <c r="AL3" s="3">
        <f>Time!AL20</f>
        <v>44592</v>
      </c>
      <c r="AM3" s="3">
        <f>Time!AM20</f>
        <v>44620</v>
      </c>
      <c r="AN3" s="3">
        <f>Time!AN20</f>
        <v>44651</v>
      </c>
      <c r="AO3" s="3">
        <f>Time!AO20</f>
        <v>44681</v>
      </c>
      <c r="AP3" s="3">
        <f>Time!AP20</f>
        <v>44712</v>
      </c>
      <c r="AQ3" s="3">
        <f>Time!AQ20</f>
        <v>44742</v>
      </c>
      <c r="AR3" s="3">
        <f>Time!AR20</f>
        <v>44773</v>
      </c>
      <c r="AS3" s="3">
        <f>Time!AS20</f>
        <v>44804</v>
      </c>
      <c r="AT3" s="3">
        <f>Time!AT20</f>
        <v>44834</v>
      </c>
      <c r="AU3" s="3">
        <f>Time!AU20</f>
        <v>44865</v>
      </c>
      <c r="AV3" s="3">
        <f>Time!AV20</f>
        <v>44895</v>
      </c>
      <c r="AW3" s="3">
        <f>Time!AW20</f>
        <v>44926</v>
      </c>
      <c r="AX3" s="3">
        <f>Time!AX20</f>
        <v>44957</v>
      </c>
      <c r="AY3" s="3">
        <f>Time!AY20</f>
        <v>44985</v>
      </c>
      <c r="AZ3" s="3">
        <f>Time!AZ20</f>
        <v>45016</v>
      </c>
      <c r="BA3" s="3">
        <f>Time!BA20</f>
        <v>45046</v>
      </c>
      <c r="BB3" s="3">
        <f>Time!BB20</f>
        <v>45077</v>
      </c>
      <c r="BC3" s="3">
        <f>Time!BC20</f>
        <v>45107</v>
      </c>
      <c r="BD3" s="3">
        <f>Time!BD20</f>
        <v>45138</v>
      </c>
      <c r="BE3" s="3">
        <f>Time!BE20</f>
        <v>45169</v>
      </c>
      <c r="BF3" s="3">
        <f>Time!BF20</f>
        <v>45199</v>
      </c>
      <c r="BG3" s="3">
        <f>Time!BG20</f>
        <v>45230</v>
      </c>
      <c r="BH3" s="3">
        <f>Time!BH20</f>
        <v>45260</v>
      </c>
      <c r="BI3" s="3">
        <f>Time!BI20</f>
        <v>45291</v>
      </c>
    </row>
    <row r="4" spans="2:61" x14ac:dyDescent="0.35">
      <c r="N4" t="str">
        <f>Time!N41</f>
        <v>Exécution</v>
      </c>
      <c r="O4" t="str">
        <f>Time!O41</f>
        <v>Exécution</v>
      </c>
      <c r="P4" t="str">
        <f>Time!P41</f>
        <v>Exécution</v>
      </c>
      <c r="Q4" t="str">
        <f>Time!Q41</f>
        <v>Exécution</v>
      </c>
      <c r="R4" t="str">
        <f>Time!R41</f>
        <v>Exécution</v>
      </c>
      <c r="S4" s="11" t="str">
        <f>Time!S41</f>
        <v>Exécution</v>
      </c>
      <c r="T4" s="11" t="str">
        <f>Time!T41</f>
        <v>Exécution</v>
      </c>
      <c r="U4" s="11" t="str">
        <f>Time!U41</f>
        <v>Exécution</v>
      </c>
      <c r="V4" s="11" t="str">
        <f>Time!V41</f>
        <v>Exécution</v>
      </c>
      <c r="W4" s="11" t="str">
        <f>Time!W41</f>
        <v>Exécution</v>
      </c>
      <c r="X4" s="11" t="str">
        <f>Time!X41</f>
        <v>Exécution</v>
      </c>
      <c r="Y4" s="11" t="str">
        <f>Time!Y41</f>
        <v>Exécution</v>
      </c>
      <c r="Z4" s="11" t="str">
        <f>Time!Z41</f>
        <v>Exécution</v>
      </c>
      <c r="AA4" s="11" t="str">
        <f>Time!AA41</f>
        <v>Exécution</v>
      </c>
      <c r="AB4" s="11" t="str">
        <f>Time!AB41</f>
        <v>Exécution</v>
      </c>
      <c r="AC4" s="11" t="str">
        <f>Time!AC41</f>
        <v>Exécution</v>
      </c>
      <c r="AD4" s="11" t="str">
        <f>Time!AD41</f>
        <v>Exécution</v>
      </c>
      <c r="AE4" s="11" t="str">
        <f>Time!AE41</f>
        <v>Exécution</v>
      </c>
      <c r="AF4" s="11" t="str">
        <f>Time!AF41</f>
        <v>Exécution</v>
      </c>
      <c r="AG4" s="11" t="str">
        <f>Time!AG41</f>
        <v>Exécution</v>
      </c>
      <c r="AH4" s="11" t="str">
        <f>Time!AH41</f>
        <v>Exécution</v>
      </c>
      <c r="AI4" s="11" t="str">
        <f>Time!AI41</f>
        <v>Exécution</v>
      </c>
      <c r="AJ4" s="11" t="str">
        <f>Time!AJ41</f>
        <v>Exécution</v>
      </c>
      <c r="AK4" s="11" t="str">
        <f>Time!AK41</f>
        <v>Exécution</v>
      </c>
      <c r="AL4" s="11" t="str">
        <f>Time!AL41</f>
        <v>Trajectoire</v>
      </c>
      <c r="AM4" s="11" t="str">
        <f>Time!AM41</f>
        <v>Trajectoire</v>
      </c>
      <c r="AN4" s="11" t="str">
        <f>Time!AN41</f>
        <v>Trajectoire</v>
      </c>
      <c r="AO4" s="11" t="str">
        <f>Time!AO41</f>
        <v>Trajectoire</v>
      </c>
      <c r="AP4" s="11" t="str">
        <f>Time!AP41</f>
        <v>Trajectoire</v>
      </c>
      <c r="AQ4" s="11" t="str">
        <f>Time!AQ41</f>
        <v>Trajectoire</v>
      </c>
      <c r="AR4" s="11" t="str">
        <f>Time!AR41</f>
        <v>Trajectoire</v>
      </c>
      <c r="AS4" s="11" t="str">
        <f>Time!AS41</f>
        <v>Trajectoire</v>
      </c>
      <c r="AT4" s="11" t="str">
        <f>Time!AT41</f>
        <v>Trajectoire</v>
      </c>
      <c r="AU4" s="11" t="str">
        <f>Time!AU41</f>
        <v>Trajectoire</v>
      </c>
      <c r="AV4" s="11" t="str">
        <f>Time!AV41</f>
        <v>Trajectoire</v>
      </c>
      <c r="AW4" s="11" t="str">
        <f>Time!AW41</f>
        <v>Trajectoire</v>
      </c>
      <c r="AX4" s="11" t="str">
        <f>Time!AX41</f>
        <v>Trajectoire</v>
      </c>
      <c r="AY4" s="11" t="str">
        <f>Time!AY41</f>
        <v>Trajectoire</v>
      </c>
      <c r="AZ4" s="11" t="str">
        <f>Time!AZ41</f>
        <v>Trajectoire</v>
      </c>
      <c r="BA4" s="11" t="str">
        <f>Time!BA41</f>
        <v>Trajectoire</v>
      </c>
      <c r="BB4" s="11" t="str">
        <f>Time!BB41</f>
        <v>Trajectoire</v>
      </c>
      <c r="BC4" s="11" t="str">
        <f>Time!BC41</f>
        <v>Trajectoire</v>
      </c>
      <c r="BD4" s="11" t="str">
        <f>Time!BD41</f>
        <v>Trajectoire</v>
      </c>
      <c r="BE4" s="11" t="str">
        <f>Time!BE41</f>
        <v>Trajectoire</v>
      </c>
      <c r="BF4" s="11" t="str">
        <f>Time!BF41</f>
        <v>Trajectoire</v>
      </c>
      <c r="BG4" s="11" t="str">
        <f>Time!BG41</f>
        <v>Trajectoire</v>
      </c>
      <c r="BH4" s="11" t="str">
        <f>Time!BH41</f>
        <v>Trajectoire</v>
      </c>
      <c r="BI4" s="11" t="str">
        <f>Time!BI41</f>
        <v>Trajectoire</v>
      </c>
    </row>
    <row r="5" spans="2:61" x14ac:dyDescent="0.35">
      <c r="N5" s="3">
        <f>Time!N54</f>
        <v>44196</v>
      </c>
      <c r="O5" s="3">
        <f>Time!O54</f>
        <v>44196</v>
      </c>
      <c r="P5" s="3">
        <f>Time!P54</f>
        <v>44196</v>
      </c>
      <c r="Q5" s="3">
        <f>Time!Q54</f>
        <v>44196</v>
      </c>
      <c r="R5" s="3">
        <f>Time!R54</f>
        <v>44196</v>
      </c>
      <c r="S5" s="3">
        <f>Time!S54</f>
        <v>44196</v>
      </c>
      <c r="T5" s="3">
        <f>Time!T54</f>
        <v>44196</v>
      </c>
      <c r="U5" s="3">
        <f>Time!U54</f>
        <v>44196</v>
      </c>
      <c r="V5" s="3">
        <f>Time!V54</f>
        <v>44196</v>
      </c>
      <c r="W5" s="3">
        <f>Time!W54</f>
        <v>44196</v>
      </c>
      <c r="X5" s="3">
        <f>Time!X54</f>
        <v>44196</v>
      </c>
      <c r="Y5" s="3">
        <f>Time!Y54</f>
        <v>44196</v>
      </c>
      <c r="Z5" s="3">
        <f>Time!Z54</f>
        <v>44561</v>
      </c>
      <c r="AA5" s="3">
        <f>Time!AA54</f>
        <v>44561</v>
      </c>
      <c r="AB5" s="3">
        <f>Time!AB54</f>
        <v>44561</v>
      </c>
      <c r="AC5" s="3">
        <f>Time!AC54</f>
        <v>44561</v>
      </c>
      <c r="AD5" s="3">
        <f>Time!AD54</f>
        <v>44561</v>
      </c>
      <c r="AE5" s="3">
        <f>Time!AE54</f>
        <v>44561</v>
      </c>
      <c r="AF5" s="3">
        <f>Time!AF54</f>
        <v>44561</v>
      </c>
      <c r="AG5" s="3">
        <f>Time!AG54</f>
        <v>44561</v>
      </c>
      <c r="AH5" s="3">
        <f>Time!AH54</f>
        <v>44561</v>
      </c>
      <c r="AI5" s="3">
        <f>Time!AI54</f>
        <v>44561</v>
      </c>
      <c r="AJ5" s="3">
        <f>Time!AJ54</f>
        <v>44561</v>
      </c>
      <c r="AK5" s="3">
        <f>Time!AK54</f>
        <v>44561</v>
      </c>
      <c r="AL5" s="3">
        <f>Time!AL54</f>
        <v>44926</v>
      </c>
      <c r="AM5" s="3">
        <f>Time!AM54</f>
        <v>44926</v>
      </c>
      <c r="AN5" s="3">
        <f>Time!AN54</f>
        <v>44926</v>
      </c>
      <c r="AO5" s="3">
        <f>Time!AO54</f>
        <v>44926</v>
      </c>
      <c r="AP5" s="3">
        <f>Time!AP54</f>
        <v>44926</v>
      </c>
      <c r="AQ5" s="3">
        <f>Time!AQ54</f>
        <v>44926</v>
      </c>
      <c r="AR5" s="3">
        <f>Time!AR54</f>
        <v>44926</v>
      </c>
      <c r="AS5" s="3">
        <f>Time!AS54</f>
        <v>44926</v>
      </c>
      <c r="AT5" s="3">
        <f>Time!AT54</f>
        <v>44926</v>
      </c>
      <c r="AU5" s="3">
        <f>Time!AU54</f>
        <v>44926</v>
      </c>
      <c r="AV5" s="3">
        <f>Time!AV54</f>
        <v>44926</v>
      </c>
      <c r="AW5" s="3">
        <f>Time!AW54</f>
        <v>44926</v>
      </c>
      <c r="AX5" s="3">
        <f>Time!AX54</f>
        <v>45291</v>
      </c>
      <c r="AY5" s="3">
        <f>Time!AY54</f>
        <v>45291</v>
      </c>
      <c r="AZ5" s="3">
        <f>Time!AZ54</f>
        <v>45291</v>
      </c>
      <c r="BA5" s="3">
        <f>Time!BA54</f>
        <v>45291</v>
      </c>
      <c r="BB5" s="3">
        <f>Time!BB54</f>
        <v>45291</v>
      </c>
      <c r="BC5" s="3">
        <f>Time!BC54</f>
        <v>45291</v>
      </c>
      <c r="BD5" s="3">
        <f>Time!BD54</f>
        <v>45291</v>
      </c>
      <c r="BE5" s="3">
        <f>Time!BE54</f>
        <v>45291</v>
      </c>
      <c r="BF5" s="3">
        <f>Time!BF54</f>
        <v>45291</v>
      </c>
      <c r="BG5" s="3">
        <f>Time!BG54</f>
        <v>45291</v>
      </c>
      <c r="BH5" s="3">
        <f>Time!BH54</f>
        <v>45291</v>
      </c>
      <c r="BI5" s="3">
        <f>Time!BI54</f>
        <v>45291</v>
      </c>
    </row>
    <row r="6" spans="2:61" s="2" customFormat="1" x14ac:dyDescent="0.35">
      <c r="I6" s="2" t="s">
        <v>0</v>
      </c>
      <c r="J6" s="2" t="s">
        <v>1</v>
      </c>
      <c r="K6" s="2" t="s">
        <v>2</v>
      </c>
    </row>
    <row r="8" spans="2:61" x14ac:dyDescent="0.35">
      <c r="D8" s="1" t="s">
        <v>81</v>
      </c>
    </row>
    <row r="9" spans="2:61" s="4" customFormat="1" x14ac:dyDescent="0.35"/>
    <row r="10" spans="2:61" s="4" customFormat="1" x14ac:dyDescent="0.35">
      <c r="E10" s="4" t="str">
        <f>Time!E19</f>
        <v>Frise mensuelle-début de période</v>
      </c>
      <c r="I10" s="14"/>
      <c r="J10" s="4" t="str">
        <f>Time!J19</f>
        <v>date</v>
      </c>
      <c r="N10" s="5">
        <f>Time!N19</f>
        <v>43831</v>
      </c>
      <c r="O10" s="5">
        <f>Time!O19</f>
        <v>43862</v>
      </c>
      <c r="P10" s="5">
        <f>Time!P19</f>
        <v>43891</v>
      </c>
      <c r="Q10" s="5">
        <f>Time!Q19</f>
        <v>43922</v>
      </c>
      <c r="R10" s="5">
        <f>Time!R19</f>
        <v>43952</v>
      </c>
      <c r="S10" s="5">
        <f>Time!S19</f>
        <v>43983</v>
      </c>
      <c r="T10" s="5">
        <f>Time!T19</f>
        <v>44013</v>
      </c>
      <c r="U10" s="5">
        <f>Time!U19</f>
        <v>44044</v>
      </c>
      <c r="V10" s="5">
        <f>Time!V19</f>
        <v>44075</v>
      </c>
      <c r="W10" s="5">
        <f>Time!W19</f>
        <v>44105</v>
      </c>
      <c r="X10" s="5">
        <f>Time!X19</f>
        <v>44136</v>
      </c>
      <c r="Y10" s="5">
        <f>Time!Y19</f>
        <v>44166</v>
      </c>
      <c r="Z10" s="5">
        <f>Time!Z19</f>
        <v>44197</v>
      </c>
      <c r="AA10" s="5">
        <f>Time!AA19</f>
        <v>44228</v>
      </c>
      <c r="AB10" s="5">
        <f>Time!AB19</f>
        <v>44256</v>
      </c>
      <c r="AC10" s="5">
        <f>Time!AC19</f>
        <v>44287</v>
      </c>
      <c r="AD10" s="5">
        <f>Time!AD19</f>
        <v>44317</v>
      </c>
      <c r="AE10" s="5">
        <f>Time!AE19</f>
        <v>44348</v>
      </c>
      <c r="AF10" s="5">
        <f>Time!AF19</f>
        <v>44378</v>
      </c>
      <c r="AG10" s="5">
        <f>Time!AG19</f>
        <v>44409</v>
      </c>
      <c r="AH10" s="5">
        <f>Time!AH19</f>
        <v>44440</v>
      </c>
      <c r="AI10" s="5">
        <f>Time!AI19</f>
        <v>44470</v>
      </c>
      <c r="AJ10" s="5">
        <f>Time!AJ19</f>
        <v>44501</v>
      </c>
      <c r="AK10" s="5">
        <f>Time!AK19</f>
        <v>44531</v>
      </c>
      <c r="AL10" s="5">
        <f>Time!AL19</f>
        <v>44562</v>
      </c>
      <c r="AM10" s="5">
        <f>Time!AM19</f>
        <v>44593</v>
      </c>
      <c r="AN10" s="5">
        <f>Time!AN19</f>
        <v>44621</v>
      </c>
      <c r="AO10" s="5">
        <f>Time!AO19</f>
        <v>44652</v>
      </c>
      <c r="AP10" s="5">
        <f>Time!AP19</f>
        <v>44682</v>
      </c>
      <c r="AQ10" s="5">
        <f>Time!AQ19</f>
        <v>44713</v>
      </c>
      <c r="AR10" s="5">
        <f>Time!AR19</f>
        <v>44743</v>
      </c>
      <c r="AS10" s="5">
        <f>Time!AS19</f>
        <v>44774</v>
      </c>
      <c r="AT10" s="5">
        <f>Time!AT19</f>
        <v>44805</v>
      </c>
      <c r="AU10" s="5">
        <f>Time!AU19</f>
        <v>44835</v>
      </c>
      <c r="AV10" s="5">
        <f>Time!AV19</f>
        <v>44866</v>
      </c>
      <c r="AW10" s="5">
        <f>Time!AW19</f>
        <v>44896</v>
      </c>
      <c r="AX10" s="5">
        <f>Time!AX19</f>
        <v>44927</v>
      </c>
      <c r="AY10" s="5">
        <f>Time!AY19</f>
        <v>44958</v>
      </c>
      <c r="AZ10" s="5">
        <f>Time!AZ19</f>
        <v>44986</v>
      </c>
      <c r="BA10" s="5">
        <f>Time!BA19</f>
        <v>45017</v>
      </c>
      <c r="BB10" s="5">
        <f>Time!BB19</f>
        <v>45047</v>
      </c>
      <c r="BC10" s="5">
        <f>Time!BC19</f>
        <v>45078</v>
      </c>
      <c r="BD10" s="5">
        <f>Time!BD19</f>
        <v>45108</v>
      </c>
      <c r="BE10" s="5">
        <f>Time!BE19</f>
        <v>45139</v>
      </c>
      <c r="BF10" s="5">
        <f>Time!BF19</f>
        <v>45170</v>
      </c>
      <c r="BG10" s="5">
        <f>Time!BG19</f>
        <v>45200</v>
      </c>
      <c r="BH10" s="5">
        <f>Time!BH19</f>
        <v>45231</v>
      </c>
      <c r="BI10" s="5">
        <f>Time!BI19</f>
        <v>45261</v>
      </c>
    </row>
    <row r="11" spans="2:61" s="4" customFormat="1" x14ac:dyDescent="0.35">
      <c r="E11" s="4" t="str">
        <f>Time!E21</f>
        <v>N° de mois</v>
      </c>
      <c r="J11" s="4" t="str">
        <f>Time!J21</f>
        <v>N° mois</v>
      </c>
      <c r="N11" s="4">
        <f>Time!N21</f>
        <v>1</v>
      </c>
      <c r="O11" s="4">
        <f>Time!O21</f>
        <v>2</v>
      </c>
      <c r="P11" s="4">
        <f>Time!P21</f>
        <v>3</v>
      </c>
      <c r="Q11" s="4">
        <f>Time!Q21</f>
        <v>4</v>
      </c>
      <c r="R11" s="4">
        <f>Time!R21</f>
        <v>5</v>
      </c>
      <c r="S11" s="4">
        <f>Time!S21</f>
        <v>6</v>
      </c>
      <c r="T11" s="4">
        <f>Time!T21</f>
        <v>7</v>
      </c>
      <c r="U11" s="4">
        <f>Time!U21</f>
        <v>8</v>
      </c>
      <c r="V11" s="4">
        <f>Time!V21</f>
        <v>9</v>
      </c>
      <c r="W11" s="4">
        <f>Time!W21</f>
        <v>10</v>
      </c>
      <c r="X11" s="4">
        <f>Time!X21</f>
        <v>11</v>
      </c>
      <c r="Y11" s="4">
        <f>Time!Y21</f>
        <v>12</v>
      </c>
      <c r="Z11" s="4">
        <f>Time!Z21</f>
        <v>1</v>
      </c>
      <c r="AA11" s="4">
        <f>Time!AA21</f>
        <v>2</v>
      </c>
      <c r="AB11" s="4">
        <f>Time!AB21</f>
        <v>3</v>
      </c>
      <c r="AC11" s="4">
        <f>Time!AC21</f>
        <v>4</v>
      </c>
      <c r="AD11" s="4">
        <f>Time!AD21</f>
        <v>5</v>
      </c>
      <c r="AE11" s="4">
        <f>Time!AE21</f>
        <v>6</v>
      </c>
      <c r="AF11" s="4">
        <f>Time!AF21</f>
        <v>7</v>
      </c>
      <c r="AG11" s="4">
        <f>Time!AG21</f>
        <v>8</v>
      </c>
      <c r="AH11" s="4">
        <f>Time!AH21</f>
        <v>9</v>
      </c>
      <c r="AI11" s="4">
        <f>Time!AI21</f>
        <v>10</v>
      </c>
      <c r="AJ11" s="4">
        <f>Time!AJ21</f>
        <v>11</v>
      </c>
      <c r="AK11" s="4">
        <f>Time!AK21</f>
        <v>12</v>
      </c>
      <c r="AL11" s="4">
        <f>Time!AL21</f>
        <v>1</v>
      </c>
      <c r="AM11" s="4">
        <f>Time!AM21</f>
        <v>2</v>
      </c>
      <c r="AN11" s="4">
        <f>Time!AN21</f>
        <v>3</v>
      </c>
      <c r="AO11" s="4">
        <f>Time!AO21</f>
        <v>4</v>
      </c>
      <c r="AP11" s="4">
        <f>Time!AP21</f>
        <v>5</v>
      </c>
      <c r="AQ11" s="4">
        <f>Time!AQ21</f>
        <v>6</v>
      </c>
      <c r="AR11" s="4">
        <f>Time!AR21</f>
        <v>7</v>
      </c>
      <c r="AS11" s="4">
        <f>Time!AS21</f>
        <v>8</v>
      </c>
      <c r="AT11" s="4">
        <f>Time!AT21</f>
        <v>9</v>
      </c>
      <c r="AU11" s="4">
        <f>Time!AU21</f>
        <v>10</v>
      </c>
      <c r="AV11" s="4">
        <f>Time!AV21</f>
        <v>11</v>
      </c>
      <c r="AW11" s="4">
        <f>Time!AW21</f>
        <v>12</v>
      </c>
      <c r="AX11" s="4">
        <f>Time!AX21</f>
        <v>1</v>
      </c>
      <c r="AY11" s="4">
        <f>Time!AY21</f>
        <v>2</v>
      </c>
      <c r="AZ11" s="4">
        <f>Time!AZ21</f>
        <v>3</v>
      </c>
      <c r="BA11" s="4">
        <f>Time!BA21</f>
        <v>4</v>
      </c>
      <c r="BB11" s="4">
        <f>Time!BB21</f>
        <v>5</v>
      </c>
      <c r="BC11" s="4">
        <f>Time!BC21</f>
        <v>6</v>
      </c>
      <c r="BD11" s="4">
        <f>Time!BD21</f>
        <v>7</v>
      </c>
      <c r="BE11" s="4">
        <f>Time!BE21</f>
        <v>8</v>
      </c>
      <c r="BF11" s="4">
        <f>Time!BF21</f>
        <v>9</v>
      </c>
      <c r="BG11" s="4">
        <f>Time!BG21</f>
        <v>10</v>
      </c>
      <c r="BH11" s="4">
        <f>Time!BH21</f>
        <v>11</v>
      </c>
      <c r="BI11" s="4">
        <f>Time!BI21</f>
        <v>12</v>
      </c>
    </row>
    <row r="12" spans="2:61" s="4" customFormat="1" x14ac:dyDescent="0.35"/>
    <row r="13" spans="2:61" s="6" customFormat="1" x14ac:dyDescent="0.35">
      <c r="E13" s="6">
        <v>1</v>
      </c>
      <c r="J13" s="6" t="s">
        <v>6</v>
      </c>
      <c r="N13" s="7">
        <f>IF(N$11=$E13,N$10,M13)</f>
        <v>43831</v>
      </c>
      <c r="O13" s="7">
        <f t="shared" ref="O13:BI13" si="0">IF(O$11=$E13,O$10,N13)</f>
        <v>43831</v>
      </c>
      <c r="P13" s="7">
        <f t="shared" si="0"/>
        <v>43831</v>
      </c>
      <c r="Q13" s="7">
        <f t="shared" si="0"/>
        <v>43831</v>
      </c>
      <c r="R13" s="7">
        <f t="shared" si="0"/>
        <v>43831</v>
      </c>
      <c r="S13" s="7">
        <f t="shared" si="0"/>
        <v>43831</v>
      </c>
      <c r="T13" s="7">
        <f t="shared" si="0"/>
        <v>43831</v>
      </c>
      <c r="U13" s="7">
        <f t="shared" si="0"/>
        <v>43831</v>
      </c>
      <c r="V13" s="7">
        <f t="shared" si="0"/>
        <v>43831</v>
      </c>
      <c r="W13" s="7">
        <f t="shared" si="0"/>
        <v>43831</v>
      </c>
      <c r="X13" s="7">
        <f t="shared" si="0"/>
        <v>43831</v>
      </c>
      <c r="Y13" s="7">
        <f t="shared" si="0"/>
        <v>43831</v>
      </c>
      <c r="Z13" s="7">
        <f t="shared" si="0"/>
        <v>44197</v>
      </c>
      <c r="AA13" s="7">
        <f t="shared" si="0"/>
        <v>44197</v>
      </c>
      <c r="AB13" s="7">
        <f t="shared" si="0"/>
        <v>44197</v>
      </c>
      <c r="AC13" s="7">
        <f t="shared" si="0"/>
        <v>44197</v>
      </c>
      <c r="AD13" s="7">
        <f t="shared" si="0"/>
        <v>44197</v>
      </c>
      <c r="AE13" s="7">
        <f t="shared" si="0"/>
        <v>44197</v>
      </c>
      <c r="AF13" s="7">
        <f t="shared" si="0"/>
        <v>44197</v>
      </c>
      <c r="AG13" s="7">
        <f t="shared" si="0"/>
        <v>44197</v>
      </c>
      <c r="AH13" s="7">
        <f t="shared" si="0"/>
        <v>44197</v>
      </c>
      <c r="AI13" s="7">
        <f t="shared" si="0"/>
        <v>44197</v>
      </c>
      <c r="AJ13" s="7">
        <f t="shared" si="0"/>
        <v>44197</v>
      </c>
      <c r="AK13" s="7">
        <f t="shared" si="0"/>
        <v>44197</v>
      </c>
      <c r="AL13" s="7">
        <f t="shared" si="0"/>
        <v>44562</v>
      </c>
      <c r="AM13" s="7">
        <f t="shared" si="0"/>
        <v>44562</v>
      </c>
      <c r="AN13" s="7">
        <f t="shared" si="0"/>
        <v>44562</v>
      </c>
      <c r="AO13" s="7">
        <f t="shared" si="0"/>
        <v>44562</v>
      </c>
      <c r="AP13" s="7">
        <f t="shared" si="0"/>
        <v>44562</v>
      </c>
      <c r="AQ13" s="7">
        <f t="shared" si="0"/>
        <v>44562</v>
      </c>
      <c r="AR13" s="7">
        <f t="shared" si="0"/>
        <v>44562</v>
      </c>
      <c r="AS13" s="7">
        <f t="shared" si="0"/>
        <v>44562</v>
      </c>
      <c r="AT13" s="7">
        <f t="shared" si="0"/>
        <v>44562</v>
      </c>
      <c r="AU13" s="7">
        <f t="shared" si="0"/>
        <v>44562</v>
      </c>
      <c r="AV13" s="7">
        <f t="shared" si="0"/>
        <v>44562</v>
      </c>
      <c r="AW13" s="7">
        <f t="shared" si="0"/>
        <v>44562</v>
      </c>
      <c r="AX13" s="7">
        <f t="shared" si="0"/>
        <v>44927</v>
      </c>
      <c r="AY13" s="7">
        <f t="shared" si="0"/>
        <v>44927</v>
      </c>
      <c r="AZ13" s="7">
        <f t="shared" si="0"/>
        <v>44927</v>
      </c>
      <c r="BA13" s="7">
        <f t="shared" si="0"/>
        <v>44927</v>
      </c>
      <c r="BB13" s="7">
        <f t="shared" si="0"/>
        <v>44927</v>
      </c>
      <c r="BC13" s="7">
        <f t="shared" si="0"/>
        <v>44927</v>
      </c>
      <c r="BD13" s="7">
        <f t="shared" si="0"/>
        <v>44927</v>
      </c>
      <c r="BE13" s="7">
        <f t="shared" si="0"/>
        <v>44927</v>
      </c>
      <c r="BF13" s="7">
        <f t="shared" si="0"/>
        <v>44927</v>
      </c>
      <c r="BG13" s="7">
        <f t="shared" si="0"/>
        <v>44927</v>
      </c>
      <c r="BH13" s="7">
        <f t="shared" si="0"/>
        <v>44927</v>
      </c>
      <c r="BI13" s="7">
        <f t="shared" si="0"/>
        <v>44927</v>
      </c>
    </row>
    <row r="14" spans="2:61" s="6" customFormat="1" x14ac:dyDescent="0.35">
      <c r="E14" s="6">
        <v>2</v>
      </c>
      <c r="J14" s="6" t="s">
        <v>6</v>
      </c>
      <c r="M14" s="26"/>
      <c r="N14" s="78"/>
      <c r="O14" s="7">
        <f t="shared" ref="O14:BI14" si="1">IF(O$11=$E14,O$10,N14)</f>
        <v>43862</v>
      </c>
      <c r="P14" s="7">
        <f t="shared" si="1"/>
        <v>43862</v>
      </c>
      <c r="Q14" s="7">
        <f t="shared" si="1"/>
        <v>43862</v>
      </c>
      <c r="R14" s="7">
        <f t="shared" si="1"/>
        <v>43862</v>
      </c>
      <c r="S14" s="7">
        <f t="shared" si="1"/>
        <v>43862</v>
      </c>
      <c r="T14" s="7">
        <f t="shared" si="1"/>
        <v>43862</v>
      </c>
      <c r="U14" s="7">
        <f t="shared" si="1"/>
        <v>43862</v>
      </c>
      <c r="V14" s="7">
        <f t="shared" si="1"/>
        <v>43862</v>
      </c>
      <c r="W14" s="7">
        <f t="shared" si="1"/>
        <v>43862</v>
      </c>
      <c r="X14" s="7">
        <f t="shared" si="1"/>
        <v>43862</v>
      </c>
      <c r="Y14" s="7">
        <f t="shared" si="1"/>
        <v>43862</v>
      </c>
      <c r="Z14" s="7">
        <f t="shared" si="1"/>
        <v>43862</v>
      </c>
      <c r="AA14" s="7">
        <f t="shared" si="1"/>
        <v>44228</v>
      </c>
      <c r="AB14" s="7">
        <f t="shared" si="1"/>
        <v>44228</v>
      </c>
      <c r="AC14" s="7">
        <f t="shared" si="1"/>
        <v>44228</v>
      </c>
      <c r="AD14" s="7">
        <f t="shared" si="1"/>
        <v>44228</v>
      </c>
      <c r="AE14" s="7">
        <f t="shared" si="1"/>
        <v>44228</v>
      </c>
      <c r="AF14" s="7">
        <f t="shared" si="1"/>
        <v>44228</v>
      </c>
      <c r="AG14" s="7">
        <f t="shared" si="1"/>
        <v>44228</v>
      </c>
      <c r="AH14" s="7">
        <f t="shared" si="1"/>
        <v>44228</v>
      </c>
      <c r="AI14" s="7">
        <f t="shared" si="1"/>
        <v>44228</v>
      </c>
      <c r="AJ14" s="7">
        <f t="shared" si="1"/>
        <v>44228</v>
      </c>
      <c r="AK14" s="7">
        <f t="shared" si="1"/>
        <v>44228</v>
      </c>
      <c r="AL14" s="7">
        <f t="shared" si="1"/>
        <v>44228</v>
      </c>
      <c r="AM14" s="7">
        <f t="shared" si="1"/>
        <v>44593</v>
      </c>
      <c r="AN14" s="7">
        <f t="shared" si="1"/>
        <v>44593</v>
      </c>
      <c r="AO14" s="7">
        <f t="shared" si="1"/>
        <v>44593</v>
      </c>
      <c r="AP14" s="7">
        <f t="shared" si="1"/>
        <v>44593</v>
      </c>
      <c r="AQ14" s="7">
        <f t="shared" si="1"/>
        <v>44593</v>
      </c>
      <c r="AR14" s="7">
        <f t="shared" si="1"/>
        <v>44593</v>
      </c>
      <c r="AS14" s="7">
        <f t="shared" si="1"/>
        <v>44593</v>
      </c>
      <c r="AT14" s="7">
        <f t="shared" si="1"/>
        <v>44593</v>
      </c>
      <c r="AU14" s="7">
        <f t="shared" si="1"/>
        <v>44593</v>
      </c>
      <c r="AV14" s="7">
        <f t="shared" si="1"/>
        <v>44593</v>
      </c>
      <c r="AW14" s="7">
        <f t="shared" si="1"/>
        <v>44593</v>
      </c>
      <c r="AX14" s="7">
        <f t="shared" si="1"/>
        <v>44593</v>
      </c>
      <c r="AY14" s="7">
        <f t="shared" si="1"/>
        <v>44958</v>
      </c>
      <c r="AZ14" s="7">
        <f t="shared" si="1"/>
        <v>44958</v>
      </c>
      <c r="BA14" s="7">
        <f t="shared" si="1"/>
        <v>44958</v>
      </c>
      <c r="BB14" s="7">
        <f t="shared" si="1"/>
        <v>44958</v>
      </c>
      <c r="BC14" s="7">
        <f t="shared" si="1"/>
        <v>44958</v>
      </c>
      <c r="BD14" s="7">
        <f t="shared" si="1"/>
        <v>44958</v>
      </c>
      <c r="BE14" s="7">
        <f t="shared" si="1"/>
        <v>44958</v>
      </c>
      <c r="BF14" s="7">
        <f t="shared" si="1"/>
        <v>44958</v>
      </c>
      <c r="BG14" s="7">
        <f t="shared" si="1"/>
        <v>44958</v>
      </c>
      <c r="BH14" s="7">
        <f t="shared" si="1"/>
        <v>44958</v>
      </c>
      <c r="BI14" s="7">
        <f t="shared" si="1"/>
        <v>44958</v>
      </c>
    </row>
    <row r="15" spans="2:61" s="6" customFormat="1" x14ac:dyDescent="0.35">
      <c r="E15" s="6">
        <v>3</v>
      </c>
      <c r="J15" s="6" t="s">
        <v>6</v>
      </c>
      <c r="M15" s="26"/>
      <c r="N15" s="78"/>
      <c r="O15" s="78"/>
      <c r="P15" s="7">
        <f t="shared" ref="P15:BI15" si="2">IF(P$11=$E15,P$10,O15)</f>
        <v>43891</v>
      </c>
      <c r="Q15" s="7">
        <f t="shared" si="2"/>
        <v>43891</v>
      </c>
      <c r="R15" s="7">
        <f t="shared" si="2"/>
        <v>43891</v>
      </c>
      <c r="S15" s="7">
        <f t="shared" si="2"/>
        <v>43891</v>
      </c>
      <c r="T15" s="7">
        <f t="shared" si="2"/>
        <v>43891</v>
      </c>
      <c r="U15" s="7">
        <f t="shared" si="2"/>
        <v>43891</v>
      </c>
      <c r="V15" s="7">
        <f t="shared" si="2"/>
        <v>43891</v>
      </c>
      <c r="W15" s="7">
        <f t="shared" si="2"/>
        <v>43891</v>
      </c>
      <c r="X15" s="7">
        <f t="shared" si="2"/>
        <v>43891</v>
      </c>
      <c r="Y15" s="7">
        <f t="shared" si="2"/>
        <v>43891</v>
      </c>
      <c r="Z15" s="7">
        <f t="shared" si="2"/>
        <v>43891</v>
      </c>
      <c r="AA15" s="7">
        <f t="shared" si="2"/>
        <v>43891</v>
      </c>
      <c r="AB15" s="7">
        <f t="shared" si="2"/>
        <v>44256</v>
      </c>
      <c r="AC15" s="7">
        <f t="shared" si="2"/>
        <v>44256</v>
      </c>
      <c r="AD15" s="7">
        <f t="shared" si="2"/>
        <v>44256</v>
      </c>
      <c r="AE15" s="7">
        <f t="shared" si="2"/>
        <v>44256</v>
      </c>
      <c r="AF15" s="7">
        <f t="shared" si="2"/>
        <v>44256</v>
      </c>
      <c r="AG15" s="7">
        <f t="shared" si="2"/>
        <v>44256</v>
      </c>
      <c r="AH15" s="7">
        <f t="shared" si="2"/>
        <v>44256</v>
      </c>
      <c r="AI15" s="7">
        <f t="shared" si="2"/>
        <v>44256</v>
      </c>
      <c r="AJ15" s="7">
        <f t="shared" si="2"/>
        <v>44256</v>
      </c>
      <c r="AK15" s="7">
        <f t="shared" si="2"/>
        <v>44256</v>
      </c>
      <c r="AL15" s="7">
        <f t="shared" si="2"/>
        <v>44256</v>
      </c>
      <c r="AM15" s="7">
        <f t="shared" si="2"/>
        <v>44256</v>
      </c>
      <c r="AN15" s="7">
        <f t="shared" si="2"/>
        <v>44621</v>
      </c>
      <c r="AO15" s="7">
        <f t="shared" si="2"/>
        <v>44621</v>
      </c>
      <c r="AP15" s="7">
        <f t="shared" si="2"/>
        <v>44621</v>
      </c>
      <c r="AQ15" s="7">
        <f t="shared" si="2"/>
        <v>44621</v>
      </c>
      <c r="AR15" s="7">
        <f t="shared" si="2"/>
        <v>44621</v>
      </c>
      <c r="AS15" s="7">
        <f t="shared" si="2"/>
        <v>44621</v>
      </c>
      <c r="AT15" s="7">
        <f t="shared" si="2"/>
        <v>44621</v>
      </c>
      <c r="AU15" s="7">
        <f t="shared" si="2"/>
        <v>44621</v>
      </c>
      <c r="AV15" s="7">
        <f t="shared" si="2"/>
        <v>44621</v>
      </c>
      <c r="AW15" s="7">
        <f t="shared" si="2"/>
        <v>44621</v>
      </c>
      <c r="AX15" s="7">
        <f t="shared" si="2"/>
        <v>44621</v>
      </c>
      <c r="AY15" s="7">
        <f t="shared" si="2"/>
        <v>44621</v>
      </c>
      <c r="AZ15" s="7">
        <f t="shared" si="2"/>
        <v>44986</v>
      </c>
      <c r="BA15" s="7">
        <f t="shared" si="2"/>
        <v>44986</v>
      </c>
      <c r="BB15" s="7">
        <f t="shared" si="2"/>
        <v>44986</v>
      </c>
      <c r="BC15" s="7">
        <f t="shared" si="2"/>
        <v>44986</v>
      </c>
      <c r="BD15" s="7">
        <f t="shared" si="2"/>
        <v>44986</v>
      </c>
      <c r="BE15" s="7">
        <f t="shared" si="2"/>
        <v>44986</v>
      </c>
      <c r="BF15" s="7">
        <f t="shared" si="2"/>
        <v>44986</v>
      </c>
      <c r="BG15" s="7">
        <f t="shared" si="2"/>
        <v>44986</v>
      </c>
      <c r="BH15" s="7">
        <f t="shared" si="2"/>
        <v>44986</v>
      </c>
      <c r="BI15" s="7">
        <f t="shared" si="2"/>
        <v>44986</v>
      </c>
    </row>
    <row r="16" spans="2:61" s="6" customFormat="1" x14ac:dyDescent="0.35">
      <c r="E16" s="6">
        <v>4</v>
      </c>
      <c r="J16" s="6" t="s">
        <v>6</v>
      </c>
      <c r="M16" s="26"/>
      <c r="N16" s="78"/>
      <c r="O16" s="78"/>
      <c r="P16" s="78"/>
      <c r="Q16" s="7">
        <f t="shared" ref="Q16:BI16" si="3">IF(Q$11=$E16,Q$10,P16)</f>
        <v>43922</v>
      </c>
      <c r="R16" s="7">
        <f t="shared" si="3"/>
        <v>43922</v>
      </c>
      <c r="S16" s="7">
        <f t="shared" si="3"/>
        <v>43922</v>
      </c>
      <c r="T16" s="7">
        <f t="shared" si="3"/>
        <v>43922</v>
      </c>
      <c r="U16" s="7">
        <f t="shared" si="3"/>
        <v>43922</v>
      </c>
      <c r="V16" s="7">
        <f t="shared" si="3"/>
        <v>43922</v>
      </c>
      <c r="W16" s="7">
        <f t="shared" si="3"/>
        <v>43922</v>
      </c>
      <c r="X16" s="7">
        <f t="shared" si="3"/>
        <v>43922</v>
      </c>
      <c r="Y16" s="7">
        <f t="shared" si="3"/>
        <v>43922</v>
      </c>
      <c r="Z16" s="7">
        <f t="shared" si="3"/>
        <v>43922</v>
      </c>
      <c r="AA16" s="7">
        <f t="shared" si="3"/>
        <v>43922</v>
      </c>
      <c r="AB16" s="7">
        <f t="shared" si="3"/>
        <v>43922</v>
      </c>
      <c r="AC16" s="7">
        <f t="shared" si="3"/>
        <v>44287</v>
      </c>
      <c r="AD16" s="7">
        <f t="shared" si="3"/>
        <v>44287</v>
      </c>
      <c r="AE16" s="7">
        <f t="shared" si="3"/>
        <v>44287</v>
      </c>
      <c r="AF16" s="7">
        <f t="shared" si="3"/>
        <v>44287</v>
      </c>
      <c r="AG16" s="7">
        <f t="shared" si="3"/>
        <v>44287</v>
      </c>
      <c r="AH16" s="7">
        <f t="shared" si="3"/>
        <v>44287</v>
      </c>
      <c r="AI16" s="7">
        <f t="shared" si="3"/>
        <v>44287</v>
      </c>
      <c r="AJ16" s="7">
        <f t="shared" si="3"/>
        <v>44287</v>
      </c>
      <c r="AK16" s="7">
        <f t="shared" si="3"/>
        <v>44287</v>
      </c>
      <c r="AL16" s="7">
        <f t="shared" si="3"/>
        <v>44287</v>
      </c>
      <c r="AM16" s="7">
        <f t="shared" si="3"/>
        <v>44287</v>
      </c>
      <c r="AN16" s="7">
        <f t="shared" si="3"/>
        <v>44287</v>
      </c>
      <c r="AO16" s="7">
        <f t="shared" si="3"/>
        <v>44652</v>
      </c>
      <c r="AP16" s="7">
        <f t="shared" si="3"/>
        <v>44652</v>
      </c>
      <c r="AQ16" s="7">
        <f t="shared" si="3"/>
        <v>44652</v>
      </c>
      <c r="AR16" s="7">
        <f t="shared" si="3"/>
        <v>44652</v>
      </c>
      <c r="AS16" s="7">
        <f t="shared" si="3"/>
        <v>44652</v>
      </c>
      <c r="AT16" s="7">
        <f t="shared" si="3"/>
        <v>44652</v>
      </c>
      <c r="AU16" s="7">
        <f t="shared" si="3"/>
        <v>44652</v>
      </c>
      <c r="AV16" s="7">
        <f t="shared" si="3"/>
        <v>44652</v>
      </c>
      <c r="AW16" s="7">
        <f t="shared" si="3"/>
        <v>44652</v>
      </c>
      <c r="AX16" s="7">
        <f t="shared" si="3"/>
        <v>44652</v>
      </c>
      <c r="AY16" s="7">
        <f t="shared" si="3"/>
        <v>44652</v>
      </c>
      <c r="AZ16" s="7">
        <f t="shared" si="3"/>
        <v>44652</v>
      </c>
      <c r="BA16" s="7">
        <f t="shared" si="3"/>
        <v>45017</v>
      </c>
      <c r="BB16" s="7">
        <f t="shared" si="3"/>
        <v>45017</v>
      </c>
      <c r="BC16" s="7">
        <f t="shared" si="3"/>
        <v>45017</v>
      </c>
      <c r="BD16" s="7">
        <f t="shared" si="3"/>
        <v>45017</v>
      </c>
      <c r="BE16" s="7">
        <f t="shared" si="3"/>
        <v>45017</v>
      </c>
      <c r="BF16" s="7">
        <f t="shared" si="3"/>
        <v>45017</v>
      </c>
      <c r="BG16" s="7">
        <f t="shared" si="3"/>
        <v>45017</v>
      </c>
      <c r="BH16" s="7">
        <f t="shared" si="3"/>
        <v>45017</v>
      </c>
      <c r="BI16" s="7">
        <f t="shared" si="3"/>
        <v>45017</v>
      </c>
    </row>
    <row r="17" spans="5:61" s="6" customFormat="1" x14ac:dyDescent="0.35">
      <c r="E17" s="6">
        <v>5</v>
      </c>
      <c r="J17" s="6" t="s">
        <v>6</v>
      </c>
      <c r="M17" s="26"/>
      <c r="N17" s="78"/>
      <c r="O17" s="78"/>
      <c r="P17" s="78"/>
      <c r="Q17" s="78"/>
      <c r="R17" s="7">
        <f t="shared" ref="R17:BI17" si="4">IF(R$11=$E17,R$10,Q17)</f>
        <v>43952</v>
      </c>
      <c r="S17" s="7">
        <f t="shared" si="4"/>
        <v>43952</v>
      </c>
      <c r="T17" s="7">
        <f t="shared" si="4"/>
        <v>43952</v>
      </c>
      <c r="U17" s="7">
        <f t="shared" si="4"/>
        <v>43952</v>
      </c>
      <c r="V17" s="7">
        <f t="shared" si="4"/>
        <v>43952</v>
      </c>
      <c r="W17" s="7">
        <f t="shared" si="4"/>
        <v>43952</v>
      </c>
      <c r="X17" s="7">
        <f t="shared" si="4"/>
        <v>43952</v>
      </c>
      <c r="Y17" s="7">
        <f t="shared" si="4"/>
        <v>43952</v>
      </c>
      <c r="Z17" s="7">
        <f t="shared" si="4"/>
        <v>43952</v>
      </c>
      <c r="AA17" s="7">
        <f t="shared" si="4"/>
        <v>43952</v>
      </c>
      <c r="AB17" s="7">
        <f t="shared" si="4"/>
        <v>43952</v>
      </c>
      <c r="AC17" s="7">
        <f t="shared" si="4"/>
        <v>43952</v>
      </c>
      <c r="AD17" s="7">
        <f t="shared" si="4"/>
        <v>44317</v>
      </c>
      <c r="AE17" s="7">
        <f t="shared" si="4"/>
        <v>44317</v>
      </c>
      <c r="AF17" s="7">
        <f t="shared" si="4"/>
        <v>44317</v>
      </c>
      <c r="AG17" s="7">
        <f t="shared" si="4"/>
        <v>44317</v>
      </c>
      <c r="AH17" s="7">
        <f t="shared" si="4"/>
        <v>44317</v>
      </c>
      <c r="AI17" s="7">
        <f t="shared" si="4"/>
        <v>44317</v>
      </c>
      <c r="AJ17" s="7">
        <f t="shared" si="4"/>
        <v>44317</v>
      </c>
      <c r="AK17" s="7">
        <f t="shared" si="4"/>
        <v>44317</v>
      </c>
      <c r="AL17" s="7">
        <f t="shared" si="4"/>
        <v>44317</v>
      </c>
      <c r="AM17" s="7">
        <f t="shared" si="4"/>
        <v>44317</v>
      </c>
      <c r="AN17" s="7">
        <f t="shared" si="4"/>
        <v>44317</v>
      </c>
      <c r="AO17" s="7">
        <f t="shared" si="4"/>
        <v>44317</v>
      </c>
      <c r="AP17" s="7">
        <f t="shared" si="4"/>
        <v>44682</v>
      </c>
      <c r="AQ17" s="7">
        <f t="shared" si="4"/>
        <v>44682</v>
      </c>
      <c r="AR17" s="7">
        <f t="shared" si="4"/>
        <v>44682</v>
      </c>
      <c r="AS17" s="7">
        <f t="shared" si="4"/>
        <v>44682</v>
      </c>
      <c r="AT17" s="7">
        <f t="shared" si="4"/>
        <v>44682</v>
      </c>
      <c r="AU17" s="7">
        <f t="shared" si="4"/>
        <v>44682</v>
      </c>
      <c r="AV17" s="7">
        <f t="shared" si="4"/>
        <v>44682</v>
      </c>
      <c r="AW17" s="7">
        <f t="shared" si="4"/>
        <v>44682</v>
      </c>
      <c r="AX17" s="7">
        <f t="shared" si="4"/>
        <v>44682</v>
      </c>
      <c r="AY17" s="7">
        <f t="shared" si="4"/>
        <v>44682</v>
      </c>
      <c r="AZ17" s="7">
        <f t="shared" si="4"/>
        <v>44682</v>
      </c>
      <c r="BA17" s="7">
        <f t="shared" si="4"/>
        <v>44682</v>
      </c>
      <c r="BB17" s="7">
        <f t="shared" si="4"/>
        <v>45047</v>
      </c>
      <c r="BC17" s="7">
        <f t="shared" si="4"/>
        <v>45047</v>
      </c>
      <c r="BD17" s="7">
        <f t="shared" si="4"/>
        <v>45047</v>
      </c>
      <c r="BE17" s="7">
        <f t="shared" si="4"/>
        <v>45047</v>
      </c>
      <c r="BF17" s="7">
        <f t="shared" si="4"/>
        <v>45047</v>
      </c>
      <c r="BG17" s="7">
        <f t="shared" si="4"/>
        <v>45047</v>
      </c>
      <c r="BH17" s="7">
        <f t="shared" si="4"/>
        <v>45047</v>
      </c>
      <c r="BI17" s="7">
        <f t="shared" si="4"/>
        <v>45047</v>
      </c>
    </row>
    <row r="18" spans="5:61" s="6" customFormat="1" x14ac:dyDescent="0.35">
      <c r="E18" s="6">
        <v>6</v>
      </c>
      <c r="J18" s="6" t="s">
        <v>6</v>
      </c>
      <c r="M18" s="26"/>
      <c r="N18" s="78"/>
      <c r="O18" s="78"/>
      <c r="P18" s="78"/>
      <c r="Q18" s="78"/>
      <c r="R18" s="78"/>
      <c r="S18" s="7">
        <f t="shared" ref="S18:BI18" si="5">IF(S$11=$E18,S$10,R18)</f>
        <v>43983</v>
      </c>
      <c r="T18" s="7">
        <f t="shared" si="5"/>
        <v>43983</v>
      </c>
      <c r="U18" s="7">
        <f t="shared" si="5"/>
        <v>43983</v>
      </c>
      <c r="V18" s="7">
        <f t="shared" si="5"/>
        <v>43983</v>
      </c>
      <c r="W18" s="7">
        <f t="shared" si="5"/>
        <v>43983</v>
      </c>
      <c r="X18" s="7">
        <f t="shared" si="5"/>
        <v>43983</v>
      </c>
      <c r="Y18" s="7">
        <f t="shared" si="5"/>
        <v>43983</v>
      </c>
      <c r="Z18" s="7">
        <f t="shared" si="5"/>
        <v>43983</v>
      </c>
      <c r="AA18" s="7">
        <f t="shared" si="5"/>
        <v>43983</v>
      </c>
      <c r="AB18" s="7">
        <f t="shared" si="5"/>
        <v>43983</v>
      </c>
      <c r="AC18" s="7">
        <f t="shared" si="5"/>
        <v>43983</v>
      </c>
      <c r="AD18" s="7">
        <f t="shared" si="5"/>
        <v>43983</v>
      </c>
      <c r="AE18" s="7">
        <f t="shared" si="5"/>
        <v>44348</v>
      </c>
      <c r="AF18" s="7">
        <f t="shared" si="5"/>
        <v>44348</v>
      </c>
      <c r="AG18" s="7">
        <f t="shared" si="5"/>
        <v>44348</v>
      </c>
      <c r="AH18" s="7">
        <f t="shared" si="5"/>
        <v>44348</v>
      </c>
      <c r="AI18" s="7">
        <f t="shared" si="5"/>
        <v>44348</v>
      </c>
      <c r="AJ18" s="7">
        <f t="shared" si="5"/>
        <v>44348</v>
      </c>
      <c r="AK18" s="7">
        <f t="shared" si="5"/>
        <v>44348</v>
      </c>
      <c r="AL18" s="7">
        <f t="shared" si="5"/>
        <v>44348</v>
      </c>
      <c r="AM18" s="7">
        <f t="shared" si="5"/>
        <v>44348</v>
      </c>
      <c r="AN18" s="7">
        <f t="shared" si="5"/>
        <v>44348</v>
      </c>
      <c r="AO18" s="7">
        <f t="shared" si="5"/>
        <v>44348</v>
      </c>
      <c r="AP18" s="7">
        <f t="shared" si="5"/>
        <v>44348</v>
      </c>
      <c r="AQ18" s="7">
        <f t="shared" si="5"/>
        <v>44713</v>
      </c>
      <c r="AR18" s="7">
        <f t="shared" si="5"/>
        <v>44713</v>
      </c>
      <c r="AS18" s="7">
        <f t="shared" si="5"/>
        <v>44713</v>
      </c>
      <c r="AT18" s="7">
        <f t="shared" si="5"/>
        <v>44713</v>
      </c>
      <c r="AU18" s="7">
        <f t="shared" si="5"/>
        <v>44713</v>
      </c>
      <c r="AV18" s="7">
        <f t="shared" si="5"/>
        <v>44713</v>
      </c>
      <c r="AW18" s="7">
        <f t="shared" si="5"/>
        <v>44713</v>
      </c>
      <c r="AX18" s="7">
        <f t="shared" si="5"/>
        <v>44713</v>
      </c>
      <c r="AY18" s="7">
        <f t="shared" si="5"/>
        <v>44713</v>
      </c>
      <c r="AZ18" s="7">
        <f t="shared" si="5"/>
        <v>44713</v>
      </c>
      <c r="BA18" s="7">
        <f t="shared" si="5"/>
        <v>44713</v>
      </c>
      <c r="BB18" s="7">
        <f t="shared" si="5"/>
        <v>44713</v>
      </c>
      <c r="BC18" s="7">
        <f t="shared" si="5"/>
        <v>45078</v>
      </c>
      <c r="BD18" s="7">
        <f t="shared" si="5"/>
        <v>45078</v>
      </c>
      <c r="BE18" s="7">
        <f t="shared" si="5"/>
        <v>45078</v>
      </c>
      <c r="BF18" s="7">
        <f t="shared" si="5"/>
        <v>45078</v>
      </c>
      <c r="BG18" s="7">
        <f t="shared" si="5"/>
        <v>45078</v>
      </c>
      <c r="BH18" s="7">
        <f t="shared" si="5"/>
        <v>45078</v>
      </c>
      <c r="BI18" s="7">
        <f t="shared" si="5"/>
        <v>45078</v>
      </c>
    </row>
    <row r="19" spans="5:61" s="6" customFormat="1" x14ac:dyDescent="0.35">
      <c r="E19" s="6">
        <v>7</v>
      </c>
      <c r="J19" s="6" t="s">
        <v>6</v>
      </c>
      <c r="M19" s="26"/>
      <c r="N19" s="78"/>
      <c r="O19" s="78"/>
      <c r="P19" s="78"/>
      <c r="Q19" s="78"/>
      <c r="R19" s="78"/>
      <c r="S19" s="78"/>
      <c r="T19" s="7">
        <f t="shared" ref="T19:BI19" si="6">IF(T$11=$E19,T$10,S19)</f>
        <v>44013</v>
      </c>
      <c r="U19" s="7">
        <f t="shared" si="6"/>
        <v>44013</v>
      </c>
      <c r="V19" s="7">
        <f t="shared" si="6"/>
        <v>44013</v>
      </c>
      <c r="W19" s="7">
        <f t="shared" si="6"/>
        <v>44013</v>
      </c>
      <c r="X19" s="7">
        <f t="shared" si="6"/>
        <v>44013</v>
      </c>
      <c r="Y19" s="7">
        <f t="shared" si="6"/>
        <v>44013</v>
      </c>
      <c r="Z19" s="7">
        <f t="shared" si="6"/>
        <v>44013</v>
      </c>
      <c r="AA19" s="7">
        <f t="shared" si="6"/>
        <v>44013</v>
      </c>
      <c r="AB19" s="7">
        <f t="shared" si="6"/>
        <v>44013</v>
      </c>
      <c r="AC19" s="7">
        <f t="shared" si="6"/>
        <v>44013</v>
      </c>
      <c r="AD19" s="7">
        <f t="shared" si="6"/>
        <v>44013</v>
      </c>
      <c r="AE19" s="7">
        <f t="shared" si="6"/>
        <v>44013</v>
      </c>
      <c r="AF19" s="7">
        <f t="shared" si="6"/>
        <v>44378</v>
      </c>
      <c r="AG19" s="7">
        <f t="shared" si="6"/>
        <v>44378</v>
      </c>
      <c r="AH19" s="7">
        <f t="shared" si="6"/>
        <v>44378</v>
      </c>
      <c r="AI19" s="7">
        <f t="shared" si="6"/>
        <v>44378</v>
      </c>
      <c r="AJ19" s="7">
        <f t="shared" si="6"/>
        <v>44378</v>
      </c>
      <c r="AK19" s="7">
        <f t="shared" si="6"/>
        <v>44378</v>
      </c>
      <c r="AL19" s="7">
        <f t="shared" si="6"/>
        <v>44378</v>
      </c>
      <c r="AM19" s="7">
        <f t="shared" si="6"/>
        <v>44378</v>
      </c>
      <c r="AN19" s="7">
        <f t="shared" si="6"/>
        <v>44378</v>
      </c>
      <c r="AO19" s="7">
        <f t="shared" si="6"/>
        <v>44378</v>
      </c>
      <c r="AP19" s="7">
        <f t="shared" si="6"/>
        <v>44378</v>
      </c>
      <c r="AQ19" s="7">
        <f t="shared" si="6"/>
        <v>44378</v>
      </c>
      <c r="AR19" s="7">
        <f t="shared" si="6"/>
        <v>44743</v>
      </c>
      <c r="AS19" s="7">
        <f t="shared" si="6"/>
        <v>44743</v>
      </c>
      <c r="AT19" s="7">
        <f t="shared" si="6"/>
        <v>44743</v>
      </c>
      <c r="AU19" s="7">
        <f t="shared" si="6"/>
        <v>44743</v>
      </c>
      <c r="AV19" s="7">
        <f t="shared" si="6"/>
        <v>44743</v>
      </c>
      <c r="AW19" s="7">
        <f t="shared" si="6"/>
        <v>44743</v>
      </c>
      <c r="AX19" s="7">
        <f t="shared" si="6"/>
        <v>44743</v>
      </c>
      <c r="AY19" s="7">
        <f t="shared" si="6"/>
        <v>44743</v>
      </c>
      <c r="AZ19" s="7">
        <f t="shared" si="6"/>
        <v>44743</v>
      </c>
      <c r="BA19" s="7">
        <f t="shared" si="6"/>
        <v>44743</v>
      </c>
      <c r="BB19" s="7">
        <f t="shared" si="6"/>
        <v>44743</v>
      </c>
      <c r="BC19" s="7">
        <f t="shared" si="6"/>
        <v>44743</v>
      </c>
      <c r="BD19" s="7">
        <f t="shared" si="6"/>
        <v>45108</v>
      </c>
      <c r="BE19" s="7">
        <f t="shared" si="6"/>
        <v>45108</v>
      </c>
      <c r="BF19" s="7">
        <f t="shared" si="6"/>
        <v>45108</v>
      </c>
      <c r="BG19" s="7">
        <f t="shared" si="6"/>
        <v>45108</v>
      </c>
      <c r="BH19" s="7">
        <f t="shared" si="6"/>
        <v>45108</v>
      </c>
      <c r="BI19" s="7">
        <f t="shared" si="6"/>
        <v>45108</v>
      </c>
    </row>
    <row r="20" spans="5:61" s="6" customFormat="1" x14ac:dyDescent="0.35">
      <c r="E20" s="6">
        <v>8</v>
      </c>
      <c r="J20" s="6" t="s">
        <v>6</v>
      </c>
      <c r="M20" s="26"/>
      <c r="N20" s="78"/>
      <c r="O20" s="78"/>
      <c r="P20" s="78"/>
      <c r="Q20" s="78"/>
      <c r="R20" s="78"/>
      <c r="S20" s="78"/>
      <c r="T20" s="78"/>
      <c r="U20" s="7">
        <f t="shared" ref="U20:BI20" si="7">IF(U$11=$E20,U$10,T20)</f>
        <v>44044</v>
      </c>
      <c r="V20" s="7">
        <f t="shared" si="7"/>
        <v>44044</v>
      </c>
      <c r="W20" s="7">
        <f t="shared" si="7"/>
        <v>44044</v>
      </c>
      <c r="X20" s="7">
        <f t="shared" si="7"/>
        <v>44044</v>
      </c>
      <c r="Y20" s="7">
        <f t="shared" si="7"/>
        <v>44044</v>
      </c>
      <c r="Z20" s="7">
        <f t="shared" si="7"/>
        <v>44044</v>
      </c>
      <c r="AA20" s="7">
        <f t="shared" si="7"/>
        <v>44044</v>
      </c>
      <c r="AB20" s="7">
        <f t="shared" si="7"/>
        <v>44044</v>
      </c>
      <c r="AC20" s="7">
        <f t="shared" si="7"/>
        <v>44044</v>
      </c>
      <c r="AD20" s="7">
        <f t="shared" si="7"/>
        <v>44044</v>
      </c>
      <c r="AE20" s="7">
        <f t="shared" si="7"/>
        <v>44044</v>
      </c>
      <c r="AF20" s="7">
        <f t="shared" si="7"/>
        <v>44044</v>
      </c>
      <c r="AG20" s="7">
        <f t="shared" si="7"/>
        <v>44409</v>
      </c>
      <c r="AH20" s="7">
        <f t="shared" si="7"/>
        <v>44409</v>
      </c>
      <c r="AI20" s="7">
        <f t="shared" si="7"/>
        <v>44409</v>
      </c>
      <c r="AJ20" s="7">
        <f t="shared" si="7"/>
        <v>44409</v>
      </c>
      <c r="AK20" s="7">
        <f t="shared" si="7"/>
        <v>44409</v>
      </c>
      <c r="AL20" s="7">
        <f t="shared" si="7"/>
        <v>44409</v>
      </c>
      <c r="AM20" s="7">
        <f t="shared" si="7"/>
        <v>44409</v>
      </c>
      <c r="AN20" s="7">
        <f t="shared" si="7"/>
        <v>44409</v>
      </c>
      <c r="AO20" s="7">
        <f t="shared" si="7"/>
        <v>44409</v>
      </c>
      <c r="AP20" s="7">
        <f t="shared" si="7"/>
        <v>44409</v>
      </c>
      <c r="AQ20" s="7">
        <f t="shared" si="7"/>
        <v>44409</v>
      </c>
      <c r="AR20" s="7">
        <f t="shared" si="7"/>
        <v>44409</v>
      </c>
      <c r="AS20" s="7">
        <f t="shared" si="7"/>
        <v>44774</v>
      </c>
      <c r="AT20" s="7">
        <f t="shared" si="7"/>
        <v>44774</v>
      </c>
      <c r="AU20" s="7">
        <f t="shared" si="7"/>
        <v>44774</v>
      </c>
      <c r="AV20" s="7">
        <f t="shared" si="7"/>
        <v>44774</v>
      </c>
      <c r="AW20" s="7">
        <f t="shared" si="7"/>
        <v>44774</v>
      </c>
      <c r="AX20" s="7">
        <f t="shared" si="7"/>
        <v>44774</v>
      </c>
      <c r="AY20" s="7">
        <f t="shared" si="7"/>
        <v>44774</v>
      </c>
      <c r="AZ20" s="7">
        <f t="shared" si="7"/>
        <v>44774</v>
      </c>
      <c r="BA20" s="7">
        <f t="shared" si="7"/>
        <v>44774</v>
      </c>
      <c r="BB20" s="7">
        <f t="shared" si="7"/>
        <v>44774</v>
      </c>
      <c r="BC20" s="7">
        <f t="shared" si="7"/>
        <v>44774</v>
      </c>
      <c r="BD20" s="7">
        <f t="shared" si="7"/>
        <v>44774</v>
      </c>
      <c r="BE20" s="7">
        <f t="shared" si="7"/>
        <v>45139</v>
      </c>
      <c r="BF20" s="7">
        <f t="shared" si="7"/>
        <v>45139</v>
      </c>
      <c r="BG20" s="7">
        <f t="shared" si="7"/>
        <v>45139</v>
      </c>
      <c r="BH20" s="7">
        <f t="shared" si="7"/>
        <v>45139</v>
      </c>
      <c r="BI20" s="7">
        <f t="shared" si="7"/>
        <v>45139</v>
      </c>
    </row>
    <row r="21" spans="5:61" s="6" customFormat="1" x14ac:dyDescent="0.35">
      <c r="E21" s="6">
        <v>9</v>
      </c>
      <c r="J21" s="6" t="s">
        <v>6</v>
      </c>
      <c r="M21" s="26"/>
      <c r="N21" s="78"/>
      <c r="O21" s="78"/>
      <c r="P21" s="78"/>
      <c r="Q21" s="78"/>
      <c r="R21" s="78"/>
      <c r="S21" s="78"/>
      <c r="T21" s="78"/>
      <c r="U21" s="78"/>
      <c r="V21" s="7">
        <f t="shared" ref="V21:BI21" si="8">IF(V$11=$E21,V$10,U21)</f>
        <v>44075</v>
      </c>
      <c r="W21" s="7">
        <f t="shared" si="8"/>
        <v>44075</v>
      </c>
      <c r="X21" s="7">
        <f t="shared" si="8"/>
        <v>44075</v>
      </c>
      <c r="Y21" s="7">
        <f t="shared" si="8"/>
        <v>44075</v>
      </c>
      <c r="Z21" s="7">
        <f t="shared" si="8"/>
        <v>44075</v>
      </c>
      <c r="AA21" s="7">
        <f t="shared" si="8"/>
        <v>44075</v>
      </c>
      <c r="AB21" s="7">
        <f t="shared" si="8"/>
        <v>44075</v>
      </c>
      <c r="AC21" s="7">
        <f t="shared" si="8"/>
        <v>44075</v>
      </c>
      <c r="AD21" s="7">
        <f t="shared" si="8"/>
        <v>44075</v>
      </c>
      <c r="AE21" s="7">
        <f t="shared" si="8"/>
        <v>44075</v>
      </c>
      <c r="AF21" s="7">
        <f t="shared" si="8"/>
        <v>44075</v>
      </c>
      <c r="AG21" s="7">
        <f t="shared" si="8"/>
        <v>44075</v>
      </c>
      <c r="AH21" s="7">
        <f t="shared" si="8"/>
        <v>44440</v>
      </c>
      <c r="AI21" s="7">
        <f t="shared" si="8"/>
        <v>44440</v>
      </c>
      <c r="AJ21" s="7">
        <f t="shared" si="8"/>
        <v>44440</v>
      </c>
      <c r="AK21" s="7">
        <f t="shared" si="8"/>
        <v>44440</v>
      </c>
      <c r="AL21" s="7">
        <f t="shared" si="8"/>
        <v>44440</v>
      </c>
      <c r="AM21" s="7">
        <f t="shared" si="8"/>
        <v>44440</v>
      </c>
      <c r="AN21" s="7">
        <f t="shared" si="8"/>
        <v>44440</v>
      </c>
      <c r="AO21" s="7">
        <f t="shared" si="8"/>
        <v>44440</v>
      </c>
      <c r="AP21" s="7">
        <f t="shared" si="8"/>
        <v>44440</v>
      </c>
      <c r="AQ21" s="7">
        <f t="shared" si="8"/>
        <v>44440</v>
      </c>
      <c r="AR21" s="7">
        <f t="shared" si="8"/>
        <v>44440</v>
      </c>
      <c r="AS21" s="7">
        <f t="shared" si="8"/>
        <v>44440</v>
      </c>
      <c r="AT21" s="7">
        <f t="shared" si="8"/>
        <v>44805</v>
      </c>
      <c r="AU21" s="7">
        <f t="shared" si="8"/>
        <v>44805</v>
      </c>
      <c r="AV21" s="7">
        <f t="shared" si="8"/>
        <v>44805</v>
      </c>
      <c r="AW21" s="7">
        <f t="shared" si="8"/>
        <v>44805</v>
      </c>
      <c r="AX21" s="7">
        <f t="shared" si="8"/>
        <v>44805</v>
      </c>
      <c r="AY21" s="7">
        <f t="shared" si="8"/>
        <v>44805</v>
      </c>
      <c r="AZ21" s="7">
        <f t="shared" si="8"/>
        <v>44805</v>
      </c>
      <c r="BA21" s="7">
        <f t="shared" si="8"/>
        <v>44805</v>
      </c>
      <c r="BB21" s="7">
        <f t="shared" si="8"/>
        <v>44805</v>
      </c>
      <c r="BC21" s="7">
        <f t="shared" si="8"/>
        <v>44805</v>
      </c>
      <c r="BD21" s="7">
        <f t="shared" si="8"/>
        <v>44805</v>
      </c>
      <c r="BE21" s="7">
        <f t="shared" si="8"/>
        <v>44805</v>
      </c>
      <c r="BF21" s="7">
        <f t="shared" si="8"/>
        <v>45170</v>
      </c>
      <c r="BG21" s="7">
        <f t="shared" si="8"/>
        <v>45170</v>
      </c>
      <c r="BH21" s="7">
        <f t="shared" si="8"/>
        <v>45170</v>
      </c>
      <c r="BI21" s="7">
        <f t="shared" si="8"/>
        <v>45170</v>
      </c>
    </row>
    <row r="22" spans="5:61" s="6" customFormat="1" x14ac:dyDescent="0.35">
      <c r="E22" s="6">
        <v>10</v>
      </c>
      <c r="J22" s="6" t="s">
        <v>6</v>
      </c>
      <c r="M22" s="26"/>
      <c r="N22" s="78"/>
      <c r="O22" s="78"/>
      <c r="P22" s="78"/>
      <c r="Q22" s="78"/>
      <c r="R22" s="78"/>
      <c r="S22" s="78"/>
      <c r="T22" s="78"/>
      <c r="U22" s="78"/>
      <c r="V22" s="78"/>
      <c r="W22" s="7">
        <f t="shared" ref="W22:BI22" si="9">IF(W$11=$E22,W$10,V22)</f>
        <v>44105</v>
      </c>
      <c r="X22" s="7">
        <f t="shared" si="9"/>
        <v>44105</v>
      </c>
      <c r="Y22" s="7">
        <f t="shared" si="9"/>
        <v>44105</v>
      </c>
      <c r="Z22" s="7">
        <f t="shared" si="9"/>
        <v>44105</v>
      </c>
      <c r="AA22" s="7">
        <f t="shared" si="9"/>
        <v>44105</v>
      </c>
      <c r="AB22" s="7">
        <f t="shared" si="9"/>
        <v>44105</v>
      </c>
      <c r="AC22" s="7">
        <f t="shared" si="9"/>
        <v>44105</v>
      </c>
      <c r="AD22" s="7">
        <f t="shared" si="9"/>
        <v>44105</v>
      </c>
      <c r="AE22" s="7">
        <f t="shared" si="9"/>
        <v>44105</v>
      </c>
      <c r="AF22" s="7">
        <f t="shared" si="9"/>
        <v>44105</v>
      </c>
      <c r="AG22" s="7">
        <f t="shared" si="9"/>
        <v>44105</v>
      </c>
      <c r="AH22" s="7">
        <f t="shared" si="9"/>
        <v>44105</v>
      </c>
      <c r="AI22" s="7">
        <f t="shared" si="9"/>
        <v>44470</v>
      </c>
      <c r="AJ22" s="7">
        <f t="shared" si="9"/>
        <v>44470</v>
      </c>
      <c r="AK22" s="7">
        <f t="shared" si="9"/>
        <v>44470</v>
      </c>
      <c r="AL22" s="7">
        <f t="shared" si="9"/>
        <v>44470</v>
      </c>
      <c r="AM22" s="7">
        <f t="shared" si="9"/>
        <v>44470</v>
      </c>
      <c r="AN22" s="7">
        <f t="shared" si="9"/>
        <v>44470</v>
      </c>
      <c r="AO22" s="7">
        <f t="shared" si="9"/>
        <v>44470</v>
      </c>
      <c r="AP22" s="7">
        <f t="shared" si="9"/>
        <v>44470</v>
      </c>
      <c r="AQ22" s="7">
        <f t="shared" si="9"/>
        <v>44470</v>
      </c>
      <c r="AR22" s="7">
        <f t="shared" si="9"/>
        <v>44470</v>
      </c>
      <c r="AS22" s="7">
        <f t="shared" si="9"/>
        <v>44470</v>
      </c>
      <c r="AT22" s="7">
        <f t="shared" si="9"/>
        <v>44470</v>
      </c>
      <c r="AU22" s="7">
        <f t="shared" si="9"/>
        <v>44835</v>
      </c>
      <c r="AV22" s="7">
        <f t="shared" si="9"/>
        <v>44835</v>
      </c>
      <c r="AW22" s="7">
        <f t="shared" si="9"/>
        <v>44835</v>
      </c>
      <c r="AX22" s="7">
        <f t="shared" si="9"/>
        <v>44835</v>
      </c>
      <c r="AY22" s="7">
        <f t="shared" si="9"/>
        <v>44835</v>
      </c>
      <c r="AZ22" s="7">
        <f t="shared" si="9"/>
        <v>44835</v>
      </c>
      <c r="BA22" s="7">
        <f t="shared" si="9"/>
        <v>44835</v>
      </c>
      <c r="BB22" s="7">
        <f t="shared" si="9"/>
        <v>44835</v>
      </c>
      <c r="BC22" s="7">
        <f t="shared" si="9"/>
        <v>44835</v>
      </c>
      <c r="BD22" s="7">
        <f t="shared" si="9"/>
        <v>44835</v>
      </c>
      <c r="BE22" s="7">
        <f t="shared" si="9"/>
        <v>44835</v>
      </c>
      <c r="BF22" s="7">
        <f t="shared" si="9"/>
        <v>44835</v>
      </c>
      <c r="BG22" s="7">
        <f t="shared" si="9"/>
        <v>45200</v>
      </c>
      <c r="BH22" s="7">
        <f t="shared" si="9"/>
        <v>45200</v>
      </c>
      <c r="BI22" s="7">
        <f t="shared" si="9"/>
        <v>45200</v>
      </c>
    </row>
    <row r="23" spans="5:61" s="6" customFormat="1" x14ac:dyDescent="0.35">
      <c r="E23" s="6">
        <v>11</v>
      </c>
      <c r="J23" s="6" t="s">
        <v>6</v>
      </c>
      <c r="M23" s="26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">
        <f t="shared" ref="X23:BI23" si="10">IF(X$11=$E23,X$10,W23)</f>
        <v>44136</v>
      </c>
      <c r="Y23" s="7">
        <f t="shared" si="10"/>
        <v>44136</v>
      </c>
      <c r="Z23" s="7">
        <f t="shared" si="10"/>
        <v>44136</v>
      </c>
      <c r="AA23" s="7">
        <f t="shared" si="10"/>
        <v>44136</v>
      </c>
      <c r="AB23" s="7">
        <f t="shared" si="10"/>
        <v>44136</v>
      </c>
      <c r="AC23" s="7">
        <f t="shared" si="10"/>
        <v>44136</v>
      </c>
      <c r="AD23" s="7">
        <f t="shared" si="10"/>
        <v>44136</v>
      </c>
      <c r="AE23" s="7">
        <f t="shared" si="10"/>
        <v>44136</v>
      </c>
      <c r="AF23" s="7">
        <f t="shared" si="10"/>
        <v>44136</v>
      </c>
      <c r="AG23" s="7">
        <f t="shared" si="10"/>
        <v>44136</v>
      </c>
      <c r="AH23" s="7">
        <f t="shared" si="10"/>
        <v>44136</v>
      </c>
      <c r="AI23" s="7">
        <f t="shared" si="10"/>
        <v>44136</v>
      </c>
      <c r="AJ23" s="7">
        <f t="shared" si="10"/>
        <v>44501</v>
      </c>
      <c r="AK23" s="7">
        <f t="shared" si="10"/>
        <v>44501</v>
      </c>
      <c r="AL23" s="7">
        <f t="shared" si="10"/>
        <v>44501</v>
      </c>
      <c r="AM23" s="7">
        <f t="shared" si="10"/>
        <v>44501</v>
      </c>
      <c r="AN23" s="7">
        <f t="shared" si="10"/>
        <v>44501</v>
      </c>
      <c r="AO23" s="7">
        <f t="shared" si="10"/>
        <v>44501</v>
      </c>
      <c r="AP23" s="7">
        <f t="shared" si="10"/>
        <v>44501</v>
      </c>
      <c r="AQ23" s="7">
        <f t="shared" si="10"/>
        <v>44501</v>
      </c>
      <c r="AR23" s="7">
        <f t="shared" si="10"/>
        <v>44501</v>
      </c>
      <c r="AS23" s="7">
        <f t="shared" si="10"/>
        <v>44501</v>
      </c>
      <c r="AT23" s="7">
        <f t="shared" si="10"/>
        <v>44501</v>
      </c>
      <c r="AU23" s="7">
        <f t="shared" si="10"/>
        <v>44501</v>
      </c>
      <c r="AV23" s="7">
        <f t="shared" si="10"/>
        <v>44866</v>
      </c>
      <c r="AW23" s="7">
        <f t="shared" si="10"/>
        <v>44866</v>
      </c>
      <c r="AX23" s="7">
        <f t="shared" si="10"/>
        <v>44866</v>
      </c>
      <c r="AY23" s="7">
        <f t="shared" si="10"/>
        <v>44866</v>
      </c>
      <c r="AZ23" s="7">
        <f t="shared" si="10"/>
        <v>44866</v>
      </c>
      <c r="BA23" s="7">
        <f t="shared" si="10"/>
        <v>44866</v>
      </c>
      <c r="BB23" s="7">
        <f t="shared" si="10"/>
        <v>44866</v>
      </c>
      <c r="BC23" s="7">
        <f t="shared" si="10"/>
        <v>44866</v>
      </c>
      <c r="BD23" s="7">
        <f t="shared" si="10"/>
        <v>44866</v>
      </c>
      <c r="BE23" s="7">
        <f t="shared" si="10"/>
        <v>44866</v>
      </c>
      <c r="BF23" s="7">
        <f t="shared" si="10"/>
        <v>44866</v>
      </c>
      <c r="BG23" s="7">
        <f t="shared" si="10"/>
        <v>44866</v>
      </c>
      <c r="BH23" s="7">
        <f t="shared" si="10"/>
        <v>45231</v>
      </c>
      <c r="BI23" s="7">
        <f t="shared" si="10"/>
        <v>45231</v>
      </c>
    </row>
    <row r="24" spans="5:61" s="6" customFormat="1" x14ac:dyDescent="0.35">
      <c r="E24" s="6">
        <v>12</v>
      </c>
      <c r="J24" s="6" t="s">
        <v>6</v>
      </c>
      <c r="M24" s="26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">
        <f t="shared" ref="Y24:BI24" si="11">IF(Y$11=$E24,Y$10,X24)</f>
        <v>44166</v>
      </c>
      <c r="Z24" s="7">
        <f t="shared" si="11"/>
        <v>44166</v>
      </c>
      <c r="AA24" s="7">
        <f t="shared" si="11"/>
        <v>44166</v>
      </c>
      <c r="AB24" s="7">
        <f t="shared" si="11"/>
        <v>44166</v>
      </c>
      <c r="AC24" s="7">
        <f t="shared" si="11"/>
        <v>44166</v>
      </c>
      <c r="AD24" s="7">
        <f t="shared" si="11"/>
        <v>44166</v>
      </c>
      <c r="AE24" s="7">
        <f t="shared" si="11"/>
        <v>44166</v>
      </c>
      <c r="AF24" s="7">
        <f t="shared" si="11"/>
        <v>44166</v>
      </c>
      <c r="AG24" s="7">
        <f t="shared" si="11"/>
        <v>44166</v>
      </c>
      <c r="AH24" s="7">
        <f t="shared" si="11"/>
        <v>44166</v>
      </c>
      <c r="AI24" s="7">
        <f t="shared" si="11"/>
        <v>44166</v>
      </c>
      <c r="AJ24" s="7">
        <f t="shared" si="11"/>
        <v>44166</v>
      </c>
      <c r="AK24" s="7">
        <f t="shared" si="11"/>
        <v>44531</v>
      </c>
      <c r="AL24" s="7">
        <f t="shared" si="11"/>
        <v>44531</v>
      </c>
      <c r="AM24" s="7">
        <f t="shared" si="11"/>
        <v>44531</v>
      </c>
      <c r="AN24" s="7">
        <f t="shared" si="11"/>
        <v>44531</v>
      </c>
      <c r="AO24" s="7">
        <f t="shared" si="11"/>
        <v>44531</v>
      </c>
      <c r="AP24" s="7">
        <f t="shared" si="11"/>
        <v>44531</v>
      </c>
      <c r="AQ24" s="7">
        <f t="shared" si="11"/>
        <v>44531</v>
      </c>
      <c r="AR24" s="7">
        <f t="shared" si="11"/>
        <v>44531</v>
      </c>
      <c r="AS24" s="7">
        <f t="shared" si="11"/>
        <v>44531</v>
      </c>
      <c r="AT24" s="7">
        <f t="shared" si="11"/>
        <v>44531</v>
      </c>
      <c r="AU24" s="7">
        <f t="shared" si="11"/>
        <v>44531</v>
      </c>
      <c r="AV24" s="7">
        <f t="shared" si="11"/>
        <v>44531</v>
      </c>
      <c r="AW24" s="7">
        <f t="shared" si="11"/>
        <v>44896</v>
      </c>
      <c r="AX24" s="7">
        <f t="shared" si="11"/>
        <v>44896</v>
      </c>
      <c r="AY24" s="7">
        <f t="shared" si="11"/>
        <v>44896</v>
      </c>
      <c r="AZ24" s="7">
        <f t="shared" si="11"/>
        <v>44896</v>
      </c>
      <c r="BA24" s="7">
        <f t="shared" si="11"/>
        <v>44896</v>
      </c>
      <c r="BB24" s="7">
        <f t="shared" si="11"/>
        <v>44896</v>
      </c>
      <c r="BC24" s="7">
        <f t="shared" si="11"/>
        <v>44896</v>
      </c>
      <c r="BD24" s="7">
        <f t="shared" si="11"/>
        <v>44896</v>
      </c>
      <c r="BE24" s="7">
        <f t="shared" si="11"/>
        <v>44896</v>
      </c>
      <c r="BF24" s="7">
        <f t="shared" si="11"/>
        <v>44896</v>
      </c>
      <c r="BG24" s="7">
        <f t="shared" si="11"/>
        <v>44896</v>
      </c>
      <c r="BH24" s="7">
        <f t="shared" si="11"/>
        <v>44896</v>
      </c>
      <c r="BI24" s="7">
        <f t="shared" si="11"/>
        <v>45261</v>
      </c>
    </row>
    <row r="25" spans="5:61" s="4" customFormat="1" x14ac:dyDescent="0.35"/>
    <row r="26" spans="5:61" s="4" customFormat="1" x14ac:dyDescent="0.35">
      <c r="E26" s="6" t="s">
        <v>191</v>
      </c>
    </row>
    <row r="27" spans="5:61" s="6" customFormat="1" x14ac:dyDescent="0.35">
      <c r="E27" s="6">
        <v>1</v>
      </c>
      <c r="J27" s="6" t="s">
        <v>31</v>
      </c>
      <c r="N27" s="79">
        <f>IF(YEAR(N13)=YEAR(N$5),1,0)</f>
        <v>1</v>
      </c>
      <c r="O27" s="79">
        <f t="shared" ref="O27:BI27" si="12">IF(YEAR(O13)=YEAR(O$5),1,0)</f>
        <v>1</v>
      </c>
      <c r="P27" s="79">
        <f t="shared" si="12"/>
        <v>1</v>
      </c>
      <c r="Q27" s="79">
        <f t="shared" si="12"/>
        <v>1</v>
      </c>
      <c r="R27" s="79">
        <f t="shared" si="12"/>
        <v>1</v>
      </c>
      <c r="S27" s="79">
        <f t="shared" si="12"/>
        <v>1</v>
      </c>
      <c r="T27" s="79">
        <f t="shared" si="12"/>
        <v>1</v>
      </c>
      <c r="U27" s="79">
        <f t="shared" si="12"/>
        <v>1</v>
      </c>
      <c r="V27" s="79">
        <f t="shared" si="12"/>
        <v>1</v>
      </c>
      <c r="W27" s="79">
        <f t="shared" si="12"/>
        <v>1</v>
      </c>
      <c r="X27" s="79">
        <f t="shared" si="12"/>
        <v>1</v>
      </c>
      <c r="Y27" s="79">
        <f t="shared" si="12"/>
        <v>1</v>
      </c>
      <c r="Z27" s="79">
        <f t="shared" si="12"/>
        <v>1</v>
      </c>
      <c r="AA27" s="79">
        <f t="shared" si="12"/>
        <v>1</v>
      </c>
      <c r="AB27" s="79">
        <f t="shared" si="12"/>
        <v>1</v>
      </c>
      <c r="AC27" s="79">
        <f t="shared" si="12"/>
        <v>1</v>
      </c>
      <c r="AD27" s="79">
        <f t="shared" si="12"/>
        <v>1</v>
      </c>
      <c r="AE27" s="79">
        <f t="shared" si="12"/>
        <v>1</v>
      </c>
      <c r="AF27" s="79">
        <f t="shared" si="12"/>
        <v>1</v>
      </c>
      <c r="AG27" s="79">
        <f t="shared" si="12"/>
        <v>1</v>
      </c>
      <c r="AH27" s="79">
        <f t="shared" si="12"/>
        <v>1</v>
      </c>
      <c r="AI27" s="79">
        <f t="shared" si="12"/>
        <v>1</v>
      </c>
      <c r="AJ27" s="79">
        <f t="shared" si="12"/>
        <v>1</v>
      </c>
      <c r="AK27" s="79">
        <f t="shared" si="12"/>
        <v>1</v>
      </c>
      <c r="AL27" s="79">
        <f t="shared" si="12"/>
        <v>1</v>
      </c>
      <c r="AM27" s="79">
        <f t="shared" si="12"/>
        <v>1</v>
      </c>
      <c r="AN27" s="79">
        <f t="shared" si="12"/>
        <v>1</v>
      </c>
      <c r="AO27" s="79">
        <f t="shared" si="12"/>
        <v>1</v>
      </c>
      <c r="AP27" s="79">
        <f t="shared" si="12"/>
        <v>1</v>
      </c>
      <c r="AQ27" s="79">
        <f t="shared" si="12"/>
        <v>1</v>
      </c>
      <c r="AR27" s="79">
        <f t="shared" si="12"/>
        <v>1</v>
      </c>
      <c r="AS27" s="79">
        <f t="shared" si="12"/>
        <v>1</v>
      </c>
      <c r="AT27" s="79">
        <f t="shared" si="12"/>
        <v>1</v>
      </c>
      <c r="AU27" s="79">
        <f t="shared" si="12"/>
        <v>1</v>
      </c>
      <c r="AV27" s="79">
        <f t="shared" si="12"/>
        <v>1</v>
      </c>
      <c r="AW27" s="79">
        <f t="shared" si="12"/>
        <v>1</v>
      </c>
      <c r="AX27" s="79">
        <f t="shared" si="12"/>
        <v>1</v>
      </c>
      <c r="AY27" s="79">
        <f t="shared" si="12"/>
        <v>1</v>
      </c>
      <c r="AZ27" s="79">
        <f t="shared" si="12"/>
        <v>1</v>
      </c>
      <c r="BA27" s="79">
        <f t="shared" si="12"/>
        <v>1</v>
      </c>
      <c r="BB27" s="79">
        <f t="shared" si="12"/>
        <v>1</v>
      </c>
      <c r="BC27" s="79">
        <f t="shared" si="12"/>
        <v>1</v>
      </c>
      <c r="BD27" s="79">
        <f t="shared" si="12"/>
        <v>1</v>
      </c>
      <c r="BE27" s="79">
        <f t="shared" si="12"/>
        <v>1</v>
      </c>
      <c r="BF27" s="79">
        <f t="shared" si="12"/>
        <v>1</v>
      </c>
      <c r="BG27" s="79">
        <f t="shared" si="12"/>
        <v>1</v>
      </c>
      <c r="BH27" s="79">
        <f t="shared" si="12"/>
        <v>1</v>
      </c>
      <c r="BI27" s="79">
        <f t="shared" si="12"/>
        <v>1</v>
      </c>
    </row>
    <row r="28" spans="5:61" s="6" customFormat="1" x14ac:dyDescent="0.35">
      <c r="E28" s="6">
        <v>2</v>
      </c>
      <c r="J28" s="6" t="s">
        <v>31</v>
      </c>
      <c r="N28" s="79">
        <f t="shared" ref="N28:BI28" si="13">IF(YEAR(N14)=YEAR(N$5),1,0)</f>
        <v>0</v>
      </c>
      <c r="O28" s="79">
        <f t="shared" si="13"/>
        <v>1</v>
      </c>
      <c r="P28" s="79">
        <f t="shared" si="13"/>
        <v>1</v>
      </c>
      <c r="Q28" s="79">
        <f t="shared" si="13"/>
        <v>1</v>
      </c>
      <c r="R28" s="79">
        <f t="shared" si="13"/>
        <v>1</v>
      </c>
      <c r="S28" s="79">
        <f t="shared" si="13"/>
        <v>1</v>
      </c>
      <c r="T28" s="79">
        <f t="shared" si="13"/>
        <v>1</v>
      </c>
      <c r="U28" s="79">
        <f t="shared" si="13"/>
        <v>1</v>
      </c>
      <c r="V28" s="79">
        <f t="shared" si="13"/>
        <v>1</v>
      </c>
      <c r="W28" s="79">
        <f t="shared" si="13"/>
        <v>1</v>
      </c>
      <c r="X28" s="79">
        <f t="shared" si="13"/>
        <v>1</v>
      </c>
      <c r="Y28" s="79">
        <f t="shared" si="13"/>
        <v>1</v>
      </c>
      <c r="Z28" s="79">
        <f t="shared" si="13"/>
        <v>0</v>
      </c>
      <c r="AA28" s="79">
        <f t="shared" si="13"/>
        <v>1</v>
      </c>
      <c r="AB28" s="79">
        <f t="shared" si="13"/>
        <v>1</v>
      </c>
      <c r="AC28" s="79">
        <f t="shared" si="13"/>
        <v>1</v>
      </c>
      <c r="AD28" s="79">
        <f t="shared" si="13"/>
        <v>1</v>
      </c>
      <c r="AE28" s="79">
        <f t="shared" si="13"/>
        <v>1</v>
      </c>
      <c r="AF28" s="79">
        <f t="shared" si="13"/>
        <v>1</v>
      </c>
      <c r="AG28" s="79">
        <f t="shared" si="13"/>
        <v>1</v>
      </c>
      <c r="AH28" s="79">
        <f t="shared" si="13"/>
        <v>1</v>
      </c>
      <c r="AI28" s="79">
        <f t="shared" si="13"/>
        <v>1</v>
      </c>
      <c r="AJ28" s="79">
        <f t="shared" si="13"/>
        <v>1</v>
      </c>
      <c r="AK28" s="79">
        <f t="shared" si="13"/>
        <v>1</v>
      </c>
      <c r="AL28" s="79">
        <f t="shared" si="13"/>
        <v>0</v>
      </c>
      <c r="AM28" s="79">
        <f t="shared" si="13"/>
        <v>1</v>
      </c>
      <c r="AN28" s="79">
        <f t="shared" si="13"/>
        <v>1</v>
      </c>
      <c r="AO28" s="79">
        <f t="shared" si="13"/>
        <v>1</v>
      </c>
      <c r="AP28" s="79">
        <f t="shared" si="13"/>
        <v>1</v>
      </c>
      <c r="AQ28" s="79">
        <f t="shared" si="13"/>
        <v>1</v>
      </c>
      <c r="AR28" s="79">
        <f t="shared" si="13"/>
        <v>1</v>
      </c>
      <c r="AS28" s="79">
        <f t="shared" si="13"/>
        <v>1</v>
      </c>
      <c r="AT28" s="79">
        <f t="shared" si="13"/>
        <v>1</v>
      </c>
      <c r="AU28" s="79">
        <f t="shared" si="13"/>
        <v>1</v>
      </c>
      <c r="AV28" s="79">
        <f t="shared" si="13"/>
        <v>1</v>
      </c>
      <c r="AW28" s="79">
        <f t="shared" si="13"/>
        <v>1</v>
      </c>
      <c r="AX28" s="79">
        <f t="shared" si="13"/>
        <v>0</v>
      </c>
      <c r="AY28" s="79">
        <f t="shared" si="13"/>
        <v>1</v>
      </c>
      <c r="AZ28" s="79">
        <f t="shared" si="13"/>
        <v>1</v>
      </c>
      <c r="BA28" s="79">
        <f t="shared" si="13"/>
        <v>1</v>
      </c>
      <c r="BB28" s="79">
        <f t="shared" si="13"/>
        <v>1</v>
      </c>
      <c r="BC28" s="79">
        <f t="shared" si="13"/>
        <v>1</v>
      </c>
      <c r="BD28" s="79">
        <f t="shared" si="13"/>
        <v>1</v>
      </c>
      <c r="BE28" s="79">
        <f t="shared" si="13"/>
        <v>1</v>
      </c>
      <c r="BF28" s="79">
        <f t="shared" si="13"/>
        <v>1</v>
      </c>
      <c r="BG28" s="79">
        <f t="shared" si="13"/>
        <v>1</v>
      </c>
      <c r="BH28" s="79">
        <f t="shared" si="13"/>
        <v>1</v>
      </c>
      <c r="BI28" s="79">
        <f t="shared" si="13"/>
        <v>1</v>
      </c>
    </row>
    <row r="29" spans="5:61" s="6" customFormat="1" x14ac:dyDescent="0.35">
      <c r="E29" s="6">
        <v>3</v>
      </c>
      <c r="J29" s="6" t="s">
        <v>31</v>
      </c>
      <c r="N29" s="79">
        <f t="shared" ref="N29:BI29" si="14">IF(YEAR(N15)=YEAR(N$5),1,0)</f>
        <v>0</v>
      </c>
      <c r="O29" s="79">
        <f t="shared" si="14"/>
        <v>0</v>
      </c>
      <c r="P29" s="79">
        <f t="shared" si="14"/>
        <v>1</v>
      </c>
      <c r="Q29" s="79">
        <f t="shared" si="14"/>
        <v>1</v>
      </c>
      <c r="R29" s="79">
        <f t="shared" si="14"/>
        <v>1</v>
      </c>
      <c r="S29" s="79">
        <f t="shared" si="14"/>
        <v>1</v>
      </c>
      <c r="T29" s="79">
        <f t="shared" si="14"/>
        <v>1</v>
      </c>
      <c r="U29" s="79">
        <f t="shared" si="14"/>
        <v>1</v>
      </c>
      <c r="V29" s="79">
        <f t="shared" si="14"/>
        <v>1</v>
      </c>
      <c r="W29" s="79">
        <f t="shared" si="14"/>
        <v>1</v>
      </c>
      <c r="X29" s="79">
        <f t="shared" si="14"/>
        <v>1</v>
      </c>
      <c r="Y29" s="79">
        <f t="shared" si="14"/>
        <v>1</v>
      </c>
      <c r="Z29" s="79">
        <f t="shared" si="14"/>
        <v>0</v>
      </c>
      <c r="AA29" s="79">
        <f t="shared" si="14"/>
        <v>0</v>
      </c>
      <c r="AB29" s="79">
        <f t="shared" si="14"/>
        <v>1</v>
      </c>
      <c r="AC29" s="79">
        <f t="shared" si="14"/>
        <v>1</v>
      </c>
      <c r="AD29" s="79">
        <f t="shared" si="14"/>
        <v>1</v>
      </c>
      <c r="AE29" s="79">
        <f t="shared" si="14"/>
        <v>1</v>
      </c>
      <c r="AF29" s="79">
        <f t="shared" si="14"/>
        <v>1</v>
      </c>
      <c r="AG29" s="79">
        <f t="shared" si="14"/>
        <v>1</v>
      </c>
      <c r="AH29" s="79">
        <f t="shared" si="14"/>
        <v>1</v>
      </c>
      <c r="AI29" s="79">
        <f t="shared" si="14"/>
        <v>1</v>
      </c>
      <c r="AJ29" s="79">
        <f t="shared" si="14"/>
        <v>1</v>
      </c>
      <c r="AK29" s="79">
        <f t="shared" si="14"/>
        <v>1</v>
      </c>
      <c r="AL29" s="79">
        <f t="shared" si="14"/>
        <v>0</v>
      </c>
      <c r="AM29" s="79">
        <f t="shared" si="14"/>
        <v>0</v>
      </c>
      <c r="AN29" s="79">
        <f t="shared" si="14"/>
        <v>1</v>
      </c>
      <c r="AO29" s="79">
        <f t="shared" si="14"/>
        <v>1</v>
      </c>
      <c r="AP29" s="79">
        <f t="shared" si="14"/>
        <v>1</v>
      </c>
      <c r="AQ29" s="79">
        <f t="shared" si="14"/>
        <v>1</v>
      </c>
      <c r="AR29" s="79">
        <f t="shared" si="14"/>
        <v>1</v>
      </c>
      <c r="AS29" s="79">
        <f t="shared" si="14"/>
        <v>1</v>
      </c>
      <c r="AT29" s="79">
        <f t="shared" si="14"/>
        <v>1</v>
      </c>
      <c r="AU29" s="79">
        <f t="shared" si="14"/>
        <v>1</v>
      </c>
      <c r="AV29" s="79">
        <f t="shared" si="14"/>
        <v>1</v>
      </c>
      <c r="AW29" s="79">
        <f t="shared" si="14"/>
        <v>1</v>
      </c>
      <c r="AX29" s="79">
        <f t="shared" si="14"/>
        <v>0</v>
      </c>
      <c r="AY29" s="79">
        <f t="shared" si="14"/>
        <v>0</v>
      </c>
      <c r="AZ29" s="79">
        <f t="shared" si="14"/>
        <v>1</v>
      </c>
      <c r="BA29" s="79">
        <f t="shared" si="14"/>
        <v>1</v>
      </c>
      <c r="BB29" s="79">
        <f t="shared" si="14"/>
        <v>1</v>
      </c>
      <c r="BC29" s="79">
        <f t="shared" si="14"/>
        <v>1</v>
      </c>
      <c r="BD29" s="79">
        <f t="shared" si="14"/>
        <v>1</v>
      </c>
      <c r="BE29" s="79">
        <f t="shared" si="14"/>
        <v>1</v>
      </c>
      <c r="BF29" s="79">
        <f t="shared" si="14"/>
        <v>1</v>
      </c>
      <c r="BG29" s="79">
        <f t="shared" si="14"/>
        <v>1</v>
      </c>
      <c r="BH29" s="79">
        <f t="shared" si="14"/>
        <v>1</v>
      </c>
      <c r="BI29" s="79">
        <f t="shared" si="14"/>
        <v>1</v>
      </c>
    </row>
    <row r="30" spans="5:61" s="6" customFormat="1" x14ac:dyDescent="0.35">
      <c r="E30" s="6">
        <v>4</v>
      </c>
      <c r="J30" s="6" t="s">
        <v>31</v>
      </c>
      <c r="N30" s="79">
        <f t="shared" ref="N30:BI30" si="15">IF(YEAR(N16)=YEAR(N$5),1,0)</f>
        <v>0</v>
      </c>
      <c r="O30" s="79">
        <f t="shared" si="15"/>
        <v>0</v>
      </c>
      <c r="P30" s="79">
        <f t="shared" si="15"/>
        <v>0</v>
      </c>
      <c r="Q30" s="79">
        <f t="shared" si="15"/>
        <v>1</v>
      </c>
      <c r="R30" s="79">
        <f t="shared" si="15"/>
        <v>1</v>
      </c>
      <c r="S30" s="79">
        <f t="shared" si="15"/>
        <v>1</v>
      </c>
      <c r="T30" s="79">
        <f t="shared" si="15"/>
        <v>1</v>
      </c>
      <c r="U30" s="79">
        <f t="shared" si="15"/>
        <v>1</v>
      </c>
      <c r="V30" s="79">
        <f t="shared" si="15"/>
        <v>1</v>
      </c>
      <c r="W30" s="79">
        <f t="shared" si="15"/>
        <v>1</v>
      </c>
      <c r="X30" s="79">
        <f t="shared" si="15"/>
        <v>1</v>
      </c>
      <c r="Y30" s="79">
        <f t="shared" si="15"/>
        <v>1</v>
      </c>
      <c r="Z30" s="79">
        <f t="shared" si="15"/>
        <v>0</v>
      </c>
      <c r="AA30" s="79">
        <f t="shared" si="15"/>
        <v>0</v>
      </c>
      <c r="AB30" s="79">
        <f t="shared" si="15"/>
        <v>0</v>
      </c>
      <c r="AC30" s="79">
        <f t="shared" si="15"/>
        <v>1</v>
      </c>
      <c r="AD30" s="79">
        <f t="shared" si="15"/>
        <v>1</v>
      </c>
      <c r="AE30" s="79">
        <f t="shared" si="15"/>
        <v>1</v>
      </c>
      <c r="AF30" s="79">
        <f t="shared" si="15"/>
        <v>1</v>
      </c>
      <c r="AG30" s="79">
        <f t="shared" si="15"/>
        <v>1</v>
      </c>
      <c r="AH30" s="79">
        <f t="shared" si="15"/>
        <v>1</v>
      </c>
      <c r="AI30" s="79">
        <f t="shared" si="15"/>
        <v>1</v>
      </c>
      <c r="AJ30" s="79">
        <f t="shared" si="15"/>
        <v>1</v>
      </c>
      <c r="AK30" s="79">
        <f t="shared" si="15"/>
        <v>1</v>
      </c>
      <c r="AL30" s="79">
        <f t="shared" si="15"/>
        <v>0</v>
      </c>
      <c r="AM30" s="79">
        <f t="shared" si="15"/>
        <v>0</v>
      </c>
      <c r="AN30" s="79">
        <f t="shared" si="15"/>
        <v>0</v>
      </c>
      <c r="AO30" s="79">
        <f t="shared" si="15"/>
        <v>1</v>
      </c>
      <c r="AP30" s="79">
        <f t="shared" si="15"/>
        <v>1</v>
      </c>
      <c r="AQ30" s="79">
        <f t="shared" si="15"/>
        <v>1</v>
      </c>
      <c r="AR30" s="79">
        <f t="shared" si="15"/>
        <v>1</v>
      </c>
      <c r="AS30" s="79">
        <f t="shared" si="15"/>
        <v>1</v>
      </c>
      <c r="AT30" s="79">
        <f t="shared" si="15"/>
        <v>1</v>
      </c>
      <c r="AU30" s="79">
        <f t="shared" si="15"/>
        <v>1</v>
      </c>
      <c r="AV30" s="79">
        <f t="shared" si="15"/>
        <v>1</v>
      </c>
      <c r="AW30" s="79">
        <f t="shared" si="15"/>
        <v>1</v>
      </c>
      <c r="AX30" s="79">
        <f t="shared" si="15"/>
        <v>0</v>
      </c>
      <c r="AY30" s="79">
        <f t="shared" si="15"/>
        <v>0</v>
      </c>
      <c r="AZ30" s="79">
        <f t="shared" si="15"/>
        <v>0</v>
      </c>
      <c r="BA30" s="79">
        <f t="shared" si="15"/>
        <v>1</v>
      </c>
      <c r="BB30" s="79">
        <f t="shared" si="15"/>
        <v>1</v>
      </c>
      <c r="BC30" s="79">
        <f t="shared" si="15"/>
        <v>1</v>
      </c>
      <c r="BD30" s="79">
        <f t="shared" si="15"/>
        <v>1</v>
      </c>
      <c r="BE30" s="79">
        <f t="shared" si="15"/>
        <v>1</v>
      </c>
      <c r="BF30" s="79">
        <f t="shared" si="15"/>
        <v>1</v>
      </c>
      <c r="BG30" s="79">
        <f t="shared" si="15"/>
        <v>1</v>
      </c>
      <c r="BH30" s="79">
        <f t="shared" si="15"/>
        <v>1</v>
      </c>
      <c r="BI30" s="79">
        <f t="shared" si="15"/>
        <v>1</v>
      </c>
    </row>
    <row r="31" spans="5:61" s="6" customFormat="1" x14ac:dyDescent="0.35">
      <c r="E31" s="6">
        <v>5</v>
      </c>
      <c r="J31" s="6" t="s">
        <v>31</v>
      </c>
      <c r="N31" s="79">
        <f t="shared" ref="N31:BI31" si="16">IF(YEAR(N17)=YEAR(N$5),1,0)</f>
        <v>0</v>
      </c>
      <c r="O31" s="79">
        <f t="shared" si="16"/>
        <v>0</v>
      </c>
      <c r="P31" s="79">
        <f t="shared" si="16"/>
        <v>0</v>
      </c>
      <c r="Q31" s="79">
        <f t="shared" si="16"/>
        <v>0</v>
      </c>
      <c r="R31" s="79">
        <f t="shared" si="16"/>
        <v>1</v>
      </c>
      <c r="S31" s="79">
        <f t="shared" si="16"/>
        <v>1</v>
      </c>
      <c r="T31" s="79">
        <f t="shared" si="16"/>
        <v>1</v>
      </c>
      <c r="U31" s="79">
        <f t="shared" si="16"/>
        <v>1</v>
      </c>
      <c r="V31" s="79">
        <f t="shared" si="16"/>
        <v>1</v>
      </c>
      <c r="W31" s="79">
        <f t="shared" si="16"/>
        <v>1</v>
      </c>
      <c r="X31" s="79">
        <f t="shared" si="16"/>
        <v>1</v>
      </c>
      <c r="Y31" s="79">
        <f t="shared" si="16"/>
        <v>1</v>
      </c>
      <c r="Z31" s="79">
        <f t="shared" si="16"/>
        <v>0</v>
      </c>
      <c r="AA31" s="79">
        <f t="shared" si="16"/>
        <v>0</v>
      </c>
      <c r="AB31" s="79">
        <f t="shared" si="16"/>
        <v>0</v>
      </c>
      <c r="AC31" s="79">
        <f t="shared" si="16"/>
        <v>0</v>
      </c>
      <c r="AD31" s="79">
        <f t="shared" si="16"/>
        <v>1</v>
      </c>
      <c r="AE31" s="79">
        <f t="shared" si="16"/>
        <v>1</v>
      </c>
      <c r="AF31" s="79">
        <f t="shared" si="16"/>
        <v>1</v>
      </c>
      <c r="AG31" s="79">
        <f t="shared" si="16"/>
        <v>1</v>
      </c>
      <c r="AH31" s="79">
        <f t="shared" si="16"/>
        <v>1</v>
      </c>
      <c r="AI31" s="79">
        <f t="shared" si="16"/>
        <v>1</v>
      </c>
      <c r="AJ31" s="79">
        <f t="shared" si="16"/>
        <v>1</v>
      </c>
      <c r="AK31" s="79">
        <f t="shared" si="16"/>
        <v>1</v>
      </c>
      <c r="AL31" s="79">
        <f t="shared" si="16"/>
        <v>0</v>
      </c>
      <c r="AM31" s="79">
        <f t="shared" si="16"/>
        <v>0</v>
      </c>
      <c r="AN31" s="79">
        <f t="shared" si="16"/>
        <v>0</v>
      </c>
      <c r="AO31" s="79">
        <f t="shared" si="16"/>
        <v>0</v>
      </c>
      <c r="AP31" s="79">
        <f t="shared" si="16"/>
        <v>1</v>
      </c>
      <c r="AQ31" s="79">
        <f t="shared" si="16"/>
        <v>1</v>
      </c>
      <c r="AR31" s="79">
        <f t="shared" si="16"/>
        <v>1</v>
      </c>
      <c r="AS31" s="79">
        <f t="shared" si="16"/>
        <v>1</v>
      </c>
      <c r="AT31" s="79">
        <f t="shared" si="16"/>
        <v>1</v>
      </c>
      <c r="AU31" s="79">
        <f t="shared" si="16"/>
        <v>1</v>
      </c>
      <c r="AV31" s="79">
        <f t="shared" si="16"/>
        <v>1</v>
      </c>
      <c r="AW31" s="79">
        <f t="shared" si="16"/>
        <v>1</v>
      </c>
      <c r="AX31" s="79">
        <f t="shared" si="16"/>
        <v>0</v>
      </c>
      <c r="AY31" s="79">
        <f t="shared" si="16"/>
        <v>0</v>
      </c>
      <c r="AZ31" s="79">
        <f t="shared" si="16"/>
        <v>0</v>
      </c>
      <c r="BA31" s="79">
        <f t="shared" si="16"/>
        <v>0</v>
      </c>
      <c r="BB31" s="79">
        <f t="shared" si="16"/>
        <v>1</v>
      </c>
      <c r="BC31" s="79">
        <f t="shared" si="16"/>
        <v>1</v>
      </c>
      <c r="BD31" s="79">
        <f t="shared" si="16"/>
        <v>1</v>
      </c>
      <c r="BE31" s="79">
        <f t="shared" si="16"/>
        <v>1</v>
      </c>
      <c r="BF31" s="79">
        <f t="shared" si="16"/>
        <v>1</v>
      </c>
      <c r="BG31" s="79">
        <f t="shared" si="16"/>
        <v>1</v>
      </c>
      <c r="BH31" s="79">
        <f t="shared" si="16"/>
        <v>1</v>
      </c>
      <c r="BI31" s="79">
        <f t="shared" si="16"/>
        <v>1</v>
      </c>
    </row>
    <row r="32" spans="5:61" s="6" customFormat="1" x14ac:dyDescent="0.35">
      <c r="E32" s="6">
        <v>6</v>
      </c>
      <c r="J32" s="6" t="s">
        <v>31</v>
      </c>
      <c r="N32" s="79">
        <f t="shared" ref="N32:BI32" si="17">IF(YEAR(N18)=YEAR(N$5),1,0)</f>
        <v>0</v>
      </c>
      <c r="O32" s="79">
        <f t="shared" si="17"/>
        <v>0</v>
      </c>
      <c r="P32" s="79">
        <f t="shared" si="17"/>
        <v>0</v>
      </c>
      <c r="Q32" s="79">
        <f t="shared" si="17"/>
        <v>0</v>
      </c>
      <c r="R32" s="79">
        <f t="shared" si="17"/>
        <v>0</v>
      </c>
      <c r="S32" s="79">
        <f t="shared" si="17"/>
        <v>1</v>
      </c>
      <c r="T32" s="79">
        <f t="shared" si="17"/>
        <v>1</v>
      </c>
      <c r="U32" s="79">
        <f t="shared" si="17"/>
        <v>1</v>
      </c>
      <c r="V32" s="79">
        <f t="shared" si="17"/>
        <v>1</v>
      </c>
      <c r="W32" s="79">
        <f t="shared" si="17"/>
        <v>1</v>
      </c>
      <c r="X32" s="79">
        <f t="shared" si="17"/>
        <v>1</v>
      </c>
      <c r="Y32" s="79">
        <f t="shared" si="17"/>
        <v>1</v>
      </c>
      <c r="Z32" s="79">
        <f t="shared" si="17"/>
        <v>0</v>
      </c>
      <c r="AA32" s="79">
        <f t="shared" si="17"/>
        <v>0</v>
      </c>
      <c r="AB32" s="79">
        <f t="shared" si="17"/>
        <v>0</v>
      </c>
      <c r="AC32" s="79">
        <f t="shared" si="17"/>
        <v>0</v>
      </c>
      <c r="AD32" s="79">
        <f t="shared" si="17"/>
        <v>0</v>
      </c>
      <c r="AE32" s="79">
        <f t="shared" si="17"/>
        <v>1</v>
      </c>
      <c r="AF32" s="79">
        <f t="shared" si="17"/>
        <v>1</v>
      </c>
      <c r="AG32" s="79">
        <f t="shared" si="17"/>
        <v>1</v>
      </c>
      <c r="AH32" s="79">
        <f t="shared" si="17"/>
        <v>1</v>
      </c>
      <c r="AI32" s="79">
        <f t="shared" si="17"/>
        <v>1</v>
      </c>
      <c r="AJ32" s="79">
        <f t="shared" si="17"/>
        <v>1</v>
      </c>
      <c r="AK32" s="79">
        <f t="shared" si="17"/>
        <v>1</v>
      </c>
      <c r="AL32" s="79">
        <f t="shared" si="17"/>
        <v>0</v>
      </c>
      <c r="AM32" s="79">
        <f t="shared" si="17"/>
        <v>0</v>
      </c>
      <c r="AN32" s="79">
        <f t="shared" si="17"/>
        <v>0</v>
      </c>
      <c r="AO32" s="79">
        <f t="shared" si="17"/>
        <v>0</v>
      </c>
      <c r="AP32" s="79">
        <f t="shared" si="17"/>
        <v>0</v>
      </c>
      <c r="AQ32" s="79">
        <f t="shared" si="17"/>
        <v>1</v>
      </c>
      <c r="AR32" s="79">
        <f t="shared" si="17"/>
        <v>1</v>
      </c>
      <c r="AS32" s="79">
        <f t="shared" si="17"/>
        <v>1</v>
      </c>
      <c r="AT32" s="79">
        <f t="shared" si="17"/>
        <v>1</v>
      </c>
      <c r="AU32" s="79">
        <f t="shared" si="17"/>
        <v>1</v>
      </c>
      <c r="AV32" s="79">
        <f t="shared" si="17"/>
        <v>1</v>
      </c>
      <c r="AW32" s="79">
        <f t="shared" si="17"/>
        <v>1</v>
      </c>
      <c r="AX32" s="79">
        <f t="shared" si="17"/>
        <v>0</v>
      </c>
      <c r="AY32" s="79">
        <f t="shared" si="17"/>
        <v>0</v>
      </c>
      <c r="AZ32" s="79">
        <f t="shared" si="17"/>
        <v>0</v>
      </c>
      <c r="BA32" s="79">
        <f t="shared" si="17"/>
        <v>0</v>
      </c>
      <c r="BB32" s="79">
        <f t="shared" si="17"/>
        <v>0</v>
      </c>
      <c r="BC32" s="79">
        <f t="shared" si="17"/>
        <v>1</v>
      </c>
      <c r="BD32" s="79">
        <f t="shared" si="17"/>
        <v>1</v>
      </c>
      <c r="BE32" s="79">
        <f t="shared" si="17"/>
        <v>1</v>
      </c>
      <c r="BF32" s="79">
        <f t="shared" si="17"/>
        <v>1</v>
      </c>
      <c r="BG32" s="79">
        <f t="shared" si="17"/>
        <v>1</v>
      </c>
      <c r="BH32" s="79">
        <f t="shared" si="17"/>
        <v>1</v>
      </c>
      <c r="BI32" s="79">
        <f t="shared" si="17"/>
        <v>1</v>
      </c>
    </row>
    <row r="33" spans="4:61" s="6" customFormat="1" x14ac:dyDescent="0.35">
      <c r="E33" s="6">
        <v>7</v>
      </c>
      <c r="J33" s="6" t="s">
        <v>31</v>
      </c>
      <c r="N33" s="79">
        <f t="shared" ref="N33:BI33" si="18">IF(YEAR(N19)=YEAR(N$5),1,0)</f>
        <v>0</v>
      </c>
      <c r="O33" s="79">
        <f t="shared" si="18"/>
        <v>0</v>
      </c>
      <c r="P33" s="79">
        <f t="shared" si="18"/>
        <v>0</v>
      </c>
      <c r="Q33" s="79">
        <f t="shared" si="18"/>
        <v>0</v>
      </c>
      <c r="R33" s="79">
        <f t="shared" si="18"/>
        <v>0</v>
      </c>
      <c r="S33" s="79">
        <f t="shared" si="18"/>
        <v>0</v>
      </c>
      <c r="T33" s="79">
        <f t="shared" si="18"/>
        <v>1</v>
      </c>
      <c r="U33" s="79">
        <f t="shared" si="18"/>
        <v>1</v>
      </c>
      <c r="V33" s="79">
        <f t="shared" si="18"/>
        <v>1</v>
      </c>
      <c r="W33" s="79">
        <f t="shared" si="18"/>
        <v>1</v>
      </c>
      <c r="X33" s="79">
        <f t="shared" si="18"/>
        <v>1</v>
      </c>
      <c r="Y33" s="79">
        <f t="shared" si="18"/>
        <v>1</v>
      </c>
      <c r="Z33" s="79">
        <f t="shared" si="18"/>
        <v>0</v>
      </c>
      <c r="AA33" s="79">
        <f t="shared" si="18"/>
        <v>0</v>
      </c>
      <c r="AB33" s="79">
        <f t="shared" si="18"/>
        <v>0</v>
      </c>
      <c r="AC33" s="79">
        <f t="shared" si="18"/>
        <v>0</v>
      </c>
      <c r="AD33" s="79">
        <f t="shared" si="18"/>
        <v>0</v>
      </c>
      <c r="AE33" s="79">
        <f t="shared" si="18"/>
        <v>0</v>
      </c>
      <c r="AF33" s="79">
        <f t="shared" si="18"/>
        <v>1</v>
      </c>
      <c r="AG33" s="79">
        <f t="shared" si="18"/>
        <v>1</v>
      </c>
      <c r="AH33" s="79">
        <f t="shared" si="18"/>
        <v>1</v>
      </c>
      <c r="AI33" s="79">
        <f t="shared" si="18"/>
        <v>1</v>
      </c>
      <c r="AJ33" s="79">
        <f t="shared" si="18"/>
        <v>1</v>
      </c>
      <c r="AK33" s="79">
        <f t="shared" si="18"/>
        <v>1</v>
      </c>
      <c r="AL33" s="79">
        <f t="shared" si="18"/>
        <v>0</v>
      </c>
      <c r="AM33" s="79">
        <f t="shared" si="18"/>
        <v>0</v>
      </c>
      <c r="AN33" s="79">
        <f t="shared" si="18"/>
        <v>0</v>
      </c>
      <c r="AO33" s="79">
        <f t="shared" si="18"/>
        <v>0</v>
      </c>
      <c r="AP33" s="79">
        <f t="shared" si="18"/>
        <v>0</v>
      </c>
      <c r="AQ33" s="79">
        <f t="shared" si="18"/>
        <v>0</v>
      </c>
      <c r="AR33" s="79">
        <f t="shared" si="18"/>
        <v>1</v>
      </c>
      <c r="AS33" s="79">
        <f t="shared" si="18"/>
        <v>1</v>
      </c>
      <c r="AT33" s="79">
        <f t="shared" si="18"/>
        <v>1</v>
      </c>
      <c r="AU33" s="79">
        <f t="shared" si="18"/>
        <v>1</v>
      </c>
      <c r="AV33" s="79">
        <f t="shared" si="18"/>
        <v>1</v>
      </c>
      <c r="AW33" s="79">
        <f t="shared" si="18"/>
        <v>1</v>
      </c>
      <c r="AX33" s="79">
        <f t="shared" si="18"/>
        <v>0</v>
      </c>
      <c r="AY33" s="79">
        <f t="shared" si="18"/>
        <v>0</v>
      </c>
      <c r="AZ33" s="79">
        <f t="shared" si="18"/>
        <v>0</v>
      </c>
      <c r="BA33" s="79">
        <f t="shared" si="18"/>
        <v>0</v>
      </c>
      <c r="BB33" s="79">
        <f t="shared" si="18"/>
        <v>0</v>
      </c>
      <c r="BC33" s="79">
        <f t="shared" si="18"/>
        <v>0</v>
      </c>
      <c r="BD33" s="79">
        <f t="shared" si="18"/>
        <v>1</v>
      </c>
      <c r="BE33" s="79">
        <f t="shared" si="18"/>
        <v>1</v>
      </c>
      <c r="BF33" s="79">
        <f t="shared" si="18"/>
        <v>1</v>
      </c>
      <c r="BG33" s="79">
        <f t="shared" si="18"/>
        <v>1</v>
      </c>
      <c r="BH33" s="79">
        <f t="shared" si="18"/>
        <v>1</v>
      </c>
      <c r="BI33" s="79">
        <f t="shared" si="18"/>
        <v>1</v>
      </c>
    </row>
    <row r="34" spans="4:61" s="6" customFormat="1" x14ac:dyDescent="0.35">
      <c r="E34" s="6">
        <v>8</v>
      </c>
      <c r="J34" s="6" t="s">
        <v>31</v>
      </c>
      <c r="N34" s="79">
        <f t="shared" ref="N34:BI34" si="19">IF(YEAR(N20)=YEAR(N$5),1,0)</f>
        <v>0</v>
      </c>
      <c r="O34" s="79">
        <f t="shared" si="19"/>
        <v>0</v>
      </c>
      <c r="P34" s="79">
        <f t="shared" si="19"/>
        <v>0</v>
      </c>
      <c r="Q34" s="79">
        <f t="shared" si="19"/>
        <v>0</v>
      </c>
      <c r="R34" s="79">
        <f t="shared" si="19"/>
        <v>0</v>
      </c>
      <c r="S34" s="79">
        <f t="shared" si="19"/>
        <v>0</v>
      </c>
      <c r="T34" s="79">
        <f t="shared" si="19"/>
        <v>0</v>
      </c>
      <c r="U34" s="79">
        <f t="shared" si="19"/>
        <v>1</v>
      </c>
      <c r="V34" s="79">
        <f t="shared" si="19"/>
        <v>1</v>
      </c>
      <c r="W34" s="79">
        <f t="shared" si="19"/>
        <v>1</v>
      </c>
      <c r="X34" s="79">
        <f t="shared" si="19"/>
        <v>1</v>
      </c>
      <c r="Y34" s="79">
        <f t="shared" si="19"/>
        <v>1</v>
      </c>
      <c r="Z34" s="79">
        <f t="shared" si="19"/>
        <v>0</v>
      </c>
      <c r="AA34" s="79">
        <f t="shared" si="19"/>
        <v>0</v>
      </c>
      <c r="AB34" s="79">
        <f t="shared" si="19"/>
        <v>0</v>
      </c>
      <c r="AC34" s="79">
        <f t="shared" si="19"/>
        <v>0</v>
      </c>
      <c r="AD34" s="79">
        <f t="shared" si="19"/>
        <v>0</v>
      </c>
      <c r="AE34" s="79">
        <f t="shared" si="19"/>
        <v>0</v>
      </c>
      <c r="AF34" s="79">
        <f t="shared" si="19"/>
        <v>0</v>
      </c>
      <c r="AG34" s="79">
        <f t="shared" si="19"/>
        <v>1</v>
      </c>
      <c r="AH34" s="79">
        <f t="shared" si="19"/>
        <v>1</v>
      </c>
      <c r="AI34" s="79">
        <f t="shared" si="19"/>
        <v>1</v>
      </c>
      <c r="AJ34" s="79">
        <f t="shared" si="19"/>
        <v>1</v>
      </c>
      <c r="AK34" s="79">
        <f t="shared" si="19"/>
        <v>1</v>
      </c>
      <c r="AL34" s="79">
        <f t="shared" si="19"/>
        <v>0</v>
      </c>
      <c r="AM34" s="79">
        <f t="shared" si="19"/>
        <v>0</v>
      </c>
      <c r="AN34" s="79">
        <f t="shared" si="19"/>
        <v>0</v>
      </c>
      <c r="AO34" s="79">
        <f t="shared" si="19"/>
        <v>0</v>
      </c>
      <c r="AP34" s="79">
        <f t="shared" si="19"/>
        <v>0</v>
      </c>
      <c r="AQ34" s="79">
        <f t="shared" si="19"/>
        <v>0</v>
      </c>
      <c r="AR34" s="79">
        <f t="shared" si="19"/>
        <v>0</v>
      </c>
      <c r="AS34" s="79">
        <f t="shared" si="19"/>
        <v>1</v>
      </c>
      <c r="AT34" s="79">
        <f t="shared" si="19"/>
        <v>1</v>
      </c>
      <c r="AU34" s="79">
        <f t="shared" si="19"/>
        <v>1</v>
      </c>
      <c r="AV34" s="79">
        <f t="shared" si="19"/>
        <v>1</v>
      </c>
      <c r="AW34" s="79">
        <f t="shared" si="19"/>
        <v>1</v>
      </c>
      <c r="AX34" s="79">
        <f t="shared" si="19"/>
        <v>0</v>
      </c>
      <c r="AY34" s="79">
        <f t="shared" si="19"/>
        <v>0</v>
      </c>
      <c r="AZ34" s="79">
        <f t="shared" si="19"/>
        <v>0</v>
      </c>
      <c r="BA34" s="79">
        <f t="shared" si="19"/>
        <v>0</v>
      </c>
      <c r="BB34" s="79">
        <f t="shared" si="19"/>
        <v>0</v>
      </c>
      <c r="BC34" s="79">
        <f t="shared" si="19"/>
        <v>0</v>
      </c>
      <c r="BD34" s="79">
        <f t="shared" si="19"/>
        <v>0</v>
      </c>
      <c r="BE34" s="79">
        <f t="shared" si="19"/>
        <v>1</v>
      </c>
      <c r="BF34" s="79">
        <f t="shared" si="19"/>
        <v>1</v>
      </c>
      <c r="BG34" s="79">
        <f t="shared" si="19"/>
        <v>1</v>
      </c>
      <c r="BH34" s="79">
        <f t="shared" si="19"/>
        <v>1</v>
      </c>
      <c r="BI34" s="79">
        <f t="shared" si="19"/>
        <v>1</v>
      </c>
    </row>
    <row r="35" spans="4:61" s="6" customFormat="1" x14ac:dyDescent="0.35">
      <c r="E35" s="6">
        <v>9</v>
      </c>
      <c r="J35" s="6" t="s">
        <v>31</v>
      </c>
      <c r="N35" s="79">
        <f t="shared" ref="N35:BI35" si="20">IF(YEAR(N21)=YEAR(N$5),1,0)</f>
        <v>0</v>
      </c>
      <c r="O35" s="79">
        <f t="shared" si="20"/>
        <v>0</v>
      </c>
      <c r="P35" s="79">
        <f t="shared" si="20"/>
        <v>0</v>
      </c>
      <c r="Q35" s="79">
        <f t="shared" si="20"/>
        <v>0</v>
      </c>
      <c r="R35" s="79">
        <f t="shared" si="20"/>
        <v>0</v>
      </c>
      <c r="S35" s="79">
        <f t="shared" si="20"/>
        <v>0</v>
      </c>
      <c r="T35" s="79">
        <f t="shared" si="20"/>
        <v>0</v>
      </c>
      <c r="U35" s="79">
        <f t="shared" si="20"/>
        <v>0</v>
      </c>
      <c r="V35" s="79">
        <f t="shared" si="20"/>
        <v>1</v>
      </c>
      <c r="W35" s="79">
        <f t="shared" si="20"/>
        <v>1</v>
      </c>
      <c r="X35" s="79">
        <f t="shared" si="20"/>
        <v>1</v>
      </c>
      <c r="Y35" s="79">
        <f t="shared" si="20"/>
        <v>1</v>
      </c>
      <c r="Z35" s="79">
        <f t="shared" si="20"/>
        <v>0</v>
      </c>
      <c r="AA35" s="79">
        <f t="shared" si="20"/>
        <v>0</v>
      </c>
      <c r="AB35" s="79">
        <f t="shared" si="20"/>
        <v>0</v>
      </c>
      <c r="AC35" s="79">
        <f t="shared" si="20"/>
        <v>0</v>
      </c>
      <c r="AD35" s="79">
        <f t="shared" si="20"/>
        <v>0</v>
      </c>
      <c r="AE35" s="79">
        <f t="shared" si="20"/>
        <v>0</v>
      </c>
      <c r="AF35" s="79">
        <f t="shared" si="20"/>
        <v>0</v>
      </c>
      <c r="AG35" s="79">
        <f t="shared" si="20"/>
        <v>0</v>
      </c>
      <c r="AH35" s="79">
        <f t="shared" si="20"/>
        <v>1</v>
      </c>
      <c r="AI35" s="79">
        <f t="shared" si="20"/>
        <v>1</v>
      </c>
      <c r="AJ35" s="79">
        <f t="shared" si="20"/>
        <v>1</v>
      </c>
      <c r="AK35" s="79">
        <f t="shared" si="20"/>
        <v>1</v>
      </c>
      <c r="AL35" s="79">
        <f t="shared" si="20"/>
        <v>0</v>
      </c>
      <c r="AM35" s="79">
        <f t="shared" si="20"/>
        <v>0</v>
      </c>
      <c r="AN35" s="79">
        <f t="shared" si="20"/>
        <v>0</v>
      </c>
      <c r="AO35" s="79">
        <f t="shared" si="20"/>
        <v>0</v>
      </c>
      <c r="AP35" s="79">
        <f t="shared" si="20"/>
        <v>0</v>
      </c>
      <c r="AQ35" s="79">
        <f t="shared" si="20"/>
        <v>0</v>
      </c>
      <c r="AR35" s="79">
        <f t="shared" si="20"/>
        <v>0</v>
      </c>
      <c r="AS35" s="79">
        <f t="shared" si="20"/>
        <v>0</v>
      </c>
      <c r="AT35" s="79">
        <f t="shared" si="20"/>
        <v>1</v>
      </c>
      <c r="AU35" s="79">
        <f t="shared" si="20"/>
        <v>1</v>
      </c>
      <c r="AV35" s="79">
        <f t="shared" si="20"/>
        <v>1</v>
      </c>
      <c r="AW35" s="79">
        <f t="shared" si="20"/>
        <v>1</v>
      </c>
      <c r="AX35" s="79">
        <f t="shared" si="20"/>
        <v>0</v>
      </c>
      <c r="AY35" s="79">
        <f t="shared" si="20"/>
        <v>0</v>
      </c>
      <c r="AZ35" s="79">
        <f t="shared" si="20"/>
        <v>0</v>
      </c>
      <c r="BA35" s="79">
        <f t="shared" si="20"/>
        <v>0</v>
      </c>
      <c r="BB35" s="79">
        <f t="shared" si="20"/>
        <v>0</v>
      </c>
      <c r="BC35" s="79">
        <f t="shared" si="20"/>
        <v>0</v>
      </c>
      <c r="BD35" s="79">
        <f t="shared" si="20"/>
        <v>0</v>
      </c>
      <c r="BE35" s="79">
        <f t="shared" si="20"/>
        <v>0</v>
      </c>
      <c r="BF35" s="79">
        <f t="shared" si="20"/>
        <v>1</v>
      </c>
      <c r="BG35" s="79">
        <f t="shared" si="20"/>
        <v>1</v>
      </c>
      <c r="BH35" s="79">
        <f t="shared" si="20"/>
        <v>1</v>
      </c>
      <c r="BI35" s="79">
        <f t="shared" si="20"/>
        <v>1</v>
      </c>
    </row>
    <row r="36" spans="4:61" s="6" customFormat="1" x14ac:dyDescent="0.35">
      <c r="E36" s="6">
        <v>10</v>
      </c>
      <c r="J36" s="6" t="s">
        <v>31</v>
      </c>
      <c r="N36" s="79">
        <f t="shared" ref="N36:BI36" si="21">IF(YEAR(N22)=YEAR(N$5),1,0)</f>
        <v>0</v>
      </c>
      <c r="O36" s="79">
        <f t="shared" si="21"/>
        <v>0</v>
      </c>
      <c r="P36" s="79">
        <f t="shared" si="21"/>
        <v>0</v>
      </c>
      <c r="Q36" s="79">
        <f t="shared" si="21"/>
        <v>0</v>
      </c>
      <c r="R36" s="79">
        <f t="shared" si="21"/>
        <v>0</v>
      </c>
      <c r="S36" s="79">
        <f t="shared" si="21"/>
        <v>0</v>
      </c>
      <c r="T36" s="79">
        <f t="shared" si="21"/>
        <v>0</v>
      </c>
      <c r="U36" s="79">
        <f t="shared" si="21"/>
        <v>0</v>
      </c>
      <c r="V36" s="79">
        <f t="shared" si="21"/>
        <v>0</v>
      </c>
      <c r="W36" s="79">
        <f t="shared" si="21"/>
        <v>1</v>
      </c>
      <c r="X36" s="79">
        <f t="shared" si="21"/>
        <v>1</v>
      </c>
      <c r="Y36" s="79">
        <f t="shared" si="21"/>
        <v>1</v>
      </c>
      <c r="Z36" s="79">
        <f t="shared" si="21"/>
        <v>0</v>
      </c>
      <c r="AA36" s="79">
        <f t="shared" si="21"/>
        <v>0</v>
      </c>
      <c r="AB36" s="79">
        <f t="shared" si="21"/>
        <v>0</v>
      </c>
      <c r="AC36" s="79">
        <f t="shared" si="21"/>
        <v>0</v>
      </c>
      <c r="AD36" s="79">
        <f t="shared" si="21"/>
        <v>0</v>
      </c>
      <c r="AE36" s="79">
        <f t="shared" si="21"/>
        <v>0</v>
      </c>
      <c r="AF36" s="79">
        <f t="shared" si="21"/>
        <v>0</v>
      </c>
      <c r="AG36" s="79">
        <f t="shared" si="21"/>
        <v>0</v>
      </c>
      <c r="AH36" s="79">
        <f t="shared" si="21"/>
        <v>0</v>
      </c>
      <c r="AI36" s="79">
        <f t="shared" si="21"/>
        <v>1</v>
      </c>
      <c r="AJ36" s="79">
        <f t="shared" si="21"/>
        <v>1</v>
      </c>
      <c r="AK36" s="79">
        <f t="shared" si="21"/>
        <v>1</v>
      </c>
      <c r="AL36" s="79">
        <f t="shared" si="21"/>
        <v>0</v>
      </c>
      <c r="AM36" s="79">
        <f t="shared" si="21"/>
        <v>0</v>
      </c>
      <c r="AN36" s="79">
        <f t="shared" si="21"/>
        <v>0</v>
      </c>
      <c r="AO36" s="79">
        <f t="shared" si="21"/>
        <v>0</v>
      </c>
      <c r="AP36" s="79">
        <f t="shared" si="21"/>
        <v>0</v>
      </c>
      <c r="AQ36" s="79">
        <f t="shared" si="21"/>
        <v>0</v>
      </c>
      <c r="AR36" s="79">
        <f t="shared" si="21"/>
        <v>0</v>
      </c>
      <c r="AS36" s="79">
        <f t="shared" si="21"/>
        <v>0</v>
      </c>
      <c r="AT36" s="79">
        <f t="shared" si="21"/>
        <v>0</v>
      </c>
      <c r="AU36" s="79">
        <f t="shared" si="21"/>
        <v>1</v>
      </c>
      <c r="AV36" s="79">
        <f t="shared" si="21"/>
        <v>1</v>
      </c>
      <c r="AW36" s="79">
        <f t="shared" si="21"/>
        <v>1</v>
      </c>
      <c r="AX36" s="79">
        <f t="shared" si="21"/>
        <v>0</v>
      </c>
      <c r="AY36" s="79">
        <f t="shared" si="21"/>
        <v>0</v>
      </c>
      <c r="AZ36" s="79">
        <f t="shared" si="21"/>
        <v>0</v>
      </c>
      <c r="BA36" s="79">
        <f t="shared" si="21"/>
        <v>0</v>
      </c>
      <c r="BB36" s="79">
        <f t="shared" si="21"/>
        <v>0</v>
      </c>
      <c r="BC36" s="79">
        <f t="shared" si="21"/>
        <v>0</v>
      </c>
      <c r="BD36" s="79">
        <f t="shared" si="21"/>
        <v>0</v>
      </c>
      <c r="BE36" s="79">
        <f t="shared" si="21"/>
        <v>0</v>
      </c>
      <c r="BF36" s="79">
        <f t="shared" si="21"/>
        <v>0</v>
      </c>
      <c r="BG36" s="79">
        <f t="shared" si="21"/>
        <v>1</v>
      </c>
      <c r="BH36" s="79">
        <f t="shared" si="21"/>
        <v>1</v>
      </c>
      <c r="BI36" s="79">
        <f t="shared" si="21"/>
        <v>1</v>
      </c>
    </row>
    <row r="37" spans="4:61" s="6" customFormat="1" x14ac:dyDescent="0.35">
      <c r="E37" s="6">
        <v>11</v>
      </c>
      <c r="J37" s="6" t="s">
        <v>31</v>
      </c>
      <c r="N37" s="79">
        <f t="shared" ref="N37:BI37" si="22">IF(YEAR(N23)=YEAR(N$5),1,0)</f>
        <v>0</v>
      </c>
      <c r="O37" s="79">
        <f t="shared" si="22"/>
        <v>0</v>
      </c>
      <c r="P37" s="79">
        <f t="shared" si="22"/>
        <v>0</v>
      </c>
      <c r="Q37" s="79">
        <f t="shared" si="22"/>
        <v>0</v>
      </c>
      <c r="R37" s="79">
        <f t="shared" si="22"/>
        <v>0</v>
      </c>
      <c r="S37" s="79">
        <f t="shared" si="22"/>
        <v>0</v>
      </c>
      <c r="T37" s="79">
        <f t="shared" si="22"/>
        <v>0</v>
      </c>
      <c r="U37" s="79">
        <f t="shared" si="22"/>
        <v>0</v>
      </c>
      <c r="V37" s="79">
        <f t="shared" si="22"/>
        <v>0</v>
      </c>
      <c r="W37" s="79">
        <f t="shared" si="22"/>
        <v>0</v>
      </c>
      <c r="X37" s="79">
        <f t="shared" si="22"/>
        <v>1</v>
      </c>
      <c r="Y37" s="79">
        <f t="shared" si="22"/>
        <v>1</v>
      </c>
      <c r="Z37" s="79">
        <f t="shared" si="22"/>
        <v>0</v>
      </c>
      <c r="AA37" s="79">
        <f t="shared" si="22"/>
        <v>0</v>
      </c>
      <c r="AB37" s="79">
        <f t="shared" si="22"/>
        <v>0</v>
      </c>
      <c r="AC37" s="79">
        <f t="shared" si="22"/>
        <v>0</v>
      </c>
      <c r="AD37" s="79">
        <f t="shared" si="22"/>
        <v>0</v>
      </c>
      <c r="AE37" s="79">
        <f t="shared" si="22"/>
        <v>0</v>
      </c>
      <c r="AF37" s="79">
        <f t="shared" si="22"/>
        <v>0</v>
      </c>
      <c r="AG37" s="79">
        <f t="shared" si="22"/>
        <v>0</v>
      </c>
      <c r="AH37" s="79">
        <f t="shared" si="22"/>
        <v>0</v>
      </c>
      <c r="AI37" s="79">
        <f t="shared" si="22"/>
        <v>0</v>
      </c>
      <c r="AJ37" s="79">
        <f t="shared" si="22"/>
        <v>1</v>
      </c>
      <c r="AK37" s="79">
        <f t="shared" si="22"/>
        <v>1</v>
      </c>
      <c r="AL37" s="79">
        <f t="shared" si="22"/>
        <v>0</v>
      </c>
      <c r="AM37" s="79">
        <f t="shared" si="22"/>
        <v>0</v>
      </c>
      <c r="AN37" s="79">
        <f t="shared" si="22"/>
        <v>0</v>
      </c>
      <c r="AO37" s="79">
        <f t="shared" si="22"/>
        <v>0</v>
      </c>
      <c r="AP37" s="79">
        <f t="shared" si="22"/>
        <v>0</v>
      </c>
      <c r="AQ37" s="79">
        <f t="shared" si="22"/>
        <v>0</v>
      </c>
      <c r="AR37" s="79">
        <f t="shared" si="22"/>
        <v>0</v>
      </c>
      <c r="AS37" s="79">
        <f t="shared" si="22"/>
        <v>0</v>
      </c>
      <c r="AT37" s="79">
        <f t="shared" si="22"/>
        <v>0</v>
      </c>
      <c r="AU37" s="79">
        <f t="shared" si="22"/>
        <v>0</v>
      </c>
      <c r="AV37" s="79">
        <f t="shared" si="22"/>
        <v>1</v>
      </c>
      <c r="AW37" s="79">
        <f t="shared" si="22"/>
        <v>1</v>
      </c>
      <c r="AX37" s="79">
        <f t="shared" si="22"/>
        <v>0</v>
      </c>
      <c r="AY37" s="79">
        <f t="shared" si="22"/>
        <v>0</v>
      </c>
      <c r="AZ37" s="79">
        <f t="shared" si="22"/>
        <v>0</v>
      </c>
      <c r="BA37" s="79">
        <f t="shared" si="22"/>
        <v>0</v>
      </c>
      <c r="BB37" s="79">
        <f t="shared" si="22"/>
        <v>0</v>
      </c>
      <c r="BC37" s="79">
        <f t="shared" si="22"/>
        <v>0</v>
      </c>
      <c r="BD37" s="79">
        <f t="shared" si="22"/>
        <v>0</v>
      </c>
      <c r="BE37" s="79">
        <f t="shared" si="22"/>
        <v>0</v>
      </c>
      <c r="BF37" s="79">
        <f t="shared" si="22"/>
        <v>0</v>
      </c>
      <c r="BG37" s="79">
        <f t="shared" si="22"/>
        <v>0</v>
      </c>
      <c r="BH37" s="79">
        <f t="shared" si="22"/>
        <v>1</v>
      </c>
      <c r="BI37" s="79">
        <f t="shared" si="22"/>
        <v>1</v>
      </c>
    </row>
    <row r="38" spans="4:61" s="6" customFormat="1" x14ac:dyDescent="0.35">
      <c r="E38" s="6">
        <v>12</v>
      </c>
      <c r="J38" s="6" t="s">
        <v>31</v>
      </c>
      <c r="N38" s="79">
        <f t="shared" ref="N38:BI38" si="23">IF(YEAR(N24)=YEAR(N$5),1,0)</f>
        <v>0</v>
      </c>
      <c r="O38" s="79">
        <f t="shared" si="23"/>
        <v>0</v>
      </c>
      <c r="P38" s="79">
        <f t="shared" si="23"/>
        <v>0</v>
      </c>
      <c r="Q38" s="79">
        <f t="shared" si="23"/>
        <v>0</v>
      </c>
      <c r="R38" s="79">
        <f t="shared" si="23"/>
        <v>0</v>
      </c>
      <c r="S38" s="79">
        <f t="shared" si="23"/>
        <v>0</v>
      </c>
      <c r="T38" s="79">
        <f t="shared" si="23"/>
        <v>0</v>
      </c>
      <c r="U38" s="79">
        <f t="shared" si="23"/>
        <v>0</v>
      </c>
      <c r="V38" s="79">
        <f t="shared" si="23"/>
        <v>0</v>
      </c>
      <c r="W38" s="79">
        <f t="shared" si="23"/>
        <v>0</v>
      </c>
      <c r="X38" s="79">
        <f t="shared" si="23"/>
        <v>0</v>
      </c>
      <c r="Y38" s="79">
        <f t="shared" si="23"/>
        <v>1</v>
      </c>
      <c r="Z38" s="79">
        <f t="shared" si="23"/>
        <v>0</v>
      </c>
      <c r="AA38" s="79">
        <f t="shared" si="23"/>
        <v>0</v>
      </c>
      <c r="AB38" s="79">
        <f t="shared" si="23"/>
        <v>0</v>
      </c>
      <c r="AC38" s="79">
        <f t="shared" si="23"/>
        <v>0</v>
      </c>
      <c r="AD38" s="79">
        <f t="shared" si="23"/>
        <v>0</v>
      </c>
      <c r="AE38" s="79">
        <f t="shared" si="23"/>
        <v>0</v>
      </c>
      <c r="AF38" s="79">
        <f t="shared" si="23"/>
        <v>0</v>
      </c>
      <c r="AG38" s="79">
        <f t="shared" si="23"/>
        <v>0</v>
      </c>
      <c r="AH38" s="79">
        <f t="shared" si="23"/>
        <v>0</v>
      </c>
      <c r="AI38" s="79">
        <f t="shared" si="23"/>
        <v>0</v>
      </c>
      <c r="AJ38" s="79">
        <f t="shared" si="23"/>
        <v>0</v>
      </c>
      <c r="AK38" s="79">
        <f t="shared" si="23"/>
        <v>1</v>
      </c>
      <c r="AL38" s="79">
        <f t="shared" si="23"/>
        <v>0</v>
      </c>
      <c r="AM38" s="79">
        <f t="shared" si="23"/>
        <v>0</v>
      </c>
      <c r="AN38" s="79">
        <f t="shared" si="23"/>
        <v>0</v>
      </c>
      <c r="AO38" s="79">
        <f t="shared" si="23"/>
        <v>0</v>
      </c>
      <c r="AP38" s="79">
        <f t="shared" si="23"/>
        <v>0</v>
      </c>
      <c r="AQ38" s="79">
        <f t="shared" si="23"/>
        <v>0</v>
      </c>
      <c r="AR38" s="79">
        <f t="shared" si="23"/>
        <v>0</v>
      </c>
      <c r="AS38" s="79">
        <f t="shared" si="23"/>
        <v>0</v>
      </c>
      <c r="AT38" s="79">
        <f t="shared" si="23"/>
        <v>0</v>
      </c>
      <c r="AU38" s="79">
        <f t="shared" si="23"/>
        <v>0</v>
      </c>
      <c r="AV38" s="79">
        <f t="shared" si="23"/>
        <v>0</v>
      </c>
      <c r="AW38" s="79">
        <f t="shared" si="23"/>
        <v>1</v>
      </c>
      <c r="AX38" s="79">
        <f t="shared" si="23"/>
        <v>0</v>
      </c>
      <c r="AY38" s="79">
        <f t="shared" si="23"/>
        <v>0</v>
      </c>
      <c r="AZ38" s="79">
        <f t="shared" si="23"/>
        <v>0</v>
      </c>
      <c r="BA38" s="79">
        <f t="shared" si="23"/>
        <v>0</v>
      </c>
      <c r="BB38" s="79">
        <f t="shared" si="23"/>
        <v>0</v>
      </c>
      <c r="BC38" s="79">
        <f t="shared" si="23"/>
        <v>0</v>
      </c>
      <c r="BD38" s="79">
        <f t="shared" si="23"/>
        <v>0</v>
      </c>
      <c r="BE38" s="79">
        <f t="shared" si="23"/>
        <v>0</v>
      </c>
      <c r="BF38" s="79">
        <f t="shared" si="23"/>
        <v>0</v>
      </c>
      <c r="BG38" s="79">
        <f t="shared" si="23"/>
        <v>0</v>
      </c>
      <c r="BH38" s="79">
        <f t="shared" si="23"/>
        <v>0</v>
      </c>
      <c r="BI38" s="79">
        <f t="shared" si="23"/>
        <v>1</v>
      </c>
    </row>
    <row r="39" spans="4:61" s="4" customFormat="1" x14ac:dyDescent="0.35"/>
    <row r="40" spans="4:61" x14ac:dyDescent="0.35">
      <c r="D40" s="1" t="s">
        <v>82</v>
      </c>
    </row>
    <row r="42" spans="4:61" s="4" customFormat="1" x14ac:dyDescent="0.35">
      <c r="E42" s="29">
        <f>Hypothèses_trajectoire!E92</f>
        <v>1</v>
      </c>
      <c r="I42" s="85">
        <f>Hypothèses_trajectoire!I92</f>
        <v>105</v>
      </c>
      <c r="J42" s="4" t="str">
        <f>Hypothèses_trajectoire!J92</f>
        <v>jours calendaires</v>
      </c>
    </row>
    <row r="43" spans="4:61" s="4" customFormat="1" x14ac:dyDescent="0.35">
      <c r="E43" s="4">
        <f>Hypothèses_trajectoire!E93</f>
        <v>2</v>
      </c>
      <c r="I43" s="85">
        <f>Hypothèses_trajectoire!I93</f>
        <v>105</v>
      </c>
      <c r="J43" s="4" t="str">
        <f>Hypothèses_trajectoire!J93</f>
        <v>jours calendaires</v>
      </c>
    </row>
    <row r="44" spans="4:61" s="4" customFormat="1" x14ac:dyDescent="0.35">
      <c r="E44" s="4">
        <f>Hypothèses_trajectoire!E94</f>
        <v>3</v>
      </c>
      <c r="I44" s="85">
        <f>Hypothèses_trajectoire!I94</f>
        <v>105</v>
      </c>
      <c r="J44" s="4" t="str">
        <f>Hypothèses_trajectoire!J94</f>
        <v>jours calendaires</v>
      </c>
    </row>
    <row r="45" spans="4:61" s="4" customFormat="1" x14ac:dyDescent="0.35">
      <c r="E45" s="4">
        <f>Hypothèses_trajectoire!E95</f>
        <v>4</v>
      </c>
      <c r="I45" s="85">
        <f>Hypothèses_trajectoire!I95</f>
        <v>105</v>
      </c>
      <c r="J45" s="4" t="str">
        <f>Hypothèses_trajectoire!J95</f>
        <v>jours calendaires</v>
      </c>
    </row>
    <row r="46" spans="4:61" s="4" customFormat="1" x14ac:dyDescent="0.35">
      <c r="E46" s="4">
        <f>Hypothèses_trajectoire!E96</f>
        <v>5</v>
      </c>
      <c r="I46" s="85">
        <f>Hypothèses_trajectoire!I96</f>
        <v>105</v>
      </c>
      <c r="J46" s="4" t="str">
        <f>Hypothèses_trajectoire!J96</f>
        <v>jours calendaires</v>
      </c>
    </row>
    <row r="47" spans="4:61" s="4" customFormat="1" x14ac:dyDescent="0.35">
      <c r="E47" s="4">
        <f>Hypothèses_trajectoire!E97</f>
        <v>6</v>
      </c>
      <c r="I47" s="85">
        <f>Hypothèses_trajectoire!I97</f>
        <v>105</v>
      </c>
      <c r="J47" s="4" t="str">
        <f>Hypothèses_trajectoire!J97</f>
        <v>jours calendaires</v>
      </c>
    </row>
    <row r="48" spans="4:61" s="4" customFormat="1" x14ac:dyDescent="0.35">
      <c r="E48" s="4">
        <f>Hypothèses_trajectoire!E98</f>
        <v>7</v>
      </c>
      <c r="I48" s="85">
        <f>Hypothèses_trajectoire!I98</f>
        <v>105</v>
      </c>
      <c r="J48" s="4" t="str">
        <f>Hypothèses_trajectoire!J98</f>
        <v>jours calendaires</v>
      </c>
    </row>
    <row r="49" spans="5:62" s="4" customFormat="1" x14ac:dyDescent="0.35">
      <c r="E49" s="4">
        <f>Hypothèses_trajectoire!E99</f>
        <v>8</v>
      </c>
      <c r="I49" s="85">
        <f>Hypothèses_trajectoire!I99</f>
        <v>105</v>
      </c>
      <c r="J49" s="4" t="str">
        <f>Hypothèses_trajectoire!J99</f>
        <v>jours calendaires</v>
      </c>
    </row>
    <row r="50" spans="5:62" s="4" customFormat="1" x14ac:dyDescent="0.35">
      <c r="E50" s="4">
        <f>Hypothèses_trajectoire!E100</f>
        <v>9</v>
      </c>
      <c r="I50" s="85">
        <f>Hypothèses_trajectoire!I100</f>
        <v>105</v>
      </c>
      <c r="J50" s="4" t="str">
        <f>Hypothèses_trajectoire!J100</f>
        <v>jours calendaires</v>
      </c>
    </row>
    <row r="51" spans="5:62" s="4" customFormat="1" x14ac:dyDescent="0.35">
      <c r="E51" s="4">
        <f>Hypothèses_trajectoire!E101</f>
        <v>10</v>
      </c>
      <c r="I51" s="85">
        <f>Hypothèses_trajectoire!I101</f>
        <v>105</v>
      </c>
      <c r="J51" s="4" t="str">
        <f>Hypothèses_trajectoire!J101</f>
        <v>jours calendaires</v>
      </c>
    </row>
    <row r="52" spans="5:62" s="4" customFormat="1" x14ac:dyDescent="0.35">
      <c r="E52" s="4">
        <f>Hypothèses_trajectoire!E102</f>
        <v>11</v>
      </c>
      <c r="I52" s="85">
        <f>Hypothèses_trajectoire!I102</f>
        <v>105</v>
      </c>
      <c r="J52" s="4" t="str">
        <f>Hypothèses_trajectoire!J102</f>
        <v>jours calendaires</v>
      </c>
    </row>
    <row r="53" spans="5:62" s="4" customFormat="1" x14ac:dyDescent="0.35">
      <c r="E53" s="4">
        <f>Hypothèses_trajectoire!E103</f>
        <v>12</v>
      </c>
      <c r="I53" s="85">
        <f>Hypothèses_trajectoire!I103</f>
        <v>105</v>
      </c>
      <c r="J53" s="4" t="str">
        <f>Hypothèses_trajectoire!J103</f>
        <v>jours calendaires</v>
      </c>
    </row>
    <row r="54" spans="5:62" s="4" customFormat="1" x14ac:dyDescent="0.35"/>
    <row r="55" spans="5:62" s="4" customFormat="1" x14ac:dyDescent="0.35">
      <c r="E55" s="4" t="str">
        <f>Hypothèses_trajectoire!E105</f>
        <v>Etalements autour de la moyenne</v>
      </c>
      <c r="I55" s="85">
        <f>Hypothèses_trajectoire!I105</f>
        <v>158.00330446049037</v>
      </c>
      <c r="J55" s="4" t="str">
        <f>Hypothèses_trajectoire!J105</f>
        <v>jours calendaires</v>
      </c>
    </row>
    <row r="57" spans="5:62" x14ac:dyDescent="0.35">
      <c r="E57">
        <f t="shared" ref="E57:E68" si="24">E13</f>
        <v>1</v>
      </c>
      <c r="J57" t="str">
        <f t="shared" ref="J57:J68" si="25">J13</f>
        <v>date</v>
      </c>
      <c r="N57" s="7">
        <f t="shared" ref="N57:BI57" si="26">N13</f>
        <v>43831</v>
      </c>
      <c r="O57" s="7">
        <f t="shared" si="26"/>
        <v>43831</v>
      </c>
      <c r="P57" s="7">
        <f t="shared" si="26"/>
        <v>43831</v>
      </c>
      <c r="Q57" s="7">
        <f t="shared" si="26"/>
        <v>43831</v>
      </c>
      <c r="R57" s="7">
        <f t="shared" si="26"/>
        <v>43831</v>
      </c>
      <c r="S57" s="7">
        <f t="shared" si="26"/>
        <v>43831</v>
      </c>
      <c r="T57" s="7">
        <f t="shared" si="26"/>
        <v>43831</v>
      </c>
      <c r="U57" s="7">
        <f t="shared" si="26"/>
        <v>43831</v>
      </c>
      <c r="V57" s="7">
        <f t="shared" si="26"/>
        <v>43831</v>
      </c>
      <c r="W57" s="7">
        <f t="shared" si="26"/>
        <v>43831</v>
      </c>
      <c r="X57" s="7">
        <f t="shared" si="26"/>
        <v>43831</v>
      </c>
      <c r="Y57" s="7">
        <f t="shared" si="26"/>
        <v>43831</v>
      </c>
      <c r="Z57" s="7">
        <f t="shared" si="26"/>
        <v>44197</v>
      </c>
      <c r="AA57" s="7">
        <f t="shared" si="26"/>
        <v>44197</v>
      </c>
      <c r="AB57" s="7">
        <f t="shared" si="26"/>
        <v>44197</v>
      </c>
      <c r="AC57" s="7">
        <f t="shared" si="26"/>
        <v>44197</v>
      </c>
      <c r="AD57" s="7">
        <f t="shared" si="26"/>
        <v>44197</v>
      </c>
      <c r="AE57" s="7">
        <f t="shared" si="26"/>
        <v>44197</v>
      </c>
      <c r="AF57" s="7">
        <f t="shared" si="26"/>
        <v>44197</v>
      </c>
      <c r="AG57" s="7">
        <f t="shared" si="26"/>
        <v>44197</v>
      </c>
      <c r="AH57" s="7">
        <f t="shared" si="26"/>
        <v>44197</v>
      </c>
      <c r="AI57" s="7">
        <f t="shared" si="26"/>
        <v>44197</v>
      </c>
      <c r="AJ57" s="7">
        <f t="shared" si="26"/>
        <v>44197</v>
      </c>
      <c r="AK57" s="7">
        <f t="shared" si="26"/>
        <v>44197</v>
      </c>
      <c r="AL57" s="7">
        <f t="shared" si="26"/>
        <v>44562</v>
      </c>
      <c r="AM57" s="7">
        <f t="shared" si="26"/>
        <v>44562</v>
      </c>
      <c r="AN57" s="7">
        <f t="shared" si="26"/>
        <v>44562</v>
      </c>
      <c r="AO57" s="7">
        <f t="shared" si="26"/>
        <v>44562</v>
      </c>
      <c r="AP57" s="7">
        <f t="shared" si="26"/>
        <v>44562</v>
      </c>
      <c r="AQ57" s="7">
        <f t="shared" si="26"/>
        <v>44562</v>
      </c>
      <c r="AR57" s="7">
        <f t="shared" si="26"/>
        <v>44562</v>
      </c>
      <c r="AS57" s="7">
        <f t="shared" si="26"/>
        <v>44562</v>
      </c>
      <c r="AT57" s="7">
        <f t="shared" si="26"/>
        <v>44562</v>
      </c>
      <c r="AU57" s="7">
        <f t="shared" si="26"/>
        <v>44562</v>
      </c>
      <c r="AV57" s="7">
        <f t="shared" si="26"/>
        <v>44562</v>
      </c>
      <c r="AW57" s="7">
        <f t="shared" si="26"/>
        <v>44562</v>
      </c>
      <c r="AX57" s="7">
        <f t="shared" si="26"/>
        <v>44927</v>
      </c>
      <c r="AY57" s="7">
        <f t="shared" si="26"/>
        <v>44927</v>
      </c>
      <c r="AZ57" s="7">
        <f t="shared" si="26"/>
        <v>44927</v>
      </c>
      <c r="BA57" s="7">
        <f t="shared" si="26"/>
        <v>44927</v>
      </c>
      <c r="BB57" s="7">
        <f t="shared" si="26"/>
        <v>44927</v>
      </c>
      <c r="BC57" s="7">
        <f t="shared" si="26"/>
        <v>44927</v>
      </c>
      <c r="BD57" s="7">
        <f t="shared" si="26"/>
        <v>44927</v>
      </c>
      <c r="BE57" s="7">
        <f t="shared" si="26"/>
        <v>44927</v>
      </c>
      <c r="BF57" s="7">
        <f t="shared" si="26"/>
        <v>44927</v>
      </c>
      <c r="BG57" s="7">
        <f t="shared" si="26"/>
        <v>44927</v>
      </c>
      <c r="BH57" s="7">
        <f t="shared" si="26"/>
        <v>44927</v>
      </c>
      <c r="BI57" s="7">
        <f t="shared" si="26"/>
        <v>44927</v>
      </c>
      <c r="BJ57" s="3"/>
    </row>
    <row r="58" spans="5:62" x14ac:dyDescent="0.35">
      <c r="E58">
        <f t="shared" si="24"/>
        <v>2</v>
      </c>
      <c r="J58" t="str">
        <f t="shared" si="25"/>
        <v>date</v>
      </c>
      <c r="N58" s="78"/>
      <c r="O58" s="7">
        <f t="shared" ref="O58:BI58" si="27">O14</f>
        <v>43862</v>
      </c>
      <c r="P58" s="7">
        <f t="shared" si="27"/>
        <v>43862</v>
      </c>
      <c r="Q58" s="7">
        <f t="shared" si="27"/>
        <v>43862</v>
      </c>
      <c r="R58" s="7">
        <f t="shared" si="27"/>
        <v>43862</v>
      </c>
      <c r="S58" s="7">
        <f t="shared" si="27"/>
        <v>43862</v>
      </c>
      <c r="T58" s="7">
        <f t="shared" si="27"/>
        <v>43862</v>
      </c>
      <c r="U58" s="7">
        <f t="shared" si="27"/>
        <v>43862</v>
      </c>
      <c r="V58" s="7">
        <f t="shared" si="27"/>
        <v>43862</v>
      </c>
      <c r="W58" s="7">
        <f t="shared" si="27"/>
        <v>43862</v>
      </c>
      <c r="X58" s="7">
        <f t="shared" si="27"/>
        <v>43862</v>
      </c>
      <c r="Y58" s="7">
        <f t="shared" si="27"/>
        <v>43862</v>
      </c>
      <c r="Z58" s="7">
        <f t="shared" si="27"/>
        <v>43862</v>
      </c>
      <c r="AA58" s="7">
        <f t="shared" si="27"/>
        <v>44228</v>
      </c>
      <c r="AB58" s="7">
        <f t="shared" si="27"/>
        <v>44228</v>
      </c>
      <c r="AC58" s="7">
        <f t="shared" si="27"/>
        <v>44228</v>
      </c>
      <c r="AD58" s="7">
        <f t="shared" si="27"/>
        <v>44228</v>
      </c>
      <c r="AE58" s="7">
        <f t="shared" si="27"/>
        <v>44228</v>
      </c>
      <c r="AF58" s="7">
        <f t="shared" si="27"/>
        <v>44228</v>
      </c>
      <c r="AG58" s="7">
        <f t="shared" si="27"/>
        <v>44228</v>
      </c>
      <c r="AH58" s="7">
        <f t="shared" si="27"/>
        <v>44228</v>
      </c>
      <c r="AI58" s="7">
        <f t="shared" si="27"/>
        <v>44228</v>
      </c>
      <c r="AJ58" s="7">
        <f t="shared" si="27"/>
        <v>44228</v>
      </c>
      <c r="AK58" s="7">
        <f t="shared" si="27"/>
        <v>44228</v>
      </c>
      <c r="AL58" s="7">
        <f t="shared" si="27"/>
        <v>44228</v>
      </c>
      <c r="AM58" s="7">
        <f t="shared" si="27"/>
        <v>44593</v>
      </c>
      <c r="AN58" s="7">
        <f t="shared" si="27"/>
        <v>44593</v>
      </c>
      <c r="AO58" s="7">
        <f t="shared" si="27"/>
        <v>44593</v>
      </c>
      <c r="AP58" s="7">
        <f t="shared" si="27"/>
        <v>44593</v>
      </c>
      <c r="AQ58" s="7">
        <f t="shared" si="27"/>
        <v>44593</v>
      </c>
      <c r="AR58" s="7">
        <f t="shared" si="27"/>
        <v>44593</v>
      </c>
      <c r="AS58" s="7">
        <f t="shared" si="27"/>
        <v>44593</v>
      </c>
      <c r="AT58" s="7">
        <f t="shared" si="27"/>
        <v>44593</v>
      </c>
      <c r="AU58" s="7">
        <f t="shared" si="27"/>
        <v>44593</v>
      </c>
      <c r="AV58" s="7">
        <f t="shared" si="27"/>
        <v>44593</v>
      </c>
      <c r="AW58" s="7">
        <f t="shared" si="27"/>
        <v>44593</v>
      </c>
      <c r="AX58" s="7">
        <f t="shared" si="27"/>
        <v>44593</v>
      </c>
      <c r="AY58" s="7">
        <f t="shared" si="27"/>
        <v>44958</v>
      </c>
      <c r="AZ58" s="7">
        <f t="shared" si="27"/>
        <v>44958</v>
      </c>
      <c r="BA58" s="7">
        <f t="shared" si="27"/>
        <v>44958</v>
      </c>
      <c r="BB58" s="7">
        <f t="shared" si="27"/>
        <v>44958</v>
      </c>
      <c r="BC58" s="7">
        <f t="shared" si="27"/>
        <v>44958</v>
      </c>
      <c r="BD58" s="7">
        <f t="shared" si="27"/>
        <v>44958</v>
      </c>
      <c r="BE58" s="7">
        <f t="shared" si="27"/>
        <v>44958</v>
      </c>
      <c r="BF58" s="7">
        <f t="shared" si="27"/>
        <v>44958</v>
      </c>
      <c r="BG58" s="7">
        <f t="shared" si="27"/>
        <v>44958</v>
      </c>
      <c r="BH58" s="7">
        <f t="shared" si="27"/>
        <v>44958</v>
      </c>
      <c r="BI58" s="7">
        <f t="shared" si="27"/>
        <v>44958</v>
      </c>
      <c r="BJ58" s="3"/>
    </row>
    <row r="59" spans="5:62" x14ac:dyDescent="0.35">
      <c r="E59">
        <f t="shared" si="24"/>
        <v>3</v>
      </c>
      <c r="J59" t="str">
        <f t="shared" si="25"/>
        <v>date</v>
      </c>
      <c r="N59" s="78"/>
      <c r="O59" s="78"/>
      <c r="P59" s="7">
        <f t="shared" ref="P59:BI59" si="28">P15</f>
        <v>43891</v>
      </c>
      <c r="Q59" s="7">
        <f t="shared" si="28"/>
        <v>43891</v>
      </c>
      <c r="R59" s="7">
        <f t="shared" si="28"/>
        <v>43891</v>
      </c>
      <c r="S59" s="7">
        <f t="shared" si="28"/>
        <v>43891</v>
      </c>
      <c r="T59" s="7">
        <f t="shared" si="28"/>
        <v>43891</v>
      </c>
      <c r="U59" s="7">
        <f t="shared" si="28"/>
        <v>43891</v>
      </c>
      <c r="V59" s="7">
        <f t="shared" si="28"/>
        <v>43891</v>
      </c>
      <c r="W59" s="7">
        <f t="shared" si="28"/>
        <v>43891</v>
      </c>
      <c r="X59" s="7">
        <f t="shared" si="28"/>
        <v>43891</v>
      </c>
      <c r="Y59" s="7">
        <f t="shared" si="28"/>
        <v>43891</v>
      </c>
      <c r="Z59" s="7">
        <f t="shared" si="28"/>
        <v>43891</v>
      </c>
      <c r="AA59" s="7">
        <f t="shared" si="28"/>
        <v>43891</v>
      </c>
      <c r="AB59" s="7">
        <f t="shared" si="28"/>
        <v>44256</v>
      </c>
      <c r="AC59" s="7">
        <f t="shared" si="28"/>
        <v>44256</v>
      </c>
      <c r="AD59" s="7">
        <f t="shared" si="28"/>
        <v>44256</v>
      </c>
      <c r="AE59" s="7">
        <f t="shared" si="28"/>
        <v>44256</v>
      </c>
      <c r="AF59" s="7">
        <f t="shared" si="28"/>
        <v>44256</v>
      </c>
      <c r="AG59" s="7">
        <f t="shared" si="28"/>
        <v>44256</v>
      </c>
      <c r="AH59" s="7">
        <f t="shared" si="28"/>
        <v>44256</v>
      </c>
      <c r="AI59" s="7">
        <f t="shared" si="28"/>
        <v>44256</v>
      </c>
      <c r="AJ59" s="7">
        <f t="shared" si="28"/>
        <v>44256</v>
      </c>
      <c r="AK59" s="7">
        <f t="shared" si="28"/>
        <v>44256</v>
      </c>
      <c r="AL59" s="7">
        <f t="shared" si="28"/>
        <v>44256</v>
      </c>
      <c r="AM59" s="7">
        <f t="shared" si="28"/>
        <v>44256</v>
      </c>
      <c r="AN59" s="7">
        <f t="shared" si="28"/>
        <v>44621</v>
      </c>
      <c r="AO59" s="7">
        <f t="shared" si="28"/>
        <v>44621</v>
      </c>
      <c r="AP59" s="7">
        <f t="shared" si="28"/>
        <v>44621</v>
      </c>
      <c r="AQ59" s="7">
        <f t="shared" si="28"/>
        <v>44621</v>
      </c>
      <c r="AR59" s="7">
        <f t="shared" si="28"/>
        <v>44621</v>
      </c>
      <c r="AS59" s="7">
        <f t="shared" si="28"/>
        <v>44621</v>
      </c>
      <c r="AT59" s="7">
        <f t="shared" si="28"/>
        <v>44621</v>
      </c>
      <c r="AU59" s="7">
        <f t="shared" si="28"/>
        <v>44621</v>
      </c>
      <c r="AV59" s="7">
        <f t="shared" si="28"/>
        <v>44621</v>
      </c>
      <c r="AW59" s="7">
        <f t="shared" si="28"/>
        <v>44621</v>
      </c>
      <c r="AX59" s="7">
        <f t="shared" si="28"/>
        <v>44621</v>
      </c>
      <c r="AY59" s="7">
        <f t="shared" si="28"/>
        <v>44621</v>
      </c>
      <c r="AZ59" s="7">
        <f t="shared" si="28"/>
        <v>44986</v>
      </c>
      <c r="BA59" s="7">
        <f t="shared" si="28"/>
        <v>44986</v>
      </c>
      <c r="BB59" s="7">
        <f t="shared" si="28"/>
        <v>44986</v>
      </c>
      <c r="BC59" s="7">
        <f t="shared" si="28"/>
        <v>44986</v>
      </c>
      <c r="BD59" s="7">
        <f t="shared" si="28"/>
        <v>44986</v>
      </c>
      <c r="BE59" s="7">
        <f t="shared" si="28"/>
        <v>44986</v>
      </c>
      <c r="BF59" s="7">
        <f t="shared" si="28"/>
        <v>44986</v>
      </c>
      <c r="BG59" s="7">
        <f t="shared" si="28"/>
        <v>44986</v>
      </c>
      <c r="BH59" s="7">
        <f t="shared" si="28"/>
        <v>44986</v>
      </c>
      <c r="BI59" s="7">
        <f t="shared" si="28"/>
        <v>44986</v>
      </c>
      <c r="BJ59" s="3"/>
    </row>
    <row r="60" spans="5:62" x14ac:dyDescent="0.35">
      <c r="E60">
        <f t="shared" si="24"/>
        <v>4</v>
      </c>
      <c r="J60" t="str">
        <f t="shared" si="25"/>
        <v>date</v>
      </c>
      <c r="N60" s="78"/>
      <c r="O60" s="78"/>
      <c r="P60" s="78"/>
      <c r="Q60" s="7">
        <f t="shared" ref="Q60:BI60" si="29">Q16</f>
        <v>43922</v>
      </c>
      <c r="R60" s="7">
        <f t="shared" si="29"/>
        <v>43922</v>
      </c>
      <c r="S60" s="7">
        <f t="shared" si="29"/>
        <v>43922</v>
      </c>
      <c r="T60" s="7">
        <f t="shared" si="29"/>
        <v>43922</v>
      </c>
      <c r="U60" s="7">
        <f t="shared" si="29"/>
        <v>43922</v>
      </c>
      <c r="V60" s="7">
        <f t="shared" si="29"/>
        <v>43922</v>
      </c>
      <c r="W60" s="7">
        <f t="shared" si="29"/>
        <v>43922</v>
      </c>
      <c r="X60" s="7">
        <f t="shared" si="29"/>
        <v>43922</v>
      </c>
      <c r="Y60" s="7">
        <f t="shared" si="29"/>
        <v>43922</v>
      </c>
      <c r="Z60" s="7">
        <f t="shared" si="29"/>
        <v>43922</v>
      </c>
      <c r="AA60" s="7">
        <f t="shared" si="29"/>
        <v>43922</v>
      </c>
      <c r="AB60" s="7">
        <f t="shared" si="29"/>
        <v>43922</v>
      </c>
      <c r="AC60" s="7">
        <f t="shared" si="29"/>
        <v>44287</v>
      </c>
      <c r="AD60" s="7">
        <f t="shared" si="29"/>
        <v>44287</v>
      </c>
      <c r="AE60" s="7">
        <f t="shared" si="29"/>
        <v>44287</v>
      </c>
      <c r="AF60" s="7">
        <f t="shared" si="29"/>
        <v>44287</v>
      </c>
      <c r="AG60" s="7">
        <f t="shared" si="29"/>
        <v>44287</v>
      </c>
      <c r="AH60" s="7">
        <f t="shared" si="29"/>
        <v>44287</v>
      </c>
      <c r="AI60" s="7">
        <f t="shared" si="29"/>
        <v>44287</v>
      </c>
      <c r="AJ60" s="7">
        <f t="shared" si="29"/>
        <v>44287</v>
      </c>
      <c r="AK60" s="7">
        <f t="shared" si="29"/>
        <v>44287</v>
      </c>
      <c r="AL60" s="7">
        <f t="shared" si="29"/>
        <v>44287</v>
      </c>
      <c r="AM60" s="7">
        <f t="shared" si="29"/>
        <v>44287</v>
      </c>
      <c r="AN60" s="7">
        <f t="shared" si="29"/>
        <v>44287</v>
      </c>
      <c r="AO60" s="7">
        <f t="shared" si="29"/>
        <v>44652</v>
      </c>
      <c r="AP60" s="7">
        <f t="shared" si="29"/>
        <v>44652</v>
      </c>
      <c r="AQ60" s="7">
        <f t="shared" si="29"/>
        <v>44652</v>
      </c>
      <c r="AR60" s="7">
        <f t="shared" si="29"/>
        <v>44652</v>
      </c>
      <c r="AS60" s="7">
        <f t="shared" si="29"/>
        <v>44652</v>
      </c>
      <c r="AT60" s="7">
        <f t="shared" si="29"/>
        <v>44652</v>
      </c>
      <c r="AU60" s="7">
        <f t="shared" si="29"/>
        <v>44652</v>
      </c>
      <c r="AV60" s="7">
        <f t="shared" si="29"/>
        <v>44652</v>
      </c>
      <c r="AW60" s="7">
        <f t="shared" si="29"/>
        <v>44652</v>
      </c>
      <c r="AX60" s="7">
        <f t="shared" si="29"/>
        <v>44652</v>
      </c>
      <c r="AY60" s="7">
        <f t="shared" si="29"/>
        <v>44652</v>
      </c>
      <c r="AZ60" s="7">
        <f t="shared" si="29"/>
        <v>44652</v>
      </c>
      <c r="BA60" s="7">
        <f t="shared" si="29"/>
        <v>45017</v>
      </c>
      <c r="BB60" s="7">
        <f t="shared" si="29"/>
        <v>45017</v>
      </c>
      <c r="BC60" s="7">
        <f t="shared" si="29"/>
        <v>45017</v>
      </c>
      <c r="BD60" s="7">
        <f t="shared" si="29"/>
        <v>45017</v>
      </c>
      <c r="BE60" s="7">
        <f t="shared" si="29"/>
        <v>45017</v>
      </c>
      <c r="BF60" s="7">
        <f t="shared" si="29"/>
        <v>45017</v>
      </c>
      <c r="BG60" s="7">
        <f t="shared" si="29"/>
        <v>45017</v>
      </c>
      <c r="BH60" s="7">
        <f t="shared" si="29"/>
        <v>45017</v>
      </c>
      <c r="BI60" s="7">
        <f t="shared" si="29"/>
        <v>45017</v>
      </c>
      <c r="BJ60" s="3"/>
    </row>
    <row r="61" spans="5:62" x14ac:dyDescent="0.35">
      <c r="E61">
        <f t="shared" si="24"/>
        <v>5</v>
      </c>
      <c r="J61" t="str">
        <f t="shared" si="25"/>
        <v>date</v>
      </c>
      <c r="N61" s="78"/>
      <c r="O61" s="78"/>
      <c r="P61" s="78"/>
      <c r="Q61" s="78"/>
      <c r="R61" s="7">
        <f t="shared" ref="R61:BI61" si="30">R17</f>
        <v>43952</v>
      </c>
      <c r="S61" s="7">
        <f t="shared" si="30"/>
        <v>43952</v>
      </c>
      <c r="T61" s="7">
        <f t="shared" si="30"/>
        <v>43952</v>
      </c>
      <c r="U61" s="7">
        <f t="shared" si="30"/>
        <v>43952</v>
      </c>
      <c r="V61" s="7">
        <f t="shared" si="30"/>
        <v>43952</v>
      </c>
      <c r="W61" s="7">
        <f t="shared" si="30"/>
        <v>43952</v>
      </c>
      <c r="X61" s="7">
        <f t="shared" si="30"/>
        <v>43952</v>
      </c>
      <c r="Y61" s="7">
        <f t="shared" si="30"/>
        <v>43952</v>
      </c>
      <c r="Z61" s="7">
        <f t="shared" si="30"/>
        <v>43952</v>
      </c>
      <c r="AA61" s="7">
        <f t="shared" si="30"/>
        <v>43952</v>
      </c>
      <c r="AB61" s="7">
        <f t="shared" si="30"/>
        <v>43952</v>
      </c>
      <c r="AC61" s="7">
        <f t="shared" si="30"/>
        <v>43952</v>
      </c>
      <c r="AD61" s="7">
        <f t="shared" si="30"/>
        <v>44317</v>
      </c>
      <c r="AE61" s="7">
        <f t="shared" si="30"/>
        <v>44317</v>
      </c>
      <c r="AF61" s="7">
        <f t="shared" si="30"/>
        <v>44317</v>
      </c>
      <c r="AG61" s="7">
        <f t="shared" si="30"/>
        <v>44317</v>
      </c>
      <c r="AH61" s="7">
        <f t="shared" si="30"/>
        <v>44317</v>
      </c>
      <c r="AI61" s="7">
        <f t="shared" si="30"/>
        <v>44317</v>
      </c>
      <c r="AJ61" s="7">
        <f t="shared" si="30"/>
        <v>44317</v>
      </c>
      <c r="AK61" s="7">
        <f t="shared" si="30"/>
        <v>44317</v>
      </c>
      <c r="AL61" s="7">
        <f t="shared" si="30"/>
        <v>44317</v>
      </c>
      <c r="AM61" s="7">
        <f t="shared" si="30"/>
        <v>44317</v>
      </c>
      <c r="AN61" s="7">
        <f t="shared" si="30"/>
        <v>44317</v>
      </c>
      <c r="AO61" s="7">
        <f t="shared" si="30"/>
        <v>44317</v>
      </c>
      <c r="AP61" s="7">
        <f t="shared" si="30"/>
        <v>44682</v>
      </c>
      <c r="AQ61" s="7">
        <f t="shared" si="30"/>
        <v>44682</v>
      </c>
      <c r="AR61" s="7">
        <f t="shared" si="30"/>
        <v>44682</v>
      </c>
      <c r="AS61" s="7">
        <f t="shared" si="30"/>
        <v>44682</v>
      </c>
      <c r="AT61" s="7">
        <f t="shared" si="30"/>
        <v>44682</v>
      </c>
      <c r="AU61" s="7">
        <f t="shared" si="30"/>
        <v>44682</v>
      </c>
      <c r="AV61" s="7">
        <f t="shared" si="30"/>
        <v>44682</v>
      </c>
      <c r="AW61" s="7">
        <f t="shared" si="30"/>
        <v>44682</v>
      </c>
      <c r="AX61" s="7">
        <f t="shared" si="30"/>
        <v>44682</v>
      </c>
      <c r="AY61" s="7">
        <f t="shared" si="30"/>
        <v>44682</v>
      </c>
      <c r="AZ61" s="7">
        <f t="shared" si="30"/>
        <v>44682</v>
      </c>
      <c r="BA61" s="7">
        <f t="shared" si="30"/>
        <v>44682</v>
      </c>
      <c r="BB61" s="7">
        <f t="shared" si="30"/>
        <v>45047</v>
      </c>
      <c r="BC61" s="7">
        <f t="shared" si="30"/>
        <v>45047</v>
      </c>
      <c r="BD61" s="7">
        <f t="shared" si="30"/>
        <v>45047</v>
      </c>
      <c r="BE61" s="7">
        <f t="shared" si="30"/>
        <v>45047</v>
      </c>
      <c r="BF61" s="7">
        <f t="shared" si="30"/>
        <v>45047</v>
      </c>
      <c r="BG61" s="7">
        <f t="shared" si="30"/>
        <v>45047</v>
      </c>
      <c r="BH61" s="7">
        <f t="shared" si="30"/>
        <v>45047</v>
      </c>
      <c r="BI61" s="7">
        <f t="shared" si="30"/>
        <v>45047</v>
      </c>
      <c r="BJ61" s="3"/>
    </row>
    <row r="62" spans="5:62" x14ac:dyDescent="0.35">
      <c r="E62">
        <f t="shared" si="24"/>
        <v>6</v>
      </c>
      <c r="J62" t="str">
        <f t="shared" si="25"/>
        <v>date</v>
      </c>
      <c r="N62" s="78"/>
      <c r="O62" s="78"/>
      <c r="P62" s="78"/>
      <c r="Q62" s="78"/>
      <c r="R62" s="78"/>
      <c r="S62" s="7">
        <f t="shared" ref="S62:AQ62" si="31">S18</f>
        <v>43983</v>
      </c>
      <c r="T62" s="7">
        <f t="shared" si="31"/>
        <v>43983</v>
      </c>
      <c r="U62" s="7">
        <f t="shared" si="31"/>
        <v>43983</v>
      </c>
      <c r="V62" s="7">
        <f t="shared" si="31"/>
        <v>43983</v>
      </c>
      <c r="W62" s="7">
        <f t="shared" si="31"/>
        <v>43983</v>
      </c>
      <c r="X62" s="7">
        <f t="shared" si="31"/>
        <v>43983</v>
      </c>
      <c r="Y62" s="7">
        <f t="shared" si="31"/>
        <v>43983</v>
      </c>
      <c r="Z62" s="7">
        <f t="shared" si="31"/>
        <v>43983</v>
      </c>
      <c r="AA62" s="7">
        <f t="shared" si="31"/>
        <v>43983</v>
      </c>
      <c r="AB62" s="7">
        <f t="shared" si="31"/>
        <v>43983</v>
      </c>
      <c r="AC62" s="7">
        <f t="shared" si="31"/>
        <v>43983</v>
      </c>
      <c r="AD62" s="7">
        <f t="shared" si="31"/>
        <v>43983</v>
      </c>
      <c r="AE62" s="7">
        <f t="shared" si="31"/>
        <v>44348</v>
      </c>
      <c r="AF62" s="7">
        <f t="shared" si="31"/>
        <v>44348</v>
      </c>
      <c r="AG62" s="7">
        <f t="shared" si="31"/>
        <v>44348</v>
      </c>
      <c r="AH62" s="7">
        <f t="shared" si="31"/>
        <v>44348</v>
      </c>
      <c r="AI62" s="7">
        <f t="shared" si="31"/>
        <v>44348</v>
      </c>
      <c r="AJ62" s="7">
        <f t="shared" si="31"/>
        <v>44348</v>
      </c>
      <c r="AK62" s="7">
        <f t="shared" si="31"/>
        <v>44348</v>
      </c>
      <c r="AL62" s="7">
        <f t="shared" si="31"/>
        <v>44348</v>
      </c>
      <c r="AM62" s="7">
        <f t="shared" si="31"/>
        <v>44348</v>
      </c>
      <c r="AN62" s="7">
        <f t="shared" si="31"/>
        <v>44348</v>
      </c>
      <c r="AO62" s="7">
        <f t="shared" si="31"/>
        <v>44348</v>
      </c>
      <c r="AP62" s="7">
        <f t="shared" si="31"/>
        <v>44348</v>
      </c>
      <c r="AQ62" s="7">
        <f t="shared" si="31"/>
        <v>44713</v>
      </c>
      <c r="AR62" s="7">
        <f t="shared" ref="AR62:BI62" si="32">AR18</f>
        <v>44713</v>
      </c>
      <c r="AS62" s="7">
        <f t="shared" si="32"/>
        <v>44713</v>
      </c>
      <c r="AT62" s="7">
        <f t="shared" si="32"/>
        <v>44713</v>
      </c>
      <c r="AU62" s="7">
        <f t="shared" si="32"/>
        <v>44713</v>
      </c>
      <c r="AV62" s="7">
        <f t="shared" si="32"/>
        <v>44713</v>
      </c>
      <c r="AW62" s="7">
        <f t="shared" si="32"/>
        <v>44713</v>
      </c>
      <c r="AX62" s="7">
        <f t="shared" si="32"/>
        <v>44713</v>
      </c>
      <c r="AY62" s="7">
        <f t="shared" si="32"/>
        <v>44713</v>
      </c>
      <c r="AZ62" s="7">
        <f t="shared" si="32"/>
        <v>44713</v>
      </c>
      <c r="BA62" s="7">
        <f t="shared" si="32"/>
        <v>44713</v>
      </c>
      <c r="BB62" s="7">
        <f t="shared" si="32"/>
        <v>44713</v>
      </c>
      <c r="BC62" s="7">
        <f t="shared" si="32"/>
        <v>45078</v>
      </c>
      <c r="BD62" s="7">
        <f t="shared" si="32"/>
        <v>45078</v>
      </c>
      <c r="BE62" s="7">
        <f t="shared" si="32"/>
        <v>45078</v>
      </c>
      <c r="BF62" s="7">
        <f t="shared" si="32"/>
        <v>45078</v>
      </c>
      <c r="BG62" s="7">
        <f t="shared" si="32"/>
        <v>45078</v>
      </c>
      <c r="BH62" s="7">
        <f t="shared" si="32"/>
        <v>45078</v>
      </c>
      <c r="BI62" s="7">
        <f t="shared" si="32"/>
        <v>45078</v>
      </c>
      <c r="BJ62" s="3"/>
    </row>
    <row r="63" spans="5:62" x14ac:dyDescent="0.35">
      <c r="E63">
        <f t="shared" si="24"/>
        <v>7</v>
      </c>
      <c r="J63" t="str">
        <f t="shared" si="25"/>
        <v>date</v>
      </c>
      <c r="N63" s="78"/>
      <c r="O63" s="78"/>
      <c r="P63" s="78"/>
      <c r="Q63" s="78"/>
      <c r="R63" s="78"/>
      <c r="S63" s="78"/>
      <c r="T63" s="7">
        <f t="shared" ref="T63:BI63" si="33">T19</f>
        <v>44013</v>
      </c>
      <c r="U63" s="7">
        <f t="shared" si="33"/>
        <v>44013</v>
      </c>
      <c r="V63" s="7">
        <f t="shared" si="33"/>
        <v>44013</v>
      </c>
      <c r="W63" s="7">
        <f t="shared" si="33"/>
        <v>44013</v>
      </c>
      <c r="X63" s="7">
        <f t="shared" si="33"/>
        <v>44013</v>
      </c>
      <c r="Y63" s="7">
        <f t="shared" si="33"/>
        <v>44013</v>
      </c>
      <c r="Z63" s="7">
        <f t="shared" si="33"/>
        <v>44013</v>
      </c>
      <c r="AA63" s="7">
        <f t="shared" si="33"/>
        <v>44013</v>
      </c>
      <c r="AB63" s="7">
        <f t="shared" si="33"/>
        <v>44013</v>
      </c>
      <c r="AC63" s="7">
        <f t="shared" si="33"/>
        <v>44013</v>
      </c>
      <c r="AD63" s="7">
        <f t="shared" si="33"/>
        <v>44013</v>
      </c>
      <c r="AE63" s="7">
        <f t="shared" si="33"/>
        <v>44013</v>
      </c>
      <c r="AF63" s="7">
        <f t="shared" si="33"/>
        <v>44378</v>
      </c>
      <c r="AG63" s="7">
        <f t="shared" si="33"/>
        <v>44378</v>
      </c>
      <c r="AH63" s="7">
        <f t="shared" si="33"/>
        <v>44378</v>
      </c>
      <c r="AI63" s="7">
        <f t="shared" si="33"/>
        <v>44378</v>
      </c>
      <c r="AJ63" s="7">
        <f t="shared" si="33"/>
        <v>44378</v>
      </c>
      <c r="AK63" s="7">
        <f t="shared" si="33"/>
        <v>44378</v>
      </c>
      <c r="AL63" s="7">
        <f t="shared" si="33"/>
        <v>44378</v>
      </c>
      <c r="AM63" s="7">
        <f t="shared" si="33"/>
        <v>44378</v>
      </c>
      <c r="AN63" s="7">
        <f t="shared" si="33"/>
        <v>44378</v>
      </c>
      <c r="AO63" s="7">
        <f t="shared" si="33"/>
        <v>44378</v>
      </c>
      <c r="AP63" s="7">
        <f t="shared" si="33"/>
        <v>44378</v>
      </c>
      <c r="AQ63" s="7">
        <f t="shared" si="33"/>
        <v>44378</v>
      </c>
      <c r="AR63" s="7">
        <f t="shared" si="33"/>
        <v>44743</v>
      </c>
      <c r="AS63" s="7">
        <f t="shared" si="33"/>
        <v>44743</v>
      </c>
      <c r="AT63" s="7">
        <f t="shared" si="33"/>
        <v>44743</v>
      </c>
      <c r="AU63" s="7">
        <f t="shared" si="33"/>
        <v>44743</v>
      </c>
      <c r="AV63" s="7">
        <f t="shared" si="33"/>
        <v>44743</v>
      </c>
      <c r="AW63" s="7">
        <f t="shared" si="33"/>
        <v>44743</v>
      </c>
      <c r="AX63" s="7">
        <f t="shared" si="33"/>
        <v>44743</v>
      </c>
      <c r="AY63" s="7">
        <f t="shared" si="33"/>
        <v>44743</v>
      </c>
      <c r="AZ63" s="7">
        <f t="shared" si="33"/>
        <v>44743</v>
      </c>
      <c r="BA63" s="7">
        <f t="shared" si="33"/>
        <v>44743</v>
      </c>
      <c r="BB63" s="7">
        <f t="shared" si="33"/>
        <v>44743</v>
      </c>
      <c r="BC63" s="7">
        <f t="shared" si="33"/>
        <v>44743</v>
      </c>
      <c r="BD63" s="7">
        <f t="shared" si="33"/>
        <v>45108</v>
      </c>
      <c r="BE63" s="7">
        <f t="shared" si="33"/>
        <v>45108</v>
      </c>
      <c r="BF63" s="7">
        <f t="shared" si="33"/>
        <v>45108</v>
      </c>
      <c r="BG63" s="7">
        <f t="shared" si="33"/>
        <v>45108</v>
      </c>
      <c r="BH63" s="7">
        <f t="shared" si="33"/>
        <v>45108</v>
      </c>
      <c r="BI63" s="7">
        <f t="shared" si="33"/>
        <v>45108</v>
      </c>
      <c r="BJ63" s="3"/>
    </row>
    <row r="64" spans="5:62" x14ac:dyDescent="0.35">
      <c r="E64">
        <f t="shared" si="24"/>
        <v>8</v>
      </c>
      <c r="J64" t="str">
        <f t="shared" si="25"/>
        <v>date</v>
      </c>
      <c r="N64" s="78"/>
      <c r="O64" s="78"/>
      <c r="P64" s="78"/>
      <c r="Q64" s="78"/>
      <c r="R64" s="78"/>
      <c r="S64" s="78"/>
      <c r="T64" s="78"/>
      <c r="U64" s="7">
        <f t="shared" ref="U64:BI64" si="34">U20</f>
        <v>44044</v>
      </c>
      <c r="V64" s="7">
        <f t="shared" si="34"/>
        <v>44044</v>
      </c>
      <c r="W64" s="7">
        <f t="shared" si="34"/>
        <v>44044</v>
      </c>
      <c r="X64" s="7">
        <f t="shared" si="34"/>
        <v>44044</v>
      </c>
      <c r="Y64" s="7">
        <f t="shared" si="34"/>
        <v>44044</v>
      </c>
      <c r="Z64" s="7">
        <f t="shared" si="34"/>
        <v>44044</v>
      </c>
      <c r="AA64" s="7">
        <f t="shared" si="34"/>
        <v>44044</v>
      </c>
      <c r="AB64" s="7">
        <f t="shared" si="34"/>
        <v>44044</v>
      </c>
      <c r="AC64" s="7">
        <f t="shared" si="34"/>
        <v>44044</v>
      </c>
      <c r="AD64" s="7">
        <f t="shared" si="34"/>
        <v>44044</v>
      </c>
      <c r="AE64" s="7">
        <f t="shared" si="34"/>
        <v>44044</v>
      </c>
      <c r="AF64" s="7">
        <f t="shared" si="34"/>
        <v>44044</v>
      </c>
      <c r="AG64" s="7">
        <f t="shared" si="34"/>
        <v>44409</v>
      </c>
      <c r="AH64" s="7">
        <f t="shared" si="34"/>
        <v>44409</v>
      </c>
      <c r="AI64" s="7">
        <f t="shared" si="34"/>
        <v>44409</v>
      </c>
      <c r="AJ64" s="7">
        <f t="shared" si="34"/>
        <v>44409</v>
      </c>
      <c r="AK64" s="7">
        <f t="shared" si="34"/>
        <v>44409</v>
      </c>
      <c r="AL64" s="7">
        <f t="shared" si="34"/>
        <v>44409</v>
      </c>
      <c r="AM64" s="7">
        <f t="shared" si="34"/>
        <v>44409</v>
      </c>
      <c r="AN64" s="7">
        <f t="shared" si="34"/>
        <v>44409</v>
      </c>
      <c r="AO64" s="7">
        <f t="shared" si="34"/>
        <v>44409</v>
      </c>
      <c r="AP64" s="7">
        <f t="shared" si="34"/>
        <v>44409</v>
      </c>
      <c r="AQ64" s="7">
        <f t="shared" si="34"/>
        <v>44409</v>
      </c>
      <c r="AR64" s="7">
        <f t="shared" si="34"/>
        <v>44409</v>
      </c>
      <c r="AS64" s="7">
        <f t="shared" si="34"/>
        <v>44774</v>
      </c>
      <c r="AT64" s="7">
        <f t="shared" si="34"/>
        <v>44774</v>
      </c>
      <c r="AU64" s="7">
        <f t="shared" si="34"/>
        <v>44774</v>
      </c>
      <c r="AV64" s="7">
        <f t="shared" si="34"/>
        <v>44774</v>
      </c>
      <c r="AW64" s="7">
        <f t="shared" si="34"/>
        <v>44774</v>
      </c>
      <c r="AX64" s="7">
        <f t="shared" si="34"/>
        <v>44774</v>
      </c>
      <c r="AY64" s="7">
        <f t="shared" si="34"/>
        <v>44774</v>
      </c>
      <c r="AZ64" s="7">
        <f t="shared" si="34"/>
        <v>44774</v>
      </c>
      <c r="BA64" s="7">
        <f t="shared" si="34"/>
        <v>44774</v>
      </c>
      <c r="BB64" s="7">
        <f t="shared" si="34"/>
        <v>44774</v>
      </c>
      <c r="BC64" s="7">
        <f t="shared" si="34"/>
        <v>44774</v>
      </c>
      <c r="BD64" s="7">
        <f t="shared" si="34"/>
        <v>44774</v>
      </c>
      <c r="BE64" s="7">
        <f t="shared" si="34"/>
        <v>45139</v>
      </c>
      <c r="BF64" s="7">
        <f t="shared" si="34"/>
        <v>45139</v>
      </c>
      <c r="BG64" s="7">
        <f t="shared" si="34"/>
        <v>45139</v>
      </c>
      <c r="BH64" s="7">
        <f t="shared" si="34"/>
        <v>45139</v>
      </c>
      <c r="BI64" s="7">
        <f t="shared" si="34"/>
        <v>45139</v>
      </c>
      <c r="BJ64" s="3"/>
    </row>
    <row r="65" spans="5:62" x14ac:dyDescent="0.35">
      <c r="E65">
        <f t="shared" si="24"/>
        <v>9</v>
      </c>
      <c r="J65" t="str">
        <f t="shared" si="25"/>
        <v>date</v>
      </c>
      <c r="N65" s="78"/>
      <c r="O65" s="78"/>
      <c r="P65" s="78"/>
      <c r="Q65" s="78"/>
      <c r="R65" s="78"/>
      <c r="S65" s="78"/>
      <c r="T65" s="78"/>
      <c r="U65" s="78"/>
      <c r="V65" s="7">
        <f t="shared" ref="V65:BI65" si="35">V21</f>
        <v>44075</v>
      </c>
      <c r="W65" s="7">
        <f t="shared" si="35"/>
        <v>44075</v>
      </c>
      <c r="X65" s="7">
        <f t="shared" si="35"/>
        <v>44075</v>
      </c>
      <c r="Y65" s="7">
        <f t="shared" si="35"/>
        <v>44075</v>
      </c>
      <c r="Z65" s="7">
        <f t="shared" si="35"/>
        <v>44075</v>
      </c>
      <c r="AA65" s="7">
        <f t="shared" si="35"/>
        <v>44075</v>
      </c>
      <c r="AB65" s="7">
        <f t="shared" si="35"/>
        <v>44075</v>
      </c>
      <c r="AC65" s="7">
        <f t="shared" si="35"/>
        <v>44075</v>
      </c>
      <c r="AD65" s="7">
        <f t="shared" si="35"/>
        <v>44075</v>
      </c>
      <c r="AE65" s="7">
        <f t="shared" si="35"/>
        <v>44075</v>
      </c>
      <c r="AF65" s="7">
        <f t="shared" si="35"/>
        <v>44075</v>
      </c>
      <c r="AG65" s="7">
        <f t="shared" si="35"/>
        <v>44075</v>
      </c>
      <c r="AH65" s="7">
        <f t="shared" si="35"/>
        <v>44440</v>
      </c>
      <c r="AI65" s="7">
        <f t="shared" si="35"/>
        <v>44440</v>
      </c>
      <c r="AJ65" s="7">
        <f t="shared" si="35"/>
        <v>44440</v>
      </c>
      <c r="AK65" s="7">
        <f t="shared" si="35"/>
        <v>44440</v>
      </c>
      <c r="AL65" s="7">
        <f t="shared" si="35"/>
        <v>44440</v>
      </c>
      <c r="AM65" s="7">
        <f t="shared" si="35"/>
        <v>44440</v>
      </c>
      <c r="AN65" s="7">
        <f t="shared" si="35"/>
        <v>44440</v>
      </c>
      <c r="AO65" s="7">
        <f t="shared" si="35"/>
        <v>44440</v>
      </c>
      <c r="AP65" s="7">
        <f t="shared" si="35"/>
        <v>44440</v>
      </c>
      <c r="AQ65" s="7">
        <f t="shared" si="35"/>
        <v>44440</v>
      </c>
      <c r="AR65" s="7">
        <f t="shared" si="35"/>
        <v>44440</v>
      </c>
      <c r="AS65" s="7">
        <f t="shared" si="35"/>
        <v>44440</v>
      </c>
      <c r="AT65" s="7">
        <f t="shared" si="35"/>
        <v>44805</v>
      </c>
      <c r="AU65" s="7">
        <f t="shared" si="35"/>
        <v>44805</v>
      </c>
      <c r="AV65" s="7">
        <f t="shared" si="35"/>
        <v>44805</v>
      </c>
      <c r="AW65" s="7">
        <f t="shared" si="35"/>
        <v>44805</v>
      </c>
      <c r="AX65" s="7">
        <f t="shared" si="35"/>
        <v>44805</v>
      </c>
      <c r="AY65" s="7">
        <f t="shared" si="35"/>
        <v>44805</v>
      </c>
      <c r="AZ65" s="7">
        <f t="shared" si="35"/>
        <v>44805</v>
      </c>
      <c r="BA65" s="7">
        <f t="shared" si="35"/>
        <v>44805</v>
      </c>
      <c r="BB65" s="7">
        <f t="shared" si="35"/>
        <v>44805</v>
      </c>
      <c r="BC65" s="7">
        <f t="shared" si="35"/>
        <v>44805</v>
      </c>
      <c r="BD65" s="7">
        <f t="shared" si="35"/>
        <v>44805</v>
      </c>
      <c r="BE65" s="7">
        <f t="shared" si="35"/>
        <v>44805</v>
      </c>
      <c r="BF65" s="7">
        <f t="shared" si="35"/>
        <v>45170</v>
      </c>
      <c r="BG65" s="7">
        <f t="shared" si="35"/>
        <v>45170</v>
      </c>
      <c r="BH65" s="7">
        <f t="shared" si="35"/>
        <v>45170</v>
      </c>
      <c r="BI65" s="7">
        <f t="shared" si="35"/>
        <v>45170</v>
      </c>
      <c r="BJ65" s="3"/>
    </row>
    <row r="66" spans="5:62" x14ac:dyDescent="0.35">
      <c r="E66">
        <f t="shared" si="24"/>
        <v>10</v>
      </c>
      <c r="J66" t="str">
        <f t="shared" si="25"/>
        <v>date</v>
      </c>
      <c r="N66" s="78"/>
      <c r="O66" s="78"/>
      <c r="P66" s="78"/>
      <c r="Q66" s="78"/>
      <c r="R66" s="78"/>
      <c r="S66" s="78"/>
      <c r="T66" s="78"/>
      <c r="U66" s="78"/>
      <c r="V66" s="78"/>
      <c r="W66" s="7">
        <f t="shared" ref="W66:BI66" si="36">W22</f>
        <v>44105</v>
      </c>
      <c r="X66" s="7">
        <f t="shared" si="36"/>
        <v>44105</v>
      </c>
      <c r="Y66" s="7">
        <f t="shared" si="36"/>
        <v>44105</v>
      </c>
      <c r="Z66" s="7">
        <f t="shared" si="36"/>
        <v>44105</v>
      </c>
      <c r="AA66" s="7">
        <f t="shared" si="36"/>
        <v>44105</v>
      </c>
      <c r="AB66" s="7">
        <f t="shared" si="36"/>
        <v>44105</v>
      </c>
      <c r="AC66" s="7">
        <f t="shared" si="36"/>
        <v>44105</v>
      </c>
      <c r="AD66" s="7">
        <f t="shared" si="36"/>
        <v>44105</v>
      </c>
      <c r="AE66" s="7">
        <f t="shared" si="36"/>
        <v>44105</v>
      </c>
      <c r="AF66" s="7">
        <f t="shared" si="36"/>
        <v>44105</v>
      </c>
      <c r="AG66" s="7">
        <f t="shared" si="36"/>
        <v>44105</v>
      </c>
      <c r="AH66" s="7">
        <f t="shared" si="36"/>
        <v>44105</v>
      </c>
      <c r="AI66" s="7">
        <f t="shared" si="36"/>
        <v>44470</v>
      </c>
      <c r="AJ66" s="7">
        <f t="shared" si="36"/>
        <v>44470</v>
      </c>
      <c r="AK66" s="7">
        <f t="shared" si="36"/>
        <v>44470</v>
      </c>
      <c r="AL66" s="7">
        <f t="shared" si="36"/>
        <v>44470</v>
      </c>
      <c r="AM66" s="7">
        <f t="shared" si="36"/>
        <v>44470</v>
      </c>
      <c r="AN66" s="7">
        <f t="shared" si="36"/>
        <v>44470</v>
      </c>
      <c r="AO66" s="7">
        <f t="shared" si="36"/>
        <v>44470</v>
      </c>
      <c r="AP66" s="7">
        <f t="shared" si="36"/>
        <v>44470</v>
      </c>
      <c r="AQ66" s="7">
        <f t="shared" si="36"/>
        <v>44470</v>
      </c>
      <c r="AR66" s="7">
        <f t="shared" si="36"/>
        <v>44470</v>
      </c>
      <c r="AS66" s="7">
        <f t="shared" si="36"/>
        <v>44470</v>
      </c>
      <c r="AT66" s="7">
        <f t="shared" si="36"/>
        <v>44470</v>
      </c>
      <c r="AU66" s="7">
        <f t="shared" si="36"/>
        <v>44835</v>
      </c>
      <c r="AV66" s="7">
        <f t="shared" si="36"/>
        <v>44835</v>
      </c>
      <c r="AW66" s="7">
        <f t="shared" si="36"/>
        <v>44835</v>
      </c>
      <c r="AX66" s="7">
        <f t="shared" si="36"/>
        <v>44835</v>
      </c>
      <c r="AY66" s="7">
        <f t="shared" si="36"/>
        <v>44835</v>
      </c>
      <c r="AZ66" s="7">
        <f t="shared" si="36"/>
        <v>44835</v>
      </c>
      <c r="BA66" s="7">
        <f t="shared" si="36"/>
        <v>44835</v>
      </c>
      <c r="BB66" s="7">
        <f t="shared" si="36"/>
        <v>44835</v>
      </c>
      <c r="BC66" s="7">
        <f t="shared" si="36"/>
        <v>44835</v>
      </c>
      <c r="BD66" s="7">
        <f t="shared" si="36"/>
        <v>44835</v>
      </c>
      <c r="BE66" s="7">
        <f t="shared" si="36"/>
        <v>44835</v>
      </c>
      <c r="BF66" s="7">
        <f t="shared" si="36"/>
        <v>44835</v>
      </c>
      <c r="BG66" s="7">
        <f t="shared" si="36"/>
        <v>45200</v>
      </c>
      <c r="BH66" s="7">
        <f t="shared" si="36"/>
        <v>45200</v>
      </c>
      <c r="BI66" s="7">
        <f t="shared" si="36"/>
        <v>45200</v>
      </c>
      <c r="BJ66" s="3"/>
    </row>
    <row r="67" spans="5:62" x14ac:dyDescent="0.35">
      <c r="E67">
        <f t="shared" si="24"/>
        <v>11</v>
      </c>
      <c r="J67" t="str">
        <f t="shared" si="25"/>
        <v>date</v>
      </c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">
        <f t="shared" ref="X67:BI67" si="37">X23</f>
        <v>44136</v>
      </c>
      <c r="Y67" s="7">
        <f t="shared" si="37"/>
        <v>44136</v>
      </c>
      <c r="Z67" s="7">
        <f t="shared" si="37"/>
        <v>44136</v>
      </c>
      <c r="AA67" s="7">
        <f t="shared" si="37"/>
        <v>44136</v>
      </c>
      <c r="AB67" s="7">
        <f t="shared" si="37"/>
        <v>44136</v>
      </c>
      <c r="AC67" s="7">
        <f t="shared" si="37"/>
        <v>44136</v>
      </c>
      <c r="AD67" s="7">
        <f t="shared" si="37"/>
        <v>44136</v>
      </c>
      <c r="AE67" s="7">
        <f t="shared" si="37"/>
        <v>44136</v>
      </c>
      <c r="AF67" s="7">
        <f t="shared" si="37"/>
        <v>44136</v>
      </c>
      <c r="AG67" s="7">
        <f t="shared" si="37"/>
        <v>44136</v>
      </c>
      <c r="AH67" s="7">
        <f t="shared" si="37"/>
        <v>44136</v>
      </c>
      <c r="AI67" s="7">
        <f t="shared" si="37"/>
        <v>44136</v>
      </c>
      <c r="AJ67" s="7">
        <f t="shared" si="37"/>
        <v>44501</v>
      </c>
      <c r="AK67" s="7">
        <f t="shared" si="37"/>
        <v>44501</v>
      </c>
      <c r="AL67" s="7">
        <f t="shared" si="37"/>
        <v>44501</v>
      </c>
      <c r="AM67" s="7">
        <f t="shared" si="37"/>
        <v>44501</v>
      </c>
      <c r="AN67" s="7">
        <f t="shared" si="37"/>
        <v>44501</v>
      </c>
      <c r="AO67" s="7">
        <f t="shared" si="37"/>
        <v>44501</v>
      </c>
      <c r="AP67" s="7">
        <f t="shared" si="37"/>
        <v>44501</v>
      </c>
      <c r="AQ67" s="7">
        <f t="shared" si="37"/>
        <v>44501</v>
      </c>
      <c r="AR67" s="7">
        <f t="shared" si="37"/>
        <v>44501</v>
      </c>
      <c r="AS67" s="7">
        <f t="shared" si="37"/>
        <v>44501</v>
      </c>
      <c r="AT67" s="7">
        <f t="shared" si="37"/>
        <v>44501</v>
      </c>
      <c r="AU67" s="7">
        <f t="shared" si="37"/>
        <v>44501</v>
      </c>
      <c r="AV67" s="7">
        <f t="shared" si="37"/>
        <v>44866</v>
      </c>
      <c r="AW67" s="7">
        <f t="shared" si="37"/>
        <v>44866</v>
      </c>
      <c r="AX67" s="7">
        <f t="shared" si="37"/>
        <v>44866</v>
      </c>
      <c r="AY67" s="7">
        <f t="shared" si="37"/>
        <v>44866</v>
      </c>
      <c r="AZ67" s="7">
        <f t="shared" si="37"/>
        <v>44866</v>
      </c>
      <c r="BA67" s="7">
        <f t="shared" si="37"/>
        <v>44866</v>
      </c>
      <c r="BB67" s="7">
        <f t="shared" si="37"/>
        <v>44866</v>
      </c>
      <c r="BC67" s="7">
        <f t="shared" si="37"/>
        <v>44866</v>
      </c>
      <c r="BD67" s="7">
        <f t="shared" si="37"/>
        <v>44866</v>
      </c>
      <c r="BE67" s="7">
        <f t="shared" si="37"/>
        <v>44866</v>
      </c>
      <c r="BF67" s="7">
        <f t="shared" si="37"/>
        <v>44866</v>
      </c>
      <c r="BG67" s="7">
        <f t="shared" si="37"/>
        <v>44866</v>
      </c>
      <c r="BH67" s="7">
        <f t="shared" si="37"/>
        <v>45231</v>
      </c>
      <c r="BI67" s="7">
        <f t="shared" si="37"/>
        <v>45231</v>
      </c>
      <c r="BJ67" s="3"/>
    </row>
    <row r="68" spans="5:62" x14ac:dyDescent="0.35">
      <c r="E68">
        <f t="shared" si="24"/>
        <v>12</v>
      </c>
      <c r="J68" t="str">
        <f t="shared" si="25"/>
        <v>date</v>
      </c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">
        <f t="shared" ref="Y68:BI68" si="38">Y24</f>
        <v>44166</v>
      </c>
      <c r="Z68" s="7">
        <f t="shared" si="38"/>
        <v>44166</v>
      </c>
      <c r="AA68" s="7">
        <f t="shared" si="38"/>
        <v>44166</v>
      </c>
      <c r="AB68" s="7">
        <f t="shared" si="38"/>
        <v>44166</v>
      </c>
      <c r="AC68" s="7">
        <f t="shared" si="38"/>
        <v>44166</v>
      </c>
      <c r="AD68" s="7">
        <f t="shared" si="38"/>
        <v>44166</v>
      </c>
      <c r="AE68" s="7">
        <f t="shared" si="38"/>
        <v>44166</v>
      </c>
      <c r="AF68" s="7">
        <f t="shared" si="38"/>
        <v>44166</v>
      </c>
      <c r="AG68" s="7">
        <f t="shared" si="38"/>
        <v>44166</v>
      </c>
      <c r="AH68" s="7">
        <f t="shared" si="38"/>
        <v>44166</v>
      </c>
      <c r="AI68" s="7">
        <f t="shared" si="38"/>
        <v>44166</v>
      </c>
      <c r="AJ68" s="7">
        <f t="shared" si="38"/>
        <v>44166</v>
      </c>
      <c r="AK68" s="7">
        <f t="shared" si="38"/>
        <v>44531</v>
      </c>
      <c r="AL68" s="7">
        <f t="shared" si="38"/>
        <v>44531</v>
      </c>
      <c r="AM68" s="7">
        <f t="shared" si="38"/>
        <v>44531</v>
      </c>
      <c r="AN68" s="7">
        <f t="shared" si="38"/>
        <v>44531</v>
      </c>
      <c r="AO68" s="7">
        <f t="shared" si="38"/>
        <v>44531</v>
      </c>
      <c r="AP68" s="7">
        <f t="shared" si="38"/>
        <v>44531</v>
      </c>
      <c r="AQ68" s="7">
        <f t="shared" si="38"/>
        <v>44531</v>
      </c>
      <c r="AR68" s="7">
        <f t="shared" si="38"/>
        <v>44531</v>
      </c>
      <c r="AS68" s="7">
        <f t="shared" si="38"/>
        <v>44531</v>
      </c>
      <c r="AT68" s="7">
        <f t="shared" si="38"/>
        <v>44531</v>
      </c>
      <c r="AU68" s="7">
        <f t="shared" si="38"/>
        <v>44531</v>
      </c>
      <c r="AV68" s="7">
        <f t="shared" si="38"/>
        <v>44531</v>
      </c>
      <c r="AW68" s="7">
        <f t="shared" si="38"/>
        <v>44896</v>
      </c>
      <c r="AX68" s="7">
        <f t="shared" si="38"/>
        <v>44896</v>
      </c>
      <c r="AY68" s="7">
        <f t="shared" si="38"/>
        <v>44896</v>
      </c>
      <c r="AZ68" s="7">
        <f t="shared" si="38"/>
        <v>44896</v>
      </c>
      <c r="BA68" s="7">
        <f t="shared" si="38"/>
        <v>44896</v>
      </c>
      <c r="BB68" s="7">
        <f t="shared" si="38"/>
        <v>44896</v>
      </c>
      <c r="BC68" s="7">
        <f t="shared" si="38"/>
        <v>44896</v>
      </c>
      <c r="BD68" s="7">
        <f t="shared" si="38"/>
        <v>44896</v>
      </c>
      <c r="BE68" s="7">
        <f t="shared" si="38"/>
        <v>44896</v>
      </c>
      <c r="BF68" s="7">
        <f t="shared" si="38"/>
        <v>44896</v>
      </c>
      <c r="BG68" s="7">
        <f t="shared" si="38"/>
        <v>44896</v>
      </c>
      <c r="BH68" s="7">
        <f t="shared" si="38"/>
        <v>44896</v>
      </c>
      <c r="BI68" s="7">
        <f t="shared" si="38"/>
        <v>45261</v>
      </c>
      <c r="BJ68" s="3"/>
    </row>
    <row r="70" spans="5:62" x14ac:dyDescent="0.35">
      <c r="E70">
        <v>1</v>
      </c>
      <c r="J70" t="s">
        <v>64</v>
      </c>
      <c r="N70" s="41">
        <f>N$3-N57+1</f>
        <v>31</v>
      </c>
      <c r="O70" s="41">
        <f t="shared" ref="O70:BI75" si="39">O$3-O57+1</f>
        <v>60</v>
      </c>
      <c r="P70" s="41">
        <f t="shared" si="39"/>
        <v>91</v>
      </c>
      <c r="Q70" s="41">
        <f t="shared" si="39"/>
        <v>121</v>
      </c>
      <c r="R70" s="41">
        <f t="shared" si="39"/>
        <v>152</v>
      </c>
      <c r="S70" s="41">
        <f t="shared" si="39"/>
        <v>182</v>
      </c>
      <c r="T70" s="41">
        <f t="shared" si="39"/>
        <v>213</v>
      </c>
      <c r="U70" s="41">
        <f t="shared" si="39"/>
        <v>244</v>
      </c>
      <c r="V70" s="41">
        <f t="shared" si="39"/>
        <v>274</v>
      </c>
      <c r="W70" s="41">
        <f t="shared" si="39"/>
        <v>305</v>
      </c>
      <c r="X70" s="41">
        <f t="shared" si="39"/>
        <v>335</v>
      </c>
      <c r="Y70" s="41">
        <f t="shared" si="39"/>
        <v>366</v>
      </c>
      <c r="Z70" s="41">
        <f t="shared" si="39"/>
        <v>31</v>
      </c>
      <c r="AA70" s="41">
        <f t="shared" si="39"/>
        <v>59</v>
      </c>
      <c r="AB70" s="41">
        <f t="shared" si="39"/>
        <v>90</v>
      </c>
      <c r="AC70" s="41">
        <f t="shared" si="39"/>
        <v>120</v>
      </c>
      <c r="AD70" s="41">
        <f t="shared" si="39"/>
        <v>151</v>
      </c>
      <c r="AE70" s="41">
        <f t="shared" si="39"/>
        <v>181</v>
      </c>
      <c r="AF70" s="41">
        <f t="shared" si="39"/>
        <v>212</v>
      </c>
      <c r="AG70" s="41">
        <f t="shared" si="39"/>
        <v>243</v>
      </c>
      <c r="AH70" s="41">
        <f t="shared" si="39"/>
        <v>273</v>
      </c>
      <c r="AI70" s="41">
        <f t="shared" si="39"/>
        <v>304</v>
      </c>
      <c r="AJ70" s="41">
        <f t="shared" si="39"/>
        <v>334</v>
      </c>
      <c r="AK70" s="41">
        <f t="shared" si="39"/>
        <v>365</v>
      </c>
      <c r="AL70" s="41">
        <f t="shared" si="39"/>
        <v>31</v>
      </c>
      <c r="AM70" s="41">
        <f t="shared" si="39"/>
        <v>59</v>
      </c>
      <c r="AN70" s="41">
        <f t="shared" si="39"/>
        <v>90</v>
      </c>
      <c r="AO70" s="41">
        <f t="shared" si="39"/>
        <v>120</v>
      </c>
      <c r="AP70" s="41">
        <f t="shared" si="39"/>
        <v>151</v>
      </c>
      <c r="AQ70" s="41">
        <f t="shared" si="39"/>
        <v>181</v>
      </c>
      <c r="AR70" s="41">
        <f t="shared" si="39"/>
        <v>212</v>
      </c>
      <c r="AS70" s="41">
        <f t="shared" si="39"/>
        <v>243</v>
      </c>
      <c r="AT70" s="41">
        <f t="shared" si="39"/>
        <v>273</v>
      </c>
      <c r="AU70" s="41">
        <f t="shared" si="39"/>
        <v>304</v>
      </c>
      <c r="AV70" s="41">
        <f t="shared" si="39"/>
        <v>334</v>
      </c>
      <c r="AW70" s="41">
        <f t="shared" si="39"/>
        <v>365</v>
      </c>
      <c r="AX70" s="41">
        <f t="shared" si="39"/>
        <v>31</v>
      </c>
      <c r="AY70" s="41">
        <f t="shared" si="39"/>
        <v>59</v>
      </c>
      <c r="AZ70" s="41">
        <f t="shared" si="39"/>
        <v>90</v>
      </c>
      <c r="BA70" s="41">
        <f t="shared" si="39"/>
        <v>120</v>
      </c>
      <c r="BB70" s="41">
        <f t="shared" si="39"/>
        <v>151</v>
      </c>
      <c r="BC70" s="41">
        <f t="shared" si="39"/>
        <v>181</v>
      </c>
      <c r="BD70" s="41">
        <f t="shared" si="39"/>
        <v>212</v>
      </c>
      <c r="BE70" s="41">
        <f t="shared" si="39"/>
        <v>243</v>
      </c>
      <c r="BF70" s="41">
        <f t="shared" si="39"/>
        <v>273</v>
      </c>
      <c r="BG70" s="41">
        <f t="shared" si="39"/>
        <v>304</v>
      </c>
      <c r="BH70" s="41">
        <f t="shared" si="39"/>
        <v>334</v>
      </c>
      <c r="BI70" s="41">
        <f t="shared" si="39"/>
        <v>365</v>
      </c>
    </row>
    <row r="71" spans="5:62" x14ac:dyDescent="0.35">
      <c r="E71">
        <v>2</v>
      </c>
      <c r="J71" t="s">
        <v>64</v>
      </c>
      <c r="N71" s="92"/>
      <c r="O71" s="41">
        <f t="shared" si="39"/>
        <v>29</v>
      </c>
      <c r="P71" s="41">
        <f t="shared" si="39"/>
        <v>60</v>
      </c>
      <c r="Q71" s="41">
        <f t="shared" si="39"/>
        <v>90</v>
      </c>
      <c r="R71" s="41">
        <f t="shared" si="39"/>
        <v>121</v>
      </c>
      <c r="S71" s="41">
        <f t="shared" si="39"/>
        <v>151</v>
      </c>
      <c r="T71" s="41">
        <f t="shared" si="39"/>
        <v>182</v>
      </c>
      <c r="U71" s="41">
        <f t="shared" si="39"/>
        <v>213</v>
      </c>
      <c r="V71" s="41">
        <f t="shared" si="39"/>
        <v>243</v>
      </c>
      <c r="W71" s="41">
        <f t="shared" si="39"/>
        <v>274</v>
      </c>
      <c r="X71" s="41">
        <f t="shared" si="39"/>
        <v>304</v>
      </c>
      <c r="Y71" s="41">
        <f t="shared" si="39"/>
        <v>335</v>
      </c>
      <c r="Z71" s="41">
        <f t="shared" si="39"/>
        <v>366</v>
      </c>
      <c r="AA71" s="41">
        <f t="shared" si="39"/>
        <v>28</v>
      </c>
      <c r="AB71" s="41">
        <f t="shared" si="39"/>
        <v>59</v>
      </c>
      <c r="AC71" s="41">
        <f t="shared" si="39"/>
        <v>89</v>
      </c>
      <c r="AD71" s="41">
        <f t="shared" si="39"/>
        <v>120</v>
      </c>
      <c r="AE71" s="41">
        <f t="shared" si="39"/>
        <v>150</v>
      </c>
      <c r="AF71" s="41">
        <f t="shared" si="39"/>
        <v>181</v>
      </c>
      <c r="AG71" s="41">
        <f t="shared" si="39"/>
        <v>212</v>
      </c>
      <c r="AH71" s="41">
        <f t="shared" si="39"/>
        <v>242</v>
      </c>
      <c r="AI71" s="41">
        <f t="shared" si="39"/>
        <v>273</v>
      </c>
      <c r="AJ71" s="41">
        <f t="shared" si="39"/>
        <v>303</v>
      </c>
      <c r="AK71" s="41">
        <f t="shared" si="39"/>
        <v>334</v>
      </c>
      <c r="AL71" s="41">
        <f t="shared" si="39"/>
        <v>365</v>
      </c>
      <c r="AM71" s="41">
        <f t="shared" si="39"/>
        <v>28</v>
      </c>
      <c r="AN71" s="41">
        <f t="shared" si="39"/>
        <v>59</v>
      </c>
      <c r="AO71" s="41">
        <f t="shared" si="39"/>
        <v>89</v>
      </c>
      <c r="AP71" s="41">
        <f t="shared" si="39"/>
        <v>120</v>
      </c>
      <c r="AQ71" s="41">
        <f t="shared" si="39"/>
        <v>150</v>
      </c>
      <c r="AR71" s="41">
        <f t="shared" si="39"/>
        <v>181</v>
      </c>
      <c r="AS71" s="41">
        <f t="shared" si="39"/>
        <v>212</v>
      </c>
      <c r="AT71" s="41">
        <f t="shared" si="39"/>
        <v>242</v>
      </c>
      <c r="AU71" s="41">
        <f t="shared" si="39"/>
        <v>273</v>
      </c>
      <c r="AV71" s="41">
        <f t="shared" si="39"/>
        <v>303</v>
      </c>
      <c r="AW71" s="41">
        <f t="shared" si="39"/>
        <v>334</v>
      </c>
      <c r="AX71" s="41">
        <f t="shared" si="39"/>
        <v>365</v>
      </c>
      <c r="AY71" s="41">
        <f t="shared" si="39"/>
        <v>28</v>
      </c>
      <c r="AZ71" s="41">
        <f t="shared" si="39"/>
        <v>59</v>
      </c>
      <c r="BA71" s="41">
        <f t="shared" si="39"/>
        <v>89</v>
      </c>
      <c r="BB71" s="41">
        <f t="shared" si="39"/>
        <v>120</v>
      </c>
      <c r="BC71" s="41">
        <f t="shared" si="39"/>
        <v>150</v>
      </c>
      <c r="BD71" s="41">
        <f t="shared" si="39"/>
        <v>181</v>
      </c>
      <c r="BE71" s="41">
        <f t="shared" si="39"/>
        <v>212</v>
      </c>
      <c r="BF71" s="41">
        <f t="shared" si="39"/>
        <v>242</v>
      </c>
      <c r="BG71" s="41">
        <f t="shared" si="39"/>
        <v>273</v>
      </c>
      <c r="BH71" s="41">
        <f t="shared" si="39"/>
        <v>303</v>
      </c>
      <c r="BI71" s="41">
        <f t="shared" si="39"/>
        <v>334</v>
      </c>
    </row>
    <row r="72" spans="5:62" x14ac:dyDescent="0.35">
      <c r="E72">
        <v>3</v>
      </c>
      <c r="J72" t="s">
        <v>64</v>
      </c>
      <c r="N72" s="92"/>
      <c r="O72" s="92"/>
      <c r="P72" s="41">
        <f t="shared" si="39"/>
        <v>31</v>
      </c>
      <c r="Q72" s="41">
        <f t="shared" si="39"/>
        <v>61</v>
      </c>
      <c r="R72" s="41">
        <f t="shared" si="39"/>
        <v>92</v>
      </c>
      <c r="S72" s="41">
        <f t="shared" si="39"/>
        <v>122</v>
      </c>
      <c r="T72" s="41">
        <f t="shared" si="39"/>
        <v>153</v>
      </c>
      <c r="U72" s="41">
        <f t="shared" si="39"/>
        <v>184</v>
      </c>
      <c r="V72" s="41">
        <f t="shared" si="39"/>
        <v>214</v>
      </c>
      <c r="W72" s="41">
        <f t="shared" si="39"/>
        <v>245</v>
      </c>
      <c r="X72" s="41">
        <f t="shared" si="39"/>
        <v>275</v>
      </c>
      <c r="Y72" s="41">
        <f t="shared" si="39"/>
        <v>306</v>
      </c>
      <c r="Z72" s="41">
        <f t="shared" si="39"/>
        <v>337</v>
      </c>
      <c r="AA72" s="41">
        <f t="shared" si="39"/>
        <v>365</v>
      </c>
      <c r="AB72" s="41">
        <f t="shared" si="39"/>
        <v>31</v>
      </c>
      <c r="AC72" s="41">
        <f t="shared" si="39"/>
        <v>61</v>
      </c>
      <c r="AD72" s="41">
        <f t="shared" si="39"/>
        <v>92</v>
      </c>
      <c r="AE72" s="41">
        <f t="shared" si="39"/>
        <v>122</v>
      </c>
      <c r="AF72" s="41">
        <f t="shared" si="39"/>
        <v>153</v>
      </c>
      <c r="AG72" s="41">
        <f t="shared" si="39"/>
        <v>184</v>
      </c>
      <c r="AH72" s="41">
        <f t="shared" si="39"/>
        <v>214</v>
      </c>
      <c r="AI72" s="41">
        <f t="shared" si="39"/>
        <v>245</v>
      </c>
      <c r="AJ72" s="41">
        <f t="shared" si="39"/>
        <v>275</v>
      </c>
      <c r="AK72" s="41">
        <f t="shared" si="39"/>
        <v>306</v>
      </c>
      <c r="AL72" s="41">
        <f t="shared" si="39"/>
        <v>337</v>
      </c>
      <c r="AM72" s="41">
        <f t="shared" si="39"/>
        <v>365</v>
      </c>
      <c r="AN72" s="41">
        <f t="shared" si="39"/>
        <v>31</v>
      </c>
      <c r="AO72" s="41">
        <f t="shared" si="39"/>
        <v>61</v>
      </c>
      <c r="AP72" s="41">
        <f t="shared" si="39"/>
        <v>92</v>
      </c>
      <c r="AQ72" s="41">
        <f t="shared" si="39"/>
        <v>122</v>
      </c>
      <c r="AR72" s="41">
        <f t="shared" si="39"/>
        <v>153</v>
      </c>
      <c r="AS72" s="41">
        <f t="shared" si="39"/>
        <v>184</v>
      </c>
      <c r="AT72" s="41">
        <f t="shared" si="39"/>
        <v>214</v>
      </c>
      <c r="AU72" s="41">
        <f t="shared" si="39"/>
        <v>245</v>
      </c>
      <c r="AV72" s="41">
        <f t="shared" si="39"/>
        <v>275</v>
      </c>
      <c r="AW72" s="41">
        <f t="shared" si="39"/>
        <v>306</v>
      </c>
      <c r="AX72" s="41">
        <f t="shared" si="39"/>
        <v>337</v>
      </c>
      <c r="AY72" s="41">
        <f t="shared" si="39"/>
        <v>365</v>
      </c>
      <c r="AZ72" s="41">
        <f t="shared" si="39"/>
        <v>31</v>
      </c>
      <c r="BA72" s="41">
        <f t="shared" si="39"/>
        <v>61</v>
      </c>
      <c r="BB72" s="41">
        <f t="shared" si="39"/>
        <v>92</v>
      </c>
      <c r="BC72" s="41">
        <f t="shared" si="39"/>
        <v>122</v>
      </c>
      <c r="BD72" s="41">
        <f t="shared" si="39"/>
        <v>153</v>
      </c>
      <c r="BE72" s="41">
        <f t="shared" si="39"/>
        <v>184</v>
      </c>
      <c r="BF72" s="41">
        <f t="shared" si="39"/>
        <v>214</v>
      </c>
      <c r="BG72" s="41">
        <f t="shared" si="39"/>
        <v>245</v>
      </c>
      <c r="BH72" s="41">
        <f t="shared" si="39"/>
        <v>275</v>
      </c>
      <c r="BI72" s="41">
        <f t="shared" si="39"/>
        <v>306</v>
      </c>
    </row>
    <row r="73" spans="5:62" x14ac:dyDescent="0.35">
      <c r="E73">
        <v>4</v>
      </c>
      <c r="J73" t="s">
        <v>64</v>
      </c>
      <c r="N73" s="92"/>
      <c r="O73" s="92"/>
      <c r="P73" s="92"/>
      <c r="Q73" s="41">
        <f t="shared" si="39"/>
        <v>30</v>
      </c>
      <c r="R73" s="41">
        <f t="shared" si="39"/>
        <v>61</v>
      </c>
      <c r="S73" s="41">
        <f t="shared" si="39"/>
        <v>91</v>
      </c>
      <c r="T73" s="41">
        <f t="shared" si="39"/>
        <v>122</v>
      </c>
      <c r="U73" s="41">
        <f t="shared" si="39"/>
        <v>153</v>
      </c>
      <c r="V73" s="41">
        <f t="shared" si="39"/>
        <v>183</v>
      </c>
      <c r="W73" s="41">
        <f t="shared" si="39"/>
        <v>214</v>
      </c>
      <c r="X73" s="41">
        <f t="shared" si="39"/>
        <v>244</v>
      </c>
      <c r="Y73" s="41">
        <f t="shared" si="39"/>
        <v>275</v>
      </c>
      <c r="Z73" s="41">
        <f t="shared" si="39"/>
        <v>306</v>
      </c>
      <c r="AA73" s="41">
        <f t="shared" si="39"/>
        <v>334</v>
      </c>
      <c r="AB73" s="41">
        <f t="shared" si="39"/>
        <v>365</v>
      </c>
      <c r="AC73" s="41">
        <f t="shared" si="39"/>
        <v>30</v>
      </c>
      <c r="AD73" s="41">
        <f t="shared" si="39"/>
        <v>61</v>
      </c>
      <c r="AE73" s="41">
        <f t="shared" si="39"/>
        <v>91</v>
      </c>
      <c r="AF73" s="41">
        <f t="shared" si="39"/>
        <v>122</v>
      </c>
      <c r="AG73" s="41">
        <f t="shared" si="39"/>
        <v>153</v>
      </c>
      <c r="AH73" s="41">
        <f t="shared" si="39"/>
        <v>183</v>
      </c>
      <c r="AI73" s="41">
        <f t="shared" si="39"/>
        <v>214</v>
      </c>
      <c r="AJ73" s="41">
        <f t="shared" si="39"/>
        <v>244</v>
      </c>
      <c r="AK73" s="41">
        <f t="shared" si="39"/>
        <v>275</v>
      </c>
      <c r="AL73" s="41">
        <f t="shared" si="39"/>
        <v>306</v>
      </c>
      <c r="AM73" s="41">
        <f t="shared" si="39"/>
        <v>334</v>
      </c>
      <c r="AN73" s="41">
        <f t="shared" si="39"/>
        <v>365</v>
      </c>
      <c r="AO73" s="41">
        <f t="shared" si="39"/>
        <v>30</v>
      </c>
      <c r="AP73" s="41">
        <f t="shared" si="39"/>
        <v>61</v>
      </c>
      <c r="AQ73" s="41">
        <f t="shared" si="39"/>
        <v>91</v>
      </c>
      <c r="AR73" s="41">
        <f t="shared" si="39"/>
        <v>122</v>
      </c>
      <c r="AS73" s="41">
        <f t="shared" si="39"/>
        <v>153</v>
      </c>
      <c r="AT73" s="41">
        <f t="shared" si="39"/>
        <v>183</v>
      </c>
      <c r="AU73" s="41">
        <f t="shared" si="39"/>
        <v>214</v>
      </c>
      <c r="AV73" s="41">
        <f t="shared" si="39"/>
        <v>244</v>
      </c>
      <c r="AW73" s="41">
        <f t="shared" si="39"/>
        <v>275</v>
      </c>
      <c r="AX73" s="41">
        <f t="shared" si="39"/>
        <v>306</v>
      </c>
      <c r="AY73" s="41">
        <f t="shared" si="39"/>
        <v>334</v>
      </c>
      <c r="AZ73" s="41">
        <f t="shared" si="39"/>
        <v>365</v>
      </c>
      <c r="BA73" s="41">
        <f t="shared" si="39"/>
        <v>30</v>
      </c>
      <c r="BB73" s="41">
        <f t="shared" si="39"/>
        <v>61</v>
      </c>
      <c r="BC73" s="41">
        <f t="shared" si="39"/>
        <v>91</v>
      </c>
      <c r="BD73" s="41">
        <f t="shared" si="39"/>
        <v>122</v>
      </c>
      <c r="BE73" s="41">
        <f t="shared" si="39"/>
        <v>153</v>
      </c>
      <c r="BF73" s="41">
        <f t="shared" si="39"/>
        <v>183</v>
      </c>
      <c r="BG73" s="41">
        <f t="shared" si="39"/>
        <v>214</v>
      </c>
      <c r="BH73" s="41">
        <f t="shared" si="39"/>
        <v>244</v>
      </c>
      <c r="BI73" s="41">
        <f t="shared" si="39"/>
        <v>275</v>
      </c>
    </row>
    <row r="74" spans="5:62" x14ac:dyDescent="0.35">
      <c r="E74">
        <v>5</v>
      </c>
      <c r="J74" t="s">
        <v>64</v>
      </c>
      <c r="N74" s="92"/>
      <c r="O74" s="92"/>
      <c r="P74" s="92"/>
      <c r="Q74" s="92"/>
      <c r="R74" s="41">
        <f t="shared" si="39"/>
        <v>31</v>
      </c>
      <c r="S74" s="41">
        <f t="shared" si="39"/>
        <v>61</v>
      </c>
      <c r="T74" s="41">
        <f t="shared" si="39"/>
        <v>92</v>
      </c>
      <c r="U74" s="41">
        <f t="shared" si="39"/>
        <v>123</v>
      </c>
      <c r="V74" s="41">
        <f t="shared" si="39"/>
        <v>153</v>
      </c>
      <c r="W74" s="41">
        <f t="shared" si="39"/>
        <v>184</v>
      </c>
      <c r="X74" s="41">
        <f t="shared" si="39"/>
        <v>214</v>
      </c>
      <c r="Y74" s="41">
        <f t="shared" si="39"/>
        <v>245</v>
      </c>
      <c r="Z74" s="41">
        <f t="shared" si="39"/>
        <v>276</v>
      </c>
      <c r="AA74" s="41">
        <f t="shared" si="39"/>
        <v>304</v>
      </c>
      <c r="AB74" s="41">
        <f t="shared" si="39"/>
        <v>335</v>
      </c>
      <c r="AC74" s="41">
        <f t="shared" si="39"/>
        <v>365</v>
      </c>
      <c r="AD74" s="41">
        <f t="shared" si="39"/>
        <v>31</v>
      </c>
      <c r="AE74" s="41">
        <f t="shared" si="39"/>
        <v>61</v>
      </c>
      <c r="AF74" s="41">
        <f t="shared" si="39"/>
        <v>92</v>
      </c>
      <c r="AG74" s="41">
        <f t="shared" si="39"/>
        <v>123</v>
      </c>
      <c r="AH74" s="41">
        <f t="shared" si="39"/>
        <v>153</v>
      </c>
      <c r="AI74" s="41">
        <f t="shared" si="39"/>
        <v>184</v>
      </c>
      <c r="AJ74" s="41">
        <f t="shared" si="39"/>
        <v>214</v>
      </c>
      <c r="AK74" s="41">
        <f t="shared" si="39"/>
        <v>245</v>
      </c>
      <c r="AL74" s="41">
        <f t="shared" si="39"/>
        <v>276</v>
      </c>
      <c r="AM74" s="41">
        <f t="shared" si="39"/>
        <v>304</v>
      </c>
      <c r="AN74" s="41">
        <f t="shared" si="39"/>
        <v>335</v>
      </c>
      <c r="AO74" s="41">
        <f t="shared" si="39"/>
        <v>365</v>
      </c>
      <c r="AP74" s="41">
        <f t="shared" si="39"/>
        <v>31</v>
      </c>
      <c r="AQ74" s="41">
        <f t="shared" si="39"/>
        <v>61</v>
      </c>
      <c r="AR74" s="41">
        <f t="shared" si="39"/>
        <v>92</v>
      </c>
      <c r="AS74" s="41">
        <f t="shared" si="39"/>
        <v>123</v>
      </c>
      <c r="AT74" s="41">
        <f t="shared" si="39"/>
        <v>153</v>
      </c>
      <c r="AU74" s="41">
        <f t="shared" si="39"/>
        <v>184</v>
      </c>
      <c r="AV74" s="41">
        <f t="shared" si="39"/>
        <v>214</v>
      </c>
      <c r="AW74" s="41">
        <f t="shared" si="39"/>
        <v>245</v>
      </c>
      <c r="AX74" s="41">
        <f t="shared" si="39"/>
        <v>276</v>
      </c>
      <c r="AY74" s="41">
        <f t="shared" si="39"/>
        <v>304</v>
      </c>
      <c r="AZ74" s="41">
        <f t="shared" si="39"/>
        <v>335</v>
      </c>
      <c r="BA74" s="41">
        <f t="shared" si="39"/>
        <v>365</v>
      </c>
      <c r="BB74" s="41">
        <f t="shared" si="39"/>
        <v>31</v>
      </c>
      <c r="BC74" s="41">
        <f t="shared" si="39"/>
        <v>61</v>
      </c>
      <c r="BD74" s="41">
        <f t="shared" si="39"/>
        <v>92</v>
      </c>
      <c r="BE74" s="41">
        <f t="shared" si="39"/>
        <v>123</v>
      </c>
      <c r="BF74" s="41">
        <f t="shared" si="39"/>
        <v>153</v>
      </c>
      <c r="BG74" s="41">
        <f t="shared" si="39"/>
        <v>184</v>
      </c>
      <c r="BH74" s="41">
        <f t="shared" si="39"/>
        <v>214</v>
      </c>
      <c r="BI74" s="41">
        <f t="shared" si="39"/>
        <v>245</v>
      </c>
    </row>
    <row r="75" spans="5:62" x14ac:dyDescent="0.35">
      <c r="E75">
        <v>6</v>
      </c>
      <c r="J75" t="s">
        <v>64</v>
      </c>
      <c r="N75" s="92"/>
      <c r="O75" s="92"/>
      <c r="P75" s="92"/>
      <c r="Q75" s="92"/>
      <c r="R75" s="92"/>
      <c r="S75" s="41">
        <f t="shared" si="39"/>
        <v>30</v>
      </c>
      <c r="T75" s="41">
        <f t="shared" si="39"/>
        <v>61</v>
      </c>
      <c r="U75" s="41">
        <f t="shared" si="39"/>
        <v>92</v>
      </c>
      <c r="V75" s="41">
        <f t="shared" si="39"/>
        <v>122</v>
      </c>
      <c r="W75" s="41">
        <f t="shared" si="39"/>
        <v>153</v>
      </c>
      <c r="X75" s="41">
        <f t="shared" si="39"/>
        <v>183</v>
      </c>
      <c r="Y75" s="41">
        <f t="shared" si="39"/>
        <v>214</v>
      </c>
      <c r="Z75" s="41">
        <f t="shared" si="39"/>
        <v>245</v>
      </c>
      <c r="AA75" s="41">
        <f t="shared" si="39"/>
        <v>273</v>
      </c>
      <c r="AB75" s="41">
        <f t="shared" si="39"/>
        <v>304</v>
      </c>
      <c r="AC75" s="41">
        <f t="shared" si="39"/>
        <v>334</v>
      </c>
      <c r="AD75" s="41">
        <f t="shared" si="39"/>
        <v>365</v>
      </c>
      <c r="AE75" s="41">
        <f t="shared" si="39"/>
        <v>30</v>
      </c>
      <c r="AF75" s="41">
        <f t="shared" si="39"/>
        <v>61</v>
      </c>
      <c r="AG75" s="41">
        <f t="shared" si="39"/>
        <v>92</v>
      </c>
      <c r="AH75" s="41">
        <f t="shared" si="39"/>
        <v>122</v>
      </c>
      <c r="AI75" s="41">
        <f t="shared" si="39"/>
        <v>153</v>
      </c>
      <c r="AJ75" s="41">
        <f t="shared" si="39"/>
        <v>183</v>
      </c>
      <c r="AK75" s="41">
        <f t="shared" si="39"/>
        <v>214</v>
      </c>
      <c r="AL75" s="41">
        <f t="shared" si="39"/>
        <v>245</v>
      </c>
      <c r="AM75" s="41">
        <f t="shared" si="39"/>
        <v>273</v>
      </c>
      <c r="AN75" s="41">
        <f t="shared" si="39"/>
        <v>304</v>
      </c>
      <c r="AO75" s="41">
        <f t="shared" si="39"/>
        <v>334</v>
      </c>
      <c r="AP75" s="41">
        <f t="shared" si="39"/>
        <v>365</v>
      </c>
      <c r="AQ75" s="41">
        <f t="shared" si="39"/>
        <v>30</v>
      </c>
      <c r="AR75" s="41">
        <f t="shared" si="39"/>
        <v>61</v>
      </c>
      <c r="AS75" s="41">
        <f t="shared" ref="AS75:BI75" si="40">AS$3-AS62+1</f>
        <v>92</v>
      </c>
      <c r="AT75" s="41">
        <f t="shared" si="40"/>
        <v>122</v>
      </c>
      <c r="AU75" s="41">
        <f t="shared" si="40"/>
        <v>153</v>
      </c>
      <c r="AV75" s="41">
        <f t="shared" si="40"/>
        <v>183</v>
      </c>
      <c r="AW75" s="41">
        <f t="shared" si="40"/>
        <v>214</v>
      </c>
      <c r="AX75" s="41">
        <f t="shared" si="40"/>
        <v>245</v>
      </c>
      <c r="AY75" s="41">
        <f t="shared" si="40"/>
        <v>273</v>
      </c>
      <c r="AZ75" s="41">
        <f t="shared" si="40"/>
        <v>304</v>
      </c>
      <c r="BA75" s="41">
        <f t="shared" si="40"/>
        <v>334</v>
      </c>
      <c r="BB75" s="41">
        <f t="shared" si="40"/>
        <v>365</v>
      </c>
      <c r="BC75" s="41">
        <f t="shared" si="40"/>
        <v>30</v>
      </c>
      <c r="BD75" s="41">
        <f t="shared" si="40"/>
        <v>61</v>
      </c>
      <c r="BE75" s="41">
        <f t="shared" si="40"/>
        <v>92</v>
      </c>
      <c r="BF75" s="41">
        <f t="shared" si="40"/>
        <v>122</v>
      </c>
      <c r="BG75" s="41">
        <f t="shared" si="40"/>
        <v>153</v>
      </c>
      <c r="BH75" s="41">
        <f t="shared" si="40"/>
        <v>183</v>
      </c>
      <c r="BI75" s="41">
        <f t="shared" si="40"/>
        <v>214</v>
      </c>
    </row>
    <row r="76" spans="5:62" x14ac:dyDescent="0.35">
      <c r="E76">
        <v>7</v>
      </c>
      <c r="J76" t="s">
        <v>64</v>
      </c>
      <c r="N76" s="92"/>
      <c r="O76" s="92"/>
      <c r="P76" s="92"/>
      <c r="Q76" s="92"/>
      <c r="R76" s="92"/>
      <c r="S76" s="92"/>
      <c r="T76" s="41">
        <f t="shared" ref="T76:BI81" si="41">T$3-T63+1</f>
        <v>31</v>
      </c>
      <c r="U76" s="41">
        <f t="shared" si="41"/>
        <v>62</v>
      </c>
      <c r="V76" s="41">
        <f t="shared" si="41"/>
        <v>92</v>
      </c>
      <c r="W76" s="41">
        <f t="shared" si="41"/>
        <v>123</v>
      </c>
      <c r="X76" s="41">
        <f t="shared" si="41"/>
        <v>153</v>
      </c>
      <c r="Y76" s="41">
        <f t="shared" si="41"/>
        <v>184</v>
      </c>
      <c r="Z76" s="41">
        <f t="shared" si="41"/>
        <v>215</v>
      </c>
      <c r="AA76" s="41">
        <f t="shared" si="41"/>
        <v>243</v>
      </c>
      <c r="AB76" s="41">
        <f t="shared" si="41"/>
        <v>274</v>
      </c>
      <c r="AC76" s="41">
        <f t="shared" si="41"/>
        <v>304</v>
      </c>
      <c r="AD76" s="41">
        <f t="shared" si="41"/>
        <v>335</v>
      </c>
      <c r="AE76" s="41">
        <f t="shared" si="41"/>
        <v>365</v>
      </c>
      <c r="AF76" s="41">
        <f t="shared" si="41"/>
        <v>31</v>
      </c>
      <c r="AG76" s="41">
        <f t="shared" si="41"/>
        <v>62</v>
      </c>
      <c r="AH76" s="41">
        <f t="shared" si="41"/>
        <v>92</v>
      </c>
      <c r="AI76" s="41">
        <f t="shared" si="41"/>
        <v>123</v>
      </c>
      <c r="AJ76" s="41">
        <f t="shared" si="41"/>
        <v>153</v>
      </c>
      <c r="AK76" s="41">
        <f t="shared" si="41"/>
        <v>184</v>
      </c>
      <c r="AL76" s="41">
        <f t="shared" si="41"/>
        <v>215</v>
      </c>
      <c r="AM76" s="41">
        <f t="shared" si="41"/>
        <v>243</v>
      </c>
      <c r="AN76" s="41">
        <f t="shared" si="41"/>
        <v>274</v>
      </c>
      <c r="AO76" s="41">
        <f t="shared" si="41"/>
        <v>304</v>
      </c>
      <c r="AP76" s="41">
        <f t="shared" si="41"/>
        <v>335</v>
      </c>
      <c r="AQ76" s="41">
        <f t="shared" si="41"/>
        <v>365</v>
      </c>
      <c r="AR76" s="41">
        <f t="shared" si="41"/>
        <v>31</v>
      </c>
      <c r="AS76" s="41">
        <f t="shared" si="41"/>
        <v>62</v>
      </c>
      <c r="AT76" s="41">
        <f t="shared" si="41"/>
        <v>92</v>
      </c>
      <c r="AU76" s="41">
        <f t="shared" si="41"/>
        <v>123</v>
      </c>
      <c r="AV76" s="41">
        <f t="shared" si="41"/>
        <v>153</v>
      </c>
      <c r="AW76" s="41">
        <f t="shared" si="41"/>
        <v>184</v>
      </c>
      <c r="AX76" s="41">
        <f t="shared" si="41"/>
        <v>215</v>
      </c>
      <c r="AY76" s="41">
        <f t="shared" si="41"/>
        <v>243</v>
      </c>
      <c r="AZ76" s="41">
        <f t="shared" si="41"/>
        <v>274</v>
      </c>
      <c r="BA76" s="41">
        <f t="shared" si="41"/>
        <v>304</v>
      </c>
      <c r="BB76" s="41">
        <f t="shared" si="41"/>
        <v>335</v>
      </c>
      <c r="BC76" s="41">
        <f t="shared" si="41"/>
        <v>365</v>
      </c>
      <c r="BD76" s="41">
        <f t="shared" si="41"/>
        <v>31</v>
      </c>
      <c r="BE76" s="41">
        <f t="shared" si="41"/>
        <v>62</v>
      </c>
      <c r="BF76" s="41">
        <f t="shared" si="41"/>
        <v>92</v>
      </c>
      <c r="BG76" s="41">
        <f t="shared" si="41"/>
        <v>123</v>
      </c>
      <c r="BH76" s="41">
        <f t="shared" si="41"/>
        <v>153</v>
      </c>
      <c r="BI76" s="41">
        <f t="shared" si="41"/>
        <v>184</v>
      </c>
    </row>
    <row r="77" spans="5:62" x14ac:dyDescent="0.35">
      <c r="E77">
        <v>8</v>
      </c>
      <c r="J77" t="s">
        <v>64</v>
      </c>
      <c r="N77" s="92"/>
      <c r="O77" s="92"/>
      <c r="P77" s="92"/>
      <c r="Q77" s="92"/>
      <c r="R77" s="92"/>
      <c r="S77" s="92"/>
      <c r="T77" s="92"/>
      <c r="U77" s="41">
        <f t="shared" si="41"/>
        <v>31</v>
      </c>
      <c r="V77" s="41">
        <f t="shared" si="41"/>
        <v>61</v>
      </c>
      <c r="W77" s="41">
        <f t="shared" si="41"/>
        <v>92</v>
      </c>
      <c r="X77" s="41">
        <f t="shared" si="41"/>
        <v>122</v>
      </c>
      <c r="Y77" s="41">
        <f t="shared" si="41"/>
        <v>153</v>
      </c>
      <c r="Z77" s="41">
        <f t="shared" si="41"/>
        <v>184</v>
      </c>
      <c r="AA77" s="41">
        <f t="shared" si="41"/>
        <v>212</v>
      </c>
      <c r="AB77" s="41">
        <f t="shared" si="41"/>
        <v>243</v>
      </c>
      <c r="AC77" s="41">
        <f t="shared" si="41"/>
        <v>273</v>
      </c>
      <c r="AD77" s="41">
        <f t="shared" si="41"/>
        <v>304</v>
      </c>
      <c r="AE77" s="41">
        <f t="shared" si="41"/>
        <v>334</v>
      </c>
      <c r="AF77" s="41">
        <f t="shared" si="41"/>
        <v>365</v>
      </c>
      <c r="AG77" s="41">
        <f t="shared" si="41"/>
        <v>31</v>
      </c>
      <c r="AH77" s="41">
        <f t="shared" si="41"/>
        <v>61</v>
      </c>
      <c r="AI77" s="41">
        <f t="shared" si="41"/>
        <v>92</v>
      </c>
      <c r="AJ77" s="41">
        <f t="shared" si="41"/>
        <v>122</v>
      </c>
      <c r="AK77" s="41">
        <f t="shared" si="41"/>
        <v>153</v>
      </c>
      <c r="AL77" s="41">
        <f t="shared" si="41"/>
        <v>184</v>
      </c>
      <c r="AM77" s="41">
        <f t="shared" si="41"/>
        <v>212</v>
      </c>
      <c r="AN77" s="41">
        <f t="shared" si="41"/>
        <v>243</v>
      </c>
      <c r="AO77" s="41">
        <f t="shared" si="41"/>
        <v>273</v>
      </c>
      <c r="AP77" s="41">
        <f t="shared" si="41"/>
        <v>304</v>
      </c>
      <c r="AQ77" s="41">
        <f t="shared" si="41"/>
        <v>334</v>
      </c>
      <c r="AR77" s="41">
        <f t="shared" si="41"/>
        <v>365</v>
      </c>
      <c r="AS77" s="41">
        <f t="shared" si="41"/>
        <v>31</v>
      </c>
      <c r="AT77" s="41">
        <f t="shared" si="41"/>
        <v>61</v>
      </c>
      <c r="AU77" s="41">
        <f t="shared" si="41"/>
        <v>92</v>
      </c>
      <c r="AV77" s="41">
        <f t="shared" si="41"/>
        <v>122</v>
      </c>
      <c r="AW77" s="41">
        <f t="shared" si="41"/>
        <v>153</v>
      </c>
      <c r="AX77" s="41">
        <f t="shared" si="41"/>
        <v>184</v>
      </c>
      <c r="AY77" s="41">
        <f t="shared" si="41"/>
        <v>212</v>
      </c>
      <c r="AZ77" s="41">
        <f t="shared" si="41"/>
        <v>243</v>
      </c>
      <c r="BA77" s="41">
        <f t="shared" si="41"/>
        <v>273</v>
      </c>
      <c r="BB77" s="41">
        <f t="shared" si="41"/>
        <v>304</v>
      </c>
      <c r="BC77" s="41">
        <f t="shared" si="41"/>
        <v>334</v>
      </c>
      <c r="BD77" s="41">
        <f t="shared" si="41"/>
        <v>365</v>
      </c>
      <c r="BE77" s="41">
        <f t="shared" si="41"/>
        <v>31</v>
      </c>
      <c r="BF77" s="41">
        <f t="shared" si="41"/>
        <v>61</v>
      </c>
      <c r="BG77" s="41">
        <f t="shared" si="41"/>
        <v>92</v>
      </c>
      <c r="BH77" s="41">
        <f t="shared" si="41"/>
        <v>122</v>
      </c>
      <c r="BI77" s="41">
        <f t="shared" si="41"/>
        <v>153</v>
      </c>
    </row>
    <row r="78" spans="5:62" x14ac:dyDescent="0.35">
      <c r="E78">
        <v>9</v>
      </c>
      <c r="J78" t="s">
        <v>64</v>
      </c>
      <c r="N78" s="92"/>
      <c r="O78" s="92"/>
      <c r="P78" s="92"/>
      <c r="Q78" s="92"/>
      <c r="R78" s="92"/>
      <c r="S78" s="92"/>
      <c r="T78" s="92"/>
      <c r="U78" s="92"/>
      <c r="V78" s="41">
        <f t="shared" si="41"/>
        <v>30</v>
      </c>
      <c r="W78" s="41">
        <f t="shared" si="41"/>
        <v>61</v>
      </c>
      <c r="X78" s="41">
        <f t="shared" si="41"/>
        <v>91</v>
      </c>
      <c r="Y78" s="41">
        <f t="shared" si="41"/>
        <v>122</v>
      </c>
      <c r="Z78" s="41">
        <f t="shared" si="41"/>
        <v>153</v>
      </c>
      <c r="AA78" s="41">
        <f t="shared" si="41"/>
        <v>181</v>
      </c>
      <c r="AB78" s="41">
        <f t="shared" si="41"/>
        <v>212</v>
      </c>
      <c r="AC78" s="41">
        <f t="shared" si="41"/>
        <v>242</v>
      </c>
      <c r="AD78" s="41">
        <f t="shared" si="41"/>
        <v>273</v>
      </c>
      <c r="AE78" s="41">
        <f t="shared" si="41"/>
        <v>303</v>
      </c>
      <c r="AF78" s="41">
        <f t="shared" si="41"/>
        <v>334</v>
      </c>
      <c r="AG78" s="41">
        <f t="shared" si="41"/>
        <v>365</v>
      </c>
      <c r="AH78" s="41">
        <f t="shared" si="41"/>
        <v>30</v>
      </c>
      <c r="AI78" s="41">
        <f t="shared" si="41"/>
        <v>61</v>
      </c>
      <c r="AJ78" s="41">
        <f t="shared" si="41"/>
        <v>91</v>
      </c>
      <c r="AK78" s="41">
        <f t="shared" si="41"/>
        <v>122</v>
      </c>
      <c r="AL78" s="41">
        <f t="shared" si="41"/>
        <v>153</v>
      </c>
      <c r="AM78" s="41">
        <f t="shared" si="41"/>
        <v>181</v>
      </c>
      <c r="AN78" s="41">
        <f t="shared" si="41"/>
        <v>212</v>
      </c>
      <c r="AO78" s="41">
        <f t="shared" si="41"/>
        <v>242</v>
      </c>
      <c r="AP78" s="41">
        <f t="shared" si="41"/>
        <v>273</v>
      </c>
      <c r="AQ78" s="41">
        <f t="shared" si="41"/>
        <v>303</v>
      </c>
      <c r="AR78" s="41">
        <f t="shared" si="41"/>
        <v>334</v>
      </c>
      <c r="AS78" s="41">
        <f t="shared" si="41"/>
        <v>365</v>
      </c>
      <c r="AT78" s="41">
        <f t="shared" si="41"/>
        <v>30</v>
      </c>
      <c r="AU78" s="41">
        <f t="shared" si="41"/>
        <v>61</v>
      </c>
      <c r="AV78" s="41">
        <f t="shared" si="41"/>
        <v>91</v>
      </c>
      <c r="AW78" s="41">
        <f t="shared" si="41"/>
        <v>122</v>
      </c>
      <c r="AX78" s="41">
        <f t="shared" si="41"/>
        <v>153</v>
      </c>
      <c r="AY78" s="41">
        <f t="shared" si="41"/>
        <v>181</v>
      </c>
      <c r="AZ78" s="41">
        <f t="shared" si="41"/>
        <v>212</v>
      </c>
      <c r="BA78" s="41">
        <f t="shared" si="41"/>
        <v>242</v>
      </c>
      <c r="BB78" s="41">
        <f t="shared" si="41"/>
        <v>273</v>
      </c>
      <c r="BC78" s="41">
        <f t="shared" si="41"/>
        <v>303</v>
      </c>
      <c r="BD78" s="41">
        <f t="shared" si="41"/>
        <v>334</v>
      </c>
      <c r="BE78" s="41">
        <f t="shared" si="41"/>
        <v>365</v>
      </c>
      <c r="BF78" s="41">
        <f t="shared" si="41"/>
        <v>30</v>
      </c>
      <c r="BG78" s="41">
        <f t="shared" si="41"/>
        <v>61</v>
      </c>
      <c r="BH78" s="41">
        <f t="shared" si="41"/>
        <v>91</v>
      </c>
      <c r="BI78" s="41">
        <f t="shared" si="41"/>
        <v>122</v>
      </c>
    </row>
    <row r="79" spans="5:62" x14ac:dyDescent="0.35">
      <c r="E79">
        <v>10</v>
      </c>
      <c r="J79" t="s">
        <v>64</v>
      </c>
      <c r="N79" s="92"/>
      <c r="O79" s="92"/>
      <c r="P79" s="92"/>
      <c r="Q79" s="92"/>
      <c r="R79" s="92"/>
      <c r="S79" s="92"/>
      <c r="T79" s="92"/>
      <c r="U79" s="92"/>
      <c r="V79" s="92"/>
      <c r="W79" s="41">
        <f t="shared" si="41"/>
        <v>31</v>
      </c>
      <c r="X79" s="41">
        <f t="shared" si="41"/>
        <v>61</v>
      </c>
      <c r="Y79" s="41">
        <f t="shared" si="41"/>
        <v>92</v>
      </c>
      <c r="Z79" s="41">
        <f t="shared" si="41"/>
        <v>123</v>
      </c>
      <c r="AA79" s="41">
        <f t="shared" si="41"/>
        <v>151</v>
      </c>
      <c r="AB79" s="41">
        <f t="shared" si="41"/>
        <v>182</v>
      </c>
      <c r="AC79" s="41">
        <f t="shared" si="41"/>
        <v>212</v>
      </c>
      <c r="AD79" s="41">
        <f t="shared" si="41"/>
        <v>243</v>
      </c>
      <c r="AE79" s="41">
        <f t="shared" si="41"/>
        <v>273</v>
      </c>
      <c r="AF79" s="41">
        <f t="shared" si="41"/>
        <v>304</v>
      </c>
      <c r="AG79" s="41">
        <f t="shared" si="41"/>
        <v>335</v>
      </c>
      <c r="AH79" s="41">
        <f t="shared" si="41"/>
        <v>365</v>
      </c>
      <c r="AI79" s="41">
        <f t="shared" si="41"/>
        <v>31</v>
      </c>
      <c r="AJ79" s="41">
        <f t="shared" si="41"/>
        <v>61</v>
      </c>
      <c r="AK79" s="41">
        <f t="shared" si="41"/>
        <v>92</v>
      </c>
      <c r="AL79" s="41">
        <f t="shared" si="41"/>
        <v>123</v>
      </c>
      <c r="AM79" s="41">
        <f t="shared" si="41"/>
        <v>151</v>
      </c>
      <c r="AN79" s="41">
        <f t="shared" si="41"/>
        <v>182</v>
      </c>
      <c r="AO79" s="41">
        <f t="shared" si="41"/>
        <v>212</v>
      </c>
      <c r="AP79" s="41">
        <f t="shared" si="41"/>
        <v>243</v>
      </c>
      <c r="AQ79" s="41">
        <f t="shared" si="41"/>
        <v>273</v>
      </c>
      <c r="AR79" s="41">
        <f t="shared" si="41"/>
        <v>304</v>
      </c>
      <c r="AS79" s="41">
        <f t="shared" si="41"/>
        <v>335</v>
      </c>
      <c r="AT79" s="41">
        <f t="shared" si="41"/>
        <v>365</v>
      </c>
      <c r="AU79" s="41">
        <f t="shared" si="41"/>
        <v>31</v>
      </c>
      <c r="AV79" s="41">
        <f t="shared" si="41"/>
        <v>61</v>
      </c>
      <c r="AW79" s="41">
        <f t="shared" si="41"/>
        <v>92</v>
      </c>
      <c r="AX79" s="41">
        <f t="shared" si="41"/>
        <v>123</v>
      </c>
      <c r="AY79" s="41">
        <f t="shared" si="41"/>
        <v>151</v>
      </c>
      <c r="AZ79" s="41">
        <f t="shared" si="41"/>
        <v>182</v>
      </c>
      <c r="BA79" s="41">
        <f t="shared" si="41"/>
        <v>212</v>
      </c>
      <c r="BB79" s="41">
        <f t="shared" si="41"/>
        <v>243</v>
      </c>
      <c r="BC79" s="41">
        <f t="shared" si="41"/>
        <v>273</v>
      </c>
      <c r="BD79" s="41">
        <f t="shared" si="41"/>
        <v>304</v>
      </c>
      <c r="BE79" s="41">
        <f t="shared" si="41"/>
        <v>335</v>
      </c>
      <c r="BF79" s="41">
        <f t="shared" si="41"/>
        <v>365</v>
      </c>
      <c r="BG79" s="41">
        <f t="shared" si="41"/>
        <v>31</v>
      </c>
      <c r="BH79" s="41">
        <f t="shared" si="41"/>
        <v>61</v>
      </c>
      <c r="BI79" s="41">
        <f t="shared" si="41"/>
        <v>92</v>
      </c>
    </row>
    <row r="80" spans="5:62" x14ac:dyDescent="0.35">
      <c r="E80">
        <v>11</v>
      </c>
      <c r="J80" t="s">
        <v>64</v>
      </c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41">
        <f t="shared" si="41"/>
        <v>30</v>
      </c>
      <c r="Y80" s="41">
        <f t="shared" si="41"/>
        <v>61</v>
      </c>
      <c r="Z80" s="41">
        <f t="shared" si="41"/>
        <v>92</v>
      </c>
      <c r="AA80" s="41">
        <f t="shared" si="41"/>
        <v>120</v>
      </c>
      <c r="AB80" s="41">
        <f t="shared" si="41"/>
        <v>151</v>
      </c>
      <c r="AC80" s="41">
        <f t="shared" si="41"/>
        <v>181</v>
      </c>
      <c r="AD80" s="41">
        <f t="shared" si="41"/>
        <v>212</v>
      </c>
      <c r="AE80" s="41">
        <f t="shared" si="41"/>
        <v>242</v>
      </c>
      <c r="AF80" s="41">
        <f t="shared" si="41"/>
        <v>273</v>
      </c>
      <c r="AG80" s="41">
        <f t="shared" si="41"/>
        <v>304</v>
      </c>
      <c r="AH80" s="41">
        <f t="shared" si="41"/>
        <v>334</v>
      </c>
      <c r="AI80" s="41">
        <f t="shared" si="41"/>
        <v>365</v>
      </c>
      <c r="AJ80" s="41">
        <f t="shared" si="41"/>
        <v>30</v>
      </c>
      <c r="AK80" s="41">
        <f t="shared" si="41"/>
        <v>61</v>
      </c>
      <c r="AL80" s="41">
        <f t="shared" si="41"/>
        <v>92</v>
      </c>
      <c r="AM80" s="41">
        <f t="shared" si="41"/>
        <v>120</v>
      </c>
      <c r="AN80" s="41">
        <f t="shared" si="41"/>
        <v>151</v>
      </c>
      <c r="AO80" s="41">
        <f t="shared" si="41"/>
        <v>181</v>
      </c>
      <c r="AP80" s="41">
        <f t="shared" si="41"/>
        <v>212</v>
      </c>
      <c r="AQ80" s="41">
        <f t="shared" si="41"/>
        <v>242</v>
      </c>
      <c r="AR80" s="41">
        <f t="shared" si="41"/>
        <v>273</v>
      </c>
      <c r="AS80" s="41">
        <f t="shared" si="41"/>
        <v>304</v>
      </c>
      <c r="AT80" s="41">
        <f t="shared" si="41"/>
        <v>334</v>
      </c>
      <c r="AU80" s="41">
        <f t="shared" si="41"/>
        <v>365</v>
      </c>
      <c r="AV80" s="41">
        <f t="shared" si="41"/>
        <v>30</v>
      </c>
      <c r="AW80" s="41">
        <f t="shared" si="41"/>
        <v>61</v>
      </c>
      <c r="AX80" s="41">
        <f t="shared" si="41"/>
        <v>92</v>
      </c>
      <c r="AY80" s="41">
        <f t="shared" si="41"/>
        <v>120</v>
      </c>
      <c r="AZ80" s="41">
        <f t="shared" si="41"/>
        <v>151</v>
      </c>
      <c r="BA80" s="41">
        <f t="shared" si="41"/>
        <v>181</v>
      </c>
      <c r="BB80" s="41">
        <f t="shared" si="41"/>
        <v>212</v>
      </c>
      <c r="BC80" s="41">
        <f t="shared" si="41"/>
        <v>242</v>
      </c>
      <c r="BD80" s="41">
        <f t="shared" si="41"/>
        <v>273</v>
      </c>
      <c r="BE80" s="41">
        <f t="shared" si="41"/>
        <v>304</v>
      </c>
      <c r="BF80" s="41">
        <f t="shared" si="41"/>
        <v>334</v>
      </c>
      <c r="BG80" s="41">
        <f t="shared" si="41"/>
        <v>365</v>
      </c>
      <c r="BH80" s="41">
        <f t="shared" si="41"/>
        <v>30</v>
      </c>
      <c r="BI80" s="41">
        <f t="shared" si="41"/>
        <v>61</v>
      </c>
    </row>
    <row r="81" spans="5:61" x14ac:dyDescent="0.35">
      <c r="E81">
        <v>12</v>
      </c>
      <c r="J81" t="s">
        <v>64</v>
      </c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41">
        <f t="shared" si="41"/>
        <v>31</v>
      </c>
      <c r="Z81" s="41">
        <f t="shared" si="41"/>
        <v>62</v>
      </c>
      <c r="AA81" s="41">
        <f t="shared" si="41"/>
        <v>90</v>
      </c>
      <c r="AB81" s="41">
        <f t="shared" si="41"/>
        <v>121</v>
      </c>
      <c r="AC81" s="41">
        <f t="shared" si="41"/>
        <v>151</v>
      </c>
      <c r="AD81" s="41">
        <f t="shared" si="41"/>
        <v>182</v>
      </c>
      <c r="AE81" s="41">
        <f t="shared" si="41"/>
        <v>212</v>
      </c>
      <c r="AF81" s="41">
        <f t="shared" si="41"/>
        <v>243</v>
      </c>
      <c r="AG81" s="41">
        <f t="shared" si="41"/>
        <v>274</v>
      </c>
      <c r="AH81" s="41">
        <f t="shared" si="41"/>
        <v>304</v>
      </c>
      <c r="AI81" s="41">
        <f t="shared" si="41"/>
        <v>335</v>
      </c>
      <c r="AJ81" s="41">
        <f t="shared" si="41"/>
        <v>365</v>
      </c>
      <c r="AK81" s="41">
        <f t="shared" si="41"/>
        <v>31</v>
      </c>
      <c r="AL81" s="41">
        <f t="shared" si="41"/>
        <v>62</v>
      </c>
      <c r="AM81" s="41">
        <f t="shared" si="41"/>
        <v>90</v>
      </c>
      <c r="AN81" s="41">
        <f t="shared" si="41"/>
        <v>121</v>
      </c>
      <c r="AO81" s="41">
        <f t="shared" si="41"/>
        <v>151</v>
      </c>
      <c r="AP81" s="41">
        <f t="shared" si="41"/>
        <v>182</v>
      </c>
      <c r="AQ81" s="41">
        <f t="shared" si="41"/>
        <v>212</v>
      </c>
      <c r="AR81" s="41">
        <f t="shared" si="41"/>
        <v>243</v>
      </c>
      <c r="AS81" s="41">
        <f t="shared" si="41"/>
        <v>274</v>
      </c>
      <c r="AT81" s="41">
        <f t="shared" si="41"/>
        <v>304</v>
      </c>
      <c r="AU81" s="41">
        <f t="shared" si="41"/>
        <v>335</v>
      </c>
      <c r="AV81" s="41">
        <f t="shared" si="41"/>
        <v>365</v>
      </c>
      <c r="AW81" s="41">
        <f t="shared" si="41"/>
        <v>31</v>
      </c>
      <c r="AX81" s="41">
        <f t="shared" si="41"/>
        <v>62</v>
      </c>
      <c r="AY81" s="41">
        <f t="shared" si="41"/>
        <v>90</v>
      </c>
      <c r="AZ81" s="41">
        <f t="shared" si="41"/>
        <v>121</v>
      </c>
      <c r="BA81" s="41">
        <f t="shared" si="41"/>
        <v>151</v>
      </c>
      <c r="BB81" s="41">
        <f t="shared" si="41"/>
        <v>182</v>
      </c>
      <c r="BC81" s="41">
        <f t="shared" si="41"/>
        <v>212</v>
      </c>
      <c r="BD81" s="41">
        <f t="shared" si="41"/>
        <v>243</v>
      </c>
      <c r="BE81" s="41">
        <f t="shared" si="41"/>
        <v>274</v>
      </c>
      <c r="BF81" s="41">
        <f t="shared" si="41"/>
        <v>304</v>
      </c>
      <c r="BG81" s="41">
        <f t="shared" si="41"/>
        <v>335</v>
      </c>
      <c r="BH81" s="41">
        <f t="shared" si="41"/>
        <v>365</v>
      </c>
      <c r="BI81" s="41">
        <f t="shared" si="41"/>
        <v>31</v>
      </c>
    </row>
    <row r="83" spans="5:61" x14ac:dyDescent="0.35">
      <c r="E83">
        <v>1</v>
      </c>
      <c r="J83" t="s">
        <v>97</v>
      </c>
      <c r="N83" s="13">
        <f>_xlfn.NORM.DIST(N70,$I42,$I$55,TRUE)</f>
        <v>0.3197690768106819</v>
      </c>
      <c r="O83" s="13">
        <f t="shared" ref="O83:O84" si="42">_xlfn.NORM.DIST(O70,$I42,$I$55,TRUE)</f>
        <v>0.38789708860275296</v>
      </c>
      <c r="P83" s="13">
        <f t="shared" ref="P83:P85" si="43">_xlfn.NORM.DIST(P70,$I42,$I$55,TRUE)</f>
        <v>0.46469762236659928</v>
      </c>
      <c r="Q83" s="13">
        <f t="shared" ref="Q83:Q86" si="44">_xlfn.NORM.DIST(Q70,$I42,$I$55,TRUE)</f>
        <v>0.54032943633827446</v>
      </c>
      <c r="R83" s="13">
        <f t="shared" ref="R83:R87" si="45">_xlfn.NORM.DIST(R70,$I42,$I$55,TRUE)</f>
        <v>0.61694314320180998</v>
      </c>
      <c r="S83" s="13">
        <f t="shared" ref="S83:S88" si="46">_xlfn.NORM.DIST(S70,$I42,$I$55,TRUE)</f>
        <v>0.68698831418088757</v>
      </c>
      <c r="T83" s="13">
        <f t="shared" ref="T83:T89" si="47">_xlfn.NORM.DIST(T70,$I42,$I$55,TRUE)</f>
        <v>0.75286400255814812</v>
      </c>
      <c r="U83" s="13">
        <f t="shared" ref="U83:U90" si="48">_xlfn.NORM.DIST(U70,$I42,$I$55,TRUE)</f>
        <v>0.81049677967495226</v>
      </c>
      <c r="V83" s="13">
        <f t="shared" ref="V83:V91" si="49">_xlfn.NORM.DIST(V70,$I42,$I$55,TRUE)</f>
        <v>0.85759982580804817</v>
      </c>
      <c r="W83" s="13">
        <f t="shared" ref="W83:W92" si="50">_xlfn.NORM.DIST(W70,$I42,$I$55,TRUE)</f>
        <v>0.89720699201002907</v>
      </c>
      <c r="X83" s="13">
        <f t="shared" ref="X83:X93" si="51">_xlfn.NORM.DIST(X70,$I42,$I$55,TRUE)</f>
        <v>0.92725747996526509</v>
      </c>
      <c r="Y83" s="13">
        <f t="shared" ref="Y83:BI83" si="52">_xlfn.NORM.DIST(Y70,$I42,$I$55,TRUE)</f>
        <v>0.95071887985989878</v>
      </c>
      <c r="Z83" s="13">
        <f t="shared" si="52"/>
        <v>0.3197690768106819</v>
      </c>
      <c r="AA83" s="13">
        <f t="shared" si="52"/>
        <v>0.38547474308438467</v>
      </c>
      <c r="AB83" s="13">
        <f t="shared" si="52"/>
        <v>0.46218333790207516</v>
      </c>
      <c r="AC83" s="13">
        <f t="shared" si="52"/>
        <v>0.53781666209792478</v>
      </c>
      <c r="AD83" s="13">
        <f t="shared" si="52"/>
        <v>0.61452525691561533</v>
      </c>
      <c r="AE83" s="13">
        <f t="shared" si="52"/>
        <v>0.68474267400736788</v>
      </c>
      <c r="AF83" s="13">
        <f t="shared" si="52"/>
        <v>0.75086079177762155</v>
      </c>
      <c r="AG83" s="13">
        <f t="shared" si="52"/>
        <v>0.80877730600773479</v>
      </c>
      <c r="AH83" s="13">
        <f t="shared" si="52"/>
        <v>0.85616998811355638</v>
      </c>
      <c r="AI83" s="13">
        <f t="shared" si="52"/>
        <v>0.89606920832631931</v>
      </c>
      <c r="AJ83" s="13">
        <f t="shared" si="52"/>
        <v>0.92637822232242906</v>
      </c>
      <c r="AK83" s="13">
        <f t="shared" si="52"/>
        <v>0.95007025559662617</v>
      </c>
      <c r="AL83" s="13">
        <f t="shared" si="52"/>
        <v>0.3197690768106819</v>
      </c>
      <c r="AM83" s="13">
        <f t="shared" si="52"/>
        <v>0.38547474308438467</v>
      </c>
      <c r="AN83" s="13">
        <f t="shared" si="52"/>
        <v>0.46218333790207516</v>
      </c>
      <c r="AO83" s="13">
        <f t="shared" si="52"/>
        <v>0.53781666209792478</v>
      </c>
      <c r="AP83" s="13">
        <f t="shared" si="52"/>
        <v>0.61452525691561533</v>
      </c>
      <c r="AQ83" s="13">
        <f t="shared" si="52"/>
        <v>0.68474267400736788</v>
      </c>
      <c r="AR83" s="13">
        <f t="shared" si="52"/>
        <v>0.75086079177762155</v>
      </c>
      <c r="AS83" s="13">
        <f t="shared" si="52"/>
        <v>0.80877730600773479</v>
      </c>
      <c r="AT83" s="13">
        <f t="shared" si="52"/>
        <v>0.85616998811355638</v>
      </c>
      <c r="AU83" s="13">
        <f t="shared" si="52"/>
        <v>0.89606920832631931</v>
      </c>
      <c r="AV83" s="13">
        <f t="shared" si="52"/>
        <v>0.92637822232242906</v>
      </c>
      <c r="AW83" s="13">
        <f t="shared" si="52"/>
        <v>0.95007025559662617</v>
      </c>
      <c r="AX83" s="13">
        <f t="shared" si="52"/>
        <v>0.3197690768106819</v>
      </c>
      <c r="AY83" s="13">
        <f t="shared" si="52"/>
        <v>0.38547474308438467</v>
      </c>
      <c r="AZ83" s="13">
        <f t="shared" si="52"/>
        <v>0.46218333790207516</v>
      </c>
      <c r="BA83" s="13">
        <f t="shared" si="52"/>
        <v>0.53781666209792478</v>
      </c>
      <c r="BB83" s="13">
        <f t="shared" si="52"/>
        <v>0.61452525691561533</v>
      </c>
      <c r="BC83" s="13">
        <f t="shared" si="52"/>
        <v>0.68474267400736788</v>
      </c>
      <c r="BD83" s="13">
        <f t="shared" si="52"/>
        <v>0.75086079177762155</v>
      </c>
      <c r="BE83" s="13">
        <f t="shared" si="52"/>
        <v>0.80877730600773479</v>
      </c>
      <c r="BF83" s="13">
        <f t="shared" si="52"/>
        <v>0.85616998811355638</v>
      </c>
      <c r="BG83" s="13">
        <f t="shared" si="52"/>
        <v>0.89606920832631931</v>
      </c>
      <c r="BH83" s="13">
        <f t="shared" si="52"/>
        <v>0.92637822232242906</v>
      </c>
      <c r="BI83" s="13">
        <f t="shared" si="52"/>
        <v>0.95007025559662617</v>
      </c>
    </row>
    <row r="84" spans="5:61" x14ac:dyDescent="0.35">
      <c r="E84">
        <v>2</v>
      </c>
      <c r="J84" t="s">
        <v>97</v>
      </c>
      <c r="N84" s="78"/>
      <c r="O84" s="13">
        <f t="shared" si="42"/>
        <v>0.31525732599263218</v>
      </c>
      <c r="P84" s="13">
        <f t="shared" si="43"/>
        <v>0.38789708860275296</v>
      </c>
      <c r="Q84" s="13">
        <f t="shared" si="44"/>
        <v>0.46218333790207516</v>
      </c>
      <c r="R84" s="13">
        <f t="shared" si="45"/>
        <v>0.54032943633827446</v>
      </c>
      <c r="S84" s="13">
        <f t="shared" si="46"/>
        <v>0.61452525691561533</v>
      </c>
      <c r="T84" s="13">
        <f t="shared" si="47"/>
        <v>0.68698831418088757</v>
      </c>
      <c r="U84" s="13">
        <f t="shared" si="48"/>
        <v>0.75286400255814812</v>
      </c>
      <c r="V84" s="13">
        <f t="shared" si="49"/>
        <v>0.80877730600773479</v>
      </c>
      <c r="W84" s="13">
        <f t="shared" si="50"/>
        <v>0.85759982580804817</v>
      </c>
      <c r="X84" s="13">
        <f t="shared" si="51"/>
        <v>0.89606920832631931</v>
      </c>
      <c r="Y84" s="13">
        <f t="shared" ref="Y84:BI84" si="53">_xlfn.NORM.DIST(Y71,$I43,$I$55,TRUE)</f>
        <v>0.92725747996526509</v>
      </c>
      <c r="Z84" s="13">
        <f t="shared" si="53"/>
        <v>0.95071887985989878</v>
      </c>
      <c r="AA84" s="13">
        <f t="shared" si="53"/>
        <v>0.31301168581911243</v>
      </c>
      <c r="AB84" s="13">
        <f t="shared" si="53"/>
        <v>0.38547474308438467</v>
      </c>
      <c r="AC84" s="13">
        <f t="shared" si="53"/>
        <v>0.4596705636617256</v>
      </c>
      <c r="AD84" s="13">
        <f t="shared" si="53"/>
        <v>0.53781666209792478</v>
      </c>
      <c r="AE84" s="13">
        <f t="shared" si="53"/>
        <v>0.61210291139724704</v>
      </c>
      <c r="AF84" s="13">
        <f t="shared" si="53"/>
        <v>0.68474267400736788</v>
      </c>
      <c r="AG84" s="13">
        <f t="shared" si="53"/>
        <v>0.75086079177762155</v>
      </c>
      <c r="AH84" s="13">
        <f t="shared" si="53"/>
        <v>0.8070483012694829</v>
      </c>
      <c r="AI84" s="13">
        <f t="shared" si="53"/>
        <v>0.85616998811355638</v>
      </c>
      <c r="AJ84" s="13">
        <f t="shared" si="53"/>
        <v>0.89492231899068442</v>
      </c>
      <c r="AK84" s="13">
        <f t="shared" si="53"/>
        <v>0.92637822232242906</v>
      </c>
      <c r="AL84" s="13">
        <f t="shared" si="53"/>
        <v>0.95007025559662617</v>
      </c>
      <c r="AM84" s="13">
        <f t="shared" si="53"/>
        <v>0.31301168581911243</v>
      </c>
      <c r="AN84" s="13">
        <f t="shared" si="53"/>
        <v>0.38547474308438467</v>
      </c>
      <c r="AO84" s="13">
        <f t="shared" si="53"/>
        <v>0.4596705636617256</v>
      </c>
      <c r="AP84" s="13">
        <f t="shared" si="53"/>
        <v>0.53781666209792478</v>
      </c>
      <c r="AQ84" s="13">
        <f t="shared" si="53"/>
        <v>0.61210291139724704</v>
      </c>
      <c r="AR84" s="13">
        <f t="shared" si="53"/>
        <v>0.68474267400736788</v>
      </c>
      <c r="AS84" s="13">
        <f t="shared" si="53"/>
        <v>0.75086079177762155</v>
      </c>
      <c r="AT84" s="13">
        <f t="shared" si="53"/>
        <v>0.8070483012694829</v>
      </c>
      <c r="AU84" s="13">
        <f t="shared" si="53"/>
        <v>0.85616998811355638</v>
      </c>
      <c r="AV84" s="13">
        <f t="shared" si="53"/>
        <v>0.89492231899068442</v>
      </c>
      <c r="AW84" s="13">
        <f t="shared" si="53"/>
        <v>0.92637822232242906</v>
      </c>
      <c r="AX84" s="13">
        <f t="shared" si="53"/>
        <v>0.95007025559662617</v>
      </c>
      <c r="AY84" s="13">
        <f t="shared" si="53"/>
        <v>0.31301168581911243</v>
      </c>
      <c r="AZ84" s="13">
        <f t="shared" si="53"/>
        <v>0.38547474308438467</v>
      </c>
      <c r="BA84" s="13">
        <f t="shared" si="53"/>
        <v>0.4596705636617256</v>
      </c>
      <c r="BB84" s="13">
        <f t="shared" si="53"/>
        <v>0.53781666209792478</v>
      </c>
      <c r="BC84" s="13">
        <f t="shared" si="53"/>
        <v>0.61210291139724704</v>
      </c>
      <c r="BD84" s="13">
        <f t="shared" si="53"/>
        <v>0.68474267400736788</v>
      </c>
      <c r="BE84" s="13">
        <f t="shared" si="53"/>
        <v>0.75086079177762155</v>
      </c>
      <c r="BF84" s="13">
        <f t="shared" si="53"/>
        <v>0.8070483012694829</v>
      </c>
      <c r="BG84" s="13">
        <f t="shared" si="53"/>
        <v>0.85616998811355638</v>
      </c>
      <c r="BH84" s="13">
        <f t="shared" si="53"/>
        <v>0.89492231899068442</v>
      </c>
      <c r="BI84" s="13">
        <f t="shared" si="53"/>
        <v>0.92637822232242906</v>
      </c>
    </row>
    <row r="85" spans="5:61" x14ac:dyDescent="0.35">
      <c r="E85">
        <v>3</v>
      </c>
      <c r="J85" t="s">
        <v>97</v>
      </c>
      <c r="N85" s="78"/>
      <c r="O85" s="78"/>
      <c r="P85" s="13">
        <f t="shared" si="43"/>
        <v>0.3197690768106819</v>
      </c>
      <c r="Q85" s="13">
        <f t="shared" si="44"/>
        <v>0.39032380437115011</v>
      </c>
      <c r="R85" s="13">
        <f t="shared" si="45"/>
        <v>0.46721331719259807</v>
      </c>
      <c r="S85" s="13">
        <f t="shared" si="46"/>
        <v>0.54284060067268081</v>
      </c>
      <c r="T85" s="13">
        <f t="shared" si="47"/>
        <v>0.61935648179439184</v>
      </c>
      <c r="U85" s="13">
        <f t="shared" si="48"/>
        <v>0.69145877974023873</v>
      </c>
      <c r="V85" s="13">
        <f t="shared" si="49"/>
        <v>0.7548585660975925</v>
      </c>
      <c r="W85" s="13">
        <f t="shared" si="50"/>
        <v>0.81220670631681413</v>
      </c>
      <c r="X85" s="13">
        <f t="shared" si="51"/>
        <v>0.85902001698583297</v>
      </c>
      <c r="Y85" s="13">
        <f t="shared" ref="Y85:BI85" si="54">_xlfn.NORM.DIST(Y72,$I44,$I$55,TRUE)</f>
        <v>0.89833569712335914</v>
      </c>
      <c r="Z85" s="13">
        <f t="shared" si="54"/>
        <v>0.92899184481048103</v>
      </c>
      <c r="AA85" s="13">
        <f t="shared" si="54"/>
        <v>0.95007025559662617</v>
      </c>
      <c r="AB85" s="13">
        <f t="shared" si="54"/>
        <v>0.3197690768106819</v>
      </c>
      <c r="AC85" s="13">
        <f t="shared" si="54"/>
        <v>0.39032380437115011</v>
      </c>
      <c r="AD85" s="13">
        <f t="shared" si="54"/>
        <v>0.46721331719259807</v>
      </c>
      <c r="AE85" s="13">
        <f t="shared" si="54"/>
        <v>0.54284060067268081</v>
      </c>
      <c r="AF85" s="13">
        <f t="shared" si="54"/>
        <v>0.61935648179439184</v>
      </c>
      <c r="AG85" s="13">
        <f t="shared" si="54"/>
        <v>0.69145877974023873</v>
      </c>
      <c r="AH85" s="13">
        <f t="shared" si="54"/>
        <v>0.7548585660975925</v>
      </c>
      <c r="AI85" s="13">
        <f t="shared" si="54"/>
        <v>0.81220670631681413</v>
      </c>
      <c r="AJ85" s="13">
        <f t="shared" si="54"/>
        <v>0.85902001698583297</v>
      </c>
      <c r="AK85" s="13">
        <f t="shared" si="54"/>
        <v>0.89833569712335914</v>
      </c>
      <c r="AL85" s="13">
        <f t="shared" si="54"/>
        <v>0.92899184481048103</v>
      </c>
      <c r="AM85" s="13">
        <f t="shared" si="54"/>
        <v>0.95007025559662617</v>
      </c>
      <c r="AN85" s="13">
        <f t="shared" si="54"/>
        <v>0.3197690768106819</v>
      </c>
      <c r="AO85" s="13">
        <f t="shared" si="54"/>
        <v>0.39032380437115011</v>
      </c>
      <c r="AP85" s="13">
        <f t="shared" si="54"/>
        <v>0.46721331719259807</v>
      </c>
      <c r="AQ85" s="13">
        <f t="shared" si="54"/>
        <v>0.54284060067268081</v>
      </c>
      <c r="AR85" s="13">
        <f t="shared" si="54"/>
        <v>0.61935648179439184</v>
      </c>
      <c r="AS85" s="13">
        <f t="shared" si="54"/>
        <v>0.69145877974023873</v>
      </c>
      <c r="AT85" s="13">
        <f t="shared" si="54"/>
        <v>0.7548585660975925</v>
      </c>
      <c r="AU85" s="13">
        <f t="shared" si="54"/>
        <v>0.81220670631681413</v>
      </c>
      <c r="AV85" s="13">
        <f t="shared" si="54"/>
        <v>0.85902001698583297</v>
      </c>
      <c r="AW85" s="13">
        <f t="shared" si="54"/>
        <v>0.89833569712335914</v>
      </c>
      <c r="AX85" s="13">
        <f t="shared" si="54"/>
        <v>0.92899184481048103</v>
      </c>
      <c r="AY85" s="13">
        <f t="shared" si="54"/>
        <v>0.95007025559662617</v>
      </c>
      <c r="AZ85" s="13">
        <f t="shared" si="54"/>
        <v>0.3197690768106819</v>
      </c>
      <c r="BA85" s="13">
        <f t="shared" si="54"/>
        <v>0.39032380437115011</v>
      </c>
      <c r="BB85" s="13">
        <f t="shared" si="54"/>
        <v>0.46721331719259807</v>
      </c>
      <c r="BC85" s="13">
        <f t="shared" si="54"/>
        <v>0.54284060067268081</v>
      </c>
      <c r="BD85" s="13">
        <f t="shared" si="54"/>
        <v>0.61935648179439184</v>
      </c>
      <c r="BE85" s="13">
        <f t="shared" si="54"/>
        <v>0.69145877974023873</v>
      </c>
      <c r="BF85" s="13">
        <f t="shared" si="54"/>
        <v>0.7548585660975925</v>
      </c>
      <c r="BG85" s="13">
        <f t="shared" si="54"/>
        <v>0.81220670631681413</v>
      </c>
      <c r="BH85" s="13">
        <f t="shared" si="54"/>
        <v>0.85902001698583297</v>
      </c>
      <c r="BI85" s="13">
        <f t="shared" si="54"/>
        <v>0.89833569712335914</v>
      </c>
    </row>
    <row r="86" spans="5:61" x14ac:dyDescent="0.35">
      <c r="E86">
        <v>4</v>
      </c>
      <c r="J86" t="s">
        <v>97</v>
      </c>
      <c r="N86" s="78"/>
      <c r="O86" s="78"/>
      <c r="P86" s="78"/>
      <c r="Q86" s="13">
        <f t="shared" si="44"/>
        <v>0.3175098128644252</v>
      </c>
      <c r="R86" s="13">
        <f t="shared" si="45"/>
        <v>0.39032380437115011</v>
      </c>
      <c r="S86" s="13">
        <f t="shared" si="46"/>
        <v>0.46469762236659928</v>
      </c>
      <c r="T86" s="13">
        <f t="shared" si="47"/>
        <v>0.54284060067268081</v>
      </c>
      <c r="U86" s="13">
        <f t="shared" si="48"/>
        <v>0.61935648179439184</v>
      </c>
      <c r="V86" s="13">
        <f t="shared" si="49"/>
        <v>0.68922703879161051</v>
      </c>
      <c r="W86" s="13">
        <f t="shared" si="50"/>
        <v>0.7548585660975925</v>
      </c>
      <c r="X86" s="13">
        <f t="shared" si="51"/>
        <v>0.81049677967495226</v>
      </c>
      <c r="Y86" s="13">
        <f t="shared" ref="Y86:BI86" si="55">_xlfn.NORM.DIST(Y73,$I45,$I$55,TRUE)</f>
        <v>0.85902001698583297</v>
      </c>
      <c r="Z86" s="13">
        <f t="shared" si="55"/>
        <v>0.89833569712335914</v>
      </c>
      <c r="AA86" s="13">
        <f t="shared" si="55"/>
        <v>0.92637822232242906</v>
      </c>
      <c r="AB86" s="13">
        <f t="shared" si="55"/>
        <v>0.95007025559662617</v>
      </c>
      <c r="AC86" s="13">
        <f t="shared" si="55"/>
        <v>0.3175098128644252</v>
      </c>
      <c r="AD86" s="13">
        <f t="shared" si="55"/>
        <v>0.39032380437115011</v>
      </c>
      <c r="AE86" s="13">
        <f t="shared" si="55"/>
        <v>0.46469762236659928</v>
      </c>
      <c r="AF86" s="13">
        <f t="shared" si="55"/>
        <v>0.54284060067268081</v>
      </c>
      <c r="AG86" s="13">
        <f t="shared" si="55"/>
        <v>0.61935648179439184</v>
      </c>
      <c r="AH86" s="13">
        <f t="shared" si="55"/>
        <v>0.68922703879161051</v>
      </c>
      <c r="AI86" s="13">
        <f t="shared" si="55"/>
        <v>0.7548585660975925</v>
      </c>
      <c r="AJ86" s="13">
        <f t="shared" si="55"/>
        <v>0.81049677967495226</v>
      </c>
      <c r="AK86" s="13">
        <f t="shared" si="55"/>
        <v>0.85902001698583297</v>
      </c>
      <c r="AL86" s="13">
        <f t="shared" si="55"/>
        <v>0.89833569712335914</v>
      </c>
      <c r="AM86" s="13">
        <f t="shared" si="55"/>
        <v>0.92637822232242906</v>
      </c>
      <c r="AN86" s="13">
        <f t="shared" si="55"/>
        <v>0.95007025559662617</v>
      </c>
      <c r="AO86" s="13">
        <f t="shared" si="55"/>
        <v>0.3175098128644252</v>
      </c>
      <c r="AP86" s="13">
        <f t="shared" si="55"/>
        <v>0.39032380437115011</v>
      </c>
      <c r="AQ86" s="13">
        <f t="shared" si="55"/>
        <v>0.46469762236659928</v>
      </c>
      <c r="AR86" s="13">
        <f t="shared" si="55"/>
        <v>0.54284060067268081</v>
      </c>
      <c r="AS86" s="13">
        <f t="shared" si="55"/>
        <v>0.61935648179439184</v>
      </c>
      <c r="AT86" s="13">
        <f t="shared" si="55"/>
        <v>0.68922703879161051</v>
      </c>
      <c r="AU86" s="13">
        <f t="shared" si="55"/>
        <v>0.7548585660975925</v>
      </c>
      <c r="AV86" s="13">
        <f t="shared" si="55"/>
        <v>0.81049677967495226</v>
      </c>
      <c r="AW86" s="13">
        <f t="shared" si="55"/>
        <v>0.85902001698583297</v>
      </c>
      <c r="AX86" s="13">
        <f t="shared" si="55"/>
        <v>0.89833569712335914</v>
      </c>
      <c r="AY86" s="13">
        <f t="shared" si="55"/>
        <v>0.92637822232242906</v>
      </c>
      <c r="AZ86" s="13">
        <f t="shared" si="55"/>
        <v>0.95007025559662617</v>
      </c>
      <c r="BA86" s="13">
        <f t="shared" si="55"/>
        <v>0.3175098128644252</v>
      </c>
      <c r="BB86" s="13">
        <f t="shared" si="55"/>
        <v>0.39032380437115011</v>
      </c>
      <c r="BC86" s="13">
        <f t="shared" si="55"/>
        <v>0.46469762236659928</v>
      </c>
      <c r="BD86" s="13">
        <f t="shared" si="55"/>
        <v>0.54284060067268081</v>
      </c>
      <c r="BE86" s="13">
        <f t="shared" si="55"/>
        <v>0.61935648179439184</v>
      </c>
      <c r="BF86" s="13">
        <f t="shared" si="55"/>
        <v>0.68922703879161051</v>
      </c>
      <c r="BG86" s="13">
        <f t="shared" si="55"/>
        <v>0.7548585660975925</v>
      </c>
      <c r="BH86" s="13">
        <f t="shared" si="55"/>
        <v>0.81049677967495226</v>
      </c>
      <c r="BI86" s="13">
        <f t="shared" si="55"/>
        <v>0.85902001698583297</v>
      </c>
    </row>
    <row r="87" spans="5:61" x14ac:dyDescent="0.35">
      <c r="E87">
        <v>5</v>
      </c>
      <c r="J87" t="s">
        <v>97</v>
      </c>
      <c r="N87" s="78"/>
      <c r="O87" s="78"/>
      <c r="P87" s="78"/>
      <c r="Q87" s="78"/>
      <c r="R87" s="13">
        <f t="shared" si="45"/>
        <v>0.3197690768106819</v>
      </c>
      <c r="S87" s="13">
        <f t="shared" si="46"/>
        <v>0.39032380437115011</v>
      </c>
      <c r="T87" s="13">
        <f t="shared" si="47"/>
        <v>0.46721331719259807</v>
      </c>
      <c r="U87" s="13">
        <f t="shared" si="48"/>
        <v>0.54535005561216865</v>
      </c>
      <c r="V87" s="13">
        <f t="shared" si="49"/>
        <v>0.61935648179439184</v>
      </c>
      <c r="W87" s="13">
        <f t="shared" si="50"/>
        <v>0.69145877974023873</v>
      </c>
      <c r="X87" s="13">
        <f t="shared" si="51"/>
        <v>0.7548585660975925</v>
      </c>
      <c r="Y87" s="13">
        <f t="shared" ref="Y87:BI87" si="56">_xlfn.NORM.DIST(Y74,$I46,$I$55,TRUE)</f>
        <v>0.81220670631681413</v>
      </c>
      <c r="Z87" s="13">
        <f t="shared" si="56"/>
        <v>0.86043057022584868</v>
      </c>
      <c r="AA87" s="13">
        <f t="shared" si="56"/>
        <v>0.89606920832631931</v>
      </c>
      <c r="AB87" s="13">
        <f t="shared" si="56"/>
        <v>0.92725747996526509</v>
      </c>
      <c r="AC87" s="13">
        <f t="shared" si="56"/>
        <v>0.95007025559662617</v>
      </c>
      <c r="AD87" s="13">
        <f t="shared" si="56"/>
        <v>0.3197690768106819</v>
      </c>
      <c r="AE87" s="13">
        <f t="shared" si="56"/>
        <v>0.39032380437115011</v>
      </c>
      <c r="AF87" s="13">
        <f t="shared" si="56"/>
        <v>0.46721331719259807</v>
      </c>
      <c r="AG87" s="13">
        <f t="shared" si="56"/>
        <v>0.54535005561216865</v>
      </c>
      <c r="AH87" s="13">
        <f t="shared" si="56"/>
        <v>0.61935648179439184</v>
      </c>
      <c r="AI87" s="13">
        <f t="shared" si="56"/>
        <v>0.69145877974023873</v>
      </c>
      <c r="AJ87" s="13">
        <f t="shared" si="56"/>
        <v>0.7548585660975925</v>
      </c>
      <c r="AK87" s="13">
        <f t="shared" si="56"/>
        <v>0.81220670631681413</v>
      </c>
      <c r="AL87" s="13">
        <f t="shared" si="56"/>
        <v>0.86043057022584868</v>
      </c>
      <c r="AM87" s="13">
        <f t="shared" si="56"/>
        <v>0.89606920832631931</v>
      </c>
      <c r="AN87" s="13">
        <f t="shared" si="56"/>
        <v>0.92725747996526509</v>
      </c>
      <c r="AO87" s="13">
        <f t="shared" si="56"/>
        <v>0.95007025559662617</v>
      </c>
      <c r="AP87" s="13">
        <f t="shared" si="56"/>
        <v>0.3197690768106819</v>
      </c>
      <c r="AQ87" s="13">
        <f t="shared" si="56"/>
        <v>0.39032380437115011</v>
      </c>
      <c r="AR87" s="13">
        <f t="shared" si="56"/>
        <v>0.46721331719259807</v>
      </c>
      <c r="AS87" s="13">
        <f t="shared" si="56"/>
        <v>0.54535005561216865</v>
      </c>
      <c r="AT87" s="13">
        <f t="shared" si="56"/>
        <v>0.61935648179439184</v>
      </c>
      <c r="AU87" s="13">
        <f t="shared" si="56"/>
        <v>0.69145877974023873</v>
      </c>
      <c r="AV87" s="13">
        <f t="shared" si="56"/>
        <v>0.7548585660975925</v>
      </c>
      <c r="AW87" s="13">
        <f t="shared" si="56"/>
        <v>0.81220670631681413</v>
      </c>
      <c r="AX87" s="13">
        <f t="shared" si="56"/>
        <v>0.86043057022584868</v>
      </c>
      <c r="AY87" s="13">
        <f t="shared" si="56"/>
        <v>0.89606920832631931</v>
      </c>
      <c r="AZ87" s="13">
        <f t="shared" si="56"/>
        <v>0.92725747996526509</v>
      </c>
      <c r="BA87" s="13">
        <f t="shared" si="56"/>
        <v>0.95007025559662617</v>
      </c>
      <c r="BB87" s="13">
        <f t="shared" si="56"/>
        <v>0.3197690768106819</v>
      </c>
      <c r="BC87" s="13">
        <f t="shared" si="56"/>
        <v>0.39032380437115011</v>
      </c>
      <c r="BD87" s="13">
        <f t="shared" si="56"/>
        <v>0.46721331719259807</v>
      </c>
      <c r="BE87" s="13">
        <f t="shared" si="56"/>
        <v>0.54535005561216865</v>
      </c>
      <c r="BF87" s="13">
        <f t="shared" si="56"/>
        <v>0.61935648179439184</v>
      </c>
      <c r="BG87" s="13">
        <f t="shared" si="56"/>
        <v>0.69145877974023873</v>
      </c>
      <c r="BH87" s="13">
        <f t="shared" si="56"/>
        <v>0.7548585660975925</v>
      </c>
      <c r="BI87" s="13">
        <f t="shared" si="56"/>
        <v>0.81220670631681413</v>
      </c>
    </row>
    <row r="88" spans="5:61" x14ac:dyDescent="0.35">
      <c r="E88">
        <v>6</v>
      </c>
      <c r="J88" t="s">
        <v>97</v>
      </c>
      <c r="N88" s="78"/>
      <c r="O88" s="78"/>
      <c r="P88" s="78"/>
      <c r="Q88" s="78"/>
      <c r="R88" s="78"/>
      <c r="S88" s="13">
        <f t="shared" si="46"/>
        <v>0.3175098128644252</v>
      </c>
      <c r="T88" s="13">
        <f t="shared" si="47"/>
        <v>0.39032380437115011</v>
      </c>
      <c r="U88" s="13">
        <f t="shared" si="48"/>
        <v>0.46721331719259807</v>
      </c>
      <c r="V88" s="13">
        <f t="shared" si="49"/>
        <v>0.54284060067268081</v>
      </c>
      <c r="W88" s="13">
        <f t="shared" si="50"/>
        <v>0.61935648179439184</v>
      </c>
      <c r="X88" s="13">
        <f t="shared" si="51"/>
        <v>0.68922703879161051</v>
      </c>
      <c r="Y88" s="13">
        <f t="shared" ref="Y88:BI88" si="57">_xlfn.NORM.DIST(Y75,$I47,$I$55,TRUE)</f>
        <v>0.7548585660975925</v>
      </c>
      <c r="Z88" s="13">
        <f t="shared" si="57"/>
        <v>0.81220670631681413</v>
      </c>
      <c r="AA88" s="13">
        <f t="shared" si="57"/>
        <v>0.85616998811355638</v>
      </c>
      <c r="AB88" s="13">
        <f t="shared" si="57"/>
        <v>0.89606920832631931</v>
      </c>
      <c r="AC88" s="13">
        <f t="shared" si="57"/>
        <v>0.92637822232242906</v>
      </c>
      <c r="AD88" s="13">
        <f t="shared" si="57"/>
        <v>0.95007025559662617</v>
      </c>
      <c r="AE88" s="13">
        <f t="shared" si="57"/>
        <v>0.3175098128644252</v>
      </c>
      <c r="AF88" s="13">
        <f t="shared" si="57"/>
        <v>0.39032380437115011</v>
      </c>
      <c r="AG88" s="13">
        <f t="shared" si="57"/>
        <v>0.46721331719259807</v>
      </c>
      <c r="AH88" s="13">
        <f t="shared" si="57"/>
        <v>0.54284060067268081</v>
      </c>
      <c r="AI88" s="13">
        <f t="shared" si="57"/>
        <v>0.61935648179439184</v>
      </c>
      <c r="AJ88" s="13">
        <f t="shared" si="57"/>
        <v>0.68922703879161051</v>
      </c>
      <c r="AK88" s="13">
        <f t="shared" si="57"/>
        <v>0.7548585660975925</v>
      </c>
      <c r="AL88" s="13">
        <f t="shared" si="57"/>
        <v>0.81220670631681413</v>
      </c>
      <c r="AM88" s="13">
        <f t="shared" si="57"/>
        <v>0.85616998811355638</v>
      </c>
      <c r="AN88" s="13">
        <f t="shared" si="57"/>
        <v>0.89606920832631931</v>
      </c>
      <c r="AO88" s="13">
        <f t="shared" si="57"/>
        <v>0.92637822232242906</v>
      </c>
      <c r="AP88" s="13">
        <f t="shared" si="57"/>
        <v>0.95007025559662617</v>
      </c>
      <c r="AQ88" s="13">
        <f t="shared" si="57"/>
        <v>0.3175098128644252</v>
      </c>
      <c r="AR88" s="13">
        <f t="shared" si="57"/>
        <v>0.39032380437115011</v>
      </c>
      <c r="AS88" s="13">
        <f t="shared" si="57"/>
        <v>0.46721331719259807</v>
      </c>
      <c r="AT88" s="13">
        <f t="shared" si="57"/>
        <v>0.54284060067268081</v>
      </c>
      <c r="AU88" s="13">
        <f t="shared" si="57"/>
        <v>0.61935648179439184</v>
      </c>
      <c r="AV88" s="13">
        <f t="shared" si="57"/>
        <v>0.68922703879161051</v>
      </c>
      <c r="AW88" s="13">
        <f t="shared" si="57"/>
        <v>0.7548585660975925</v>
      </c>
      <c r="AX88" s="13">
        <f t="shared" si="57"/>
        <v>0.81220670631681413</v>
      </c>
      <c r="AY88" s="13">
        <f t="shared" si="57"/>
        <v>0.85616998811355638</v>
      </c>
      <c r="AZ88" s="13">
        <f t="shared" si="57"/>
        <v>0.89606920832631931</v>
      </c>
      <c r="BA88" s="13">
        <f t="shared" si="57"/>
        <v>0.92637822232242906</v>
      </c>
      <c r="BB88" s="13">
        <f t="shared" si="57"/>
        <v>0.95007025559662617</v>
      </c>
      <c r="BC88" s="13">
        <f t="shared" si="57"/>
        <v>0.3175098128644252</v>
      </c>
      <c r="BD88" s="13">
        <f t="shared" si="57"/>
        <v>0.39032380437115011</v>
      </c>
      <c r="BE88" s="13">
        <f t="shared" si="57"/>
        <v>0.46721331719259807</v>
      </c>
      <c r="BF88" s="13">
        <f t="shared" si="57"/>
        <v>0.54284060067268081</v>
      </c>
      <c r="BG88" s="13">
        <f t="shared" si="57"/>
        <v>0.61935648179439184</v>
      </c>
      <c r="BH88" s="13">
        <f t="shared" si="57"/>
        <v>0.68922703879161051</v>
      </c>
      <c r="BI88" s="13">
        <f t="shared" si="57"/>
        <v>0.7548585660975925</v>
      </c>
    </row>
    <row r="89" spans="5:61" x14ac:dyDescent="0.35">
      <c r="E89">
        <v>7</v>
      </c>
      <c r="J89" t="s">
        <v>97</v>
      </c>
      <c r="N89" s="78"/>
      <c r="O89" s="78"/>
      <c r="P89" s="78"/>
      <c r="Q89" s="78"/>
      <c r="R89" s="78"/>
      <c r="S89" s="78"/>
      <c r="T89" s="13">
        <f t="shared" si="47"/>
        <v>0.3197690768106819</v>
      </c>
      <c r="U89" s="13">
        <f t="shared" si="48"/>
        <v>0.3927548008964778</v>
      </c>
      <c r="V89" s="13">
        <f t="shared" si="49"/>
        <v>0.46721331719259807</v>
      </c>
      <c r="W89" s="13">
        <f t="shared" si="50"/>
        <v>0.54535005561216865</v>
      </c>
      <c r="X89" s="13">
        <f t="shared" si="51"/>
        <v>0.61935648179439184</v>
      </c>
      <c r="Y89" s="13">
        <f t="shared" ref="Y89:BI89" si="58">_xlfn.NORM.DIST(Y76,$I48,$I$55,TRUE)</f>
        <v>0.69145877974023873</v>
      </c>
      <c r="Z89" s="13">
        <f t="shared" si="58"/>
        <v>0.75684444017590424</v>
      </c>
      <c r="AA89" s="13">
        <f t="shared" si="58"/>
        <v>0.80877730600773479</v>
      </c>
      <c r="AB89" s="13">
        <f t="shared" si="58"/>
        <v>0.85759982580804817</v>
      </c>
      <c r="AC89" s="13">
        <f t="shared" si="58"/>
        <v>0.89606920832631931</v>
      </c>
      <c r="AD89" s="13">
        <f t="shared" si="58"/>
        <v>0.92725747996526509</v>
      </c>
      <c r="AE89" s="13">
        <f t="shared" si="58"/>
        <v>0.95007025559662617</v>
      </c>
      <c r="AF89" s="13">
        <f t="shared" si="58"/>
        <v>0.3197690768106819</v>
      </c>
      <c r="AG89" s="13">
        <f t="shared" si="58"/>
        <v>0.3927548008964778</v>
      </c>
      <c r="AH89" s="13">
        <f t="shared" si="58"/>
        <v>0.46721331719259807</v>
      </c>
      <c r="AI89" s="13">
        <f t="shared" si="58"/>
        <v>0.54535005561216865</v>
      </c>
      <c r="AJ89" s="13">
        <f t="shared" si="58"/>
        <v>0.61935648179439184</v>
      </c>
      <c r="AK89" s="13">
        <f t="shared" si="58"/>
        <v>0.69145877974023873</v>
      </c>
      <c r="AL89" s="13">
        <f t="shared" si="58"/>
        <v>0.75684444017590424</v>
      </c>
      <c r="AM89" s="13">
        <f t="shared" si="58"/>
        <v>0.80877730600773479</v>
      </c>
      <c r="AN89" s="13">
        <f t="shared" si="58"/>
        <v>0.85759982580804817</v>
      </c>
      <c r="AO89" s="13">
        <f t="shared" si="58"/>
        <v>0.89606920832631931</v>
      </c>
      <c r="AP89" s="13">
        <f t="shared" si="58"/>
        <v>0.92725747996526509</v>
      </c>
      <c r="AQ89" s="13">
        <f t="shared" si="58"/>
        <v>0.95007025559662617</v>
      </c>
      <c r="AR89" s="13">
        <f t="shared" si="58"/>
        <v>0.3197690768106819</v>
      </c>
      <c r="AS89" s="13">
        <f t="shared" si="58"/>
        <v>0.3927548008964778</v>
      </c>
      <c r="AT89" s="13">
        <f t="shared" si="58"/>
        <v>0.46721331719259807</v>
      </c>
      <c r="AU89" s="13">
        <f t="shared" si="58"/>
        <v>0.54535005561216865</v>
      </c>
      <c r="AV89" s="13">
        <f t="shared" si="58"/>
        <v>0.61935648179439184</v>
      </c>
      <c r="AW89" s="13">
        <f t="shared" si="58"/>
        <v>0.69145877974023873</v>
      </c>
      <c r="AX89" s="13">
        <f t="shared" si="58"/>
        <v>0.75684444017590424</v>
      </c>
      <c r="AY89" s="13">
        <f t="shared" si="58"/>
        <v>0.80877730600773479</v>
      </c>
      <c r="AZ89" s="13">
        <f t="shared" si="58"/>
        <v>0.85759982580804817</v>
      </c>
      <c r="BA89" s="13">
        <f t="shared" si="58"/>
        <v>0.89606920832631931</v>
      </c>
      <c r="BB89" s="13">
        <f t="shared" si="58"/>
        <v>0.92725747996526509</v>
      </c>
      <c r="BC89" s="13">
        <f t="shared" si="58"/>
        <v>0.95007025559662617</v>
      </c>
      <c r="BD89" s="13">
        <f t="shared" si="58"/>
        <v>0.3197690768106819</v>
      </c>
      <c r="BE89" s="13">
        <f t="shared" si="58"/>
        <v>0.3927548008964778</v>
      </c>
      <c r="BF89" s="13">
        <f t="shared" si="58"/>
        <v>0.46721331719259807</v>
      </c>
      <c r="BG89" s="13">
        <f t="shared" si="58"/>
        <v>0.54535005561216865</v>
      </c>
      <c r="BH89" s="13">
        <f t="shared" si="58"/>
        <v>0.61935648179439184</v>
      </c>
      <c r="BI89" s="13">
        <f t="shared" si="58"/>
        <v>0.69145877974023873</v>
      </c>
    </row>
    <row r="90" spans="5:61" x14ac:dyDescent="0.35">
      <c r="E90">
        <v>8</v>
      </c>
      <c r="J90" t="s">
        <v>97</v>
      </c>
      <c r="N90" s="78"/>
      <c r="O90" s="78"/>
      <c r="P90" s="78"/>
      <c r="Q90" s="78"/>
      <c r="R90" s="78"/>
      <c r="S90" s="78"/>
      <c r="T90" s="78"/>
      <c r="U90" s="13">
        <f t="shared" si="48"/>
        <v>0.3197690768106819</v>
      </c>
      <c r="V90" s="13">
        <f t="shared" si="49"/>
        <v>0.39032380437115011</v>
      </c>
      <c r="W90" s="13">
        <f t="shared" si="50"/>
        <v>0.46721331719259807</v>
      </c>
      <c r="X90" s="13">
        <f t="shared" si="51"/>
        <v>0.54284060067268081</v>
      </c>
      <c r="Y90" s="13">
        <f t="shared" ref="Y90:BI90" si="59">_xlfn.NORM.DIST(Y77,$I49,$I$55,TRUE)</f>
        <v>0.61935648179439184</v>
      </c>
      <c r="Z90" s="13">
        <f t="shared" si="59"/>
        <v>0.69145877974023873</v>
      </c>
      <c r="AA90" s="13">
        <f t="shared" si="59"/>
        <v>0.75086079177762155</v>
      </c>
      <c r="AB90" s="13">
        <f t="shared" si="59"/>
        <v>0.80877730600773479</v>
      </c>
      <c r="AC90" s="13">
        <f t="shared" si="59"/>
        <v>0.85616998811355638</v>
      </c>
      <c r="AD90" s="13">
        <f t="shared" si="59"/>
        <v>0.89606920832631931</v>
      </c>
      <c r="AE90" s="13">
        <f t="shared" si="59"/>
        <v>0.92637822232242906</v>
      </c>
      <c r="AF90" s="13">
        <f t="shared" si="59"/>
        <v>0.95007025559662617</v>
      </c>
      <c r="AG90" s="13">
        <f t="shared" si="59"/>
        <v>0.3197690768106819</v>
      </c>
      <c r="AH90" s="13">
        <f t="shared" si="59"/>
        <v>0.39032380437115011</v>
      </c>
      <c r="AI90" s="13">
        <f t="shared" si="59"/>
        <v>0.46721331719259807</v>
      </c>
      <c r="AJ90" s="13">
        <f t="shared" si="59"/>
        <v>0.54284060067268081</v>
      </c>
      <c r="AK90" s="13">
        <f t="shared" si="59"/>
        <v>0.61935648179439184</v>
      </c>
      <c r="AL90" s="13">
        <f t="shared" si="59"/>
        <v>0.69145877974023873</v>
      </c>
      <c r="AM90" s="13">
        <f t="shared" si="59"/>
        <v>0.75086079177762155</v>
      </c>
      <c r="AN90" s="13">
        <f t="shared" si="59"/>
        <v>0.80877730600773479</v>
      </c>
      <c r="AO90" s="13">
        <f t="shared" si="59"/>
        <v>0.85616998811355638</v>
      </c>
      <c r="AP90" s="13">
        <f t="shared" si="59"/>
        <v>0.89606920832631931</v>
      </c>
      <c r="AQ90" s="13">
        <f t="shared" si="59"/>
        <v>0.92637822232242906</v>
      </c>
      <c r="AR90" s="13">
        <f t="shared" si="59"/>
        <v>0.95007025559662617</v>
      </c>
      <c r="AS90" s="13">
        <f t="shared" si="59"/>
        <v>0.3197690768106819</v>
      </c>
      <c r="AT90" s="13">
        <f t="shared" si="59"/>
        <v>0.39032380437115011</v>
      </c>
      <c r="AU90" s="13">
        <f t="shared" si="59"/>
        <v>0.46721331719259807</v>
      </c>
      <c r="AV90" s="13">
        <f t="shared" si="59"/>
        <v>0.54284060067268081</v>
      </c>
      <c r="AW90" s="13">
        <f t="shared" si="59"/>
        <v>0.61935648179439184</v>
      </c>
      <c r="AX90" s="13">
        <f t="shared" si="59"/>
        <v>0.69145877974023873</v>
      </c>
      <c r="AY90" s="13">
        <f t="shared" si="59"/>
        <v>0.75086079177762155</v>
      </c>
      <c r="AZ90" s="13">
        <f t="shared" si="59"/>
        <v>0.80877730600773479</v>
      </c>
      <c r="BA90" s="13">
        <f t="shared" si="59"/>
        <v>0.85616998811355638</v>
      </c>
      <c r="BB90" s="13">
        <f t="shared" si="59"/>
        <v>0.89606920832631931</v>
      </c>
      <c r="BC90" s="13">
        <f t="shared" si="59"/>
        <v>0.92637822232242906</v>
      </c>
      <c r="BD90" s="13">
        <f t="shared" si="59"/>
        <v>0.95007025559662617</v>
      </c>
      <c r="BE90" s="13">
        <f t="shared" si="59"/>
        <v>0.3197690768106819</v>
      </c>
      <c r="BF90" s="13">
        <f t="shared" si="59"/>
        <v>0.39032380437115011</v>
      </c>
      <c r="BG90" s="13">
        <f t="shared" si="59"/>
        <v>0.46721331719259807</v>
      </c>
      <c r="BH90" s="13">
        <f t="shared" si="59"/>
        <v>0.54284060067268081</v>
      </c>
      <c r="BI90" s="13">
        <f t="shared" si="59"/>
        <v>0.61935648179439184</v>
      </c>
    </row>
    <row r="91" spans="5:61" x14ac:dyDescent="0.35">
      <c r="E91">
        <v>9</v>
      </c>
      <c r="J91" t="s">
        <v>97</v>
      </c>
      <c r="N91" s="78"/>
      <c r="O91" s="78"/>
      <c r="P91" s="78"/>
      <c r="Q91" s="78"/>
      <c r="R91" s="78"/>
      <c r="S91" s="78"/>
      <c r="T91" s="78"/>
      <c r="U91" s="78"/>
      <c r="V91" s="13">
        <f t="shared" si="49"/>
        <v>0.3175098128644252</v>
      </c>
      <c r="W91" s="13">
        <f t="shared" si="50"/>
        <v>0.39032380437115011</v>
      </c>
      <c r="X91" s="13">
        <f t="shared" si="51"/>
        <v>0.46469762236659928</v>
      </c>
      <c r="Y91" s="13">
        <f t="shared" ref="Y91:BI91" si="60">_xlfn.NORM.DIST(Y78,$I50,$I$55,TRUE)</f>
        <v>0.54284060067268081</v>
      </c>
      <c r="Z91" s="13">
        <f t="shared" si="60"/>
        <v>0.61935648179439184</v>
      </c>
      <c r="AA91" s="13">
        <f t="shared" si="60"/>
        <v>0.68474267400736788</v>
      </c>
      <c r="AB91" s="13">
        <f t="shared" si="60"/>
        <v>0.75086079177762155</v>
      </c>
      <c r="AC91" s="13">
        <f t="shared" si="60"/>
        <v>0.8070483012694829</v>
      </c>
      <c r="AD91" s="13">
        <f t="shared" si="60"/>
        <v>0.85616998811355638</v>
      </c>
      <c r="AE91" s="13">
        <f t="shared" si="60"/>
        <v>0.89492231899068442</v>
      </c>
      <c r="AF91" s="13">
        <f t="shared" si="60"/>
        <v>0.92637822232242906</v>
      </c>
      <c r="AG91" s="13">
        <f t="shared" si="60"/>
        <v>0.95007025559662617</v>
      </c>
      <c r="AH91" s="13">
        <f t="shared" si="60"/>
        <v>0.3175098128644252</v>
      </c>
      <c r="AI91" s="13">
        <f t="shared" si="60"/>
        <v>0.39032380437115011</v>
      </c>
      <c r="AJ91" s="13">
        <f t="shared" si="60"/>
        <v>0.46469762236659928</v>
      </c>
      <c r="AK91" s="13">
        <f t="shared" si="60"/>
        <v>0.54284060067268081</v>
      </c>
      <c r="AL91" s="13">
        <f t="shared" si="60"/>
        <v>0.61935648179439184</v>
      </c>
      <c r="AM91" s="13">
        <f t="shared" si="60"/>
        <v>0.68474267400736788</v>
      </c>
      <c r="AN91" s="13">
        <f t="shared" si="60"/>
        <v>0.75086079177762155</v>
      </c>
      <c r="AO91" s="13">
        <f t="shared" si="60"/>
        <v>0.8070483012694829</v>
      </c>
      <c r="AP91" s="13">
        <f t="shared" si="60"/>
        <v>0.85616998811355638</v>
      </c>
      <c r="AQ91" s="13">
        <f t="shared" si="60"/>
        <v>0.89492231899068442</v>
      </c>
      <c r="AR91" s="13">
        <f t="shared" si="60"/>
        <v>0.92637822232242906</v>
      </c>
      <c r="AS91" s="13">
        <f t="shared" si="60"/>
        <v>0.95007025559662617</v>
      </c>
      <c r="AT91" s="13">
        <f t="shared" si="60"/>
        <v>0.3175098128644252</v>
      </c>
      <c r="AU91" s="13">
        <f t="shared" si="60"/>
        <v>0.39032380437115011</v>
      </c>
      <c r="AV91" s="13">
        <f t="shared" si="60"/>
        <v>0.46469762236659928</v>
      </c>
      <c r="AW91" s="13">
        <f t="shared" si="60"/>
        <v>0.54284060067268081</v>
      </c>
      <c r="AX91" s="13">
        <f t="shared" si="60"/>
        <v>0.61935648179439184</v>
      </c>
      <c r="AY91" s="13">
        <f t="shared" si="60"/>
        <v>0.68474267400736788</v>
      </c>
      <c r="AZ91" s="13">
        <f t="shared" si="60"/>
        <v>0.75086079177762155</v>
      </c>
      <c r="BA91" s="13">
        <f t="shared" si="60"/>
        <v>0.8070483012694829</v>
      </c>
      <c r="BB91" s="13">
        <f t="shared" si="60"/>
        <v>0.85616998811355638</v>
      </c>
      <c r="BC91" s="13">
        <f t="shared" si="60"/>
        <v>0.89492231899068442</v>
      </c>
      <c r="BD91" s="13">
        <f t="shared" si="60"/>
        <v>0.92637822232242906</v>
      </c>
      <c r="BE91" s="13">
        <f t="shared" si="60"/>
        <v>0.95007025559662617</v>
      </c>
      <c r="BF91" s="13">
        <f t="shared" si="60"/>
        <v>0.3175098128644252</v>
      </c>
      <c r="BG91" s="13">
        <f t="shared" si="60"/>
        <v>0.39032380437115011</v>
      </c>
      <c r="BH91" s="13">
        <f t="shared" si="60"/>
        <v>0.46469762236659928</v>
      </c>
      <c r="BI91" s="13">
        <f t="shared" si="60"/>
        <v>0.54284060067268081</v>
      </c>
    </row>
    <row r="92" spans="5:61" x14ac:dyDescent="0.35">
      <c r="E92">
        <v>10</v>
      </c>
      <c r="J92" t="s">
        <v>97</v>
      </c>
      <c r="N92" s="78"/>
      <c r="O92" s="78"/>
      <c r="P92" s="78"/>
      <c r="Q92" s="78"/>
      <c r="R92" s="78"/>
      <c r="S92" s="78"/>
      <c r="T92" s="78"/>
      <c r="U92" s="78"/>
      <c r="V92" s="78"/>
      <c r="W92" s="13">
        <f t="shared" si="50"/>
        <v>0.3197690768106819</v>
      </c>
      <c r="X92" s="13">
        <f t="shared" si="51"/>
        <v>0.39032380437115011</v>
      </c>
      <c r="Y92" s="13">
        <f t="shared" ref="Y92:BI92" si="61">_xlfn.NORM.DIST(Y79,$I51,$I$55,TRUE)</f>
        <v>0.46721331719259807</v>
      </c>
      <c r="Z92" s="13">
        <f t="shared" si="61"/>
        <v>0.54535005561216865</v>
      </c>
      <c r="AA92" s="13">
        <f t="shared" si="61"/>
        <v>0.61452525691561533</v>
      </c>
      <c r="AB92" s="13">
        <f t="shared" si="61"/>
        <v>0.68698831418088757</v>
      </c>
      <c r="AC92" s="13">
        <f t="shared" si="61"/>
        <v>0.75086079177762155</v>
      </c>
      <c r="AD92" s="13">
        <f t="shared" si="61"/>
        <v>0.80877730600773479</v>
      </c>
      <c r="AE92" s="13">
        <f t="shared" si="61"/>
        <v>0.85616998811355638</v>
      </c>
      <c r="AF92" s="13">
        <f t="shared" si="61"/>
        <v>0.89606920832631931</v>
      </c>
      <c r="AG92" s="13">
        <f t="shared" si="61"/>
        <v>0.92725747996526509</v>
      </c>
      <c r="AH92" s="13">
        <f t="shared" si="61"/>
        <v>0.95007025559662617</v>
      </c>
      <c r="AI92" s="13">
        <f t="shared" si="61"/>
        <v>0.3197690768106819</v>
      </c>
      <c r="AJ92" s="13">
        <f t="shared" si="61"/>
        <v>0.39032380437115011</v>
      </c>
      <c r="AK92" s="13">
        <f t="shared" si="61"/>
        <v>0.46721331719259807</v>
      </c>
      <c r="AL92" s="13">
        <f t="shared" si="61"/>
        <v>0.54535005561216865</v>
      </c>
      <c r="AM92" s="13">
        <f t="shared" si="61"/>
        <v>0.61452525691561533</v>
      </c>
      <c r="AN92" s="13">
        <f t="shared" si="61"/>
        <v>0.68698831418088757</v>
      </c>
      <c r="AO92" s="13">
        <f t="shared" si="61"/>
        <v>0.75086079177762155</v>
      </c>
      <c r="AP92" s="13">
        <f t="shared" si="61"/>
        <v>0.80877730600773479</v>
      </c>
      <c r="AQ92" s="13">
        <f t="shared" si="61"/>
        <v>0.85616998811355638</v>
      </c>
      <c r="AR92" s="13">
        <f t="shared" si="61"/>
        <v>0.89606920832631931</v>
      </c>
      <c r="AS92" s="13">
        <f t="shared" si="61"/>
        <v>0.92725747996526509</v>
      </c>
      <c r="AT92" s="13">
        <f t="shared" si="61"/>
        <v>0.95007025559662617</v>
      </c>
      <c r="AU92" s="13">
        <f t="shared" si="61"/>
        <v>0.3197690768106819</v>
      </c>
      <c r="AV92" s="13">
        <f t="shared" si="61"/>
        <v>0.39032380437115011</v>
      </c>
      <c r="AW92" s="13">
        <f t="shared" si="61"/>
        <v>0.46721331719259807</v>
      </c>
      <c r="AX92" s="13">
        <f t="shared" si="61"/>
        <v>0.54535005561216865</v>
      </c>
      <c r="AY92" s="13">
        <f t="shared" si="61"/>
        <v>0.61452525691561533</v>
      </c>
      <c r="AZ92" s="13">
        <f t="shared" si="61"/>
        <v>0.68698831418088757</v>
      </c>
      <c r="BA92" s="13">
        <f t="shared" si="61"/>
        <v>0.75086079177762155</v>
      </c>
      <c r="BB92" s="13">
        <f t="shared" si="61"/>
        <v>0.80877730600773479</v>
      </c>
      <c r="BC92" s="13">
        <f t="shared" si="61"/>
        <v>0.85616998811355638</v>
      </c>
      <c r="BD92" s="13">
        <f t="shared" si="61"/>
        <v>0.89606920832631931</v>
      </c>
      <c r="BE92" s="13">
        <f t="shared" si="61"/>
        <v>0.92725747996526509</v>
      </c>
      <c r="BF92" s="13">
        <f t="shared" si="61"/>
        <v>0.95007025559662617</v>
      </c>
      <c r="BG92" s="13">
        <f t="shared" si="61"/>
        <v>0.3197690768106819</v>
      </c>
      <c r="BH92" s="13">
        <f t="shared" si="61"/>
        <v>0.39032380437115011</v>
      </c>
      <c r="BI92" s="13">
        <f t="shared" si="61"/>
        <v>0.46721331719259807</v>
      </c>
    </row>
    <row r="93" spans="5:61" x14ac:dyDescent="0.35">
      <c r="E93">
        <v>11</v>
      </c>
      <c r="J93" t="s">
        <v>97</v>
      </c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13">
        <f t="shared" si="51"/>
        <v>0.3175098128644252</v>
      </c>
      <c r="Y93" s="13">
        <f t="shared" ref="Y93:BI93" si="62">_xlfn.NORM.DIST(Y80,$I52,$I$55,TRUE)</f>
        <v>0.39032380437115011</v>
      </c>
      <c r="Z93" s="13">
        <f t="shared" si="62"/>
        <v>0.46721331719259807</v>
      </c>
      <c r="AA93" s="13">
        <f t="shared" si="62"/>
        <v>0.53781666209792478</v>
      </c>
      <c r="AB93" s="13">
        <f t="shared" si="62"/>
        <v>0.61452525691561533</v>
      </c>
      <c r="AC93" s="13">
        <f t="shared" si="62"/>
        <v>0.68474267400736788</v>
      </c>
      <c r="AD93" s="13">
        <f t="shared" si="62"/>
        <v>0.75086079177762155</v>
      </c>
      <c r="AE93" s="13">
        <f t="shared" si="62"/>
        <v>0.8070483012694829</v>
      </c>
      <c r="AF93" s="13">
        <f t="shared" si="62"/>
        <v>0.85616998811355638</v>
      </c>
      <c r="AG93" s="13">
        <f t="shared" si="62"/>
        <v>0.89606920832631931</v>
      </c>
      <c r="AH93" s="13">
        <f t="shared" si="62"/>
        <v>0.92637822232242906</v>
      </c>
      <c r="AI93" s="13">
        <f t="shared" si="62"/>
        <v>0.95007025559662617</v>
      </c>
      <c r="AJ93" s="13">
        <f t="shared" si="62"/>
        <v>0.3175098128644252</v>
      </c>
      <c r="AK93" s="13">
        <f t="shared" si="62"/>
        <v>0.39032380437115011</v>
      </c>
      <c r="AL93" s="13">
        <f t="shared" si="62"/>
        <v>0.46721331719259807</v>
      </c>
      <c r="AM93" s="13">
        <f t="shared" si="62"/>
        <v>0.53781666209792478</v>
      </c>
      <c r="AN93" s="13">
        <f t="shared" si="62"/>
        <v>0.61452525691561533</v>
      </c>
      <c r="AO93" s="13">
        <f t="shared" si="62"/>
        <v>0.68474267400736788</v>
      </c>
      <c r="AP93" s="13">
        <f t="shared" si="62"/>
        <v>0.75086079177762155</v>
      </c>
      <c r="AQ93" s="13">
        <f t="shared" si="62"/>
        <v>0.8070483012694829</v>
      </c>
      <c r="AR93" s="13">
        <f t="shared" si="62"/>
        <v>0.85616998811355638</v>
      </c>
      <c r="AS93" s="13">
        <f t="shared" si="62"/>
        <v>0.89606920832631931</v>
      </c>
      <c r="AT93" s="13">
        <f t="shared" si="62"/>
        <v>0.92637822232242906</v>
      </c>
      <c r="AU93" s="13">
        <f t="shared" si="62"/>
        <v>0.95007025559662617</v>
      </c>
      <c r="AV93" s="13">
        <f t="shared" si="62"/>
        <v>0.3175098128644252</v>
      </c>
      <c r="AW93" s="13">
        <f t="shared" si="62"/>
        <v>0.39032380437115011</v>
      </c>
      <c r="AX93" s="13">
        <f t="shared" si="62"/>
        <v>0.46721331719259807</v>
      </c>
      <c r="AY93" s="13">
        <f t="shared" si="62"/>
        <v>0.53781666209792478</v>
      </c>
      <c r="AZ93" s="13">
        <f t="shared" si="62"/>
        <v>0.61452525691561533</v>
      </c>
      <c r="BA93" s="13">
        <f t="shared" si="62"/>
        <v>0.68474267400736788</v>
      </c>
      <c r="BB93" s="13">
        <f t="shared" si="62"/>
        <v>0.75086079177762155</v>
      </c>
      <c r="BC93" s="13">
        <f t="shared" si="62"/>
        <v>0.8070483012694829</v>
      </c>
      <c r="BD93" s="13">
        <f t="shared" si="62"/>
        <v>0.85616998811355638</v>
      </c>
      <c r="BE93" s="13">
        <f t="shared" si="62"/>
        <v>0.89606920832631931</v>
      </c>
      <c r="BF93" s="13">
        <f t="shared" si="62"/>
        <v>0.92637822232242906</v>
      </c>
      <c r="BG93" s="13">
        <f t="shared" si="62"/>
        <v>0.95007025559662617</v>
      </c>
      <c r="BH93" s="13">
        <f t="shared" si="62"/>
        <v>0.3175098128644252</v>
      </c>
      <c r="BI93" s="13">
        <f t="shared" si="62"/>
        <v>0.39032380437115011</v>
      </c>
    </row>
    <row r="94" spans="5:61" x14ac:dyDescent="0.35">
      <c r="E94">
        <v>12</v>
      </c>
      <c r="J94" t="s">
        <v>97</v>
      </c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13">
        <f t="shared" ref="Y94:BI94" si="63">_xlfn.NORM.DIST(Y81,$I53,$I$55,TRUE)</f>
        <v>0.3197690768106819</v>
      </c>
      <c r="Z94" s="13">
        <f t="shared" si="63"/>
        <v>0.3927548008964778</v>
      </c>
      <c r="AA94" s="13">
        <f t="shared" si="63"/>
        <v>0.46218333790207516</v>
      </c>
      <c r="AB94" s="13">
        <f t="shared" si="63"/>
        <v>0.54032943633827446</v>
      </c>
      <c r="AC94" s="13">
        <f t="shared" si="63"/>
        <v>0.61452525691561533</v>
      </c>
      <c r="AD94" s="13">
        <f t="shared" si="63"/>
        <v>0.68698831418088757</v>
      </c>
      <c r="AE94" s="13">
        <f t="shared" si="63"/>
        <v>0.75086079177762155</v>
      </c>
      <c r="AF94" s="13">
        <f t="shared" si="63"/>
        <v>0.80877730600773479</v>
      </c>
      <c r="AG94" s="13">
        <f t="shared" si="63"/>
        <v>0.85759982580804817</v>
      </c>
      <c r="AH94" s="13">
        <f t="shared" si="63"/>
        <v>0.89606920832631931</v>
      </c>
      <c r="AI94" s="13">
        <f t="shared" si="63"/>
        <v>0.92725747996526509</v>
      </c>
      <c r="AJ94" s="13">
        <f t="shared" si="63"/>
        <v>0.95007025559662617</v>
      </c>
      <c r="AK94" s="13">
        <f t="shared" si="63"/>
        <v>0.3197690768106819</v>
      </c>
      <c r="AL94" s="13">
        <f t="shared" si="63"/>
        <v>0.3927548008964778</v>
      </c>
      <c r="AM94" s="13">
        <f t="shared" si="63"/>
        <v>0.46218333790207516</v>
      </c>
      <c r="AN94" s="13">
        <f t="shared" si="63"/>
        <v>0.54032943633827446</v>
      </c>
      <c r="AO94" s="13">
        <f t="shared" si="63"/>
        <v>0.61452525691561533</v>
      </c>
      <c r="AP94" s="13">
        <f t="shared" si="63"/>
        <v>0.68698831418088757</v>
      </c>
      <c r="AQ94" s="13">
        <f t="shared" si="63"/>
        <v>0.75086079177762155</v>
      </c>
      <c r="AR94" s="13">
        <f t="shared" si="63"/>
        <v>0.80877730600773479</v>
      </c>
      <c r="AS94" s="13">
        <f t="shared" si="63"/>
        <v>0.85759982580804817</v>
      </c>
      <c r="AT94" s="13">
        <f t="shared" si="63"/>
        <v>0.89606920832631931</v>
      </c>
      <c r="AU94" s="13">
        <f t="shared" si="63"/>
        <v>0.92725747996526509</v>
      </c>
      <c r="AV94" s="13">
        <f t="shared" si="63"/>
        <v>0.95007025559662617</v>
      </c>
      <c r="AW94" s="13">
        <f t="shared" si="63"/>
        <v>0.3197690768106819</v>
      </c>
      <c r="AX94" s="13">
        <f t="shared" si="63"/>
        <v>0.3927548008964778</v>
      </c>
      <c r="AY94" s="13">
        <f t="shared" si="63"/>
        <v>0.46218333790207516</v>
      </c>
      <c r="AZ94" s="13">
        <f t="shared" si="63"/>
        <v>0.54032943633827446</v>
      </c>
      <c r="BA94" s="13">
        <f t="shared" si="63"/>
        <v>0.61452525691561533</v>
      </c>
      <c r="BB94" s="13">
        <f t="shared" si="63"/>
        <v>0.68698831418088757</v>
      </c>
      <c r="BC94" s="13">
        <f t="shared" si="63"/>
        <v>0.75086079177762155</v>
      </c>
      <c r="BD94" s="13">
        <f t="shared" si="63"/>
        <v>0.80877730600773479</v>
      </c>
      <c r="BE94" s="13">
        <f t="shared" si="63"/>
        <v>0.85759982580804817</v>
      </c>
      <c r="BF94" s="13">
        <f t="shared" si="63"/>
        <v>0.89606920832631931</v>
      </c>
      <c r="BG94" s="13">
        <f t="shared" si="63"/>
        <v>0.92725747996526509</v>
      </c>
      <c r="BH94" s="13">
        <f t="shared" si="63"/>
        <v>0.95007025559662617</v>
      </c>
      <c r="BI94" s="13">
        <f t="shared" si="63"/>
        <v>0.3197690768106819</v>
      </c>
    </row>
    <row r="96" spans="5:61" x14ac:dyDescent="0.35">
      <c r="E96">
        <v>1</v>
      </c>
      <c r="J96" t="s">
        <v>97</v>
      </c>
      <c r="N96" s="13">
        <f>IF(N83-M83&lt;0,N83,N83-M83)</f>
        <v>0.3197690768106819</v>
      </c>
      <c r="O96" s="13">
        <f t="shared" ref="O96:BI101" si="64">IF(O83-N83&lt;0,O83,O83-N83)</f>
        <v>6.8128011792071064E-2</v>
      </c>
      <c r="P96" s="13">
        <f t="shared" si="64"/>
        <v>7.6800533763846324E-2</v>
      </c>
      <c r="Q96" s="13">
        <f t="shared" si="64"/>
        <v>7.5631813971675177E-2</v>
      </c>
      <c r="R96" s="13">
        <f t="shared" si="64"/>
        <v>7.6613706863535525E-2</v>
      </c>
      <c r="S96" s="13">
        <f t="shared" si="64"/>
        <v>7.0045170979077587E-2</v>
      </c>
      <c r="T96" s="13">
        <f t="shared" si="64"/>
        <v>6.5875688377260544E-2</v>
      </c>
      <c r="U96" s="13">
        <f t="shared" si="64"/>
        <v>5.7632777116804146E-2</v>
      </c>
      <c r="V96" s="13">
        <f t="shared" si="64"/>
        <v>4.7103046133095905E-2</v>
      </c>
      <c r="W96" s="13">
        <f t="shared" si="64"/>
        <v>3.9607166201980903E-2</v>
      </c>
      <c r="X96" s="13">
        <f t="shared" si="64"/>
        <v>3.0050487955236016E-2</v>
      </c>
      <c r="Y96" s="13">
        <f t="shared" si="64"/>
        <v>2.3461399894633694E-2</v>
      </c>
      <c r="Z96" s="13">
        <f t="shared" si="64"/>
        <v>0.3197690768106819</v>
      </c>
      <c r="AA96" s="13">
        <f t="shared" si="64"/>
        <v>6.5705666273702779E-2</v>
      </c>
      <c r="AB96" s="13">
        <f t="shared" si="64"/>
        <v>7.670859481769049E-2</v>
      </c>
      <c r="AC96" s="13">
        <f t="shared" si="64"/>
        <v>7.5633324195849616E-2</v>
      </c>
      <c r="AD96" s="13">
        <f t="shared" si="64"/>
        <v>7.6708594817690545E-2</v>
      </c>
      <c r="AE96" s="13">
        <f t="shared" si="64"/>
        <v>7.0217417091752554E-2</v>
      </c>
      <c r="AF96" s="13">
        <f t="shared" si="64"/>
        <v>6.611811777025367E-2</v>
      </c>
      <c r="AG96" s="13">
        <f t="shared" si="64"/>
        <v>5.7916514230113236E-2</v>
      </c>
      <c r="AH96" s="13">
        <f t="shared" si="64"/>
        <v>4.7392682105821593E-2</v>
      </c>
      <c r="AI96" s="13">
        <f t="shared" si="64"/>
        <v>3.9899220212762931E-2</v>
      </c>
      <c r="AJ96" s="13">
        <f t="shared" si="64"/>
        <v>3.0309013996109746E-2</v>
      </c>
      <c r="AK96" s="13">
        <f t="shared" si="64"/>
        <v>2.3692033274197111E-2</v>
      </c>
      <c r="AL96" s="13">
        <f t="shared" si="64"/>
        <v>0.3197690768106819</v>
      </c>
      <c r="AM96" s="13">
        <f t="shared" si="64"/>
        <v>6.5705666273702779E-2</v>
      </c>
      <c r="AN96" s="13">
        <f t="shared" si="64"/>
        <v>7.670859481769049E-2</v>
      </c>
      <c r="AO96" s="13">
        <f t="shared" si="64"/>
        <v>7.5633324195849616E-2</v>
      </c>
      <c r="AP96" s="13">
        <f t="shared" si="64"/>
        <v>7.6708594817690545E-2</v>
      </c>
      <c r="AQ96" s="13">
        <f t="shared" si="64"/>
        <v>7.0217417091752554E-2</v>
      </c>
      <c r="AR96" s="13">
        <f t="shared" si="64"/>
        <v>6.611811777025367E-2</v>
      </c>
      <c r="AS96" s="13">
        <f t="shared" si="64"/>
        <v>5.7916514230113236E-2</v>
      </c>
      <c r="AT96" s="13">
        <f t="shared" si="64"/>
        <v>4.7392682105821593E-2</v>
      </c>
      <c r="AU96" s="13">
        <f t="shared" si="64"/>
        <v>3.9899220212762931E-2</v>
      </c>
      <c r="AV96" s="13">
        <f t="shared" si="64"/>
        <v>3.0309013996109746E-2</v>
      </c>
      <c r="AW96" s="13">
        <f t="shared" si="64"/>
        <v>2.3692033274197111E-2</v>
      </c>
      <c r="AX96" s="13">
        <f t="shared" si="64"/>
        <v>0.3197690768106819</v>
      </c>
      <c r="AY96" s="13">
        <f t="shared" si="64"/>
        <v>6.5705666273702779E-2</v>
      </c>
      <c r="AZ96" s="13">
        <f t="shared" si="64"/>
        <v>7.670859481769049E-2</v>
      </c>
      <c r="BA96" s="13">
        <f t="shared" si="64"/>
        <v>7.5633324195849616E-2</v>
      </c>
      <c r="BB96" s="13">
        <f t="shared" si="64"/>
        <v>7.6708594817690545E-2</v>
      </c>
      <c r="BC96" s="13">
        <f t="shared" si="64"/>
        <v>7.0217417091752554E-2</v>
      </c>
      <c r="BD96" s="13">
        <f t="shared" si="64"/>
        <v>6.611811777025367E-2</v>
      </c>
      <c r="BE96" s="13">
        <f t="shared" si="64"/>
        <v>5.7916514230113236E-2</v>
      </c>
      <c r="BF96" s="13">
        <f t="shared" si="64"/>
        <v>4.7392682105821593E-2</v>
      </c>
      <c r="BG96" s="13">
        <f t="shared" si="64"/>
        <v>3.9899220212762931E-2</v>
      </c>
      <c r="BH96" s="13">
        <f t="shared" si="64"/>
        <v>3.0309013996109746E-2</v>
      </c>
      <c r="BI96" s="13">
        <f t="shared" si="64"/>
        <v>2.3692033274197111E-2</v>
      </c>
    </row>
    <row r="97" spans="4:61" x14ac:dyDescent="0.35">
      <c r="E97">
        <v>2</v>
      </c>
      <c r="J97" t="s">
        <v>97</v>
      </c>
      <c r="N97" s="78"/>
      <c r="O97" s="13">
        <f t="shared" si="64"/>
        <v>0.31525732599263218</v>
      </c>
      <c r="P97" s="13">
        <f t="shared" si="64"/>
        <v>7.2639762610120784E-2</v>
      </c>
      <c r="Q97" s="13">
        <f t="shared" si="64"/>
        <v>7.4286249299322205E-2</v>
      </c>
      <c r="R97" s="13">
        <f t="shared" si="64"/>
        <v>7.8146098436199296E-2</v>
      </c>
      <c r="S97" s="13">
        <f t="shared" si="64"/>
        <v>7.4195820577340865E-2</v>
      </c>
      <c r="T97" s="13">
        <f t="shared" si="64"/>
        <v>7.2463057265272246E-2</v>
      </c>
      <c r="U97" s="13">
        <f t="shared" si="64"/>
        <v>6.5875688377260544E-2</v>
      </c>
      <c r="V97" s="13">
        <f t="shared" si="64"/>
        <v>5.5913303449586671E-2</v>
      </c>
      <c r="W97" s="13">
        <f t="shared" si="64"/>
        <v>4.882251980031338E-2</v>
      </c>
      <c r="X97" s="13">
        <f t="shared" si="64"/>
        <v>3.8469382518271145E-2</v>
      </c>
      <c r="Y97" s="13">
        <f t="shared" si="64"/>
        <v>3.1188271638945775E-2</v>
      </c>
      <c r="Z97" s="13">
        <f t="shared" si="64"/>
        <v>2.3461399894633694E-2</v>
      </c>
      <c r="AA97" s="13">
        <f t="shared" si="64"/>
        <v>0.31301168581911243</v>
      </c>
      <c r="AB97" s="13">
        <f t="shared" si="64"/>
        <v>7.2463057265272246E-2</v>
      </c>
      <c r="AC97" s="13">
        <f t="shared" si="64"/>
        <v>7.4195820577340921E-2</v>
      </c>
      <c r="AD97" s="13">
        <f t="shared" si="64"/>
        <v>7.8146098436199185E-2</v>
      </c>
      <c r="AE97" s="13">
        <f t="shared" si="64"/>
        <v>7.428624929932226E-2</v>
      </c>
      <c r="AF97" s="13">
        <f t="shared" si="64"/>
        <v>7.2639762610120839E-2</v>
      </c>
      <c r="AG97" s="13">
        <f t="shared" si="64"/>
        <v>6.611811777025367E-2</v>
      </c>
      <c r="AH97" s="13">
        <f t="shared" si="64"/>
        <v>5.6187509491861354E-2</v>
      </c>
      <c r="AI97" s="13">
        <f t="shared" si="64"/>
        <v>4.9121686844073476E-2</v>
      </c>
      <c r="AJ97" s="13">
        <f t="shared" si="64"/>
        <v>3.8752330877128038E-2</v>
      </c>
      <c r="AK97" s="13">
        <f t="shared" si="64"/>
        <v>3.1455903331744639E-2</v>
      </c>
      <c r="AL97" s="13">
        <f t="shared" si="64"/>
        <v>2.3692033274197111E-2</v>
      </c>
      <c r="AM97" s="13">
        <f t="shared" si="64"/>
        <v>0.31301168581911243</v>
      </c>
      <c r="AN97" s="13">
        <f t="shared" si="64"/>
        <v>7.2463057265272246E-2</v>
      </c>
      <c r="AO97" s="13">
        <f t="shared" si="64"/>
        <v>7.4195820577340921E-2</v>
      </c>
      <c r="AP97" s="13">
        <f t="shared" si="64"/>
        <v>7.8146098436199185E-2</v>
      </c>
      <c r="AQ97" s="13">
        <f t="shared" si="64"/>
        <v>7.428624929932226E-2</v>
      </c>
      <c r="AR97" s="13">
        <f t="shared" si="64"/>
        <v>7.2639762610120839E-2</v>
      </c>
      <c r="AS97" s="13">
        <f t="shared" si="64"/>
        <v>6.611811777025367E-2</v>
      </c>
      <c r="AT97" s="13">
        <f t="shared" si="64"/>
        <v>5.6187509491861354E-2</v>
      </c>
      <c r="AU97" s="13">
        <f t="shared" si="64"/>
        <v>4.9121686844073476E-2</v>
      </c>
      <c r="AV97" s="13">
        <f t="shared" si="64"/>
        <v>3.8752330877128038E-2</v>
      </c>
      <c r="AW97" s="13">
        <f t="shared" si="64"/>
        <v>3.1455903331744639E-2</v>
      </c>
      <c r="AX97" s="13">
        <f t="shared" si="64"/>
        <v>2.3692033274197111E-2</v>
      </c>
      <c r="AY97" s="13">
        <f t="shared" si="64"/>
        <v>0.31301168581911243</v>
      </c>
      <c r="AZ97" s="13">
        <f t="shared" si="64"/>
        <v>7.2463057265272246E-2</v>
      </c>
      <c r="BA97" s="13">
        <f t="shared" si="64"/>
        <v>7.4195820577340921E-2</v>
      </c>
      <c r="BB97" s="13">
        <f t="shared" si="64"/>
        <v>7.8146098436199185E-2</v>
      </c>
      <c r="BC97" s="13">
        <f t="shared" si="64"/>
        <v>7.428624929932226E-2</v>
      </c>
      <c r="BD97" s="13">
        <f t="shared" si="64"/>
        <v>7.2639762610120839E-2</v>
      </c>
      <c r="BE97" s="13">
        <f t="shared" si="64"/>
        <v>6.611811777025367E-2</v>
      </c>
      <c r="BF97" s="13">
        <f t="shared" si="64"/>
        <v>5.6187509491861354E-2</v>
      </c>
      <c r="BG97" s="13">
        <f t="shared" si="64"/>
        <v>4.9121686844073476E-2</v>
      </c>
      <c r="BH97" s="13">
        <f t="shared" si="64"/>
        <v>3.8752330877128038E-2</v>
      </c>
      <c r="BI97" s="13">
        <f t="shared" si="64"/>
        <v>3.1455903331744639E-2</v>
      </c>
    </row>
    <row r="98" spans="4:61" x14ac:dyDescent="0.35">
      <c r="E98">
        <v>3</v>
      </c>
      <c r="J98" t="s">
        <v>97</v>
      </c>
      <c r="N98" s="78"/>
      <c r="O98" s="78"/>
      <c r="P98" s="13">
        <f t="shared" si="64"/>
        <v>0.3197690768106819</v>
      </c>
      <c r="Q98" s="13">
        <f t="shared" si="64"/>
        <v>7.0554727560468211E-2</v>
      </c>
      <c r="R98" s="13">
        <f t="shared" si="64"/>
        <v>7.6889512821447958E-2</v>
      </c>
      <c r="S98" s="13">
        <f t="shared" si="64"/>
        <v>7.5627283480082741E-2</v>
      </c>
      <c r="T98" s="13">
        <f t="shared" si="64"/>
        <v>7.6515881121711038E-2</v>
      </c>
      <c r="U98" s="13">
        <f t="shared" si="64"/>
        <v>7.2102297945846883E-2</v>
      </c>
      <c r="V98" s="13">
        <f t="shared" si="64"/>
        <v>6.3399786357353771E-2</v>
      </c>
      <c r="W98" s="13">
        <f t="shared" si="64"/>
        <v>5.7348140219221633E-2</v>
      </c>
      <c r="X98" s="13">
        <f t="shared" si="64"/>
        <v>4.6813310669018837E-2</v>
      </c>
      <c r="Y98" s="13">
        <f t="shared" si="64"/>
        <v>3.9315680137526177E-2</v>
      </c>
      <c r="Z98" s="13">
        <f t="shared" si="64"/>
        <v>3.0656147687121882E-2</v>
      </c>
      <c r="AA98" s="13">
        <f t="shared" si="64"/>
        <v>2.1078410786145141E-2</v>
      </c>
      <c r="AB98" s="13">
        <f t="shared" si="64"/>
        <v>0.3197690768106819</v>
      </c>
      <c r="AC98" s="13">
        <f t="shared" si="64"/>
        <v>7.0554727560468211E-2</v>
      </c>
      <c r="AD98" s="13">
        <f t="shared" si="64"/>
        <v>7.6889512821447958E-2</v>
      </c>
      <c r="AE98" s="13">
        <f t="shared" si="64"/>
        <v>7.5627283480082741E-2</v>
      </c>
      <c r="AF98" s="13">
        <f t="shared" si="64"/>
        <v>7.6515881121711038E-2</v>
      </c>
      <c r="AG98" s="13">
        <f t="shared" si="64"/>
        <v>7.2102297945846883E-2</v>
      </c>
      <c r="AH98" s="13">
        <f t="shared" si="64"/>
        <v>6.3399786357353771E-2</v>
      </c>
      <c r="AI98" s="13">
        <f t="shared" si="64"/>
        <v>5.7348140219221633E-2</v>
      </c>
      <c r="AJ98" s="13">
        <f t="shared" si="64"/>
        <v>4.6813310669018837E-2</v>
      </c>
      <c r="AK98" s="13">
        <f t="shared" si="64"/>
        <v>3.9315680137526177E-2</v>
      </c>
      <c r="AL98" s="13">
        <f t="shared" si="64"/>
        <v>3.0656147687121882E-2</v>
      </c>
      <c r="AM98" s="13">
        <f t="shared" si="64"/>
        <v>2.1078410786145141E-2</v>
      </c>
      <c r="AN98" s="13">
        <f t="shared" si="64"/>
        <v>0.3197690768106819</v>
      </c>
      <c r="AO98" s="13">
        <f t="shared" si="64"/>
        <v>7.0554727560468211E-2</v>
      </c>
      <c r="AP98" s="13">
        <f t="shared" si="64"/>
        <v>7.6889512821447958E-2</v>
      </c>
      <c r="AQ98" s="13">
        <f t="shared" si="64"/>
        <v>7.5627283480082741E-2</v>
      </c>
      <c r="AR98" s="13">
        <f t="shared" si="64"/>
        <v>7.6515881121711038E-2</v>
      </c>
      <c r="AS98" s="13">
        <f t="shared" si="64"/>
        <v>7.2102297945846883E-2</v>
      </c>
      <c r="AT98" s="13">
        <f t="shared" si="64"/>
        <v>6.3399786357353771E-2</v>
      </c>
      <c r="AU98" s="13">
        <f t="shared" si="64"/>
        <v>5.7348140219221633E-2</v>
      </c>
      <c r="AV98" s="13">
        <f t="shared" si="64"/>
        <v>4.6813310669018837E-2</v>
      </c>
      <c r="AW98" s="13">
        <f t="shared" si="64"/>
        <v>3.9315680137526177E-2</v>
      </c>
      <c r="AX98" s="13">
        <f t="shared" si="64"/>
        <v>3.0656147687121882E-2</v>
      </c>
      <c r="AY98" s="13">
        <f t="shared" si="64"/>
        <v>2.1078410786145141E-2</v>
      </c>
      <c r="AZ98" s="13">
        <f t="shared" si="64"/>
        <v>0.3197690768106819</v>
      </c>
      <c r="BA98" s="13">
        <f t="shared" si="64"/>
        <v>7.0554727560468211E-2</v>
      </c>
      <c r="BB98" s="13">
        <f t="shared" si="64"/>
        <v>7.6889512821447958E-2</v>
      </c>
      <c r="BC98" s="13">
        <f t="shared" si="64"/>
        <v>7.5627283480082741E-2</v>
      </c>
      <c r="BD98" s="13">
        <f t="shared" si="64"/>
        <v>7.6515881121711038E-2</v>
      </c>
      <c r="BE98" s="13">
        <f t="shared" si="64"/>
        <v>7.2102297945846883E-2</v>
      </c>
      <c r="BF98" s="13">
        <f t="shared" si="64"/>
        <v>6.3399786357353771E-2</v>
      </c>
      <c r="BG98" s="13">
        <f t="shared" si="64"/>
        <v>5.7348140219221633E-2</v>
      </c>
      <c r="BH98" s="13">
        <f t="shared" si="64"/>
        <v>4.6813310669018837E-2</v>
      </c>
      <c r="BI98" s="13">
        <f t="shared" si="64"/>
        <v>3.9315680137526177E-2</v>
      </c>
    </row>
    <row r="99" spans="4:61" x14ac:dyDescent="0.35">
      <c r="E99">
        <v>4</v>
      </c>
      <c r="J99" t="s">
        <v>97</v>
      </c>
      <c r="N99" s="78"/>
      <c r="O99" s="78"/>
      <c r="P99" s="78"/>
      <c r="Q99" s="13">
        <f t="shared" si="64"/>
        <v>0.3175098128644252</v>
      </c>
      <c r="R99" s="13">
        <f t="shared" si="64"/>
        <v>7.2813991506724907E-2</v>
      </c>
      <c r="S99" s="13">
        <f t="shared" si="64"/>
        <v>7.4373817995449176E-2</v>
      </c>
      <c r="T99" s="13">
        <f t="shared" si="64"/>
        <v>7.8142978306081523E-2</v>
      </c>
      <c r="U99" s="13">
        <f t="shared" si="64"/>
        <v>7.6515881121711038E-2</v>
      </c>
      <c r="V99" s="13">
        <f t="shared" si="64"/>
        <v>6.9870556997218669E-2</v>
      </c>
      <c r="W99" s="13">
        <f t="shared" si="64"/>
        <v>6.5631527305981985E-2</v>
      </c>
      <c r="X99" s="13">
        <f t="shared" si="64"/>
        <v>5.5638213577359763E-2</v>
      </c>
      <c r="Y99" s="13">
        <f t="shared" si="64"/>
        <v>4.8523237310880707E-2</v>
      </c>
      <c r="Z99" s="13">
        <f t="shared" si="64"/>
        <v>3.9315680137526177E-2</v>
      </c>
      <c r="AA99" s="13">
        <f t="shared" si="64"/>
        <v>2.8042525199069912E-2</v>
      </c>
      <c r="AB99" s="13">
        <f t="shared" si="64"/>
        <v>2.3692033274197111E-2</v>
      </c>
      <c r="AC99" s="13">
        <f t="shared" si="64"/>
        <v>0.3175098128644252</v>
      </c>
      <c r="AD99" s="13">
        <f t="shared" si="64"/>
        <v>7.2813991506724907E-2</v>
      </c>
      <c r="AE99" s="13">
        <f t="shared" si="64"/>
        <v>7.4373817995449176E-2</v>
      </c>
      <c r="AF99" s="13">
        <f t="shared" si="64"/>
        <v>7.8142978306081523E-2</v>
      </c>
      <c r="AG99" s="13">
        <f t="shared" si="64"/>
        <v>7.6515881121711038E-2</v>
      </c>
      <c r="AH99" s="13">
        <f t="shared" si="64"/>
        <v>6.9870556997218669E-2</v>
      </c>
      <c r="AI99" s="13">
        <f t="shared" si="64"/>
        <v>6.5631527305981985E-2</v>
      </c>
      <c r="AJ99" s="13">
        <f t="shared" si="64"/>
        <v>5.5638213577359763E-2</v>
      </c>
      <c r="AK99" s="13">
        <f t="shared" si="64"/>
        <v>4.8523237310880707E-2</v>
      </c>
      <c r="AL99" s="13">
        <f t="shared" si="64"/>
        <v>3.9315680137526177E-2</v>
      </c>
      <c r="AM99" s="13">
        <f t="shared" si="64"/>
        <v>2.8042525199069912E-2</v>
      </c>
      <c r="AN99" s="13">
        <f t="shared" si="64"/>
        <v>2.3692033274197111E-2</v>
      </c>
      <c r="AO99" s="13">
        <f t="shared" si="64"/>
        <v>0.3175098128644252</v>
      </c>
      <c r="AP99" s="13">
        <f t="shared" si="64"/>
        <v>7.2813991506724907E-2</v>
      </c>
      <c r="AQ99" s="13">
        <f t="shared" si="64"/>
        <v>7.4373817995449176E-2</v>
      </c>
      <c r="AR99" s="13">
        <f t="shared" si="64"/>
        <v>7.8142978306081523E-2</v>
      </c>
      <c r="AS99" s="13">
        <f t="shared" si="64"/>
        <v>7.6515881121711038E-2</v>
      </c>
      <c r="AT99" s="13">
        <f t="shared" si="64"/>
        <v>6.9870556997218669E-2</v>
      </c>
      <c r="AU99" s="13">
        <f t="shared" si="64"/>
        <v>6.5631527305981985E-2</v>
      </c>
      <c r="AV99" s="13">
        <f t="shared" si="64"/>
        <v>5.5638213577359763E-2</v>
      </c>
      <c r="AW99" s="13">
        <f t="shared" si="64"/>
        <v>4.8523237310880707E-2</v>
      </c>
      <c r="AX99" s="13">
        <f t="shared" si="64"/>
        <v>3.9315680137526177E-2</v>
      </c>
      <c r="AY99" s="13">
        <f t="shared" si="64"/>
        <v>2.8042525199069912E-2</v>
      </c>
      <c r="AZ99" s="13">
        <f t="shared" si="64"/>
        <v>2.3692033274197111E-2</v>
      </c>
      <c r="BA99" s="13">
        <f t="shared" si="64"/>
        <v>0.3175098128644252</v>
      </c>
      <c r="BB99" s="13">
        <f t="shared" si="64"/>
        <v>7.2813991506724907E-2</v>
      </c>
      <c r="BC99" s="13">
        <f t="shared" si="64"/>
        <v>7.4373817995449176E-2</v>
      </c>
      <c r="BD99" s="13">
        <f t="shared" si="64"/>
        <v>7.8142978306081523E-2</v>
      </c>
      <c r="BE99" s="13">
        <f t="shared" si="64"/>
        <v>7.6515881121711038E-2</v>
      </c>
      <c r="BF99" s="13">
        <f t="shared" si="64"/>
        <v>6.9870556997218669E-2</v>
      </c>
      <c r="BG99" s="13">
        <f t="shared" si="64"/>
        <v>6.5631527305981985E-2</v>
      </c>
      <c r="BH99" s="13">
        <f t="shared" si="64"/>
        <v>5.5638213577359763E-2</v>
      </c>
      <c r="BI99" s="13">
        <f t="shared" si="64"/>
        <v>4.8523237310880707E-2</v>
      </c>
    </row>
    <row r="100" spans="4:61" x14ac:dyDescent="0.35">
      <c r="E100">
        <v>5</v>
      </c>
      <c r="J100" t="s">
        <v>97</v>
      </c>
      <c r="N100" s="78"/>
      <c r="O100" s="78"/>
      <c r="P100" s="78"/>
      <c r="Q100" s="78"/>
      <c r="R100" s="13">
        <f t="shared" si="64"/>
        <v>0.3197690768106819</v>
      </c>
      <c r="S100" s="13">
        <f t="shared" si="64"/>
        <v>7.0554727560468211E-2</v>
      </c>
      <c r="T100" s="13">
        <f t="shared" si="64"/>
        <v>7.6889512821447958E-2</v>
      </c>
      <c r="U100" s="13">
        <f t="shared" si="64"/>
        <v>7.8136738419570584E-2</v>
      </c>
      <c r="V100" s="13">
        <f t="shared" si="64"/>
        <v>7.4006426182223195E-2</v>
      </c>
      <c r="W100" s="13">
        <f t="shared" si="64"/>
        <v>7.2102297945846883E-2</v>
      </c>
      <c r="X100" s="13">
        <f t="shared" si="64"/>
        <v>6.3399786357353771E-2</v>
      </c>
      <c r="Y100" s="13">
        <f t="shared" si="64"/>
        <v>5.7348140219221633E-2</v>
      </c>
      <c r="Z100" s="13">
        <f t="shared" si="64"/>
        <v>4.8223863909034548E-2</v>
      </c>
      <c r="AA100" s="13">
        <f t="shared" si="64"/>
        <v>3.5638638100470632E-2</v>
      </c>
      <c r="AB100" s="13">
        <f t="shared" si="64"/>
        <v>3.1188271638945775E-2</v>
      </c>
      <c r="AC100" s="13">
        <f t="shared" si="64"/>
        <v>2.2812775631361082E-2</v>
      </c>
      <c r="AD100" s="13">
        <f t="shared" si="64"/>
        <v>0.3197690768106819</v>
      </c>
      <c r="AE100" s="13">
        <f t="shared" si="64"/>
        <v>7.0554727560468211E-2</v>
      </c>
      <c r="AF100" s="13">
        <f t="shared" si="64"/>
        <v>7.6889512821447958E-2</v>
      </c>
      <c r="AG100" s="13">
        <f t="shared" si="64"/>
        <v>7.8136738419570584E-2</v>
      </c>
      <c r="AH100" s="13">
        <f t="shared" si="64"/>
        <v>7.4006426182223195E-2</v>
      </c>
      <c r="AI100" s="13">
        <f t="shared" si="64"/>
        <v>7.2102297945846883E-2</v>
      </c>
      <c r="AJ100" s="13">
        <f t="shared" si="64"/>
        <v>6.3399786357353771E-2</v>
      </c>
      <c r="AK100" s="13">
        <f t="shared" si="64"/>
        <v>5.7348140219221633E-2</v>
      </c>
      <c r="AL100" s="13">
        <f t="shared" si="64"/>
        <v>4.8223863909034548E-2</v>
      </c>
      <c r="AM100" s="13">
        <f t="shared" si="64"/>
        <v>3.5638638100470632E-2</v>
      </c>
      <c r="AN100" s="13">
        <f t="shared" si="64"/>
        <v>3.1188271638945775E-2</v>
      </c>
      <c r="AO100" s="13">
        <f t="shared" si="64"/>
        <v>2.2812775631361082E-2</v>
      </c>
      <c r="AP100" s="13">
        <f t="shared" si="64"/>
        <v>0.3197690768106819</v>
      </c>
      <c r="AQ100" s="13">
        <f t="shared" si="64"/>
        <v>7.0554727560468211E-2</v>
      </c>
      <c r="AR100" s="13">
        <f t="shared" si="64"/>
        <v>7.6889512821447958E-2</v>
      </c>
      <c r="AS100" s="13">
        <f t="shared" si="64"/>
        <v>7.8136738419570584E-2</v>
      </c>
      <c r="AT100" s="13">
        <f t="shared" si="64"/>
        <v>7.4006426182223195E-2</v>
      </c>
      <c r="AU100" s="13">
        <f t="shared" si="64"/>
        <v>7.2102297945846883E-2</v>
      </c>
      <c r="AV100" s="13">
        <f t="shared" si="64"/>
        <v>6.3399786357353771E-2</v>
      </c>
      <c r="AW100" s="13">
        <f t="shared" si="64"/>
        <v>5.7348140219221633E-2</v>
      </c>
      <c r="AX100" s="13">
        <f t="shared" si="64"/>
        <v>4.8223863909034548E-2</v>
      </c>
      <c r="AY100" s="13">
        <f t="shared" si="64"/>
        <v>3.5638638100470632E-2</v>
      </c>
      <c r="AZ100" s="13">
        <f t="shared" si="64"/>
        <v>3.1188271638945775E-2</v>
      </c>
      <c r="BA100" s="13">
        <f t="shared" si="64"/>
        <v>2.2812775631361082E-2</v>
      </c>
      <c r="BB100" s="13">
        <f t="shared" si="64"/>
        <v>0.3197690768106819</v>
      </c>
      <c r="BC100" s="13">
        <f t="shared" si="64"/>
        <v>7.0554727560468211E-2</v>
      </c>
      <c r="BD100" s="13">
        <f t="shared" si="64"/>
        <v>7.6889512821447958E-2</v>
      </c>
      <c r="BE100" s="13">
        <f t="shared" si="64"/>
        <v>7.8136738419570584E-2</v>
      </c>
      <c r="BF100" s="13">
        <f t="shared" si="64"/>
        <v>7.4006426182223195E-2</v>
      </c>
      <c r="BG100" s="13">
        <f t="shared" si="64"/>
        <v>7.2102297945846883E-2</v>
      </c>
      <c r="BH100" s="13">
        <f t="shared" si="64"/>
        <v>6.3399786357353771E-2</v>
      </c>
      <c r="BI100" s="13">
        <f t="shared" si="64"/>
        <v>5.7348140219221633E-2</v>
      </c>
    </row>
    <row r="101" spans="4:61" x14ac:dyDescent="0.35">
      <c r="E101">
        <v>6</v>
      </c>
      <c r="J101" t="s">
        <v>97</v>
      </c>
      <c r="N101" s="78"/>
      <c r="O101" s="78"/>
      <c r="P101" s="78"/>
      <c r="Q101" s="78"/>
      <c r="R101" s="78"/>
      <c r="S101" s="13">
        <f t="shared" si="64"/>
        <v>0.3175098128644252</v>
      </c>
      <c r="T101" s="13">
        <f t="shared" si="64"/>
        <v>7.2813991506724907E-2</v>
      </c>
      <c r="U101" s="13">
        <f t="shared" si="64"/>
        <v>7.6889512821447958E-2</v>
      </c>
      <c r="V101" s="13">
        <f t="shared" si="64"/>
        <v>7.5627283480082741E-2</v>
      </c>
      <c r="W101" s="13">
        <f t="shared" si="64"/>
        <v>7.6515881121711038E-2</v>
      </c>
      <c r="X101" s="13">
        <f t="shared" si="64"/>
        <v>6.9870556997218669E-2</v>
      </c>
      <c r="Y101" s="13">
        <f t="shared" si="64"/>
        <v>6.5631527305981985E-2</v>
      </c>
      <c r="Z101" s="13">
        <f t="shared" si="64"/>
        <v>5.7348140219221633E-2</v>
      </c>
      <c r="AA101" s="13">
        <f t="shared" si="64"/>
        <v>4.3963281796742248E-2</v>
      </c>
      <c r="AB101" s="13">
        <f t="shared" si="64"/>
        <v>3.9899220212762931E-2</v>
      </c>
      <c r="AC101" s="13">
        <f t="shared" si="64"/>
        <v>3.0309013996109746E-2</v>
      </c>
      <c r="AD101" s="13">
        <f t="shared" si="64"/>
        <v>2.3692033274197111E-2</v>
      </c>
      <c r="AE101" s="13">
        <f t="shared" si="64"/>
        <v>0.3175098128644252</v>
      </c>
      <c r="AF101" s="13">
        <f t="shared" si="64"/>
        <v>7.2813991506724907E-2</v>
      </c>
      <c r="AG101" s="13">
        <f t="shared" si="64"/>
        <v>7.6889512821447958E-2</v>
      </c>
      <c r="AH101" s="13">
        <f t="shared" si="64"/>
        <v>7.5627283480082741E-2</v>
      </c>
      <c r="AI101" s="13">
        <f t="shared" si="64"/>
        <v>7.6515881121711038E-2</v>
      </c>
      <c r="AJ101" s="13">
        <f t="shared" si="64"/>
        <v>6.9870556997218669E-2</v>
      </c>
      <c r="AK101" s="13">
        <f t="shared" si="64"/>
        <v>6.5631527305981985E-2</v>
      </c>
      <c r="AL101" s="13">
        <f t="shared" si="64"/>
        <v>5.7348140219221633E-2</v>
      </c>
      <c r="AM101" s="13">
        <f t="shared" si="64"/>
        <v>4.3963281796742248E-2</v>
      </c>
      <c r="AN101" s="13">
        <f t="shared" si="64"/>
        <v>3.9899220212762931E-2</v>
      </c>
      <c r="AO101" s="13">
        <f t="shared" si="64"/>
        <v>3.0309013996109746E-2</v>
      </c>
      <c r="AP101" s="13">
        <f t="shared" si="64"/>
        <v>2.3692033274197111E-2</v>
      </c>
      <c r="AQ101" s="13">
        <f t="shared" si="64"/>
        <v>0.3175098128644252</v>
      </c>
      <c r="AR101" s="13">
        <f t="shared" si="64"/>
        <v>7.2813991506724907E-2</v>
      </c>
      <c r="AS101" s="13">
        <f t="shared" ref="AS101:BI101" si="65">IF(AS88-AR88&lt;0,AS88,AS88-AR88)</f>
        <v>7.6889512821447958E-2</v>
      </c>
      <c r="AT101" s="13">
        <f t="shared" si="65"/>
        <v>7.5627283480082741E-2</v>
      </c>
      <c r="AU101" s="13">
        <f t="shared" si="65"/>
        <v>7.6515881121711038E-2</v>
      </c>
      <c r="AV101" s="13">
        <f t="shared" si="65"/>
        <v>6.9870556997218669E-2</v>
      </c>
      <c r="AW101" s="13">
        <f t="shared" si="65"/>
        <v>6.5631527305981985E-2</v>
      </c>
      <c r="AX101" s="13">
        <f t="shared" si="65"/>
        <v>5.7348140219221633E-2</v>
      </c>
      <c r="AY101" s="13">
        <f t="shared" si="65"/>
        <v>4.3963281796742248E-2</v>
      </c>
      <c r="AZ101" s="13">
        <f t="shared" si="65"/>
        <v>3.9899220212762931E-2</v>
      </c>
      <c r="BA101" s="13">
        <f t="shared" si="65"/>
        <v>3.0309013996109746E-2</v>
      </c>
      <c r="BB101" s="13">
        <f t="shared" si="65"/>
        <v>2.3692033274197111E-2</v>
      </c>
      <c r="BC101" s="13">
        <f t="shared" si="65"/>
        <v>0.3175098128644252</v>
      </c>
      <c r="BD101" s="13">
        <f t="shared" si="65"/>
        <v>7.2813991506724907E-2</v>
      </c>
      <c r="BE101" s="13">
        <f t="shared" si="65"/>
        <v>7.6889512821447958E-2</v>
      </c>
      <c r="BF101" s="13">
        <f t="shared" si="65"/>
        <v>7.5627283480082741E-2</v>
      </c>
      <c r="BG101" s="13">
        <f t="shared" si="65"/>
        <v>7.6515881121711038E-2</v>
      </c>
      <c r="BH101" s="13">
        <f t="shared" si="65"/>
        <v>6.9870556997218669E-2</v>
      </c>
      <c r="BI101" s="13">
        <f t="shared" si="65"/>
        <v>6.5631527305981985E-2</v>
      </c>
    </row>
    <row r="102" spans="4:61" x14ac:dyDescent="0.35">
      <c r="E102">
        <v>7</v>
      </c>
      <c r="J102" t="s">
        <v>97</v>
      </c>
      <c r="N102" s="78"/>
      <c r="O102" s="78"/>
      <c r="P102" s="78"/>
      <c r="Q102" s="78"/>
      <c r="R102" s="78"/>
      <c r="S102" s="78"/>
      <c r="T102" s="13">
        <f t="shared" ref="T102:BI107" si="66">IF(T89-S89&lt;0,T89,T89-S89)</f>
        <v>0.3197690768106819</v>
      </c>
      <c r="U102" s="13">
        <f t="shared" si="66"/>
        <v>7.29857240857959E-2</v>
      </c>
      <c r="V102" s="13">
        <f t="shared" si="66"/>
        <v>7.445851629612027E-2</v>
      </c>
      <c r="W102" s="13">
        <f t="shared" si="66"/>
        <v>7.8136738419570584E-2</v>
      </c>
      <c r="X102" s="13">
        <f t="shared" si="66"/>
        <v>7.4006426182223195E-2</v>
      </c>
      <c r="Y102" s="13">
        <f t="shared" si="66"/>
        <v>7.2102297945846883E-2</v>
      </c>
      <c r="Z102" s="13">
        <f t="shared" si="66"/>
        <v>6.5385660435665516E-2</v>
      </c>
      <c r="AA102" s="13">
        <f t="shared" si="66"/>
        <v>5.1932865831830544E-2</v>
      </c>
      <c r="AB102" s="13">
        <f t="shared" si="66"/>
        <v>4.882251980031338E-2</v>
      </c>
      <c r="AC102" s="13">
        <f t="shared" si="66"/>
        <v>3.8469382518271145E-2</v>
      </c>
      <c r="AD102" s="13">
        <f t="shared" si="66"/>
        <v>3.1188271638945775E-2</v>
      </c>
      <c r="AE102" s="13">
        <f t="shared" si="66"/>
        <v>2.2812775631361082E-2</v>
      </c>
      <c r="AF102" s="13">
        <f t="shared" si="66"/>
        <v>0.3197690768106819</v>
      </c>
      <c r="AG102" s="13">
        <f t="shared" si="66"/>
        <v>7.29857240857959E-2</v>
      </c>
      <c r="AH102" s="13">
        <f t="shared" si="66"/>
        <v>7.445851629612027E-2</v>
      </c>
      <c r="AI102" s="13">
        <f t="shared" si="66"/>
        <v>7.8136738419570584E-2</v>
      </c>
      <c r="AJ102" s="13">
        <f t="shared" si="66"/>
        <v>7.4006426182223195E-2</v>
      </c>
      <c r="AK102" s="13">
        <f t="shared" si="66"/>
        <v>7.2102297945846883E-2</v>
      </c>
      <c r="AL102" s="13">
        <f t="shared" si="66"/>
        <v>6.5385660435665516E-2</v>
      </c>
      <c r="AM102" s="13">
        <f t="shared" si="66"/>
        <v>5.1932865831830544E-2</v>
      </c>
      <c r="AN102" s="13">
        <f t="shared" si="66"/>
        <v>4.882251980031338E-2</v>
      </c>
      <c r="AO102" s="13">
        <f t="shared" si="66"/>
        <v>3.8469382518271145E-2</v>
      </c>
      <c r="AP102" s="13">
        <f t="shared" si="66"/>
        <v>3.1188271638945775E-2</v>
      </c>
      <c r="AQ102" s="13">
        <f t="shared" si="66"/>
        <v>2.2812775631361082E-2</v>
      </c>
      <c r="AR102" s="13">
        <f t="shared" si="66"/>
        <v>0.3197690768106819</v>
      </c>
      <c r="AS102" s="13">
        <f t="shared" si="66"/>
        <v>7.29857240857959E-2</v>
      </c>
      <c r="AT102" s="13">
        <f t="shared" si="66"/>
        <v>7.445851629612027E-2</v>
      </c>
      <c r="AU102" s="13">
        <f t="shared" si="66"/>
        <v>7.8136738419570584E-2</v>
      </c>
      <c r="AV102" s="13">
        <f t="shared" si="66"/>
        <v>7.4006426182223195E-2</v>
      </c>
      <c r="AW102" s="13">
        <f t="shared" si="66"/>
        <v>7.2102297945846883E-2</v>
      </c>
      <c r="AX102" s="13">
        <f t="shared" si="66"/>
        <v>6.5385660435665516E-2</v>
      </c>
      <c r="AY102" s="13">
        <f t="shared" si="66"/>
        <v>5.1932865831830544E-2</v>
      </c>
      <c r="AZ102" s="13">
        <f t="shared" si="66"/>
        <v>4.882251980031338E-2</v>
      </c>
      <c r="BA102" s="13">
        <f t="shared" si="66"/>
        <v>3.8469382518271145E-2</v>
      </c>
      <c r="BB102" s="13">
        <f t="shared" si="66"/>
        <v>3.1188271638945775E-2</v>
      </c>
      <c r="BC102" s="13">
        <f t="shared" si="66"/>
        <v>2.2812775631361082E-2</v>
      </c>
      <c r="BD102" s="13">
        <f t="shared" si="66"/>
        <v>0.3197690768106819</v>
      </c>
      <c r="BE102" s="13">
        <f t="shared" si="66"/>
        <v>7.29857240857959E-2</v>
      </c>
      <c r="BF102" s="13">
        <f t="shared" si="66"/>
        <v>7.445851629612027E-2</v>
      </c>
      <c r="BG102" s="13">
        <f t="shared" si="66"/>
        <v>7.8136738419570584E-2</v>
      </c>
      <c r="BH102" s="13">
        <f t="shared" si="66"/>
        <v>7.4006426182223195E-2</v>
      </c>
      <c r="BI102" s="13">
        <f t="shared" si="66"/>
        <v>7.2102297945846883E-2</v>
      </c>
    </row>
    <row r="103" spans="4:61" x14ac:dyDescent="0.35">
      <c r="E103">
        <v>8</v>
      </c>
      <c r="J103" t="s">
        <v>97</v>
      </c>
      <c r="N103" s="78"/>
      <c r="O103" s="78"/>
      <c r="P103" s="78"/>
      <c r="Q103" s="78"/>
      <c r="R103" s="78"/>
      <c r="S103" s="78"/>
      <c r="T103" s="78"/>
      <c r="U103" s="13">
        <f t="shared" si="66"/>
        <v>0.3197690768106819</v>
      </c>
      <c r="V103" s="13">
        <f t="shared" si="66"/>
        <v>7.0554727560468211E-2</v>
      </c>
      <c r="W103" s="13">
        <f t="shared" si="66"/>
        <v>7.6889512821447958E-2</v>
      </c>
      <c r="X103" s="13">
        <f t="shared" si="66"/>
        <v>7.5627283480082741E-2</v>
      </c>
      <c r="Y103" s="13">
        <f t="shared" si="66"/>
        <v>7.6515881121711038E-2</v>
      </c>
      <c r="Z103" s="13">
        <f t="shared" si="66"/>
        <v>7.2102297945846883E-2</v>
      </c>
      <c r="AA103" s="13">
        <f t="shared" si="66"/>
        <v>5.9402012037382823E-2</v>
      </c>
      <c r="AB103" s="13">
        <f t="shared" si="66"/>
        <v>5.7916514230113236E-2</v>
      </c>
      <c r="AC103" s="13">
        <f t="shared" si="66"/>
        <v>4.7392682105821593E-2</v>
      </c>
      <c r="AD103" s="13">
        <f t="shared" si="66"/>
        <v>3.9899220212762931E-2</v>
      </c>
      <c r="AE103" s="13">
        <f t="shared" si="66"/>
        <v>3.0309013996109746E-2</v>
      </c>
      <c r="AF103" s="13">
        <f t="shared" si="66"/>
        <v>2.3692033274197111E-2</v>
      </c>
      <c r="AG103" s="13">
        <f t="shared" si="66"/>
        <v>0.3197690768106819</v>
      </c>
      <c r="AH103" s="13">
        <f t="shared" si="66"/>
        <v>7.0554727560468211E-2</v>
      </c>
      <c r="AI103" s="13">
        <f t="shared" si="66"/>
        <v>7.6889512821447958E-2</v>
      </c>
      <c r="AJ103" s="13">
        <f t="shared" si="66"/>
        <v>7.5627283480082741E-2</v>
      </c>
      <c r="AK103" s="13">
        <f t="shared" si="66"/>
        <v>7.6515881121711038E-2</v>
      </c>
      <c r="AL103" s="13">
        <f t="shared" si="66"/>
        <v>7.2102297945846883E-2</v>
      </c>
      <c r="AM103" s="13">
        <f t="shared" si="66"/>
        <v>5.9402012037382823E-2</v>
      </c>
      <c r="AN103" s="13">
        <f t="shared" si="66"/>
        <v>5.7916514230113236E-2</v>
      </c>
      <c r="AO103" s="13">
        <f t="shared" si="66"/>
        <v>4.7392682105821593E-2</v>
      </c>
      <c r="AP103" s="13">
        <f t="shared" si="66"/>
        <v>3.9899220212762931E-2</v>
      </c>
      <c r="AQ103" s="13">
        <f t="shared" si="66"/>
        <v>3.0309013996109746E-2</v>
      </c>
      <c r="AR103" s="13">
        <f t="shared" si="66"/>
        <v>2.3692033274197111E-2</v>
      </c>
      <c r="AS103" s="13">
        <f t="shared" si="66"/>
        <v>0.3197690768106819</v>
      </c>
      <c r="AT103" s="13">
        <f t="shared" si="66"/>
        <v>7.0554727560468211E-2</v>
      </c>
      <c r="AU103" s="13">
        <f t="shared" si="66"/>
        <v>7.6889512821447958E-2</v>
      </c>
      <c r="AV103" s="13">
        <f t="shared" si="66"/>
        <v>7.5627283480082741E-2</v>
      </c>
      <c r="AW103" s="13">
        <f t="shared" si="66"/>
        <v>7.6515881121711038E-2</v>
      </c>
      <c r="AX103" s="13">
        <f t="shared" si="66"/>
        <v>7.2102297945846883E-2</v>
      </c>
      <c r="AY103" s="13">
        <f t="shared" si="66"/>
        <v>5.9402012037382823E-2</v>
      </c>
      <c r="AZ103" s="13">
        <f t="shared" si="66"/>
        <v>5.7916514230113236E-2</v>
      </c>
      <c r="BA103" s="13">
        <f t="shared" si="66"/>
        <v>4.7392682105821593E-2</v>
      </c>
      <c r="BB103" s="13">
        <f t="shared" si="66"/>
        <v>3.9899220212762931E-2</v>
      </c>
      <c r="BC103" s="13">
        <f t="shared" si="66"/>
        <v>3.0309013996109746E-2</v>
      </c>
      <c r="BD103" s="13">
        <f t="shared" si="66"/>
        <v>2.3692033274197111E-2</v>
      </c>
      <c r="BE103" s="13">
        <f t="shared" si="66"/>
        <v>0.3197690768106819</v>
      </c>
      <c r="BF103" s="13">
        <f t="shared" si="66"/>
        <v>7.0554727560468211E-2</v>
      </c>
      <c r="BG103" s="13">
        <f t="shared" si="66"/>
        <v>7.6889512821447958E-2</v>
      </c>
      <c r="BH103" s="13">
        <f t="shared" si="66"/>
        <v>7.5627283480082741E-2</v>
      </c>
      <c r="BI103" s="13">
        <f t="shared" si="66"/>
        <v>7.6515881121711038E-2</v>
      </c>
    </row>
    <row r="104" spans="4:61" x14ac:dyDescent="0.35">
      <c r="E104">
        <v>9</v>
      </c>
      <c r="J104" t="s">
        <v>97</v>
      </c>
      <c r="N104" s="78"/>
      <c r="O104" s="78"/>
      <c r="P104" s="78"/>
      <c r="Q104" s="78"/>
      <c r="R104" s="78"/>
      <c r="S104" s="78"/>
      <c r="T104" s="78"/>
      <c r="U104" s="78"/>
      <c r="V104" s="13">
        <f t="shared" si="66"/>
        <v>0.3175098128644252</v>
      </c>
      <c r="W104" s="13">
        <f t="shared" si="66"/>
        <v>7.2813991506724907E-2</v>
      </c>
      <c r="X104" s="13">
        <f t="shared" si="66"/>
        <v>7.4373817995449176E-2</v>
      </c>
      <c r="Y104" s="13">
        <f t="shared" si="66"/>
        <v>7.8142978306081523E-2</v>
      </c>
      <c r="Z104" s="13">
        <f t="shared" si="66"/>
        <v>7.6515881121711038E-2</v>
      </c>
      <c r="AA104" s="13">
        <f t="shared" si="66"/>
        <v>6.5386192212976035E-2</v>
      </c>
      <c r="AB104" s="13">
        <f t="shared" si="66"/>
        <v>6.611811777025367E-2</v>
      </c>
      <c r="AC104" s="13">
        <f t="shared" si="66"/>
        <v>5.6187509491861354E-2</v>
      </c>
      <c r="AD104" s="13">
        <f t="shared" si="66"/>
        <v>4.9121686844073476E-2</v>
      </c>
      <c r="AE104" s="13">
        <f t="shared" si="66"/>
        <v>3.8752330877128038E-2</v>
      </c>
      <c r="AF104" s="13">
        <f t="shared" si="66"/>
        <v>3.1455903331744639E-2</v>
      </c>
      <c r="AG104" s="13">
        <f t="shared" si="66"/>
        <v>2.3692033274197111E-2</v>
      </c>
      <c r="AH104" s="13">
        <f t="shared" si="66"/>
        <v>0.3175098128644252</v>
      </c>
      <c r="AI104" s="13">
        <f t="shared" si="66"/>
        <v>7.2813991506724907E-2</v>
      </c>
      <c r="AJ104" s="13">
        <f t="shared" si="66"/>
        <v>7.4373817995449176E-2</v>
      </c>
      <c r="AK104" s="13">
        <f t="shared" si="66"/>
        <v>7.8142978306081523E-2</v>
      </c>
      <c r="AL104" s="13">
        <f t="shared" si="66"/>
        <v>7.6515881121711038E-2</v>
      </c>
      <c r="AM104" s="13">
        <f t="shared" si="66"/>
        <v>6.5386192212976035E-2</v>
      </c>
      <c r="AN104" s="13">
        <f t="shared" si="66"/>
        <v>6.611811777025367E-2</v>
      </c>
      <c r="AO104" s="13">
        <f t="shared" si="66"/>
        <v>5.6187509491861354E-2</v>
      </c>
      <c r="AP104" s="13">
        <f t="shared" si="66"/>
        <v>4.9121686844073476E-2</v>
      </c>
      <c r="AQ104" s="13">
        <f t="shared" si="66"/>
        <v>3.8752330877128038E-2</v>
      </c>
      <c r="AR104" s="13">
        <f t="shared" si="66"/>
        <v>3.1455903331744639E-2</v>
      </c>
      <c r="AS104" s="13">
        <f t="shared" si="66"/>
        <v>2.3692033274197111E-2</v>
      </c>
      <c r="AT104" s="13">
        <f t="shared" si="66"/>
        <v>0.3175098128644252</v>
      </c>
      <c r="AU104" s="13">
        <f t="shared" si="66"/>
        <v>7.2813991506724907E-2</v>
      </c>
      <c r="AV104" s="13">
        <f t="shared" si="66"/>
        <v>7.4373817995449176E-2</v>
      </c>
      <c r="AW104" s="13">
        <f t="shared" si="66"/>
        <v>7.8142978306081523E-2</v>
      </c>
      <c r="AX104" s="13">
        <f t="shared" si="66"/>
        <v>7.6515881121711038E-2</v>
      </c>
      <c r="AY104" s="13">
        <f t="shared" si="66"/>
        <v>6.5386192212976035E-2</v>
      </c>
      <c r="AZ104" s="13">
        <f t="shared" si="66"/>
        <v>6.611811777025367E-2</v>
      </c>
      <c r="BA104" s="13">
        <f t="shared" si="66"/>
        <v>5.6187509491861354E-2</v>
      </c>
      <c r="BB104" s="13">
        <f t="shared" si="66"/>
        <v>4.9121686844073476E-2</v>
      </c>
      <c r="BC104" s="13">
        <f t="shared" si="66"/>
        <v>3.8752330877128038E-2</v>
      </c>
      <c r="BD104" s="13">
        <f t="shared" si="66"/>
        <v>3.1455903331744639E-2</v>
      </c>
      <c r="BE104" s="13">
        <f t="shared" si="66"/>
        <v>2.3692033274197111E-2</v>
      </c>
      <c r="BF104" s="13">
        <f t="shared" si="66"/>
        <v>0.3175098128644252</v>
      </c>
      <c r="BG104" s="13">
        <f t="shared" si="66"/>
        <v>7.2813991506724907E-2</v>
      </c>
      <c r="BH104" s="13">
        <f t="shared" si="66"/>
        <v>7.4373817995449176E-2</v>
      </c>
      <c r="BI104" s="13">
        <f t="shared" si="66"/>
        <v>7.8142978306081523E-2</v>
      </c>
    </row>
    <row r="105" spans="4:61" x14ac:dyDescent="0.35">
      <c r="E105">
        <v>10</v>
      </c>
      <c r="J105" t="s">
        <v>97</v>
      </c>
      <c r="N105" s="78"/>
      <c r="O105" s="78"/>
      <c r="P105" s="78"/>
      <c r="Q105" s="78"/>
      <c r="R105" s="78"/>
      <c r="S105" s="78"/>
      <c r="T105" s="78"/>
      <c r="U105" s="78"/>
      <c r="V105" s="78"/>
      <c r="W105" s="13">
        <f t="shared" si="66"/>
        <v>0.3197690768106819</v>
      </c>
      <c r="X105" s="13">
        <f t="shared" si="66"/>
        <v>7.0554727560468211E-2</v>
      </c>
      <c r="Y105" s="13">
        <f t="shared" si="66"/>
        <v>7.6889512821447958E-2</v>
      </c>
      <c r="Z105" s="13">
        <f t="shared" si="66"/>
        <v>7.8136738419570584E-2</v>
      </c>
      <c r="AA105" s="13">
        <f t="shared" si="66"/>
        <v>6.9175201303446676E-2</v>
      </c>
      <c r="AB105" s="13">
        <f t="shared" si="66"/>
        <v>7.2463057265272246E-2</v>
      </c>
      <c r="AC105" s="13">
        <f t="shared" si="66"/>
        <v>6.3872477596733979E-2</v>
      </c>
      <c r="AD105" s="13">
        <f t="shared" si="66"/>
        <v>5.7916514230113236E-2</v>
      </c>
      <c r="AE105" s="13">
        <f t="shared" si="66"/>
        <v>4.7392682105821593E-2</v>
      </c>
      <c r="AF105" s="13">
        <f t="shared" si="66"/>
        <v>3.9899220212762931E-2</v>
      </c>
      <c r="AG105" s="13">
        <f t="shared" si="66"/>
        <v>3.1188271638945775E-2</v>
      </c>
      <c r="AH105" s="13">
        <f t="shared" si="66"/>
        <v>2.2812775631361082E-2</v>
      </c>
      <c r="AI105" s="13">
        <f t="shared" si="66"/>
        <v>0.3197690768106819</v>
      </c>
      <c r="AJ105" s="13">
        <f t="shared" si="66"/>
        <v>7.0554727560468211E-2</v>
      </c>
      <c r="AK105" s="13">
        <f t="shared" si="66"/>
        <v>7.6889512821447958E-2</v>
      </c>
      <c r="AL105" s="13">
        <f t="shared" si="66"/>
        <v>7.8136738419570584E-2</v>
      </c>
      <c r="AM105" s="13">
        <f t="shared" si="66"/>
        <v>6.9175201303446676E-2</v>
      </c>
      <c r="AN105" s="13">
        <f t="shared" si="66"/>
        <v>7.2463057265272246E-2</v>
      </c>
      <c r="AO105" s="13">
        <f t="shared" si="66"/>
        <v>6.3872477596733979E-2</v>
      </c>
      <c r="AP105" s="13">
        <f t="shared" si="66"/>
        <v>5.7916514230113236E-2</v>
      </c>
      <c r="AQ105" s="13">
        <f t="shared" si="66"/>
        <v>4.7392682105821593E-2</v>
      </c>
      <c r="AR105" s="13">
        <f t="shared" si="66"/>
        <v>3.9899220212762931E-2</v>
      </c>
      <c r="AS105" s="13">
        <f t="shared" si="66"/>
        <v>3.1188271638945775E-2</v>
      </c>
      <c r="AT105" s="13">
        <f t="shared" si="66"/>
        <v>2.2812775631361082E-2</v>
      </c>
      <c r="AU105" s="13">
        <f t="shared" si="66"/>
        <v>0.3197690768106819</v>
      </c>
      <c r="AV105" s="13">
        <f t="shared" si="66"/>
        <v>7.0554727560468211E-2</v>
      </c>
      <c r="AW105" s="13">
        <f t="shared" si="66"/>
        <v>7.6889512821447958E-2</v>
      </c>
      <c r="AX105" s="13">
        <f t="shared" si="66"/>
        <v>7.8136738419570584E-2</v>
      </c>
      <c r="AY105" s="13">
        <f t="shared" si="66"/>
        <v>6.9175201303446676E-2</v>
      </c>
      <c r="AZ105" s="13">
        <f t="shared" si="66"/>
        <v>7.2463057265272246E-2</v>
      </c>
      <c r="BA105" s="13">
        <f t="shared" si="66"/>
        <v>6.3872477596733979E-2</v>
      </c>
      <c r="BB105" s="13">
        <f t="shared" si="66"/>
        <v>5.7916514230113236E-2</v>
      </c>
      <c r="BC105" s="13">
        <f t="shared" si="66"/>
        <v>4.7392682105821593E-2</v>
      </c>
      <c r="BD105" s="13">
        <f t="shared" si="66"/>
        <v>3.9899220212762931E-2</v>
      </c>
      <c r="BE105" s="13">
        <f t="shared" si="66"/>
        <v>3.1188271638945775E-2</v>
      </c>
      <c r="BF105" s="13">
        <f t="shared" si="66"/>
        <v>2.2812775631361082E-2</v>
      </c>
      <c r="BG105" s="13">
        <f t="shared" si="66"/>
        <v>0.3197690768106819</v>
      </c>
      <c r="BH105" s="13">
        <f t="shared" si="66"/>
        <v>7.0554727560468211E-2</v>
      </c>
      <c r="BI105" s="13">
        <f t="shared" si="66"/>
        <v>7.6889512821447958E-2</v>
      </c>
    </row>
    <row r="106" spans="4:61" x14ac:dyDescent="0.35">
      <c r="E106">
        <v>11</v>
      </c>
      <c r="J106" t="s">
        <v>97</v>
      </c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13">
        <f t="shared" si="66"/>
        <v>0.3175098128644252</v>
      </c>
      <c r="Y106" s="13">
        <f t="shared" si="66"/>
        <v>7.2813991506724907E-2</v>
      </c>
      <c r="Z106" s="13">
        <f t="shared" si="66"/>
        <v>7.6889512821447958E-2</v>
      </c>
      <c r="AA106" s="13">
        <f t="shared" si="66"/>
        <v>7.0603344905326715E-2</v>
      </c>
      <c r="AB106" s="13">
        <f t="shared" si="66"/>
        <v>7.6708594817690545E-2</v>
      </c>
      <c r="AC106" s="13">
        <f t="shared" si="66"/>
        <v>7.0217417091752554E-2</v>
      </c>
      <c r="AD106" s="13">
        <f t="shared" si="66"/>
        <v>6.611811777025367E-2</v>
      </c>
      <c r="AE106" s="13">
        <f t="shared" si="66"/>
        <v>5.6187509491861354E-2</v>
      </c>
      <c r="AF106" s="13">
        <f t="shared" si="66"/>
        <v>4.9121686844073476E-2</v>
      </c>
      <c r="AG106" s="13">
        <f t="shared" si="66"/>
        <v>3.9899220212762931E-2</v>
      </c>
      <c r="AH106" s="13">
        <f t="shared" si="66"/>
        <v>3.0309013996109746E-2</v>
      </c>
      <c r="AI106" s="13">
        <f t="shared" si="66"/>
        <v>2.3692033274197111E-2</v>
      </c>
      <c r="AJ106" s="13">
        <f t="shared" si="66"/>
        <v>0.3175098128644252</v>
      </c>
      <c r="AK106" s="13">
        <f t="shared" si="66"/>
        <v>7.2813991506724907E-2</v>
      </c>
      <c r="AL106" s="13">
        <f t="shared" si="66"/>
        <v>7.6889512821447958E-2</v>
      </c>
      <c r="AM106" s="13">
        <f t="shared" si="66"/>
        <v>7.0603344905326715E-2</v>
      </c>
      <c r="AN106" s="13">
        <f t="shared" si="66"/>
        <v>7.6708594817690545E-2</v>
      </c>
      <c r="AO106" s="13">
        <f t="shared" si="66"/>
        <v>7.0217417091752554E-2</v>
      </c>
      <c r="AP106" s="13">
        <f t="shared" si="66"/>
        <v>6.611811777025367E-2</v>
      </c>
      <c r="AQ106" s="13">
        <f t="shared" si="66"/>
        <v>5.6187509491861354E-2</v>
      </c>
      <c r="AR106" s="13">
        <f t="shared" si="66"/>
        <v>4.9121686844073476E-2</v>
      </c>
      <c r="AS106" s="13">
        <f t="shared" si="66"/>
        <v>3.9899220212762931E-2</v>
      </c>
      <c r="AT106" s="13">
        <f t="shared" si="66"/>
        <v>3.0309013996109746E-2</v>
      </c>
      <c r="AU106" s="13">
        <f t="shared" si="66"/>
        <v>2.3692033274197111E-2</v>
      </c>
      <c r="AV106" s="13">
        <f t="shared" si="66"/>
        <v>0.3175098128644252</v>
      </c>
      <c r="AW106" s="13">
        <f t="shared" si="66"/>
        <v>7.2813991506724907E-2</v>
      </c>
      <c r="AX106" s="13">
        <f t="shared" si="66"/>
        <v>7.6889512821447958E-2</v>
      </c>
      <c r="AY106" s="13">
        <f t="shared" si="66"/>
        <v>7.0603344905326715E-2</v>
      </c>
      <c r="AZ106" s="13">
        <f t="shared" si="66"/>
        <v>7.6708594817690545E-2</v>
      </c>
      <c r="BA106" s="13">
        <f t="shared" si="66"/>
        <v>7.0217417091752554E-2</v>
      </c>
      <c r="BB106" s="13">
        <f t="shared" si="66"/>
        <v>6.611811777025367E-2</v>
      </c>
      <c r="BC106" s="13">
        <f t="shared" si="66"/>
        <v>5.6187509491861354E-2</v>
      </c>
      <c r="BD106" s="13">
        <f t="shared" si="66"/>
        <v>4.9121686844073476E-2</v>
      </c>
      <c r="BE106" s="13">
        <f t="shared" si="66"/>
        <v>3.9899220212762931E-2</v>
      </c>
      <c r="BF106" s="13">
        <f t="shared" si="66"/>
        <v>3.0309013996109746E-2</v>
      </c>
      <c r="BG106" s="13">
        <f t="shared" si="66"/>
        <v>2.3692033274197111E-2</v>
      </c>
      <c r="BH106" s="13">
        <f t="shared" si="66"/>
        <v>0.3175098128644252</v>
      </c>
      <c r="BI106" s="13">
        <f t="shared" si="66"/>
        <v>7.2813991506724907E-2</v>
      </c>
    </row>
    <row r="107" spans="4:61" x14ac:dyDescent="0.35">
      <c r="E107">
        <v>12</v>
      </c>
      <c r="J107" t="s">
        <v>97</v>
      </c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13">
        <f t="shared" si="66"/>
        <v>0.3197690768106819</v>
      </c>
      <c r="Z107" s="13">
        <f t="shared" si="66"/>
        <v>7.29857240857959E-2</v>
      </c>
      <c r="AA107" s="13">
        <f t="shared" si="66"/>
        <v>6.9428537005597368E-2</v>
      </c>
      <c r="AB107" s="13">
        <f t="shared" si="66"/>
        <v>7.8146098436199296E-2</v>
      </c>
      <c r="AC107" s="13">
        <f t="shared" si="66"/>
        <v>7.4195820577340865E-2</v>
      </c>
      <c r="AD107" s="13">
        <f t="shared" si="66"/>
        <v>7.2463057265272246E-2</v>
      </c>
      <c r="AE107" s="13">
        <f t="shared" si="66"/>
        <v>6.3872477596733979E-2</v>
      </c>
      <c r="AF107" s="13">
        <f t="shared" si="66"/>
        <v>5.7916514230113236E-2</v>
      </c>
      <c r="AG107" s="13">
        <f t="shared" si="66"/>
        <v>4.882251980031338E-2</v>
      </c>
      <c r="AH107" s="13">
        <f t="shared" si="66"/>
        <v>3.8469382518271145E-2</v>
      </c>
      <c r="AI107" s="13">
        <f t="shared" si="66"/>
        <v>3.1188271638945775E-2</v>
      </c>
      <c r="AJ107" s="13">
        <f t="shared" si="66"/>
        <v>2.2812775631361082E-2</v>
      </c>
      <c r="AK107" s="13">
        <f t="shared" si="66"/>
        <v>0.3197690768106819</v>
      </c>
      <c r="AL107" s="13">
        <f t="shared" si="66"/>
        <v>7.29857240857959E-2</v>
      </c>
      <c r="AM107" s="13">
        <f t="shared" si="66"/>
        <v>6.9428537005597368E-2</v>
      </c>
      <c r="AN107" s="13">
        <f t="shared" si="66"/>
        <v>7.8146098436199296E-2</v>
      </c>
      <c r="AO107" s="13">
        <f t="shared" si="66"/>
        <v>7.4195820577340865E-2</v>
      </c>
      <c r="AP107" s="13">
        <f t="shared" si="66"/>
        <v>7.2463057265272246E-2</v>
      </c>
      <c r="AQ107" s="13">
        <f t="shared" si="66"/>
        <v>6.3872477596733979E-2</v>
      </c>
      <c r="AR107" s="13">
        <f t="shared" si="66"/>
        <v>5.7916514230113236E-2</v>
      </c>
      <c r="AS107" s="13">
        <f t="shared" si="66"/>
        <v>4.882251980031338E-2</v>
      </c>
      <c r="AT107" s="13">
        <f t="shared" si="66"/>
        <v>3.8469382518271145E-2</v>
      </c>
      <c r="AU107" s="13">
        <f t="shared" si="66"/>
        <v>3.1188271638945775E-2</v>
      </c>
      <c r="AV107" s="13">
        <f t="shared" si="66"/>
        <v>2.2812775631361082E-2</v>
      </c>
      <c r="AW107" s="13">
        <f t="shared" si="66"/>
        <v>0.3197690768106819</v>
      </c>
      <c r="AX107" s="13">
        <f t="shared" si="66"/>
        <v>7.29857240857959E-2</v>
      </c>
      <c r="AY107" s="13">
        <f t="shared" si="66"/>
        <v>6.9428537005597368E-2</v>
      </c>
      <c r="AZ107" s="13">
        <f t="shared" si="66"/>
        <v>7.8146098436199296E-2</v>
      </c>
      <c r="BA107" s="13">
        <f t="shared" si="66"/>
        <v>7.4195820577340865E-2</v>
      </c>
      <c r="BB107" s="13">
        <f t="shared" si="66"/>
        <v>7.2463057265272246E-2</v>
      </c>
      <c r="BC107" s="13">
        <f t="shared" si="66"/>
        <v>6.3872477596733979E-2</v>
      </c>
      <c r="BD107" s="13">
        <f t="shared" si="66"/>
        <v>5.7916514230113236E-2</v>
      </c>
      <c r="BE107" s="13">
        <f t="shared" si="66"/>
        <v>4.882251980031338E-2</v>
      </c>
      <c r="BF107" s="13">
        <f t="shared" si="66"/>
        <v>3.8469382518271145E-2</v>
      </c>
      <c r="BG107" s="13">
        <f t="shared" si="66"/>
        <v>3.1188271638945775E-2</v>
      </c>
      <c r="BH107" s="13">
        <f t="shared" si="66"/>
        <v>2.2812775631361082E-2</v>
      </c>
      <c r="BI107" s="13">
        <f t="shared" si="66"/>
        <v>0.3197690768106819</v>
      </c>
    </row>
    <row r="109" spans="4:61" x14ac:dyDescent="0.35">
      <c r="D109" s="1" t="s">
        <v>109</v>
      </c>
    </row>
    <row r="111" spans="4:61" s="4" customFormat="1" x14ac:dyDescent="0.35">
      <c r="E111" s="4" t="str">
        <f>Time!E21</f>
        <v>N° de mois</v>
      </c>
      <c r="J111" s="4" t="str">
        <f>Time!J21</f>
        <v>N° mois</v>
      </c>
      <c r="N111" s="4">
        <f>Time!N21</f>
        <v>1</v>
      </c>
      <c r="O111" s="4">
        <f>Time!O21</f>
        <v>2</v>
      </c>
      <c r="P111" s="4">
        <f>Time!P21</f>
        <v>3</v>
      </c>
      <c r="Q111" s="4">
        <f>Time!Q21</f>
        <v>4</v>
      </c>
      <c r="R111" s="4">
        <f>Time!R21</f>
        <v>5</v>
      </c>
      <c r="S111" s="4">
        <f>Time!S21</f>
        <v>6</v>
      </c>
      <c r="T111" s="4">
        <f>Time!T21</f>
        <v>7</v>
      </c>
      <c r="U111" s="4">
        <f>Time!U21</f>
        <v>8</v>
      </c>
      <c r="V111" s="4">
        <f>Time!V21</f>
        <v>9</v>
      </c>
      <c r="W111" s="4">
        <f>Time!W21</f>
        <v>10</v>
      </c>
      <c r="X111" s="4">
        <f>Time!X21</f>
        <v>11</v>
      </c>
      <c r="Y111" s="4">
        <f>Time!Y21</f>
        <v>12</v>
      </c>
      <c r="Z111" s="4">
        <f>Time!Z21</f>
        <v>1</v>
      </c>
      <c r="AA111" s="4">
        <f>Time!AA21</f>
        <v>2</v>
      </c>
      <c r="AB111" s="4">
        <f>Time!AB21</f>
        <v>3</v>
      </c>
      <c r="AC111" s="4">
        <f>Time!AC21</f>
        <v>4</v>
      </c>
      <c r="AD111" s="4">
        <f>Time!AD21</f>
        <v>5</v>
      </c>
      <c r="AE111" s="4">
        <f>Time!AE21</f>
        <v>6</v>
      </c>
      <c r="AF111" s="4">
        <f>Time!AF21</f>
        <v>7</v>
      </c>
      <c r="AG111" s="4">
        <f>Time!AG21</f>
        <v>8</v>
      </c>
      <c r="AH111" s="4">
        <f>Time!AH21</f>
        <v>9</v>
      </c>
      <c r="AI111" s="4">
        <f>Time!AI21</f>
        <v>10</v>
      </c>
      <c r="AJ111" s="4">
        <f>Time!AJ21</f>
        <v>11</v>
      </c>
      <c r="AK111" s="4">
        <f>Time!AK21</f>
        <v>12</v>
      </c>
      <c r="AL111" s="4">
        <f>Time!AL21</f>
        <v>1</v>
      </c>
      <c r="AM111" s="4">
        <f>Time!AM21</f>
        <v>2</v>
      </c>
      <c r="AN111" s="4">
        <f>Time!AN21</f>
        <v>3</v>
      </c>
      <c r="AO111" s="4">
        <f>Time!AO21</f>
        <v>4</v>
      </c>
      <c r="AP111" s="4">
        <f>Time!AP21</f>
        <v>5</v>
      </c>
      <c r="AQ111" s="4">
        <f>Time!AQ21</f>
        <v>6</v>
      </c>
      <c r="AR111" s="4">
        <f>Time!AR21</f>
        <v>7</v>
      </c>
      <c r="AS111" s="4">
        <f>Time!AS21</f>
        <v>8</v>
      </c>
      <c r="AT111" s="4">
        <f>Time!AT21</f>
        <v>9</v>
      </c>
      <c r="AU111" s="4">
        <f>Time!AU21</f>
        <v>10</v>
      </c>
      <c r="AV111" s="4">
        <f>Time!AV21</f>
        <v>11</v>
      </c>
      <c r="AW111" s="4">
        <f>Time!AW21</f>
        <v>12</v>
      </c>
      <c r="AX111" s="4">
        <f>Time!AX21</f>
        <v>1</v>
      </c>
      <c r="AY111" s="4">
        <f>Time!AY21</f>
        <v>2</v>
      </c>
      <c r="AZ111" s="4">
        <f>Time!AZ21</f>
        <v>3</v>
      </c>
      <c r="BA111" s="4">
        <f>Time!BA21</f>
        <v>4</v>
      </c>
      <c r="BB111" s="4">
        <f>Time!BB21</f>
        <v>5</v>
      </c>
      <c r="BC111" s="4">
        <f>Time!BC21</f>
        <v>6</v>
      </c>
      <c r="BD111" s="4">
        <f>Time!BD21</f>
        <v>7</v>
      </c>
      <c r="BE111" s="4">
        <f>Time!BE21</f>
        <v>8</v>
      </c>
      <c r="BF111" s="4">
        <f>Time!BF21</f>
        <v>9</v>
      </c>
      <c r="BG111" s="4">
        <f>Time!BG21</f>
        <v>10</v>
      </c>
      <c r="BH111" s="4">
        <f>Time!BH21</f>
        <v>11</v>
      </c>
      <c r="BI111" s="4">
        <f>Time!BI21</f>
        <v>12</v>
      </c>
    </row>
    <row r="112" spans="4:61" s="4" customFormat="1" x14ac:dyDescent="0.35">
      <c r="E112" s="4" t="str">
        <f>Time!E19</f>
        <v>Frise mensuelle-début de période</v>
      </c>
      <c r="J112" s="4" t="str">
        <f>Time!J19</f>
        <v>date</v>
      </c>
      <c r="N112" s="5">
        <f>Time!N19</f>
        <v>43831</v>
      </c>
      <c r="O112" s="5">
        <f>Time!O19</f>
        <v>43862</v>
      </c>
      <c r="P112" s="5">
        <f>Time!P19</f>
        <v>43891</v>
      </c>
      <c r="Q112" s="5">
        <f>Time!Q19</f>
        <v>43922</v>
      </c>
      <c r="R112" s="5">
        <f>Time!R19</f>
        <v>43952</v>
      </c>
      <c r="S112" s="5">
        <f>Time!S19</f>
        <v>43983</v>
      </c>
      <c r="T112" s="5">
        <f>Time!T19</f>
        <v>44013</v>
      </c>
      <c r="U112" s="5">
        <f>Time!U19</f>
        <v>44044</v>
      </c>
      <c r="V112" s="5">
        <f>Time!V19</f>
        <v>44075</v>
      </c>
      <c r="W112" s="5">
        <f>Time!W19</f>
        <v>44105</v>
      </c>
      <c r="X112" s="5">
        <f>Time!X19</f>
        <v>44136</v>
      </c>
      <c r="Y112" s="5">
        <f>Time!Y19</f>
        <v>44166</v>
      </c>
      <c r="Z112" s="5">
        <f>Time!Z19</f>
        <v>44197</v>
      </c>
      <c r="AA112" s="5">
        <f>Time!AA19</f>
        <v>44228</v>
      </c>
      <c r="AB112" s="5">
        <f>Time!AB19</f>
        <v>44256</v>
      </c>
      <c r="AC112" s="5">
        <f>Time!AC19</f>
        <v>44287</v>
      </c>
      <c r="AD112" s="5">
        <f>Time!AD19</f>
        <v>44317</v>
      </c>
      <c r="AE112" s="5">
        <f>Time!AE19</f>
        <v>44348</v>
      </c>
      <c r="AF112" s="5">
        <f>Time!AF19</f>
        <v>44378</v>
      </c>
      <c r="AG112" s="5">
        <f>Time!AG19</f>
        <v>44409</v>
      </c>
      <c r="AH112" s="5">
        <f>Time!AH19</f>
        <v>44440</v>
      </c>
      <c r="AI112" s="5">
        <f>Time!AI19</f>
        <v>44470</v>
      </c>
      <c r="AJ112" s="5">
        <f>Time!AJ19</f>
        <v>44501</v>
      </c>
      <c r="AK112" s="5">
        <f>Time!AK19</f>
        <v>44531</v>
      </c>
      <c r="AL112" s="5">
        <f>Time!AL19</f>
        <v>44562</v>
      </c>
      <c r="AM112" s="5">
        <f>Time!AM19</f>
        <v>44593</v>
      </c>
      <c r="AN112" s="5">
        <f>Time!AN19</f>
        <v>44621</v>
      </c>
      <c r="AO112" s="5">
        <f>Time!AO19</f>
        <v>44652</v>
      </c>
      <c r="AP112" s="5">
        <f>Time!AP19</f>
        <v>44682</v>
      </c>
      <c r="AQ112" s="5">
        <f>Time!AQ19</f>
        <v>44713</v>
      </c>
      <c r="AR112" s="5">
        <f>Time!AR19</f>
        <v>44743</v>
      </c>
      <c r="AS112" s="5">
        <f>Time!AS19</f>
        <v>44774</v>
      </c>
      <c r="AT112" s="5">
        <f>Time!AT19</f>
        <v>44805</v>
      </c>
      <c r="AU112" s="5">
        <f>Time!AU19</f>
        <v>44835</v>
      </c>
      <c r="AV112" s="5">
        <f>Time!AV19</f>
        <v>44866</v>
      </c>
      <c r="AW112" s="5">
        <f>Time!AW19</f>
        <v>44896</v>
      </c>
      <c r="AX112" s="5">
        <f>Time!AX19</f>
        <v>44927</v>
      </c>
      <c r="AY112" s="5">
        <f>Time!AY19</f>
        <v>44958</v>
      </c>
      <c r="AZ112" s="5">
        <f>Time!AZ19</f>
        <v>44986</v>
      </c>
      <c r="BA112" s="5">
        <f>Time!BA19</f>
        <v>45017</v>
      </c>
      <c r="BB112" s="5">
        <f>Time!BB19</f>
        <v>45047</v>
      </c>
      <c r="BC112" s="5">
        <f>Time!BC19</f>
        <v>45078</v>
      </c>
      <c r="BD112" s="5">
        <f>Time!BD19</f>
        <v>45108</v>
      </c>
      <c r="BE112" s="5">
        <f>Time!BE19</f>
        <v>45139</v>
      </c>
      <c r="BF112" s="5">
        <f>Time!BF19</f>
        <v>45170</v>
      </c>
      <c r="BG112" s="5">
        <f>Time!BG19</f>
        <v>45200</v>
      </c>
      <c r="BH112" s="5">
        <f>Time!BH19</f>
        <v>45231</v>
      </c>
      <c r="BI112" s="5">
        <f>Time!BI19</f>
        <v>45261</v>
      </c>
    </row>
    <row r="113" spans="5:61" s="4" customFormat="1" x14ac:dyDescent="0.35">
      <c r="E113" s="4" t="str">
        <f>Engagements!E213</f>
        <v>Volumes-Engagement-Projection</v>
      </c>
      <c r="J113" s="4" t="str">
        <f>Engagements!J213</f>
        <v>Volume</v>
      </c>
      <c r="N113" s="85">
        <f>Engagements!N213</f>
        <v>0</v>
      </c>
      <c r="O113" s="85">
        <f>Engagements!O213</f>
        <v>0</v>
      </c>
      <c r="P113" s="85">
        <f>Engagements!P213</f>
        <v>0</v>
      </c>
      <c r="Q113" s="85">
        <f>Engagements!Q213</f>
        <v>726</v>
      </c>
      <c r="R113" s="85">
        <f>Engagements!R213</f>
        <v>4807</v>
      </c>
      <c r="S113" s="85">
        <f>Engagements!S213</f>
        <v>7112</v>
      </c>
      <c r="T113" s="85">
        <f>Engagements!T213</f>
        <v>17956</v>
      </c>
      <c r="U113" s="85">
        <f>Engagements!U213</f>
        <v>27791</v>
      </c>
      <c r="V113" s="85">
        <f>Engagements!V213</f>
        <v>13787</v>
      </c>
      <c r="W113" s="85">
        <f>Engagements!W213</f>
        <v>14792</v>
      </c>
      <c r="X113" s="85">
        <f>Engagements!X213</f>
        <v>20452</v>
      </c>
      <c r="Y113" s="85">
        <f>Engagements!Y213</f>
        <v>31303</v>
      </c>
      <c r="Z113" s="85">
        <f>Engagements!Z213</f>
        <v>33518</v>
      </c>
      <c r="AA113" s="85">
        <f>Engagements!AA213</f>
        <v>39754</v>
      </c>
      <c r="AB113" s="85">
        <f>Engagements!AB213</f>
        <v>45141</v>
      </c>
      <c r="AC113" s="85">
        <f>Engagements!AC213</f>
        <v>57254</v>
      </c>
      <c r="AD113" s="85">
        <f>Engagements!AD213</f>
        <v>55077</v>
      </c>
      <c r="AE113" s="85">
        <f>Engagements!AE213</f>
        <v>71050</v>
      </c>
      <c r="AF113" s="85">
        <f>Engagements!AF213</f>
        <v>60529</v>
      </c>
      <c r="AG113" s="85">
        <f>Engagements!AG213</f>
        <v>51721</v>
      </c>
      <c r="AH113" s="85">
        <f>Engagements!AH213</f>
        <v>51153</v>
      </c>
      <c r="AI113" s="85">
        <f>Engagements!AI213</f>
        <v>63159</v>
      </c>
      <c r="AJ113" s="85">
        <f>Engagements!AJ213</f>
        <v>62431</v>
      </c>
      <c r="AK113" s="85">
        <f>Engagements!AK213</f>
        <v>70804</v>
      </c>
      <c r="AL113" s="85">
        <f>Engagements!AL213</f>
        <v>65371.735654758428</v>
      </c>
      <c r="AM113" s="85">
        <f>Engagements!AM213</f>
        <v>63873.376658526257</v>
      </c>
      <c r="AN113" s="85">
        <f>Engagements!AN213</f>
        <v>73873.274065592719</v>
      </c>
      <c r="AO113" s="85">
        <f>Engagements!AO213</f>
        <v>72547.17482812464</v>
      </c>
      <c r="AP113" s="85">
        <f>Engagements!AP213</f>
        <v>74207.759944055273</v>
      </c>
      <c r="AQ113" s="85">
        <f>Engagements!AQ213</f>
        <v>69877.316848867995</v>
      </c>
      <c r="AR113" s="85">
        <f>Engagements!AR213</f>
        <v>63676.963121060908</v>
      </c>
      <c r="AS113" s="85">
        <f>Engagements!AS213</f>
        <v>50386.06586527796</v>
      </c>
      <c r="AT113" s="85">
        <f>Engagements!AT213</f>
        <v>58224.509954096939</v>
      </c>
      <c r="AU113" s="85">
        <f>Engagements!AU213</f>
        <v>69604.36557467503</v>
      </c>
      <c r="AV113" s="85">
        <f>Engagements!AV213</f>
        <v>71378.934592984268</v>
      </c>
      <c r="AW113" s="85">
        <f>Engagements!AW213</f>
        <v>78753.149697082248</v>
      </c>
      <c r="AX113" s="85">
        <f>Engagements!AX213</f>
        <v>72486.86571658848</v>
      </c>
      <c r="AY113" s="85">
        <f>Engagements!AY213</f>
        <v>70348.127966319968</v>
      </c>
      <c r="AZ113" s="85">
        <f>Engagements!AZ213</f>
        <v>81269.01370344765</v>
      </c>
      <c r="BA113" s="85">
        <f>Engagements!BA213</f>
        <v>79802.169587532859</v>
      </c>
      <c r="BB113" s="85">
        <f>Engagements!BB213</f>
        <v>81628.540237268462</v>
      </c>
      <c r="BC113" s="85">
        <f>Engagements!BC213</f>
        <v>76865.048555801855</v>
      </c>
      <c r="BD113" s="85">
        <f>Engagements!BD213</f>
        <v>70044.659433217879</v>
      </c>
      <c r="BE113" s="85">
        <f>Engagements!BE213</f>
        <v>55424.672451805804</v>
      </c>
      <c r="BF113" s="85">
        <f>Engagements!BF213</f>
        <v>64046.96094950664</v>
      </c>
      <c r="BG113" s="85">
        <f>Engagements!BG213</f>
        <v>76564.802132142533</v>
      </c>
      <c r="BH113" s="85">
        <f>Engagements!BH213</f>
        <v>78516.828052282712</v>
      </c>
      <c r="BI113" s="85">
        <f>Engagements!BI213</f>
        <v>86628.464666790489</v>
      </c>
    </row>
    <row r="115" spans="5:61" x14ac:dyDescent="0.35">
      <c r="E115">
        <f t="shared" ref="E115:E126" si="67">E57</f>
        <v>1</v>
      </c>
      <c r="J115" t="str">
        <f t="shared" ref="J115:J126" si="68">J57</f>
        <v>date</v>
      </c>
      <c r="N115" s="7">
        <f t="shared" ref="N115:BI115" si="69">N57</f>
        <v>43831</v>
      </c>
      <c r="O115" s="7">
        <f t="shared" si="69"/>
        <v>43831</v>
      </c>
      <c r="P115" s="7">
        <f t="shared" si="69"/>
        <v>43831</v>
      </c>
      <c r="Q115" s="7">
        <f t="shared" si="69"/>
        <v>43831</v>
      </c>
      <c r="R115" s="7">
        <f t="shared" si="69"/>
        <v>43831</v>
      </c>
      <c r="S115" s="7">
        <f t="shared" si="69"/>
        <v>43831</v>
      </c>
      <c r="T115" s="7">
        <f t="shared" si="69"/>
        <v>43831</v>
      </c>
      <c r="U115" s="7">
        <f t="shared" si="69"/>
        <v>43831</v>
      </c>
      <c r="V115" s="7">
        <f t="shared" si="69"/>
        <v>43831</v>
      </c>
      <c r="W115" s="7">
        <f t="shared" si="69"/>
        <v>43831</v>
      </c>
      <c r="X115" s="7">
        <f t="shared" si="69"/>
        <v>43831</v>
      </c>
      <c r="Y115" s="7">
        <f t="shared" si="69"/>
        <v>43831</v>
      </c>
      <c r="Z115" s="7">
        <f t="shared" si="69"/>
        <v>44197</v>
      </c>
      <c r="AA115" s="7">
        <f t="shared" si="69"/>
        <v>44197</v>
      </c>
      <c r="AB115" s="7">
        <f t="shared" si="69"/>
        <v>44197</v>
      </c>
      <c r="AC115" s="7">
        <f t="shared" si="69"/>
        <v>44197</v>
      </c>
      <c r="AD115" s="7">
        <f t="shared" si="69"/>
        <v>44197</v>
      </c>
      <c r="AE115" s="7">
        <f t="shared" si="69"/>
        <v>44197</v>
      </c>
      <c r="AF115" s="7">
        <f t="shared" si="69"/>
        <v>44197</v>
      </c>
      <c r="AG115" s="7">
        <f t="shared" si="69"/>
        <v>44197</v>
      </c>
      <c r="AH115" s="7">
        <f t="shared" si="69"/>
        <v>44197</v>
      </c>
      <c r="AI115" s="7">
        <f t="shared" si="69"/>
        <v>44197</v>
      </c>
      <c r="AJ115" s="7">
        <f t="shared" si="69"/>
        <v>44197</v>
      </c>
      <c r="AK115" s="7">
        <f t="shared" si="69"/>
        <v>44197</v>
      </c>
      <c r="AL115" s="7">
        <f t="shared" si="69"/>
        <v>44562</v>
      </c>
      <c r="AM115" s="7">
        <f t="shared" si="69"/>
        <v>44562</v>
      </c>
      <c r="AN115" s="7">
        <f t="shared" si="69"/>
        <v>44562</v>
      </c>
      <c r="AO115" s="7">
        <f t="shared" si="69"/>
        <v>44562</v>
      </c>
      <c r="AP115" s="7">
        <f t="shared" si="69"/>
        <v>44562</v>
      </c>
      <c r="AQ115" s="7">
        <f t="shared" si="69"/>
        <v>44562</v>
      </c>
      <c r="AR115" s="7">
        <f t="shared" si="69"/>
        <v>44562</v>
      </c>
      <c r="AS115" s="7">
        <f t="shared" si="69"/>
        <v>44562</v>
      </c>
      <c r="AT115" s="7">
        <f t="shared" si="69"/>
        <v>44562</v>
      </c>
      <c r="AU115" s="7">
        <f t="shared" si="69"/>
        <v>44562</v>
      </c>
      <c r="AV115" s="7">
        <f t="shared" si="69"/>
        <v>44562</v>
      </c>
      <c r="AW115" s="7">
        <f t="shared" si="69"/>
        <v>44562</v>
      </c>
      <c r="AX115" s="7">
        <f t="shared" si="69"/>
        <v>44927</v>
      </c>
      <c r="AY115" s="7">
        <f t="shared" si="69"/>
        <v>44927</v>
      </c>
      <c r="AZ115" s="7">
        <f t="shared" si="69"/>
        <v>44927</v>
      </c>
      <c r="BA115" s="7">
        <f t="shared" si="69"/>
        <v>44927</v>
      </c>
      <c r="BB115" s="7">
        <f t="shared" si="69"/>
        <v>44927</v>
      </c>
      <c r="BC115" s="7">
        <f t="shared" si="69"/>
        <v>44927</v>
      </c>
      <c r="BD115" s="7">
        <f t="shared" si="69"/>
        <v>44927</v>
      </c>
      <c r="BE115" s="7">
        <f t="shared" si="69"/>
        <v>44927</v>
      </c>
      <c r="BF115" s="7">
        <f t="shared" si="69"/>
        <v>44927</v>
      </c>
      <c r="BG115" s="7">
        <f t="shared" si="69"/>
        <v>44927</v>
      </c>
      <c r="BH115" s="7">
        <f t="shared" si="69"/>
        <v>44927</v>
      </c>
      <c r="BI115" s="7">
        <f t="shared" si="69"/>
        <v>44927</v>
      </c>
    </row>
    <row r="116" spans="5:61" x14ac:dyDescent="0.35">
      <c r="E116">
        <f t="shared" si="67"/>
        <v>2</v>
      </c>
      <c r="J116" t="str">
        <f t="shared" si="68"/>
        <v>date</v>
      </c>
      <c r="N116" s="78"/>
      <c r="O116" s="7">
        <f t="shared" ref="O116:BI116" si="70">O58</f>
        <v>43862</v>
      </c>
      <c r="P116" s="7">
        <f t="shared" si="70"/>
        <v>43862</v>
      </c>
      <c r="Q116" s="7">
        <f t="shared" si="70"/>
        <v>43862</v>
      </c>
      <c r="R116" s="7">
        <f t="shared" si="70"/>
        <v>43862</v>
      </c>
      <c r="S116" s="7">
        <f t="shared" si="70"/>
        <v>43862</v>
      </c>
      <c r="T116" s="7">
        <f t="shared" si="70"/>
        <v>43862</v>
      </c>
      <c r="U116" s="7">
        <f t="shared" si="70"/>
        <v>43862</v>
      </c>
      <c r="V116" s="7">
        <f t="shared" si="70"/>
        <v>43862</v>
      </c>
      <c r="W116" s="7">
        <f t="shared" si="70"/>
        <v>43862</v>
      </c>
      <c r="X116" s="7">
        <f t="shared" si="70"/>
        <v>43862</v>
      </c>
      <c r="Y116" s="7">
        <f t="shared" si="70"/>
        <v>43862</v>
      </c>
      <c r="Z116" s="7">
        <f t="shared" si="70"/>
        <v>43862</v>
      </c>
      <c r="AA116" s="7">
        <f t="shared" si="70"/>
        <v>44228</v>
      </c>
      <c r="AB116" s="7">
        <f t="shared" si="70"/>
        <v>44228</v>
      </c>
      <c r="AC116" s="7">
        <f t="shared" si="70"/>
        <v>44228</v>
      </c>
      <c r="AD116" s="7">
        <f t="shared" si="70"/>
        <v>44228</v>
      </c>
      <c r="AE116" s="7">
        <f t="shared" si="70"/>
        <v>44228</v>
      </c>
      <c r="AF116" s="7">
        <f t="shared" si="70"/>
        <v>44228</v>
      </c>
      <c r="AG116" s="7">
        <f t="shared" si="70"/>
        <v>44228</v>
      </c>
      <c r="AH116" s="7">
        <f t="shared" si="70"/>
        <v>44228</v>
      </c>
      <c r="AI116" s="7">
        <f t="shared" si="70"/>
        <v>44228</v>
      </c>
      <c r="AJ116" s="7">
        <f t="shared" si="70"/>
        <v>44228</v>
      </c>
      <c r="AK116" s="7">
        <f t="shared" si="70"/>
        <v>44228</v>
      </c>
      <c r="AL116" s="7">
        <f t="shared" si="70"/>
        <v>44228</v>
      </c>
      <c r="AM116" s="7">
        <f t="shared" si="70"/>
        <v>44593</v>
      </c>
      <c r="AN116" s="7">
        <f t="shared" si="70"/>
        <v>44593</v>
      </c>
      <c r="AO116" s="7">
        <f t="shared" si="70"/>
        <v>44593</v>
      </c>
      <c r="AP116" s="7">
        <f t="shared" si="70"/>
        <v>44593</v>
      </c>
      <c r="AQ116" s="7">
        <f t="shared" si="70"/>
        <v>44593</v>
      </c>
      <c r="AR116" s="7">
        <f t="shared" si="70"/>
        <v>44593</v>
      </c>
      <c r="AS116" s="7">
        <f t="shared" si="70"/>
        <v>44593</v>
      </c>
      <c r="AT116" s="7">
        <f t="shared" si="70"/>
        <v>44593</v>
      </c>
      <c r="AU116" s="7">
        <f t="shared" si="70"/>
        <v>44593</v>
      </c>
      <c r="AV116" s="7">
        <f t="shared" si="70"/>
        <v>44593</v>
      </c>
      <c r="AW116" s="7">
        <f t="shared" si="70"/>
        <v>44593</v>
      </c>
      <c r="AX116" s="7">
        <f t="shared" si="70"/>
        <v>44593</v>
      </c>
      <c r="AY116" s="7">
        <f t="shared" si="70"/>
        <v>44958</v>
      </c>
      <c r="AZ116" s="7">
        <f t="shared" si="70"/>
        <v>44958</v>
      </c>
      <c r="BA116" s="7">
        <f t="shared" si="70"/>
        <v>44958</v>
      </c>
      <c r="BB116" s="7">
        <f t="shared" si="70"/>
        <v>44958</v>
      </c>
      <c r="BC116" s="7">
        <f t="shared" si="70"/>
        <v>44958</v>
      </c>
      <c r="BD116" s="7">
        <f t="shared" si="70"/>
        <v>44958</v>
      </c>
      <c r="BE116" s="7">
        <f t="shared" si="70"/>
        <v>44958</v>
      </c>
      <c r="BF116" s="7">
        <f t="shared" si="70"/>
        <v>44958</v>
      </c>
      <c r="BG116" s="7">
        <f t="shared" si="70"/>
        <v>44958</v>
      </c>
      <c r="BH116" s="7">
        <f t="shared" si="70"/>
        <v>44958</v>
      </c>
      <c r="BI116" s="7">
        <f t="shared" si="70"/>
        <v>44958</v>
      </c>
    </row>
    <row r="117" spans="5:61" x14ac:dyDescent="0.35">
      <c r="E117">
        <f t="shared" si="67"/>
        <v>3</v>
      </c>
      <c r="J117" t="str">
        <f t="shared" si="68"/>
        <v>date</v>
      </c>
      <c r="N117" s="78"/>
      <c r="O117" s="78"/>
      <c r="P117" s="7">
        <f t="shared" ref="P117:BI117" si="71">P59</f>
        <v>43891</v>
      </c>
      <c r="Q117" s="7">
        <f t="shared" si="71"/>
        <v>43891</v>
      </c>
      <c r="R117" s="7">
        <f t="shared" si="71"/>
        <v>43891</v>
      </c>
      <c r="S117" s="7">
        <f t="shared" si="71"/>
        <v>43891</v>
      </c>
      <c r="T117" s="7">
        <f t="shared" si="71"/>
        <v>43891</v>
      </c>
      <c r="U117" s="7">
        <f t="shared" si="71"/>
        <v>43891</v>
      </c>
      <c r="V117" s="7">
        <f t="shared" si="71"/>
        <v>43891</v>
      </c>
      <c r="W117" s="7">
        <f t="shared" si="71"/>
        <v>43891</v>
      </c>
      <c r="X117" s="7">
        <f t="shared" si="71"/>
        <v>43891</v>
      </c>
      <c r="Y117" s="7">
        <f t="shared" si="71"/>
        <v>43891</v>
      </c>
      <c r="Z117" s="7">
        <f t="shared" si="71"/>
        <v>43891</v>
      </c>
      <c r="AA117" s="7">
        <f t="shared" si="71"/>
        <v>43891</v>
      </c>
      <c r="AB117" s="7">
        <f t="shared" si="71"/>
        <v>44256</v>
      </c>
      <c r="AC117" s="7">
        <f t="shared" si="71"/>
        <v>44256</v>
      </c>
      <c r="AD117" s="7">
        <f t="shared" si="71"/>
        <v>44256</v>
      </c>
      <c r="AE117" s="7">
        <f t="shared" si="71"/>
        <v>44256</v>
      </c>
      <c r="AF117" s="7">
        <f t="shared" si="71"/>
        <v>44256</v>
      </c>
      <c r="AG117" s="7">
        <f t="shared" si="71"/>
        <v>44256</v>
      </c>
      <c r="AH117" s="7">
        <f t="shared" si="71"/>
        <v>44256</v>
      </c>
      <c r="AI117" s="7">
        <f t="shared" si="71"/>
        <v>44256</v>
      </c>
      <c r="AJ117" s="7">
        <f t="shared" si="71"/>
        <v>44256</v>
      </c>
      <c r="AK117" s="7">
        <f t="shared" si="71"/>
        <v>44256</v>
      </c>
      <c r="AL117" s="7">
        <f t="shared" si="71"/>
        <v>44256</v>
      </c>
      <c r="AM117" s="7">
        <f t="shared" si="71"/>
        <v>44256</v>
      </c>
      <c r="AN117" s="7">
        <f t="shared" si="71"/>
        <v>44621</v>
      </c>
      <c r="AO117" s="7">
        <f t="shared" si="71"/>
        <v>44621</v>
      </c>
      <c r="AP117" s="7">
        <f t="shared" si="71"/>
        <v>44621</v>
      </c>
      <c r="AQ117" s="7">
        <f t="shared" si="71"/>
        <v>44621</v>
      </c>
      <c r="AR117" s="7">
        <f t="shared" si="71"/>
        <v>44621</v>
      </c>
      <c r="AS117" s="7">
        <f t="shared" si="71"/>
        <v>44621</v>
      </c>
      <c r="AT117" s="7">
        <f t="shared" si="71"/>
        <v>44621</v>
      </c>
      <c r="AU117" s="7">
        <f t="shared" si="71"/>
        <v>44621</v>
      </c>
      <c r="AV117" s="7">
        <f t="shared" si="71"/>
        <v>44621</v>
      </c>
      <c r="AW117" s="7">
        <f t="shared" si="71"/>
        <v>44621</v>
      </c>
      <c r="AX117" s="7">
        <f t="shared" si="71"/>
        <v>44621</v>
      </c>
      <c r="AY117" s="7">
        <f t="shared" si="71"/>
        <v>44621</v>
      </c>
      <c r="AZ117" s="7">
        <f t="shared" si="71"/>
        <v>44986</v>
      </c>
      <c r="BA117" s="7">
        <f t="shared" si="71"/>
        <v>44986</v>
      </c>
      <c r="BB117" s="7">
        <f t="shared" si="71"/>
        <v>44986</v>
      </c>
      <c r="BC117" s="7">
        <f t="shared" si="71"/>
        <v>44986</v>
      </c>
      <c r="BD117" s="7">
        <f t="shared" si="71"/>
        <v>44986</v>
      </c>
      <c r="BE117" s="7">
        <f t="shared" si="71"/>
        <v>44986</v>
      </c>
      <c r="BF117" s="7">
        <f t="shared" si="71"/>
        <v>44986</v>
      </c>
      <c r="BG117" s="7">
        <f t="shared" si="71"/>
        <v>44986</v>
      </c>
      <c r="BH117" s="7">
        <f t="shared" si="71"/>
        <v>44986</v>
      </c>
      <c r="BI117" s="7">
        <f t="shared" si="71"/>
        <v>44986</v>
      </c>
    </row>
    <row r="118" spans="5:61" x14ac:dyDescent="0.35">
      <c r="E118">
        <f t="shared" si="67"/>
        <v>4</v>
      </c>
      <c r="J118" t="str">
        <f t="shared" si="68"/>
        <v>date</v>
      </c>
      <c r="N118" s="78"/>
      <c r="O118" s="78"/>
      <c r="P118" s="78"/>
      <c r="Q118" s="7">
        <f t="shared" ref="Q118:BI118" si="72">Q60</f>
        <v>43922</v>
      </c>
      <c r="R118" s="7">
        <f t="shared" si="72"/>
        <v>43922</v>
      </c>
      <c r="S118" s="7">
        <f t="shared" si="72"/>
        <v>43922</v>
      </c>
      <c r="T118" s="7">
        <f t="shared" si="72"/>
        <v>43922</v>
      </c>
      <c r="U118" s="7">
        <f t="shared" si="72"/>
        <v>43922</v>
      </c>
      <c r="V118" s="7">
        <f t="shared" si="72"/>
        <v>43922</v>
      </c>
      <c r="W118" s="7">
        <f t="shared" si="72"/>
        <v>43922</v>
      </c>
      <c r="X118" s="7">
        <f t="shared" si="72"/>
        <v>43922</v>
      </c>
      <c r="Y118" s="7">
        <f t="shared" si="72"/>
        <v>43922</v>
      </c>
      <c r="Z118" s="7">
        <f t="shared" si="72"/>
        <v>43922</v>
      </c>
      <c r="AA118" s="7">
        <f t="shared" si="72"/>
        <v>43922</v>
      </c>
      <c r="AB118" s="7">
        <f t="shared" si="72"/>
        <v>43922</v>
      </c>
      <c r="AC118" s="7">
        <f t="shared" si="72"/>
        <v>44287</v>
      </c>
      <c r="AD118" s="7">
        <f t="shared" si="72"/>
        <v>44287</v>
      </c>
      <c r="AE118" s="7">
        <f t="shared" si="72"/>
        <v>44287</v>
      </c>
      <c r="AF118" s="7">
        <f t="shared" si="72"/>
        <v>44287</v>
      </c>
      <c r="AG118" s="7">
        <f t="shared" si="72"/>
        <v>44287</v>
      </c>
      <c r="AH118" s="7">
        <f t="shared" si="72"/>
        <v>44287</v>
      </c>
      <c r="AI118" s="7">
        <f t="shared" si="72"/>
        <v>44287</v>
      </c>
      <c r="AJ118" s="7">
        <f t="shared" si="72"/>
        <v>44287</v>
      </c>
      <c r="AK118" s="7">
        <f t="shared" si="72"/>
        <v>44287</v>
      </c>
      <c r="AL118" s="7">
        <f t="shared" si="72"/>
        <v>44287</v>
      </c>
      <c r="AM118" s="7">
        <f t="shared" si="72"/>
        <v>44287</v>
      </c>
      <c r="AN118" s="7">
        <f t="shared" si="72"/>
        <v>44287</v>
      </c>
      <c r="AO118" s="7">
        <f t="shared" si="72"/>
        <v>44652</v>
      </c>
      <c r="AP118" s="7">
        <f t="shared" si="72"/>
        <v>44652</v>
      </c>
      <c r="AQ118" s="7">
        <f t="shared" si="72"/>
        <v>44652</v>
      </c>
      <c r="AR118" s="7">
        <f t="shared" si="72"/>
        <v>44652</v>
      </c>
      <c r="AS118" s="7">
        <f t="shared" si="72"/>
        <v>44652</v>
      </c>
      <c r="AT118" s="7">
        <f t="shared" si="72"/>
        <v>44652</v>
      </c>
      <c r="AU118" s="7">
        <f t="shared" si="72"/>
        <v>44652</v>
      </c>
      <c r="AV118" s="7">
        <f t="shared" si="72"/>
        <v>44652</v>
      </c>
      <c r="AW118" s="7">
        <f t="shared" si="72"/>
        <v>44652</v>
      </c>
      <c r="AX118" s="7">
        <f t="shared" si="72"/>
        <v>44652</v>
      </c>
      <c r="AY118" s="7">
        <f t="shared" si="72"/>
        <v>44652</v>
      </c>
      <c r="AZ118" s="7">
        <f t="shared" si="72"/>
        <v>44652</v>
      </c>
      <c r="BA118" s="7">
        <f t="shared" si="72"/>
        <v>45017</v>
      </c>
      <c r="BB118" s="7">
        <f t="shared" si="72"/>
        <v>45017</v>
      </c>
      <c r="BC118" s="7">
        <f t="shared" si="72"/>
        <v>45017</v>
      </c>
      <c r="BD118" s="7">
        <f t="shared" si="72"/>
        <v>45017</v>
      </c>
      <c r="BE118" s="7">
        <f t="shared" si="72"/>
        <v>45017</v>
      </c>
      <c r="BF118" s="7">
        <f t="shared" si="72"/>
        <v>45017</v>
      </c>
      <c r="BG118" s="7">
        <f t="shared" si="72"/>
        <v>45017</v>
      </c>
      <c r="BH118" s="7">
        <f t="shared" si="72"/>
        <v>45017</v>
      </c>
      <c r="BI118" s="7">
        <f t="shared" si="72"/>
        <v>45017</v>
      </c>
    </row>
    <row r="119" spans="5:61" x14ac:dyDescent="0.35">
      <c r="E119">
        <f t="shared" si="67"/>
        <v>5</v>
      </c>
      <c r="J119" t="str">
        <f t="shared" si="68"/>
        <v>date</v>
      </c>
      <c r="N119" s="78"/>
      <c r="O119" s="78"/>
      <c r="P119" s="78"/>
      <c r="Q119" s="78"/>
      <c r="R119" s="7">
        <f t="shared" ref="R119:BI119" si="73">R61</f>
        <v>43952</v>
      </c>
      <c r="S119" s="7">
        <f t="shared" si="73"/>
        <v>43952</v>
      </c>
      <c r="T119" s="7">
        <f t="shared" si="73"/>
        <v>43952</v>
      </c>
      <c r="U119" s="7">
        <f t="shared" si="73"/>
        <v>43952</v>
      </c>
      <c r="V119" s="7">
        <f t="shared" si="73"/>
        <v>43952</v>
      </c>
      <c r="W119" s="7">
        <f t="shared" si="73"/>
        <v>43952</v>
      </c>
      <c r="X119" s="7">
        <f t="shared" si="73"/>
        <v>43952</v>
      </c>
      <c r="Y119" s="7">
        <f t="shared" si="73"/>
        <v>43952</v>
      </c>
      <c r="Z119" s="7">
        <f t="shared" si="73"/>
        <v>43952</v>
      </c>
      <c r="AA119" s="7">
        <f t="shared" si="73"/>
        <v>43952</v>
      </c>
      <c r="AB119" s="7">
        <f t="shared" si="73"/>
        <v>43952</v>
      </c>
      <c r="AC119" s="7">
        <f t="shared" si="73"/>
        <v>43952</v>
      </c>
      <c r="AD119" s="7">
        <f t="shared" si="73"/>
        <v>44317</v>
      </c>
      <c r="AE119" s="7">
        <f t="shared" si="73"/>
        <v>44317</v>
      </c>
      <c r="AF119" s="7">
        <f t="shared" si="73"/>
        <v>44317</v>
      </c>
      <c r="AG119" s="7">
        <f t="shared" si="73"/>
        <v>44317</v>
      </c>
      <c r="AH119" s="7">
        <f t="shared" si="73"/>
        <v>44317</v>
      </c>
      <c r="AI119" s="7">
        <f t="shared" si="73"/>
        <v>44317</v>
      </c>
      <c r="AJ119" s="7">
        <f t="shared" si="73"/>
        <v>44317</v>
      </c>
      <c r="AK119" s="7">
        <f t="shared" si="73"/>
        <v>44317</v>
      </c>
      <c r="AL119" s="7">
        <f t="shared" si="73"/>
        <v>44317</v>
      </c>
      <c r="AM119" s="7">
        <f t="shared" si="73"/>
        <v>44317</v>
      </c>
      <c r="AN119" s="7">
        <f t="shared" si="73"/>
        <v>44317</v>
      </c>
      <c r="AO119" s="7">
        <f t="shared" si="73"/>
        <v>44317</v>
      </c>
      <c r="AP119" s="7">
        <f t="shared" si="73"/>
        <v>44682</v>
      </c>
      <c r="AQ119" s="7">
        <f t="shared" si="73"/>
        <v>44682</v>
      </c>
      <c r="AR119" s="7">
        <f t="shared" si="73"/>
        <v>44682</v>
      </c>
      <c r="AS119" s="7">
        <f t="shared" si="73"/>
        <v>44682</v>
      </c>
      <c r="AT119" s="7">
        <f t="shared" si="73"/>
        <v>44682</v>
      </c>
      <c r="AU119" s="7">
        <f t="shared" si="73"/>
        <v>44682</v>
      </c>
      <c r="AV119" s="7">
        <f t="shared" si="73"/>
        <v>44682</v>
      </c>
      <c r="AW119" s="7">
        <f t="shared" si="73"/>
        <v>44682</v>
      </c>
      <c r="AX119" s="7">
        <f t="shared" si="73"/>
        <v>44682</v>
      </c>
      <c r="AY119" s="7">
        <f t="shared" si="73"/>
        <v>44682</v>
      </c>
      <c r="AZ119" s="7">
        <f t="shared" si="73"/>
        <v>44682</v>
      </c>
      <c r="BA119" s="7">
        <f t="shared" si="73"/>
        <v>44682</v>
      </c>
      <c r="BB119" s="7">
        <f t="shared" si="73"/>
        <v>45047</v>
      </c>
      <c r="BC119" s="7">
        <f t="shared" si="73"/>
        <v>45047</v>
      </c>
      <c r="BD119" s="7">
        <f t="shared" si="73"/>
        <v>45047</v>
      </c>
      <c r="BE119" s="7">
        <f t="shared" si="73"/>
        <v>45047</v>
      </c>
      <c r="BF119" s="7">
        <f t="shared" si="73"/>
        <v>45047</v>
      </c>
      <c r="BG119" s="7">
        <f t="shared" si="73"/>
        <v>45047</v>
      </c>
      <c r="BH119" s="7">
        <f t="shared" si="73"/>
        <v>45047</v>
      </c>
      <c r="BI119" s="7">
        <f t="shared" si="73"/>
        <v>45047</v>
      </c>
    </row>
    <row r="120" spans="5:61" x14ac:dyDescent="0.35">
      <c r="E120">
        <f t="shared" si="67"/>
        <v>6</v>
      </c>
      <c r="J120" t="str">
        <f t="shared" si="68"/>
        <v>date</v>
      </c>
      <c r="N120" s="78"/>
      <c r="O120" s="78"/>
      <c r="P120" s="78"/>
      <c r="Q120" s="78"/>
      <c r="R120" s="78"/>
      <c r="S120" s="7">
        <f t="shared" ref="S120:BI120" si="74">S62</f>
        <v>43983</v>
      </c>
      <c r="T120" s="7">
        <f t="shared" si="74"/>
        <v>43983</v>
      </c>
      <c r="U120" s="7">
        <f t="shared" si="74"/>
        <v>43983</v>
      </c>
      <c r="V120" s="7">
        <f t="shared" si="74"/>
        <v>43983</v>
      </c>
      <c r="W120" s="7">
        <f t="shared" si="74"/>
        <v>43983</v>
      </c>
      <c r="X120" s="7">
        <f t="shared" si="74"/>
        <v>43983</v>
      </c>
      <c r="Y120" s="7">
        <f t="shared" si="74"/>
        <v>43983</v>
      </c>
      <c r="Z120" s="7">
        <f t="shared" si="74"/>
        <v>43983</v>
      </c>
      <c r="AA120" s="7">
        <f t="shared" si="74"/>
        <v>43983</v>
      </c>
      <c r="AB120" s="7">
        <f t="shared" si="74"/>
        <v>43983</v>
      </c>
      <c r="AC120" s="7">
        <f t="shared" si="74"/>
        <v>43983</v>
      </c>
      <c r="AD120" s="7">
        <f t="shared" si="74"/>
        <v>43983</v>
      </c>
      <c r="AE120" s="7">
        <f t="shared" si="74"/>
        <v>44348</v>
      </c>
      <c r="AF120" s="7">
        <f t="shared" si="74"/>
        <v>44348</v>
      </c>
      <c r="AG120" s="7">
        <f t="shared" si="74"/>
        <v>44348</v>
      </c>
      <c r="AH120" s="7">
        <f t="shared" si="74"/>
        <v>44348</v>
      </c>
      <c r="AI120" s="7">
        <f t="shared" si="74"/>
        <v>44348</v>
      </c>
      <c r="AJ120" s="7">
        <f t="shared" si="74"/>
        <v>44348</v>
      </c>
      <c r="AK120" s="7">
        <f t="shared" si="74"/>
        <v>44348</v>
      </c>
      <c r="AL120" s="7">
        <f t="shared" si="74"/>
        <v>44348</v>
      </c>
      <c r="AM120" s="7">
        <f t="shared" si="74"/>
        <v>44348</v>
      </c>
      <c r="AN120" s="7">
        <f t="shared" si="74"/>
        <v>44348</v>
      </c>
      <c r="AO120" s="7">
        <f t="shared" si="74"/>
        <v>44348</v>
      </c>
      <c r="AP120" s="7">
        <f t="shared" si="74"/>
        <v>44348</v>
      </c>
      <c r="AQ120" s="7">
        <f t="shared" si="74"/>
        <v>44713</v>
      </c>
      <c r="AR120" s="7">
        <f t="shared" si="74"/>
        <v>44713</v>
      </c>
      <c r="AS120" s="7">
        <f t="shared" si="74"/>
        <v>44713</v>
      </c>
      <c r="AT120" s="7">
        <f t="shared" si="74"/>
        <v>44713</v>
      </c>
      <c r="AU120" s="7">
        <f t="shared" si="74"/>
        <v>44713</v>
      </c>
      <c r="AV120" s="7">
        <f t="shared" si="74"/>
        <v>44713</v>
      </c>
      <c r="AW120" s="7">
        <f t="shared" si="74"/>
        <v>44713</v>
      </c>
      <c r="AX120" s="7">
        <f t="shared" si="74"/>
        <v>44713</v>
      </c>
      <c r="AY120" s="7">
        <f t="shared" si="74"/>
        <v>44713</v>
      </c>
      <c r="AZ120" s="7">
        <f t="shared" si="74"/>
        <v>44713</v>
      </c>
      <c r="BA120" s="7">
        <f t="shared" si="74"/>
        <v>44713</v>
      </c>
      <c r="BB120" s="7">
        <f t="shared" si="74"/>
        <v>44713</v>
      </c>
      <c r="BC120" s="7">
        <f t="shared" si="74"/>
        <v>45078</v>
      </c>
      <c r="BD120" s="7">
        <f t="shared" si="74"/>
        <v>45078</v>
      </c>
      <c r="BE120" s="7">
        <f t="shared" si="74"/>
        <v>45078</v>
      </c>
      <c r="BF120" s="7">
        <f t="shared" si="74"/>
        <v>45078</v>
      </c>
      <c r="BG120" s="7">
        <f t="shared" si="74"/>
        <v>45078</v>
      </c>
      <c r="BH120" s="7">
        <f t="shared" si="74"/>
        <v>45078</v>
      </c>
      <c r="BI120" s="7">
        <f t="shared" si="74"/>
        <v>45078</v>
      </c>
    </row>
    <row r="121" spans="5:61" x14ac:dyDescent="0.35">
      <c r="E121">
        <f t="shared" si="67"/>
        <v>7</v>
      </c>
      <c r="J121" t="str">
        <f t="shared" si="68"/>
        <v>date</v>
      </c>
      <c r="N121" s="78"/>
      <c r="O121" s="78"/>
      <c r="P121" s="78"/>
      <c r="Q121" s="78"/>
      <c r="R121" s="78"/>
      <c r="S121" s="78"/>
      <c r="T121" s="7">
        <f t="shared" ref="T121:BI121" si="75">T63</f>
        <v>44013</v>
      </c>
      <c r="U121" s="7">
        <f t="shared" si="75"/>
        <v>44013</v>
      </c>
      <c r="V121" s="7">
        <f t="shared" si="75"/>
        <v>44013</v>
      </c>
      <c r="W121" s="7">
        <f t="shared" si="75"/>
        <v>44013</v>
      </c>
      <c r="X121" s="7">
        <f t="shared" si="75"/>
        <v>44013</v>
      </c>
      <c r="Y121" s="7">
        <f t="shared" si="75"/>
        <v>44013</v>
      </c>
      <c r="Z121" s="7">
        <f t="shared" si="75"/>
        <v>44013</v>
      </c>
      <c r="AA121" s="7">
        <f t="shared" si="75"/>
        <v>44013</v>
      </c>
      <c r="AB121" s="7">
        <f t="shared" si="75"/>
        <v>44013</v>
      </c>
      <c r="AC121" s="7">
        <f t="shared" si="75"/>
        <v>44013</v>
      </c>
      <c r="AD121" s="7">
        <f t="shared" si="75"/>
        <v>44013</v>
      </c>
      <c r="AE121" s="7">
        <f t="shared" si="75"/>
        <v>44013</v>
      </c>
      <c r="AF121" s="7">
        <f t="shared" si="75"/>
        <v>44378</v>
      </c>
      <c r="AG121" s="7">
        <f t="shared" si="75"/>
        <v>44378</v>
      </c>
      <c r="AH121" s="7">
        <f t="shared" si="75"/>
        <v>44378</v>
      </c>
      <c r="AI121" s="7">
        <f t="shared" si="75"/>
        <v>44378</v>
      </c>
      <c r="AJ121" s="7">
        <f t="shared" si="75"/>
        <v>44378</v>
      </c>
      <c r="AK121" s="7">
        <f t="shared" si="75"/>
        <v>44378</v>
      </c>
      <c r="AL121" s="7">
        <f t="shared" si="75"/>
        <v>44378</v>
      </c>
      <c r="AM121" s="7">
        <f t="shared" si="75"/>
        <v>44378</v>
      </c>
      <c r="AN121" s="7">
        <f t="shared" si="75"/>
        <v>44378</v>
      </c>
      <c r="AO121" s="7">
        <f t="shared" si="75"/>
        <v>44378</v>
      </c>
      <c r="AP121" s="7">
        <f t="shared" si="75"/>
        <v>44378</v>
      </c>
      <c r="AQ121" s="7">
        <f t="shared" si="75"/>
        <v>44378</v>
      </c>
      <c r="AR121" s="7">
        <f t="shared" si="75"/>
        <v>44743</v>
      </c>
      <c r="AS121" s="7">
        <f t="shared" si="75"/>
        <v>44743</v>
      </c>
      <c r="AT121" s="7">
        <f t="shared" si="75"/>
        <v>44743</v>
      </c>
      <c r="AU121" s="7">
        <f t="shared" si="75"/>
        <v>44743</v>
      </c>
      <c r="AV121" s="7">
        <f t="shared" si="75"/>
        <v>44743</v>
      </c>
      <c r="AW121" s="7">
        <f t="shared" si="75"/>
        <v>44743</v>
      </c>
      <c r="AX121" s="7">
        <f t="shared" si="75"/>
        <v>44743</v>
      </c>
      <c r="AY121" s="7">
        <f t="shared" si="75"/>
        <v>44743</v>
      </c>
      <c r="AZ121" s="7">
        <f t="shared" si="75"/>
        <v>44743</v>
      </c>
      <c r="BA121" s="7">
        <f t="shared" si="75"/>
        <v>44743</v>
      </c>
      <c r="BB121" s="7">
        <f t="shared" si="75"/>
        <v>44743</v>
      </c>
      <c r="BC121" s="7">
        <f t="shared" si="75"/>
        <v>44743</v>
      </c>
      <c r="BD121" s="7">
        <f t="shared" si="75"/>
        <v>45108</v>
      </c>
      <c r="BE121" s="7">
        <f t="shared" si="75"/>
        <v>45108</v>
      </c>
      <c r="BF121" s="7">
        <f t="shared" si="75"/>
        <v>45108</v>
      </c>
      <c r="BG121" s="7">
        <f t="shared" si="75"/>
        <v>45108</v>
      </c>
      <c r="BH121" s="7">
        <f t="shared" si="75"/>
        <v>45108</v>
      </c>
      <c r="BI121" s="7">
        <f t="shared" si="75"/>
        <v>45108</v>
      </c>
    </row>
    <row r="122" spans="5:61" x14ac:dyDescent="0.35">
      <c r="E122">
        <f t="shared" si="67"/>
        <v>8</v>
      </c>
      <c r="J122" t="str">
        <f t="shared" si="68"/>
        <v>date</v>
      </c>
      <c r="N122" s="78"/>
      <c r="O122" s="78"/>
      <c r="P122" s="78"/>
      <c r="Q122" s="78"/>
      <c r="R122" s="78"/>
      <c r="S122" s="78"/>
      <c r="T122" s="78"/>
      <c r="U122" s="7">
        <f t="shared" ref="U122:BI122" si="76">U64</f>
        <v>44044</v>
      </c>
      <c r="V122" s="7">
        <f t="shared" si="76"/>
        <v>44044</v>
      </c>
      <c r="W122" s="7">
        <f t="shared" si="76"/>
        <v>44044</v>
      </c>
      <c r="X122" s="7">
        <f t="shared" si="76"/>
        <v>44044</v>
      </c>
      <c r="Y122" s="7">
        <f t="shared" si="76"/>
        <v>44044</v>
      </c>
      <c r="Z122" s="7">
        <f t="shared" si="76"/>
        <v>44044</v>
      </c>
      <c r="AA122" s="7">
        <f t="shared" si="76"/>
        <v>44044</v>
      </c>
      <c r="AB122" s="7">
        <f t="shared" si="76"/>
        <v>44044</v>
      </c>
      <c r="AC122" s="7">
        <f t="shared" si="76"/>
        <v>44044</v>
      </c>
      <c r="AD122" s="7">
        <f t="shared" si="76"/>
        <v>44044</v>
      </c>
      <c r="AE122" s="7">
        <f t="shared" si="76"/>
        <v>44044</v>
      </c>
      <c r="AF122" s="7">
        <f t="shared" si="76"/>
        <v>44044</v>
      </c>
      <c r="AG122" s="7">
        <f t="shared" si="76"/>
        <v>44409</v>
      </c>
      <c r="AH122" s="7">
        <f t="shared" si="76"/>
        <v>44409</v>
      </c>
      <c r="AI122" s="7">
        <f t="shared" si="76"/>
        <v>44409</v>
      </c>
      <c r="AJ122" s="7">
        <f t="shared" si="76"/>
        <v>44409</v>
      </c>
      <c r="AK122" s="7">
        <f t="shared" si="76"/>
        <v>44409</v>
      </c>
      <c r="AL122" s="7">
        <f t="shared" si="76"/>
        <v>44409</v>
      </c>
      <c r="AM122" s="7">
        <f t="shared" si="76"/>
        <v>44409</v>
      </c>
      <c r="AN122" s="7">
        <f t="shared" si="76"/>
        <v>44409</v>
      </c>
      <c r="AO122" s="7">
        <f t="shared" si="76"/>
        <v>44409</v>
      </c>
      <c r="AP122" s="7">
        <f t="shared" si="76"/>
        <v>44409</v>
      </c>
      <c r="AQ122" s="7">
        <f t="shared" si="76"/>
        <v>44409</v>
      </c>
      <c r="AR122" s="7">
        <f t="shared" si="76"/>
        <v>44409</v>
      </c>
      <c r="AS122" s="7">
        <f t="shared" si="76"/>
        <v>44774</v>
      </c>
      <c r="AT122" s="7">
        <f t="shared" si="76"/>
        <v>44774</v>
      </c>
      <c r="AU122" s="7">
        <f t="shared" si="76"/>
        <v>44774</v>
      </c>
      <c r="AV122" s="7">
        <f t="shared" si="76"/>
        <v>44774</v>
      </c>
      <c r="AW122" s="7">
        <f t="shared" si="76"/>
        <v>44774</v>
      </c>
      <c r="AX122" s="7">
        <f t="shared" si="76"/>
        <v>44774</v>
      </c>
      <c r="AY122" s="7">
        <f t="shared" si="76"/>
        <v>44774</v>
      </c>
      <c r="AZ122" s="7">
        <f t="shared" si="76"/>
        <v>44774</v>
      </c>
      <c r="BA122" s="7">
        <f t="shared" si="76"/>
        <v>44774</v>
      </c>
      <c r="BB122" s="7">
        <f t="shared" si="76"/>
        <v>44774</v>
      </c>
      <c r="BC122" s="7">
        <f t="shared" si="76"/>
        <v>44774</v>
      </c>
      <c r="BD122" s="7">
        <f t="shared" si="76"/>
        <v>44774</v>
      </c>
      <c r="BE122" s="7">
        <f t="shared" si="76"/>
        <v>45139</v>
      </c>
      <c r="BF122" s="7">
        <f t="shared" si="76"/>
        <v>45139</v>
      </c>
      <c r="BG122" s="7">
        <f t="shared" si="76"/>
        <v>45139</v>
      </c>
      <c r="BH122" s="7">
        <f t="shared" si="76"/>
        <v>45139</v>
      </c>
      <c r="BI122" s="7">
        <f t="shared" si="76"/>
        <v>45139</v>
      </c>
    </row>
    <row r="123" spans="5:61" x14ac:dyDescent="0.35">
      <c r="E123">
        <f t="shared" si="67"/>
        <v>9</v>
      </c>
      <c r="J123" t="str">
        <f t="shared" si="68"/>
        <v>date</v>
      </c>
      <c r="N123" s="78"/>
      <c r="O123" s="78"/>
      <c r="P123" s="78"/>
      <c r="Q123" s="78"/>
      <c r="R123" s="78"/>
      <c r="S123" s="78"/>
      <c r="T123" s="78"/>
      <c r="U123" s="78"/>
      <c r="V123" s="7">
        <f t="shared" ref="V123:BI123" si="77">V65</f>
        <v>44075</v>
      </c>
      <c r="W123" s="7">
        <f t="shared" si="77"/>
        <v>44075</v>
      </c>
      <c r="X123" s="7">
        <f t="shared" si="77"/>
        <v>44075</v>
      </c>
      <c r="Y123" s="7">
        <f t="shared" si="77"/>
        <v>44075</v>
      </c>
      <c r="Z123" s="7">
        <f t="shared" si="77"/>
        <v>44075</v>
      </c>
      <c r="AA123" s="7">
        <f t="shared" si="77"/>
        <v>44075</v>
      </c>
      <c r="AB123" s="7">
        <f t="shared" si="77"/>
        <v>44075</v>
      </c>
      <c r="AC123" s="7">
        <f t="shared" si="77"/>
        <v>44075</v>
      </c>
      <c r="AD123" s="7">
        <f t="shared" si="77"/>
        <v>44075</v>
      </c>
      <c r="AE123" s="7">
        <f t="shared" si="77"/>
        <v>44075</v>
      </c>
      <c r="AF123" s="7">
        <f t="shared" si="77"/>
        <v>44075</v>
      </c>
      <c r="AG123" s="7">
        <f t="shared" si="77"/>
        <v>44075</v>
      </c>
      <c r="AH123" s="7">
        <f t="shared" si="77"/>
        <v>44440</v>
      </c>
      <c r="AI123" s="7">
        <f t="shared" si="77"/>
        <v>44440</v>
      </c>
      <c r="AJ123" s="7">
        <f t="shared" si="77"/>
        <v>44440</v>
      </c>
      <c r="AK123" s="7">
        <f t="shared" si="77"/>
        <v>44440</v>
      </c>
      <c r="AL123" s="7">
        <f t="shared" si="77"/>
        <v>44440</v>
      </c>
      <c r="AM123" s="7">
        <f t="shared" si="77"/>
        <v>44440</v>
      </c>
      <c r="AN123" s="7">
        <f t="shared" si="77"/>
        <v>44440</v>
      </c>
      <c r="AO123" s="7">
        <f t="shared" si="77"/>
        <v>44440</v>
      </c>
      <c r="AP123" s="7">
        <f t="shared" si="77"/>
        <v>44440</v>
      </c>
      <c r="AQ123" s="7">
        <f t="shared" si="77"/>
        <v>44440</v>
      </c>
      <c r="AR123" s="7">
        <f t="shared" si="77"/>
        <v>44440</v>
      </c>
      <c r="AS123" s="7">
        <f t="shared" si="77"/>
        <v>44440</v>
      </c>
      <c r="AT123" s="7">
        <f t="shared" si="77"/>
        <v>44805</v>
      </c>
      <c r="AU123" s="7">
        <f t="shared" si="77"/>
        <v>44805</v>
      </c>
      <c r="AV123" s="7">
        <f t="shared" si="77"/>
        <v>44805</v>
      </c>
      <c r="AW123" s="7">
        <f t="shared" si="77"/>
        <v>44805</v>
      </c>
      <c r="AX123" s="7">
        <f t="shared" si="77"/>
        <v>44805</v>
      </c>
      <c r="AY123" s="7">
        <f t="shared" si="77"/>
        <v>44805</v>
      </c>
      <c r="AZ123" s="7">
        <f t="shared" si="77"/>
        <v>44805</v>
      </c>
      <c r="BA123" s="7">
        <f t="shared" si="77"/>
        <v>44805</v>
      </c>
      <c r="BB123" s="7">
        <f t="shared" si="77"/>
        <v>44805</v>
      </c>
      <c r="BC123" s="7">
        <f t="shared" si="77"/>
        <v>44805</v>
      </c>
      <c r="BD123" s="7">
        <f t="shared" si="77"/>
        <v>44805</v>
      </c>
      <c r="BE123" s="7">
        <f t="shared" si="77"/>
        <v>44805</v>
      </c>
      <c r="BF123" s="7">
        <f t="shared" si="77"/>
        <v>45170</v>
      </c>
      <c r="BG123" s="7">
        <f t="shared" si="77"/>
        <v>45170</v>
      </c>
      <c r="BH123" s="7">
        <f t="shared" si="77"/>
        <v>45170</v>
      </c>
      <c r="BI123" s="7">
        <f t="shared" si="77"/>
        <v>45170</v>
      </c>
    </row>
    <row r="124" spans="5:61" x14ac:dyDescent="0.35">
      <c r="E124">
        <f t="shared" si="67"/>
        <v>10</v>
      </c>
      <c r="J124" t="str">
        <f t="shared" si="68"/>
        <v>date</v>
      </c>
      <c r="N124" s="78"/>
      <c r="O124" s="78"/>
      <c r="P124" s="78"/>
      <c r="Q124" s="78"/>
      <c r="R124" s="78"/>
      <c r="S124" s="78"/>
      <c r="T124" s="78"/>
      <c r="U124" s="78"/>
      <c r="V124" s="78"/>
      <c r="W124" s="7">
        <f t="shared" ref="W124:BI124" si="78">W66</f>
        <v>44105</v>
      </c>
      <c r="X124" s="7">
        <f t="shared" si="78"/>
        <v>44105</v>
      </c>
      <c r="Y124" s="7">
        <f t="shared" si="78"/>
        <v>44105</v>
      </c>
      <c r="Z124" s="7">
        <f t="shared" si="78"/>
        <v>44105</v>
      </c>
      <c r="AA124" s="7">
        <f t="shared" si="78"/>
        <v>44105</v>
      </c>
      <c r="AB124" s="7">
        <f t="shared" si="78"/>
        <v>44105</v>
      </c>
      <c r="AC124" s="7">
        <f t="shared" si="78"/>
        <v>44105</v>
      </c>
      <c r="AD124" s="7">
        <f t="shared" si="78"/>
        <v>44105</v>
      </c>
      <c r="AE124" s="7">
        <f t="shared" si="78"/>
        <v>44105</v>
      </c>
      <c r="AF124" s="7">
        <f t="shared" si="78"/>
        <v>44105</v>
      </c>
      <c r="AG124" s="7">
        <f t="shared" si="78"/>
        <v>44105</v>
      </c>
      <c r="AH124" s="7">
        <f t="shared" si="78"/>
        <v>44105</v>
      </c>
      <c r="AI124" s="7">
        <f t="shared" si="78"/>
        <v>44470</v>
      </c>
      <c r="AJ124" s="7">
        <f t="shared" si="78"/>
        <v>44470</v>
      </c>
      <c r="AK124" s="7">
        <f t="shared" si="78"/>
        <v>44470</v>
      </c>
      <c r="AL124" s="7">
        <f t="shared" si="78"/>
        <v>44470</v>
      </c>
      <c r="AM124" s="7">
        <f t="shared" si="78"/>
        <v>44470</v>
      </c>
      <c r="AN124" s="7">
        <f t="shared" si="78"/>
        <v>44470</v>
      </c>
      <c r="AO124" s="7">
        <f t="shared" si="78"/>
        <v>44470</v>
      </c>
      <c r="AP124" s="7">
        <f t="shared" si="78"/>
        <v>44470</v>
      </c>
      <c r="AQ124" s="7">
        <f t="shared" si="78"/>
        <v>44470</v>
      </c>
      <c r="AR124" s="7">
        <f t="shared" si="78"/>
        <v>44470</v>
      </c>
      <c r="AS124" s="7">
        <f t="shared" si="78"/>
        <v>44470</v>
      </c>
      <c r="AT124" s="7">
        <f t="shared" si="78"/>
        <v>44470</v>
      </c>
      <c r="AU124" s="7">
        <f t="shared" si="78"/>
        <v>44835</v>
      </c>
      <c r="AV124" s="7">
        <f t="shared" si="78"/>
        <v>44835</v>
      </c>
      <c r="AW124" s="7">
        <f t="shared" si="78"/>
        <v>44835</v>
      </c>
      <c r="AX124" s="7">
        <f t="shared" si="78"/>
        <v>44835</v>
      </c>
      <c r="AY124" s="7">
        <f t="shared" si="78"/>
        <v>44835</v>
      </c>
      <c r="AZ124" s="7">
        <f t="shared" si="78"/>
        <v>44835</v>
      </c>
      <c r="BA124" s="7">
        <f t="shared" si="78"/>
        <v>44835</v>
      </c>
      <c r="BB124" s="7">
        <f t="shared" si="78"/>
        <v>44835</v>
      </c>
      <c r="BC124" s="7">
        <f t="shared" si="78"/>
        <v>44835</v>
      </c>
      <c r="BD124" s="7">
        <f t="shared" si="78"/>
        <v>44835</v>
      </c>
      <c r="BE124" s="7">
        <f t="shared" si="78"/>
        <v>44835</v>
      </c>
      <c r="BF124" s="7">
        <f t="shared" si="78"/>
        <v>44835</v>
      </c>
      <c r="BG124" s="7">
        <f t="shared" si="78"/>
        <v>45200</v>
      </c>
      <c r="BH124" s="7">
        <f t="shared" si="78"/>
        <v>45200</v>
      </c>
      <c r="BI124" s="7">
        <f t="shared" si="78"/>
        <v>45200</v>
      </c>
    </row>
    <row r="125" spans="5:61" x14ac:dyDescent="0.35">
      <c r="E125">
        <f t="shared" si="67"/>
        <v>11</v>
      </c>
      <c r="J125" t="str">
        <f t="shared" si="68"/>
        <v>date</v>
      </c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">
        <f t="shared" ref="X125:BI125" si="79">X67</f>
        <v>44136</v>
      </c>
      <c r="Y125" s="7">
        <f t="shared" si="79"/>
        <v>44136</v>
      </c>
      <c r="Z125" s="7">
        <f t="shared" si="79"/>
        <v>44136</v>
      </c>
      <c r="AA125" s="7">
        <f t="shared" si="79"/>
        <v>44136</v>
      </c>
      <c r="AB125" s="7">
        <f t="shared" si="79"/>
        <v>44136</v>
      </c>
      <c r="AC125" s="7">
        <f t="shared" si="79"/>
        <v>44136</v>
      </c>
      <c r="AD125" s="7">
        <f t="shared" si="79"/>
        <v>44136</v>
      </c>
      <c r="AE125" s="7">
        <f t="shared" si="79"/>
        <v>44136</v>
      </c>
      <c r="AF125" s="7">
        <f t="shared" si="79"/>
        <v>44136</v>
      </c>
      <c r="AG125" s="7">
        <f t="shared" si="79"/>
        <v>44136</v>
      </c>
      <c r="AH125" s="7">
        <f t="shared" si="79"/>
        <v>44136</v>
      </c>
      <c r="AI125" s="7">
        <f t="shared" si="79"/>
        <v>44136</v>
      </c>
      <c r="AJ125" s="7">
        <f t="shared" si="79"/>
        <v>44501</v>
      </c>
      <c r="AK125" s="7">
        <f t="shared" si="79"/>
        <v>44501</v>
      </c>
      <c r="AL125" s="7">
        <f t="shared" si="79"/>
        <v>44501</v>
      </c>
      <c r="AM125" s="7">
        <f t="shared" si="79"/>
        <v>44501</v>
      </c>
      <c r="AN125" s="7">
        <f t="shared" si="79"/>
        <v>44501</v>
      </c>
      <c r="AO125" s="7">
        <f t="shared" si="79"/>
        <v>44501</v>
      </c>
      <c r="AP125" s="7">
        <f t="shared" si="79"/>
        <v>44501</v>
      </c>
      <c r="AQ125" s="7">
        <f t="shared" si="79"/>
        <v>44501</v>
      </c>
      <c r="AR125" s="7">
        <f t="shared" si="79"/>
        <v>44501</v>
      </c>
      <c r="AS125" s="7">
        <f t="shared" si="79"/>
        <v>44501</v>
      </c>
      <c r="AT125" s="7">
        <f t="shared" si="79"/>
        <v>44501</v>
      </c>
      <c r="AU125" s="7">
        <f t="shared" si="79"/>
        <v>44501</v>
      </c>
      <c r="AV125" s="7">
        <f t="shared" si="79"/>
        <v>44866</v>
      </c>
      <c r="AW125" s="7">
        <f t="shared" si="79"/>
        <v>44866</v>
      </c>
      <c r="AX125" s="7">
        <f t="shared" si="79"/>
        <v>44866</v>
      </c>
      <c r="AY125" s="7">
        <f t="shared" si="79"/>
        <v>44866</v>
      </c>
      <c r="AZ125" s="7">
        <f t="shared" si="79"/>
        <v>44866</v>
      </c>
      <c r="BA125" s="7">
        <f t="shared" si="79"/>
        <v>44866</v>
      </c>
      <c r="BB125" s="7">
        <f t="shared" si="79"/>
        <v>44866</v>
      </c>
      <c r="BC125" s="7">
        <f t="shared" si="79"/>
        <v>44866</v>
      </c>
      <c r="BD125" s="7">
        <f t="shared" si="79"/>
        <v>44866</v>
      </c>
      <c r="BE125" s="7">
        <f t="shared" si="79"/>
        <v>44866</v>
      </c>
      <c r="BF125" s="7">
        <f t="shared" si="79"/>
        <v>44866</v>
      </c>
      <c r="BG125" s="7">
        <f t="shared" si="79"/>
        <v>44866</v>
      </c>
      <c r="BH125" s="7">
        <f t="shared" si="79"/>
        <v>45231</v>
      </c>
      <c r="BI125" s="7">
        <f t="shared" si="79"/>
        <v>45231</v>
      </c>
    </row>
    <row r="126" spans="5:61" x14ac:dyDescent="0.35">
      <c r="E126">
        <f t="shared" si="67"/>
        <v>12</v>
      </c>
      <c r="J126" t="str">
        <f t="shared" si="68"/>
        <v>date</v>
      </c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">
        <f t="shared" ref="Y126:BI126" si="80">Y68</f>
        <v>44166</v>
      </c>
      <c r="Z126" s="7">
        <f t="shared" si="80"/>
        <v>44166</v>
      </c>
      <c r="AA126" s="7">
        <f t="shared" si="80"/>
        <v>44166</v>
      </c>
      <c r="AB126" s="7">
        <f t="shared" si="80"/>
        <v>44166</v>
      </c>
      <c r="AC126" s="7">
        <f t="shared" si="80"/>
        <v>44166</v>
      </c>
      <c r="AD126" s="7">
        <f t="shared" si="80"/>
        <v>44166</v>
      </c>
      <c r="AE126" s="7">
        <f t="shared" si="80"/>
        <v>44166</v>
      </c>
      <c r="AF126" s="7">
        <f t="shared" si="80"/>
        <v>44166</v>
      </c>
      <c r="AG126" s="7">
        <f t="shared" si="80"/>
        <v>44166</v>
      </c>
      <c r="AH126" s="7">
        <f t="shared" si="80"/>
        <v>44166</v>
      </c>
      <c r="AI126" s="7">
        <f t="shared" si="80"/>
        <v>44166</v>
      </c>
      <c r="AJ126" s="7">
        <f t="shared" si="80"/>
        <v>44166</v>
      </c>
      <c r="AK126" s="7">
        <f t="shared" si="80"/>
        <v>44531</v>
      </c>
      <c r="AL126" s="7">
        <f t="shared" si="80"/>
        <v>44531</v>
      </c>
      <c r="AM126" s="7">
        <f t="shared" si="80"/>
        <v>44531</v>
      </c>
      <c r="AN126" s="7">
        <f t="shared" si="80"/>
        <v>44531</v>
      </c>
      <c r="AO126" s="7">
        <f t="shared" si="80"/>
        <v>44531</v>
      </c>
      <c r="AP126" s="7">
        <f t="shared" si="80"/>
        <v>44531</v>
      </c>
      <c r="AQ126" s="7">
        <f t="shared" si="80"/>
        <v>44531</v>
      </c>
      <c r="AR126" s="7">
        <f t="shared" si="80"/>
        <v>44531</v>
      </c>
      <c r="AS126" s="7">
        <f t="shared" si="80"/>
        <v>44531</v>
      </c>
      <c r="AT126" s="7">
        <f t="shared" si="80"/>
        <v>44531</v>
      </c>
      <c r="AU126" s="7">
        <f t="shared" si="80"/>
        <v>44531</v>
      </c>
      <c r="AV126" s="7">
        <f t="shared" si="80"/>
        <v>44531</v>
      </c>
      <c r="AW126" s="7">
        <f t="shared" si="80"/>
        <v>44896</v>
      </c>
      <c r="AX126" s="7">
        <f t="shared" si="80"/>
        <v>44896</v>
      </c>
      <c r="AY126" s="7">
        <f t="shared" si="80"/>
        <v>44896</v>
      </c>
      <c r="AZ126" s="7">
        <f t="shared" si="80"/>
        <v>44896</v>
      </c>
      <c r="BA126" s="7">
        <f t="shared" si="80"/>
        <v>44896</v>
      </c>
      <c r="BB126" s="7">
        <f t="shared" si="80"/>
        <v>44896</v>
      </c>
      <c r="BC126" s="7">
        <f t="shared" si="80"/>
        <v>44896</v>
      </c>
      <c r="BD126" s="7">
        <f t="shared" si="80"/>
        <v>44896</v>
      </c>
      <c r="BE126" s="7">
        <f t="shared" si="80"/>
        <v>44896</v>
      </c>
      <c r="BF126" s="7">
        <f t="shared" si="80"/>
        <v>44896</v>
      </c>
      <c r="BG126" s="7">
        <f t="shared" si="80"/>
        <v>44896</v>
      </c>
      <c r="BH126" s="7">
        <f t="shared" si="80"/>
        <v>44896</v>
      </c>
      <c r="BI126" s="7">
        <f t="shared" si="80"/>
        <v>45261</v>
      </c>
    </row>
    <row r="128" spans="5:61" x14ac:dyDescent="0.35">
      <c r="E128">
        <f>E96</f>
        <v>1</v>
      </c>
      <c r="J128" t="str">
        <f>J96</f>
        <v>% des engagements</v>
      </c>
      <c r="N128" s="13">
        <f t="shared" ref="N128:BI133" si="81">N96</f>
        <v>0.3197690768106819</v>
      </c>
      <c r="O128" s="13">
        <f t="shared" si="81"/>
        <v>6.8128011792071064E-2</v>
      </c>
      <c r="P128" s="13">
        <f t="shared" si="81"/>
        <v>7.6800533763846324E-2</v>
      </c>
      <c r="Q128" s="13">
        <f t="shared" si="81"/>
        <v>7.5631813971675177E-2</v>
      </c>
      <c r="R128" s="13">
        <f t="shared" si="81"/>
        <v>7.6613706863535525E-2</v>
      </c>
      <c r="S128" s="13">
        <f t="shared" si="81"/>
        <v>7.0045170979077587E-2</v>
      </c>
      <c r="T128" s="13">
        <f t="shared" si="81"/>
        <v>6.5875688377260544E-2</v>
      </c>
      <c r="U128" s="13">
        <f t="shared" si="81"/>
        <v>5.7632777116804146E-2</v>
      </c>
      <c r="V128" s="13">
        <f t="shared" si="81"/>
        <v>4.7103046133095905E-2</v>
      </c>
      <c r="W128" s="13">
        <f t="shared" si="81"/>
        <v>3.9607166201980903E-2</v>
      </c>
      <c r="X128" s="13">
        <f t="shared" si="81"/>
        <v>3.0050487955236016E-2</v>
      </c>
      <c r="Y128" s="13">
        <f t="shared" si="81"/>
        <v>2.3461399894633694E-2</v>
      </c>
      <c r="Z128" s="13">
        <f t="shared" si="81"/>
        <v>0.3197690768106819</v>
      </c>
      <c r="AA128" s="13">
        <f t="shared" si="81"/>
        <v>6.5705666273702779E-2</v>
      </c>
      <c r="AB128" s="13">
        <f t="shared" si="81"/>
        <v>7.670859481769049E-2</v>
      </c>
      <c r="AC128" s="13">
        <f t="shared" si="81"/>
        <v>7.5633324195849616E-2</v>
      </c>
      <c r="AD128" s="13">
        <f t="shared" si="81"/>
        <v>7.6708594817690545E-2</v>
      </c>
      <c r="AE128" s="13">
        <f t="shared" si="81"/>
        <v>7.0217417091752554E-2</v>
      </c>
      <c r="AF128" s="13">
        <f t="shared" si="81"/>
        <v>6.611811777025367E-2</v>
      </c>
      <c r="AG128" s="13">
        <f t="shared" si="81"/>
        <v>5.7916514230113236E-2</v>
      </c>
      <c r="AH128" s="13">
        <f t="shared" si="81"/>
        <v>4.7392682105821593E-2</v>
      </c>
      <c r="AI128" s="13">
        <f t="shared" si="81"/>
        <v>3.9899220212762931E-2</v>
      </c>
      <c r="AJ128" s="13">
        <f t="shared" si="81"/>
        <v>3.0309013996109746E-2</v>
      </c>
      <c r="AK128" s="13">
        <f t="shared" si="81"/>
        <v>2.3692033274197111E-2</v>
      </c>
      <c r="AL128" s="13">
        <f t="shared" si="81"/>
        <v>0.3197690768106819</v>
      </c>
      <c r="AM128" s="13">
        <f t="shared" si="81"/>
        <v>6.5705666273702779E-2</v>
      </c>
      <c r="AN128" s="13">
        <f t="shared" si="81"/>
        <v>7.670859481769049E-2</v>
      </c>
      <c r="AO128" s="13">
        <f t="shared" si="81"/>
        <v>7.5633324195849616E-2</v>
      </c>
      <c r="AP128" s="13">
        <f t="shared" si="81"/>
        <v>7.6708594817690545E-2</v>
      </c>
      <c r="AQ128" s="13">
        <f t="shared" si="81"/>
        <v>7.0217417091752554E-2</v>
      </c>
      <c r="AR128" s="13">
        <f t="shared" si="81"/>
        <v>6.611811777025367E-2</v>
      </c>
      <c r="AS128" s="13">
        <f t="shared" si="81"/>
        <v>5.7916514230113236E-2</v>
      </c>
      <c r="AT128" s="13">
        <f t="shared" si="81"/>
        <v>4.7392682105821593E-2</v>
      </c>
      <c r="AU128" s="13">
        <f t="shared" si="81"/>
        <v>3.9899220212762931E-2</v>
      </c>
      <c r="AV128" s="13">
        <f t="shared" si="81"/>
        <v>3.0309013996109746E-2</v>
      </c>
      <c r="AW128" s="13">
        <f t="shared" si="81"/>
        <v>2.3692033274197111E-2</v>
      </c>
      <c r="AX128" s="13">
        <f t="shared" si="81"/>
        <v>0.3197690768106819</v>
      </c>
      <c r="AY128" s="13">
        <f t="shared" si="81"/>
        <v>6.5705666273702779E-2</v>
      </c>
      <c r="AZ128" s="13">
        <f t="shared" si="81"/>
        <v>7.670859481769049E-2</v>
      </c>
      <c r="BA128" s="13">
        <f t="shared" si="81"/>
        <v>7.5633324195849616E-2</v>
      </c>
      <c r="BB128" s="13">
        <f t="shared" si="81"/>
        <v>7.6708594817690545E-2</v>
      </c>
      <c r="BC128" s="13">
        <f t="shared" si="81"/>
        <v>7.0217417091752554E-2</v>
      </c>
      <c r="BD128" s="13">
        <f t="shared" si="81"/>
        <v>6.611811777025367E-2</v>
      </c>
      <c r="BE128" s="13">
        <f t="shared" si="81"/>
        <v>5.7916514230113236E-2</v>
      </c>
      <c r="BF128" s="13">
        <f t="shared" si="81"/>
        <v>4.7392682105821593E-2</v>
      </c>
      <c r="BG128" s="13">
        <f t="shared" si="81"/>
        <v>3.9899220212762931E-2</v>
      </c>
      <c r="BH128" s="13">
        <f t="shared" si="81"/>
        <v>3.0309013996109746E-2</v>
      </c>
      <c r="BI128" s="13">
        <f t="shared" si="81"/>
        <v>2.3692033274197111E-2</v>
      </c>
    </row>
    <row r="129" spans="5:61" x14ac:dyDescent="0.35">
      <c r="E129">
        <f t="shared" ref="E129:E139" si="82">E97</f>
        <v>2</v>
      </c>
      <c r="J129" t="str">
        <f t="shared" ref="J129:J139" si="83">J97</f>
        <v>% des engagements</v>
      </c>
      <c r="N129" s="13">
        <f t="shared" si="81"/>
        <v>0</v>
      </c>
      <c r="O129" s="13">
        <f t="shared" si="81"/>
        <v>0.31525732599263218</v>
      </c>
      <c r="P129" s="13">
        <f t="shared" si="81"/>
        <v>7.2639762610120784E-2</v>
      </c>
      <c r="Q129" s="13">
        <f t="shared" si="81"/>
        <v>7.4286249299322205E-2</v>
      </c>
      <c r="R129" s="13">
        <f t="shared" si="81"/>
        <v>7.8146098436199296E-2</v>
      </c>
      <c r="S129" s="13">
        <f t="shared" si="81"/>
        <v>7.4195820577340865E-2</v>
      </c>
      <c r="T129" s="13">
        <f t="shared" si="81"/>
        <v>7.2463057265272246E-2</v>
      </c>
      <c r="U129" s="13">
        <f t="shared" si="81"/>
        <v>6.5875688377260544E-2</v>
      </c>
      <c r="V129" s="13">
        <f t="shared" si="81"/>
        <v>5.5913303449586671E-2</v>
      </c>
      <c r="W129" s="13">
        <f t="shared" si="81"/>
        <v>4.882251980031338E-2</v>
      </c>
      <c r="X129" s="13">
        <f t="shared" si="81"/>
        <v>3.8469382518271145E-2</v>
      </c>
      <c r="Y129" s="13">
        <f t="shared" si="81"/>
        <v>3.1188271638945775E-2</v>
      </c>
      <c r="Z129" s="13">
        <f t="shared" si="81"/>
        <v>2.3461399894633694E-2</v>
      </c>
      <c r="AA129" s="13">
        <f t="shared" si="81"/>
        <v>0.31301168581911243</v>
      </c>
      <c r="AB129" s="13">
        <f t="shared" si="81"/>
        <v>7.2463057265272246E-2</v>
      </c>
      <c r="AC129" s="13">
        <f t="shared" si="81"/>
        <v>7.4195820577340921E-2</v>
      </c>
      <c r="AD129" s="13">
        <f t="shared" si="81"/>
        <v>7.8146098436199185E-2</v>
      </c>
      <c r="AE129" s="13">
        <f t="shared" si="81"/>
        <v>7.428624929932226E-2</v>
      </c>
      <c r="AF129" s="13">
        <f t="shared" si="81"/>
        <v>7.2639762610120839E-2</v>
      </c>
      <c r="AG129" s="13">
        <f t="shared" si="81"/>
        <v>6.611811777025367E-2</v>
      </c>
      <c r="AH129" s="13">
        <f t="shared" si="81"/>
        <v>5.6187509491861354E-2</v>
      </c>
      <c r="AI129" s="13">
        <f t="shared" si="81"/>
        <v>4.9121686844073476E-2</v>
      </c>
      <c r="AJ129" s="13">
        <f t="shared" si="81"/>
        <v>3.8752330877128038E-2</v>
      </c>
      <c r="AK129" s="13">
        <f t="shared" si="81"/>
        <v>3.1455903331744639E-2</v>
      </c>
      <c r="AL129" s="13">
        <f t="shared" si="81"/>
        <v>2.3692033274197111E-2</v>
      </c>
      <c r="AM129" s="13">
        <f t="shared" si="81"/>
        <v>0.31301168581911243</v>
      </c>
      <c r="AN129" s="13">
        <f t="shared" si="81"/>
        <v>7.2463057265272246E-2</v>
      </c>
      <c r="AO129" s="13">
        <f t="shared" si="81"/>
        <v>7.4195820577340921E-2</v>
      </c>
      <c r="AP129" s="13">
        <f t="shared" si="81"/>
        <v>7.8146098436199185E-2</v>
      </c>
      <c r="AQ129" s="13">
        <f t="shared" si="81"/>
        <v>7.428624929932226E-2</v>
      </c>
      <c r="AR129" s="13">
        <f t="shared" si="81"/>
        <v>7.2639762610120839E-2</v>
      </c>
      <c r="AS129" s="13">
        <f t="shared" si="81"/>
        <v>6.611811777025367E-2</v>
      </c>
      <c r="AT129" s="13">
        <f t="shared" si="81"/>
        <v>5.6187509491861354E-2</v>
      </c>
      <c r="AU129" s="13">
        <f t="shared" si="81"/>
        <v>4.9121686844073476E-2</v>
      </c>
      <c r="AV129" s="13">
        <f t="shared" si="81"/>
        <v>3.8752330877128038E-2</v>
      </c>
      <c r="AW129" s="13">
        <f t="shared" si="81"/>
        <v>3.1455903331744639E-2</v>
      </c>
      <c r="AX129" s="13">
        <f t="shared" si="81"/>
        <v>2.3692033274197111E-2</v>
      </c>
      <c r="AY129" s="13">
        <f t="shared" si="81"/>
        <v>0.31301168581911243</v>
      </c>
      <c r="AZ129" s="13">
        <f t="shared" si="81"/>
        <v>7.2463057265272246E-2</v>
      </c>
      <c r="BA129" s="13">
        <f t="shared" si="81"/>
        <v>7.4195820577340921E-2</v>
      </c>
      <c r="BB129" s="13">
        <f t="shared" si="81"/>
        <v>7.8146098436199185E-2</v>
      </c>
      <c r="BC129" s="13">
        <f t="shared" si="81"/>
        <v>7.428624929932226E-2</v>
      </c>
      <c r="BD129" s="13">
        <f t="shared" si="81"/>
        <v>7.2639762610120839E-2</v>
      </c>
      <c r="BE129" s="13">
        <f t="shared" si="81"/>
        <v>6.611811777025367E-2</v>
      </c>
      <c r="BF129" s="13">
        <f t="shared" si="81"/>
        <v>5.6187509491861354E-2</v>
      </c>
      <c r="BG129" s="13">
        <f t="shared" si="81"/>
        <v>4.9121686844073476E-2</v>
      </c>
      <c r="BH129" s="13">
        <f t="shared" si="81"/>
        <v>3.8752330877128038E-2</v>
      </c>
      <c r="BI129" s="13">
        <f t="shared" si="81"/>
        <v>3.1455903331744639E-2</v>
      </c>
    </row>
    <row r="130" spans="5:61" x14ac:dyDescent="0.35">
      <c r="E130">
        <f t="shared" si="82"/>
        <v>3</v>
      </c>
      <c r="J130" t="str">
        <f t="shared" si="83"/>
        <v>% des engagements</v>
      </c>
      <c r="N130" s="13">
        <f t="shared" si="81"/>
        <v>0</v>
      </c>
      <c r="O130" s="13">
        <f t="shared" si="81"/>
        <v>0</v>
      </c>
      <c r="P130" s="13">
        <f t="shared" si="81"/>
        <v>0.3197690768106819</v>
      </c>
      <c r="Q130" s="13">
        <f t="shared" si="81"/>
        <v>7.0554727560468211E-2</v>
      </c>
      <c r="R130" s="13">
        <f t="shared" si="81"/>
        <v>7.6889512821447958E-2</v>
      </c>
      <c r="S130" s="13">
        <f t="shared" si="81"/>
        <v>7.5627283480082741E-2</v>
      </c>
      <c r="T130" s="13">
        <f t="shared" si="81"/>
        <v>7.6515881121711038E-2</v>
      </c>
      <c r="U130" s="13">
        <f t="shared" si="81"/>
        <v>7.2102297945846883E-2</v>
      </c>
      <c r="V130" s="13">
        <f t="shared" si="81"/>
        <v>6.3399786357353771E-2</v>
      </c>
      <c r="W130" s="13">
        <f t="shared" si="81"/>
        <v>5.7348140219221633E-2</v>
      </c>
      <c r="X130" s="13">
        <f t="shared" si="81"/>
        <v>4.6813310669018837E-2</v>
      </c>
      <c r="Y130" s="13">
        <f t="shared" si="81"/>
        <v>3.9315680137526177E-2</v>
      </c>
      <c r="Z130" s="13">
        <f t="shared" si="81"/>
        <v>3.0656147687121882E-2</v>
      </c>
      <c r="AA130" s="13">
        <f t="shared" si="81"/>
        <v>2.1078410786145141E-2</v>
      </c>
      <c r="AB130" s="13">
        <f t="shared" si="81"/>
        <v>0.3197690768106819</v>
      </c>
      <c r="AC130" s="13">
        <f t="shared" si="81"/>
        <v>7.0554727560468211E-2</v>
      </c>
      <c r="AD130" s="13">
        <f t="shared" si="81"/>
        <v>7.6889512821447958E-2</v>
      </c>
      <c r="AE130" s="13">
        <f t="shared" si="81"/>
        <v>7.5627283480082741E-2</v>
      </c>
      <c r="AF130" s="13">
        <f t="shared" si="81"/>
        <v>7.6515881121711038E-2</v>
      </c>
      <c r="AG130" s="13">
        <f t="shared" si="81"/>
        <v>7.2102297945846883E-2</v>
      </c>
      <c r="AH130" s="13">
        <f t="shared" si="81"/>
        <v>6.3399786357353771E-2</v>
      </c>
      <c r="AI130" s="13">
        <f t="shared" si="81"/>
        <v>5.7348140219221633E-2</v>
      </c>
      <c r="AJ130" s="13">
        <f t="shared" si="81"/>
        <v>4.6813310669018837E-2</v>
      </c>
      <c r="AK130" s="13">
        <f t="shared" si="81"/>
        <v>3.9315680137526177E-2</v>
      </c>
      <c r="AL130" s="13">
        <f t="shared" si="81"/>
        <v>3.0656147687121882E-2</v>
      </c>
      <c r="AM130" s="13">
        <f t="shared" si="81"/>
        <v>2.1078410786145141E-2</v>
      </c>
      <c r="AN130" s="13">
        <f t="shared" si="81"/>
        <v>0.3197690768106819</v>
      </c>
      <c r="AO130" s="13">
        <f t="shared" si="81"/>
        <v>7.0554727560468211E-2</v>
      </c>
      <c r="AP130" s="13">
        <f t="shared" si="81"/>
        <v>7.6889512821447958E-2</v>
      </c>
      <c r="AQ130" s="13">
        <f t="shared" si="81"/>
        <v>7.5627283480082741E-2</v>
      </c>
      <c r="AR130" s="13">
        <f t="shared" si="81"/>
        <v>7.6515881121711038E-2</v>
      </c>
      <c r="AS130" s="13">
        <f t="shared" si="81"/>
        <v>7.2102297945846883E-2</v>
      </c>
      <c r="AT130" s="13">
        <f t="shared" si="81"/>
        <v>6.3399786357353771E-2</v>
      </c>
      <c r="AU130" s="13">
        <f t="shared" si="81"/>
        <v>5.7348140219221633E-2</v>
      </c>
      <c r="AV130" s="13">
        <f t="shared" si="81"/>
        <v>4.6813310669018837E-2</v>
      </c>
      <c r="AW130" s="13">
        <f t="shared" si="81"/>
        <v>3.9315680137526177E-2</v>
      </c>
      <c r="AX130" s="13">
        <f t="shared" si="81"/>
        <v>3.0656147687121882E-2</v>
      </c>
      <c r="AY130" s="13">
        <f t="shared" si="81"/>
        <v>2.1078410786145141E-2</v>
      </c>
      <c r="AZ130" s="13">
        <f t="shared" si="81"/>
        <v>0.3197690768106819</v>
      </c>
      <c r="BA130" s="13">
        <f t="shared" si="81"/>
        <v>7.0554727560468211E-2</v>
      </c>
      <c r="BB130" s="13">
        <f t="shared" si="81"/>
        <v>7.6889512821447958E-2</v>
      </c>
      <c r="BC130" s="13">
        <f t="shared" si="81"/>
        <v>7.5627283480082741E-2</v>
      </c>
      <c r="BD130" s="13">
        <f t="shared" si="81"/>
        <v>7.6515881121711038E-2</v>
      </c>
      <c r="BE130" s="13">
        <f t="shared" si="81"/>
        <v>7.2102297945846883E-2</v>
      </c>
      <c r="BF130" s="13">
        <f t="shared" si="81"/>
        <v>6.3399786357353771E-2</v>
      </c>
      <c r="BG130" s="13">
        <f t="shared" si="81"/>
        <v>5.7348140219221633E-2</v>
      </c>
      <c r="BH130" s="13">
        <f t="shared" si="81"/>
        <v>4.6813310669018837E-2</v>
      </c>
      <c r="BI130" s="13">
        <f t="shared" si="81"/>
        <v>3.9315680137526177E-2</v>
      </c>
    </row>
    <row r="131" spans="5:61" x14ac:dyDescent="0.35">
      <c r="E131">
        <f t="shared" si="82"/>
        <v>4</v>
      </c>
      <c r="J131" t="str">
        <f t="shared" si="83"/>
        <v>% des engagements</v>
      </c>
      <c r="N131" s="13">
        <f t="shared" si="81"/>
        <v>0</v>
      </c>
      <c r="O131" s="13">
        <f t="shared" si="81"/>
        <v>0</v>
      </c>
      <c r="P131" s="13">
        <f t="shared" si="81"/>
        <v>0</v>
      </c>
      <c r="Q131" s="13">
        <f t="shared" si="81"/>
        <v>0.3175098128644252</v>
      </c>
      <c r="R131" s="13">
        <f t="shared" si="81"/>
        <v>7.2813991506724907E-2</v>
      </c>
      <c r="S131" s="13">
        <f t="shared" si="81"/>
        <v>7.4373817995449176E-2</v>
      </c>
      <c r="T131" s="13">
        <f t="shared" si="81"/>
        <v>7.8142978306081523E-2</v>
      </c>
      <c r="U131" s="13">
        <f t="shared" si="81"/>
        <v>7.6515881121711038E-2</v>
      </c>
      <c r="V131" s="13">
        <f t="shared" si="81"/>
        <v>6.9870556997218669E-2</v>
      </c>
      <c r="W131" s="13">
        <f t="shared" si="81"/>
        <v>6.5631527305981985E-2</v>
      </c>
      <c r="X131" s="13">
        <f t="shared" si="81"/>
        <v>5.5638213577359763E-2</v>
      </c>
      <c r="Y131" s="13">
        <f t="shared" si="81"/>
        <v>4.8523237310880707E-2</v>
      </c>
      <c r="Z131" s="13">
        <f t="shared" si="81"/>
        <v>3.9315680137526177E-2</v>
      </c>
      <c r="AA131" s="13">
        <f t="shared" si="81"/>
        <v>2.8042525199069912E-2</v>
      </c>
      <c r="AB131" s="13">
        <f t="shared" si="81"/>
        <v>2.3692033274197111E-2</v>
      </c>
      <c r="AC131" s="13">
        <f t="shared" si="81"/>
        <v>0.3175098128644252</v>
      </c>
      <c r="AD131" s="13">
        <f t="shared" si="81"/>
        <v>7.2813991506724907E-2</v>
      </c>
      <c r="AE131" s="13">
        <f t="shared" si="81"/>
        <v>7.4373817995449176E-2</v>
      </c>
      <c r="AF131" s="13">
        <f t="shared" si="81"/>
        <v>7.8142978306081523E-2</v>
      </c>
      <c r="AG131" s="13">
        <f t="shared" si="81"/>
        <v>7.6515881121711038E-2</v>
      </c>
      <c r="AH131" s="13">
        <f t="shared" si="81"/>
        <v>6.9870556997218669E-2</v>
      </c>
      <c r="AI131" s="13">
        <f t="shared" si="81"/>
        <v>6.5631527305981985E-2</v>
      </c>
      <c r="AJ131" s="13">
        <f t="shared" si="81"/>
        <v>5.5638213577359763E-2</v>
      </c>
      <c r="AK131" s="13">
        <f t="shared" si="81"/>
        <v>4.8523237310880707E-2</v>
      </c>
      <c r="AL131" s="13">
        <f t="shared" si="81"/>
        <v>3.9315680137526177E-2</v>
      </c>
      <c r="AM131" s="13">
        <f t="shared" si="81"/>
        <v>2.8042525199069912E-2</v>
      </c>
      <c r="AN131" s="13">
        <f t="shared" si="81"/>
        <v>2.3692033274197111E-2</v>
      </c>
      <c r="AO131" s="13">
        <f t="shared" si="81"/>
        <v>0.3175098128644252</v>
      </c>
      <c r="AP131" s="13">
        <f t="shared" si="81"/>
        <v>7.2813991506724907E-2</v>
      </c>
      <c r="AQ131" s="13">
        <f t="shared" si="81"/>
        <v>7.4373817995449176E-2</v>
      </c>
      <c r="AR131" s="13">
        <f t="shared" si="81"/>
        <v>7.8142978306081523E-2</v>
      </c>
      <c r="AS131" s="13">
        <f t="shared" si="81"/>
        <v>7.6515881121711038E-2</v>
      </c>
      <c r="AT131" s="13">
        <f t="shared" si="81"/>
        <v>6.9870556997218669E-2</v>
      </c>
      <c r="AU131" s="13">
        <f t="shared" si="81"/>
        <v>6.5631527305981985E-2</v>
      </c>
      <c r="AV131" s="13">
        <f t="shared" si="81"/>
        <v>5.5638213577359763E-2</v>
      </c>
      <c r="AW131" s="13">
        <f t="shared" si="81"/>
        <v>4.8523237310880707E-2</v>
      </c>
      <c r="AX131" s="13">
        <f t="shared" si="81"/>
        <v>3.9315680137526177E-2</v>
      </c>
      <c r="AY131" s="13">
        <f t="shared" si="81"/>
        <v>2.8042525199069912E-2</v>
      </c>
      <c r="AZ131" s="13">
        <f t="shared" si="81"/>
        <v>2.3692033274197111E-2</v>
      </c>
      <c r="BA131" s="13">
        <f t="shared" si="81"/>
        <v>0.3175098128644252</v>
      </c>
      <c r="BB131" s="13">
        <f t="shared" si="81"/>
        <v>7.2813991506724907E-2</v>
      </c>
      <c r="BC131" s="13">
        <f t="shared" si="81"/>
        <v>7.4373817995449176E-2</v>
      </c>
      <c r="BD131" s="13">
        <f t="shared" si="81"/>
        <v>7.8142978306081523E-2</v>
      </c>
      <c r="BE131" s="13">
        <f t="shared" si="81"/>
        <v>7.6515881121711038E-2</v>
      </c>
      <c r="BF131" s="13">
        <f t="shared" si="81"/>
        <v>6.9870556997218669E-2</v>
      </c>
      <c r="BG131" s="13">
        <f t="shared" si="81"/>
        <v>6.5631527305981985E-2</v>
      </c>
      <c r="BH131" s="13">
        <f t="shared" si="81"/>
        <v>5.5638213577359763E-2</v>
      </c>
      <c r="BI131" s="13">
        <f t="shared" si="81"/>
        <v>4.8523237310880707E-2</v>
      </c>
    </row>
    <row r="132" spans="5:61" x14ac:dyDescent="0.35">
      <c r="E132">
        <f t="shared" si="82"/>
        <v>5</v>
      </c>
      <c r="J132" t="str">
        <f t="shared" si="83"/>
        <v>% des engagements</v>
      </c>
      <c r="N132" s="13">
        <f t="shared" si="81"/>
        <v>0</v>
      </c>
      <c r="O132" s="13">
        <f t="shared" si="81"/>
        <v>0</v>
      </c>
      <c r="P132" s="13">
        <f t="shared" si="81"/>
        <v>0</v>
      </c>
      <c r="Q132" s="13">
        <f t="shared" si="81"/>
        <v>0</v>
      </c>
      <c r="R132" s="13">
        <f t="shared" si="81"/>
        <v>0.3197690768106819</v>
      </c>
      <c r="S132" s="13">
        <f t="shared" si="81"/>
        <v>7.0554727560468211E-2</v>
      </c>
      <c r="T132" s="13">
        <f t="shared" si="81"/>
        <v>7.6889512821447958E-2</v>
      </c>
      <c r="U132" s="13">
        <f t="shared" si="81"/>
        <v>7.8136738419570584E-2</v>
      </c>
      <c r="V132" s="13">
        <f t="shared" si="81"/>
        <v>7.4006426182223195E-2</v>
      </c>
      <c r="W132" s="13">
        <f t="shared" si="81"/>
        <v>7.2102297945846883E-2</v>
      </c>
      <c r="X132" s="13">
        <f t="shared" si="81"/>
        <v>6.3399786357353771E-2</v>
      </c>
      <c r="Y132" s="13">
        <f t="shared" si="81"/>
        <v>5.7348140219221633E-2</v>
      </c>
      <c r="Z132" s="13">
        <f t="shared" si="81"/>
        <v>4.8223863909034548E-2</v>
      </c>
      <c r="AA132" s="13">
        <f t="shared" si="81"/>
        <v>3.5638638100470632E-2</v>
      </c>
      <c r="AB132" s="13">
        <f t="shared" si="81"/>
        <v>3.1188271638945775E-2</v>
      </c>
      <c r="AC132" s="13">
        <f t="shared" si="81"/>
        <v>2.2812775631361082E-2</v>
      </c>
      <c r="AD132" s="13">
        <f t="shared" si="81"/>
        <v>0.3197690768106819</v>
      </c>
      <c r="AE132" s="13">
        <f t="shared" si="81"/>
        <v>7.0554727560468211E-2</v>
      </c>
      <c r="AF132" s="13">
        <f t="shared" si="81"/>
        <v>7.6889512821447958E-2</v>
      </c>
      <c r="AG132" s="13">
        <f t="shared" si="81"/>
        <v>7.8136738419570584E-2</v>
      </c>
      <c r="AH132" s="13">
        <f t="shared" si="81"/>
        <v>7.4006426182223195E-2</v>
      </c>
      <c r="AI132" s="13">
        <f t="shared" si="81"/>
        <v>7.2102297945846883E-2</v>
      </c>
      <c r="AJ132" s="13">
        <f t="shared" si="81"/>
        <v>6.3399786357353771E-2</v>
      </c>
      <c r="AK132" s="13">
        <f t="shared" si="81"/>
        <v>5.7348140219221633E-2</v>
      </c>
      <c r="AL132" s="13">
        <f t="shared" si="81"/>
        <v>4.8223863909034548E-2</v>
      </c>
      <c r="AM132" s="13">
        <f t="shared" si="81"/>
        <v>3.5638638100470632E-2</v>
      </c>
      <c r="AN132" s="13">
        <f t="shared" si="81"/>
        <v>3.1188271638945775E-2</v>
      </c>
      <c r="AO132" s="13">
        <f t="shared" si="81"/>
        <v>2.2812775631361082E-2</v>
      </c>
      <c r="AP132" s="13">
        <f t="shared" si="81"/>
        <v>0.3197690768106819</v>
      </c>
      <c r="AQ132" s="13">
        <f t="shared" si="81"/>
        <v>7.0554727560468211E-2</v>
      </c>
      <c r="AR132" s="13">
        <f t="shared" si="81"/>
        <v>7.6889512821447958E-2</v>
      </c>
      <c r="AS132" s="13">
        <f t="shared" si="81"/>
        <v>7.8136738419570584E-2</v>
      </c>
      <c r="AT132" s="13">
        <f t="shared" si="81"/>
        <v>7.4006426182223195E-2</v>
      </c>
      <c r="AU132" s="13">
        <f t="shared" si="81"/>
        <v>7.2102297945846883E-2</v>
      </c>
      <c r="AV132" s="13">
        <f t="shared" si="81"/>
        <v>6.3399786357353771E-2</v>
      </c>
      <c r="AW132" s="13">
        <f t="shared" si="81"/>
        <v>5.7348140219221633E-2</v>
      </c>
      <c r="AX132" s="13">
        <f t="shared" si="81"/>
        <v>4.8223863909034548E-2</v>
      </c>
      <c r="AY132" s="13">
        <f t="shared" si="81"/>
        <v>3.5638638100470632E-2</v>
      </c>
      <c r="AZ132" s="13">
        <f t="shared" si="81"/>
        <v>3.1188271638945775E-2</v>
      </c>
      <c r="BA132" s="13">
        <f t="shared" si="81"/>
        <v>2.2812775631361082E-2</v>
      </c>
      <c r="BB132" s="13">
        <f t="shared" si="81"/>
        <v>0.3197690768106819</v>
      </c>
      <c r="BC132" s="13">
        <f t="shared" si="81"/>
        <v>7.0554727560468211E-2</v>
      </c>
      <c r="BD132" s="13">
        <f t="shared" si="81"/>
        <v>7.6889512821447958E-2</v>
      </c>
      <c r="BE132" s="13">
        <f t="shared" si="81"/>
        <v>7.8136738419570584E-2</v>
      </c>
      <c r="BF132" s="13">
        <f t="shared" si="81"/>
        <v>7.4006426182223195E-2</v>
      </c>
      <c r="BG132" s="13">
        <f t="shared" si="81"/>
        <v>7.2102297945846883E-2</v>
      </c>
      <c r="BH132" s="13">
        <f t="shared" si="81"/>
        <v>6.3399786357353771E-2</v>
      </c>
      <c r="BI132" s="13">
        <f t="shared" si="81"/>
        <v>5.7348140219221633E-2</v>
      </c>
    </row>
    <row r="133" spans="5:61" x14ac:dyDescent="0.35">
      <c r="E133">
        <f t="shared" si="82"/>
        <v>6</v>
      </c>
      <c r="J133" t="str">
        <f t="shared" si="83"/>
        <v>% des engagements</v>
      </c>
      <c r="N133" s="13">
        <f t="shared" si="81"/>
        <v>0</v>
      </c>
      <c r="O133" s="13">
        <f t="shared" si="81"/>
        <v>0</v>
      </c>
      <c r="P133" s="13">
        <f t="shared" si="81"/>
        <v>0</v>
      </c>
      <c r="Q133" s="13">
        <f t="shared" si="81"/>
        <v>0</v>
      </c>
      <c r="R133" s="13">
        <f t="shared" si="81"/>
        <v>0</v>
      </c>
      <c r="S133" s="13">
        <f t="shared" si="81"/>
        <v>0.3175098128644252</v>
      </c>
      <c r="T133" s="13">
        <f t="shared" si="81"/>
        <v>7.2813991506724907E-2</v>
      </c>
      <c r="U133" s="13">
        <f t="shared" si="81"/>
        <v>7.6889512821447958E-2</v>
      </c>
      <c r="V133" s="13">
        <f t="shared" si="81"/>
        <v>7.5627283480082741E-2</v>
      </c>
      <c r="W133" s="13">
        <f t="shared" si="81"/>
        <v>7.6515881121711038E-2</v>
      </c>
      <c r="X133" s="13">
        <f t="shared" si="81"/>
        <v>6.9870556997218669E-2</v>
      </c>
      <c r="Y133" s="13">
        <f t="shared" si="81"/>
        <v>6.5631527305981985E-2</v>
      </c>
      <c r="Z133" s="13">
        <f t="shared" si="81"/>
        <v>5.7348140219221633E-2</v>
      </c>
      <c r="AA133" s="13">
        <f t="shared" si="81"/>
        <v>4.3963281796742248E-2</v>
      </c>
      <c r="AB133" s="13">
        <f t="shared" si="81"/>
        <v>3.9899220212762931E-2</v>
      </c>
      <c r="AC133" s="13">
        <f t="shared" ref="N133:BI138" si="84">AC101</f>
        <v>3.0309013996109746E-2</v>
      </c>
      <c r="AD133" s="13">
        <f t="shared" si="84"/>
        <v>2.3692033274197111E-2</v>
      </c>
      <c r="AE133" s="13">
        <f t="shared" si="84"/>
        <v>0.3175098128644252</v>
      </c>
      <c r="AF133" s="13">
        <f t="shared" si="84"/>
        <v>7.2813991506724907E-2</v>
      </c>
      <c r="AG133" s="13">
        <f t="shared" si="84"/>
        <v>7.6889512821447958E-2</v>
      </c>
      <c r="AH133" s="13">
        <f t="shared" si="84"/>
        <v>7.5627283480082741E-2</v>
      </c>
      <c r="AI133" s="13">
        <f t="shared" si="84"/>
        <v>7.6515881121711038E-2</v>
      </c>
      <c r="AJ133" s="13">
        <f t="shared" si="84"/>
        <v>6.9870556997218669E-2</v>
      </c>
      <c r="AK133" s="13">
        <f t="shared" si="84"/>
        <v>6.5631527305981985E-2</v>
      </c>
      <c r="AL133" s="13">
        <f t="shared" si="84"/>
        <v>5.7348140219221633E-2</v>
      </c>
      <c r="AM133" s="13">
        <f t="shared" si="84"/>
        <v>4.3963281796742248E-2</v>
      </c>
      <c r="AN133" s="13">
        <f t="shared" si="84"/>
        <v>3.9899220212762931E-2</v>
      </c>
      <c r="AO133" s="13">
        <f t="shared" si="84"/>
        <v>3.0309013996109746E-2</v>
      </c>
      <c r="AP133" s="13">
        <f t="shared" si="84"/>
        <v>2.3692033274197111E-2</v>
      </c>
      <c r="AQ133" s="13">
        <f t="shared" si="84"/>
        <v>0.3175098128644252</v>
      </c>
      <c r="AR133" s="13">
        <f t="shared" si="84"/>
        <v>7.2813991506724907E-2</v>
      </c>
      <c r="AS133" s="13">
        <f t="shared" si="84"/>
        <v>7.6889512821447958E-2</v>
      </c>
      <c r="AT133" s="13">
        <f t="shared" si="84"/>
        <v>7.5627283480082741E-2</v>
      </c>
      <c r="AU133" s="13">
        <f t="shared" si="84"/>
        <v>7.6515881121711038E-2</v>
      </c>
      <c r="AV133" s="13">
        <f t="shared" si="84"/>
        <v>6.9870556997218669E-2</v>
      </c>
      <c r="AW133" s="13">
        <f t="shared" si="84"/>
        <v>6.5631527305981985E-2</v>
      </c>
      <c r="AX133" s="13">
        <f t="shared" si="84"/>
        <v>5.7348140219221633E-2</v>
      </c>
      <c r="AY133" s="13">
        <f t="shared" si="84"/>
        <v>4.3963281796742248E-2</v>
      </c>
      <c r="AZ133" s="13">
        <f t="shared" si="84"/>
        <v>3.9899220212762931E-2</v>
      </c>
      <c r="BA133" s="13">
        <f t="shared" si="84"/>
        <v>3.0309013996109746E-2</v>
      </c>
      <c r="BB133" s="13">
        <f t="shared" si="84"/>
        <v>2.3692033274197111E-2</v>
      </c>
      <c r="BC133" s="13">
        <f t="shared" si="84"/>
        <v>0.3175098128644252</v>
      </c>
      <c r="BD133" s="13">
        <f t="shared" si="84"/>
        <v>7.2813991506724907E-2</v>
      </c>
      <c r="BE133" s="13">
        <f t="shared" si="84"/>
        <v>7.6889512821447958E-2</v>
      </c>
      <c r="BF133" s="13">
        <f t="shared" si="84"/>
        <v>7.5627283480082741E-2</v>
      </c>
      <c r="BG133" s="13">
        <f t="shared" si="84"/>
        <v>7.6515881121711038E-2</v>
      </c>
      <c r="BH133" s="13">
        <f t="shared" si="84"/>
        <v>6.9870556997218669E-2</v>
      </c>
      <c r="BI133" s="13">
        <f t="shared" si="84"/>
        <v>6.5631527305981985E-2</v>
      </c>
    </row>
    <row r="134" spans="5:61" x14ac:dyDescent="0.35">
      <c r="E134">
        <f t="shared" si="82"/>
        <v>7</v>
      </c>
      <c r="J134" t="str">
        <f t="shared" si="83"/>
        <v>% des engagements</v>
      </c>
      <c r="N134" s="13">
        <f t="shared" si="84"/>
        <v>0</v>
      </c>
      <c r="O134" s="13">
        <f t="shared" si="84"/>
        <v>0</v>
      </c>
      <c r="P134" s="13">
        <f t="shared" si="84"/>
        <v>0</v>
      </c>
      <c r="Q134" s="13">
        <f t="shared" si="84"/>
        <v>0</v>
      </c>
      <c r="R134" s="13">
        <f t="shared" si="84"/>
        <v>0</v>
      </c>
      <c r="S134" s="13">
        <f t="shared" si="84"/>
        <v>0</v>
      </c>
      <c r="T134" s="13">
        <f t="shared" si="84"/>
        <v>0.3197690768106819</v>
      </c>
      <c r="U134" s="13">
        <f t="shared" si="84"/>
        <v>7.29857240857959E-2</v>
      </c>
      <c r="V134" s="13">
        <f t="shared" si="84"/>
        <v>7.445851629612027E-2</v>
      </c>
      <c r="W134" s="13">
        <f t="shared" si="84"/>
        <v>7.8136738419570584E-2</v>
      </c>
      <c r="X134" s="13">
        <f t="shared" si="84"/>
        <v>7.4006426182223195E-2</v>
      </c>
      <c r="Y134" s="13">
        <f t="shared" si="84"/>
        <v>7.2102297945846883E-2</v>
      </c>
      <c r="Z134" s="13">
        <f t="shared" si="84"/>
        <v>6.5385660435665516E-2</v>
      </c>
      <c r="AA134" s="13">
        <f t="shared" si="84"/>
        <v>5.1932865831830544E-2</v>
      </c>
      <c r="AB134" s="13">
        <f t="shared" si="84"/>
        <v>4.882251980031338E-2</v>
      </c>
      <c r="AC134" s="13">
        <f t="shared" si="84"/>
        <v>3.8469382518271145E-2</v>
      </c>
      <c r="AD134" s="13">
        <f t="shared" si="84"/>
        <v>3.1188271638945775E-2</v>
      </c>
      <c r="AE134" s="13">
        <f t="shared" si="84"/>
        <v>2.2812775631361082E-2</v>
      </c>
      <c r="AF134" s="13">
        <f t="shared" si="84"/>
        <v>0.3197690768106819</v>
      </c>
      <c r="AG134" s="13">
        <f t="shared" si="84"/>
        <v>7.29857240857959E-2</v>
      </c>
      <c r="AH134" s="13">
        <f t="shared" si="84"/>
        <v>7.445851629612027E-2</v>
      </c>
      <c r="AI134" s="13">
        <f t="shared" si="84"/>
        <v>7.8136738419570584E-2</v>
      </c>
      <c r="AJ134" s="13">
        <f t="shared" si="84"/>
        <v>7.4006426182223195E-2</v>
      </c>
      <c r="AK134" s="13">
        <f t="shared" si="84"/>
        <v>7.2102297945846883E-2</v>
      </c>
      <c r="AL134" s="13">
        <f t="shared" si="84"/>
        <v>6.5385660435665516E-2</v>
      </c>
      <c r="AM134" s="13">
        <f t="shared" si="84"/>
        <v>5.1932865831830544E-2</v>
      </c>
      <c r="AN134" s="13">
        <f t="shared" si="84"/>
        <v>4.882251980031338E-2</v>
      </c>
      <c r="AO134" s="13">
        <f t="shared" si="84"/>
        <v>3.8469382518271145E-2</v>
      </c>
      <c r="AP134" s="13">
        <f t="shared" si="84"/>
        <v>3.1188271638945775E-2</v>
      </c>
      <c r="AQ134" s="13">
        <f t="shared" si="84"/>
        <v>2.2812775631361082E-2</v>
      </c>
      <c r="AR134" s="13">
        <f t="shared" si="84"/>
        <v>0.3197690768106819</v>
      </c>
      <c r="AS134" s="13">
        <f t="shared" si="84"/>
        <v>7.29857240857959E-2</v>
      </c>
      <c r="AT134" s="13">
        <f t="shared" si="84"/>
        <v>7.445851629612027E-2</v>
      </c>
      <c r="AU134" s="13">
        <f t="shared" si="84"/>
        <v>7.8136738419570584E-2</v>
      </c>
      <c r="AV134" s="13">
        <f t="shared" si="84"/>
        <v>7.4006426182223195E-2</v>
      </c>
      <c r="AW134" s="13">
        <f t="shared" si="84"/>
        <v>7.2102297945846883E-2</v>
      </c>
      <c r="AX134" s="13">
        <f t="shared" si="84"/>
        <v>6.5385660435665516E-2</v>
      </c>
      <c r="AY134" s="13">
        <f t="shared" si="84"/>
        <v>5.1932865831830544E-2</v>
      </c>
      <c r="AZ134" s="13">
        <f t="shared" si="84"/>
        <v>4.882251980031338E-2</v>
      </c>
      <c r="BA134" s="13">
        <f t="shared" si="84"/>
        <v>3.8469382518271145E-2</v>
      </c>
      <c r="BB134" s="13">
        <f t="shared" si="84"/>
        <v>3.1188271638945775E-2</v>
      </c>
      <c r="BC134" s="13">
        <f t="shared" si="84"/>
        <v>2.2812775631361082E-2</v>
      </c>
      <c r="BD134" s="13">
        <f t="shared" si="84"/>
        <v>0.3197690768106819</v>
      </c>
      <c r="BE134" s="13">
        <f t="shared" si="84"/>
        <v>7.29857240857959E-2</v>
      </c>
      <c r="BF134" s="13">
        <f t="shared" si="84"/>
        <v>7.445851629612027E-2</v>
      </c>
      <c r="BG134" s="13">
        <f t="shared" si="84"/>
        <v>7.8136738419570584E-2</v>
      </c>
      <c r="BH134" s="13">
        <f t="shared" si="84"/>
        <v>7.4006426182223195E-2</v>
      </c>
      <c r="BI134" s="13">
        <f t="shared" si="84"/>
        <v>7.2102297945846883E-2</v>
      </c>
    </row>
    <row r="135" spans="5:61" x14ac:dyDescent="0.35">
      <c r="E135">
        <f t="shared" si="82"/>
        <v>8</v>
      </c>
      <c r="J135" t="str">
        <f t="shared" si="83"/>
        <v>% des engagements</v>
      </c>
      <c r="N135" s="13">
        <f t="shared" si="84"/>
        <v>0</v>
      </c>
      <c r="O135" s="13">
        <f t="shared" si="84"/>
        <v>0</v>
      </c>
      <c r="P135" s="13">
        <f t="shared" si="84"/>
        <v>0</v>
      </c>
      <c r="Q135" s="13">
        <f t="shared" si="84"/>
        <v>0</v>
      </c>
      <c r="R135" s="13">
        <f t="shared" si="84"/>
        <v>0</v>
      </c>
      <c r="S135" s="13">
        <f t="shared" si="84"/>
        <v>0</v>
      </c>
      <c r="T135" s="13">
        <f t="shared" si="84"/>
        <v>0</v>
      </c>
      <c r="U135" s="13">
        <f t="shared" si="84"/>
        <v>0.3197690768106819</v>
      </c>
      <c r="V135" s="13">
        <f t="shared" si="84"/>
        <v>7.0554727560468211E-2</v>
      </c>
      <c r="W135" s="13">
        <f t="shared" si="84"/>
        <v>7.6889512821447958E-2</v>
      </c>
      <c r="X135" s="13">
        <f t="shared" si="84"/>
        <v>7.5627283480082741E-2</v>
      </c>
      <c r="Y135" s="13">
        <f t="shared" si="84"/>
        <v>7.6515881121711038E-2</v>
      </c>
      <c r="Z135" s="13">
        <f t="shared" si="84"/>
        <v>7.2102297945846883E-2</v>
      </c>
      <c r="AA135" s="13">
        <f t="shared" si="84"/>
        <v>5.9402012037382823E-2</v>
      </c>
      <c r="AB135" s="13">
        <f t="shared" si="84"/>
        <v>5.7916514230113236E-2</v>
      </c>
      <c r="AC135" s="13">
        <f t="shared" si="84"/>
        <v>4.7392682105821593E-2</v>
      </c>
      <c r="AD135" s="13">
        <f t="shared" si="84"/>
        <v>3.9899220212762931E-2</v>
      </c>
      <c r="AE135" s="13">
        <f t="shared" si="84"/>
        <v>3.0309013996109746E-2</v>
      </c>
      <c r="AF135" s="13">
        <f t="shared" si="84"/>
        <v>2.3692033274197111E-2</v>
      </c>
      <c r="AG135" s="13">
        <f t="shared" si="84"/>
        <v>0.3197690768106819</v>
      </c>
      <c r="AH135" s="13">
        <f t="shared" si="84"/>
        <v>7.0554727560468211E-2</v>
      </c>
      <c r="AI135" s="13">
        <f t="shared" si="84"/>
        <v>7.6889512821447958E-2</v>
      </c>
      <c r="AJ135" s="13">
        <f t="shared" si="84"/>
        <v>7.5627283480082741E-2</v>
      </c>
      <c r="AK135" s="13">
        <f t="shared" si="84"/>
        <v>7.6515881121711038E-2</v>
      </c>
      <c r="AL135" s="13">
        <f t="shared" si="84"/>
        <v>7.2102297945846883E-2</v>
      </c>
      <c r="AM135" s="13">
        <f t="shared" si="84"/>
        <v>5.9402012037382823E-2</v>
      </c>
      <c r="AN135" s="13">
        <f t="shared" si="84"/>
        <v>5.7916514230113236E-2</v>
      </c>
      <c r="AO135" s="13">
        <f t="shared" si="84"/>
        <v>4.7392682105821593E-2</v>
      </c>
      <c r="AP135" s="13">
        <f t="shared" si="84"/>
        <v>3.9899220212762931E-2</v>
      </c>
      <c r="AQ135" s="13">
        <f t="shared" si="84"/>
        <v>3.0309013996109746E-2</v>
      </c>
      <c r="AR135" s="13">
        <f t="shared" si="84"/>
        <v>2.3692033274197111E-2</v>
      </c>
      <c r="AS135" s="13">
        <f t="shared" si="84"/>
        <v>0.3197690768106819</v>
      </c>
      <c r="AT135" s="13">
        <f t="shared" si="84"/>
        <v>7.0554727560468211E-2</v>
      </c>
      <c r="AU135" s="13">
        <f t="shared" si="84"/>
        <v>7.6889512821447958E-2</v>
      </c>
      <c r="AV135" s="13">
        <f t="shared" si="84"/>
        <v>7.5627283480082741E-2</v>
      </c>
      <c r="AW135" s="13">
        <f t="shared" si="84"/>
        <v>7.6515881121711038E-2</v>
      </c>
      <c r="AX135" s="13">
        <f t="shared" si="84"/>
        <v>7.2102297945846883E-2</v>
      </c>
      <c r="AY135" s="13">
        <f t="shared" si="84"/>
        <v>5.9402012037382823E-2</v>
      </c>
      <c r="AZ135" s="13">
        <f t="shared" si="84"/>
        <v>5.7916514230113236E-2</v>
      </c>
      <c r="BA135" s="13">
        <f t="shared" si="84"/>
        <v>4.7392682105821593E-2</v>
      </c>
      <c r="BB135" s="13">
        <f t="shared" si="84"/>
        <v>3.9899220212762931E-2</v>
      </c>
      <c r="BC135" s="13">
        <f t="shared" si="84"/>
        <v>3.0309013996109746E-2</v>
      </c>
      <c r="BD135" s="13">
        <f t="shared" si="84"/>
        <v>2.3692033274197111E-2</v>
      </c>
      <c r="BE135" s="13">
        <f t="shared" si="84"/>
        <v>0.3197690768106819</v>
      </c>
      <c r="BF135" s="13">
        <f t="shared" si="84"/>
        <v>7.0554727560468211E-2</v>
      </c>
      <c r="BG135" s="13">
        <f t="shared" si="84"/>
        <v>7.6889512821447958E-2</v>
      </c>
      <c r="BH135" s="13">
        <f t="shared" si="84"/>
        <v>7.5627283480082741E-2</v>
      </c>
      <c r="BI135" s="13">
        <f t="shared" si="84"/>
        <v>7.6515881121711038E-2</v>
      </c>
    </row>
    <row r="136" spans="5:61" x14ac:dyDescent="0.35">
      <c r="E136">
        <f t="shared" si="82"/>
        <v>9</v>
      </c>
      <c r="J136" t="str">
        <f t="shared" si="83"/>
        <v>% des engagements</v>
      </c>
      <c r="N136" s="13">
        <f t="shared" si="84"/>
        <v>0</v>
      </c>
      <c r="O136" s="13">
        <f t="shared" si="84"/>
        <v>0</v>
      </c>
      <c r="P136" s="13">
        <f t="shared" si="84"/>
        <v>0</v>
      </c>
      <c r="Q136" s="13">
        <f t="shared" si="84"/>
        <v>0</v>
      </c>
      <c r="R136" s="13">
        <f t="shared" si="84"/>
        <v>0</v>
      </c>
      <c r="S136" s="13">
        <f t="shared" si="84"/>
        <v>0</v>
      </c>
      <c r="T136" s="13">
        <f t="shared" si="84"/>
        <v>0</v>
      </c>
      <c r="U136" s="13">
        <f t="shared" si="84"/>
        <v>0</v>
      </c>
      <c r="V136" s="13">
        <f t="shared" si="84"/>
        <v>0.3175098128644252</v>
      </c>
      <c r="W136" s="13">
        <f t="shared" si="84"/>
        <v>7.2813991506724907E-2</v>
      </c>
      <c r="X136" s="13">
        <f t="shared" si="84"/>
        <v>7.4373817995449176E-2</v>
      </c>
      <c r="Y136" s="13">
        <f t="shared" si="84"/>
        <v>7.8142978306081523E-2</v>
      </c>
      <c r="Z136" s="13">
        <f t="shared" si="84"/>
        <v>7.6515881121711038E-2</v>
      </c>
      <c r="AA136" s="13">
        <f t="shared" si="84"/>
        <v>6.5386192212976035E-2</v>
      </c>
      <c r="AB136" s="13">
        <f t="shared" si="84"/>
        <v>6.611811777025367E-2</v>
      </c>
      <c r="AC136" s="13">
        <f t="shared" si="84"/>
        <v>5.6187509491861354E-2</v>
      </c>
      <c r="AD136" s="13">
        <f t="shared" si="84"/>
        <v>4.9121686844073476E-2</v>
      </c>
      <c r="AE136" s="13">
        <f t="shared" si="84"/>
        <v>3.8752330877128038E-2</v>
      </c>
      <c r="AF136" s="13">
        <f t="shared" si="84"/>
        <v>3.1455903331744639E-2</v>
      </c>
      <c r="AG136" s="13">
        <f t="shared" si="84"/>
        <v>2.3692033274197111E-2</v>
      </c>
      <c r="AH136" s="13">
        <f t="shared" si="84"/>
        <v>0.3175098128644252</v>
      </c>
      <c r="AI136" s="13">
        <f t="shared" si="84"/>
        <v>7.2813991506724907E-2</v>
      </c>
      <c r="AJ136" s="13">
        <f t="shared" si="84"/>
        <v>7.4373817995449176E-2</v>
      </c>
      <c r="AK136" s="13">
        <f t="shared" si="84"/>
        <v>7.8142978306081523E-2</v>
      </c>
      <c r="AL136" s="13">
        <f t="shared" si="84"/>
        <v>7.6515881121711038E-2</v>
      </c>
      <c r="AM136" s="13">
        <f t="shared" si="84"/>
        <v>6.5386192212976035E-2</v>
      </c>
      <c r="AN136" s="13">
        <f t="shared" si="84"/>
        <v>6.611811777025367E-2</v>
      </c>
      <c r="AO136" s="13">
        <f t="shared" si="84"/>
        <v>5.6187509491861354E-2</v>
      </c>
      <c r="AP136" s="13">
        <f t="shared" si="84"/>
        <v>4.9121686844073476E-2</v>
      </c>
      <c r="AQ136" s="13">
        <f t="shared" si="84"/>
        <v>3.8752330877128038E-2</v>
      </c>
      <c r="AR136" s="13">
        <f t="shared" si="84"/>
        <v>3.1455903331744639E-2</v>
      </c>
      <c r="AS136" s="13">
        <f t="shared" si="84"/>
        <v>2.3692033274197111E-2</v>
      </c>
      <c r="AT136" s="13">
        <f t="shared" si="84"/>
        <v>0.3175098128644252</v>
      </c>
      <c r="AU136" s="13">
        <f t="shared" si="84"/>
        <v>7.2813991506724907E-2</v>
      </c>
      <c r="AV136" s="13">
        <f t="shared" si="84"/>
        <v>7.4373817995449176E-2</v>
      </c>
      <c r="AW136" s="13">
        <f t="shared" si="84"/>
        <v>7.8142978306081523E-2</v>
      </c>
      <c r="AX136" s="13">
        <f t="shared" si="84"/>
        <v>7.6515881121711038E-2</v>
      </c>
      <c r="AY136" s="13">
        <f t="shared" si="84"/>
        <v>6.5386192212976035E-2</v>
      </c>
      <c r="AZ136" s="13">
        <f t="shared" si="84"/>
        <v>6.611811777025367E-2</v>
      </c>
      <c r="BA136" s="13">
        <f t="shared" si="84"/>
        <v>5.6187509491861354E-2</v>
      </c>
      <c r="BB136" s="13">
        <f t="shared" si="84"/>
        <v>4.9121686844073476E-2</v>
      </c>
      <c r="BC136" s="13">
        <f t="shared" si="84"/>
        <v>3.8752330877128038E-2</v>
      </c>
      <c r="BD136" s="13">
        <f t="shared" si="84"/>
        <v>3.1455903331744639E-2</v>
      </c>
      <c r="BE136" s="13">
        <f t="shared" si="84"/>
        <v>2.3692033274197111E-2</v>
      </c>
      <c r="BF136" s="13">
        <f t="shared" si="84"/>
        <v>0.3175098128644252</v>
      </c>
      <c r="BG136" s="13">
        <f t="shared" si="84"/>
        <v>7.2813991506724907E-2</v>
      </c>
      <c r="BH136" s="13">
        <f t="shared" si="84"/>
        <v>7.4373817995449176E-2</v>
      </c>
      <c r="BI136" s="13">
        <f t="shared" si="84"/>
        <v>7.8142978306081523E-2</v>
      </c>
    </row>
    <row r="137" spans="5:61" x14ac:dyDescent="0.35">
      <c r="E137">
        <f>E105</f>
        <v>10</v>
      </c>
      <c r="J137" t="str">
        <f>J105</f>
        <v>% des engagements</v>
      </c>
      <c r="N137" s="13">
        <f t="shared" si="84"/>
        <v>0</v>
      </c>
      <c r="O137" s="13">
        <f t="shared" si="84"/>
        <v>0</v>
      </c>
      <c r="P137" s="13">
        <f t="shared" si="84"/>
        <v>0</v>
      </c>
      <c r="Q137" s="13">
        <f t="shared" si="84"/>
        <v>0</v>
      </c>
      <c r="R137" s="13">
        <f t="shared" si="84"/>
        <v>0</v>
      </c>
      <c r="S137" s="13">
        <f t="shared" si="84"/>
        <v>0</v>
      </c>
      <c r="T137" s="13">
        <f t="shared" si="84"/>
        <v>0</v>
      </c>
      <c r="U137" s="13">
        <f t="shared" si="84"/>
        <v>0</v>
      </c>
      <c r="V137" s="13">
        <f t="shared" si="84"/>
        <v>0</v>
      </c>
      <c r="W137" s="13">
        <f t="shared" si="84"/>
        <v>0.3197690768106819</v>
      </c>
      <c r="X137" s="13">
        <f t="shared" si="84"/>
        <v>7.0554727560468211E-2</v>
      </c>
      <c r="Y137" s="13">
        <f t="shared" si="84"/>
        <v>7.6889512821447958E-2</v>
      </c>
      <c r="Z137" s="13">
        <f t="shared" si="84"/>
        <v>7.8136738419570584E-2</v>
      </c>
      <c r="AA137" s="13">
        <f t="shared" si="84"/>
        <v>6.9175201303446676E-2</v>
      </c>
      <c r="AB137" s="13">
        <f t="shared" si="84"/>
        <v>7.2463057265272246E-2</v>
      </c>
      <c r="AC137" s="13">
        <f t="shared" si="84"/>
        <v>6.3872477596733979E-2</v>
      </c>
      <c r="AD137" s="13">
        <f t="shared" si="84"/>
        <v>5.7916514230113236E-2</v>
      </c>
      <c r="AE137" s="13">
        <f t="shared" si="84"/>
        <v>4.7392682105821593E-2</v>
      </c>
      <c r="AF137" s="13">
        <f t="shared" si="84"/>
        <v>3.9899220212762931E-2</v>
      </c>
      <c r="AG137" s="13">
        <f t="shared" si="84"/>
        <v>3.1188271638945775E-2</v>
      </c>
      <c r="AH137" s="13">
        <f t="shared" si="84"/>
        <v>2.2812775631361082E-2</v>
      </c>
      <c r="AI137" s="13">
        <f t="shared" si="84"/>
        <v>0.3197690768106819</v>
      </c>
      <c r="AJ137" s="13">
        <f t="shared" si="84"/>
        <v>7.0554727560468211E-2</v>
      </c>
      <c r="AK137" s="13">
        <f t="shared" si="84"/>
        <v>7.6889512821447958E-2</v>
      </c>
      <c r="AL137" s="13">
        <f t="shared" si="84"/>
        <v>7.8136738419570584E-2</v>
      </c>
      <c r="AM137" s="13">
        <f t="shared" si="84"/>
        <v>6.9175201303446676E-2</v>
      </c>
      <c r="AN137" s="13">
        <f t="shared" si="84"/>
        <v>7.2463057265272246E-2</v>
      </c>
      <c r="AO137" s="13">
        <f t="shared" si="84"/>
        <v>6.3872477596733979E-2</v>
      </c>
      <c r="AP137" s="13">
        <f t="shared" si="84"/>
        <v>5.7916514230113236E-2</v>
      </c>
      <c r="AQ137" s="13">
        <f t="shared" si="84"/>
        <v>4.7392682105821593E-2</v>
      </c>
      <c r="AR137" s="13">
        <f t="shared" si="84"/>
        <v>3.9899220212762931E-2</v>
      </c>
      <c r="AS137" s="13">
        <f t="shared" si="84"/>
        <v>3.1188271638945775E-2</v>
      </c>
      <c r="AT137" s="13">
        <f t="shared" si="84"/>
        <v>2.2812775631361082E-2</v>
      </c>
      <c r="AU137" s="13">
        <f t="shared" si="84"/>
        <v>0.3197690768106819</v>
      </c>
      <c r="AV137" s="13">
        <f t="shared" si="84"/>
        <v>7.0554727560468211E-2</v>
      </c>
      <c r="AW137" s="13">
        <f t="shared" si="84"/>
        <v>7.6889512821447958E-2</v>
      </c>
      <c r="AX137" s="13">
        <f t="shared" si="84"/>
        <v>7.8136738419570584E-2</v>
      </c>
      <c r="AY137" s="13">
        <f t="shared" si="84"/>
        <v>6.9175201303446676E-2</v>
      </c>
      <c r="AZ137" s="13">
        <f t="shared" si="84"/>
        <v>7.2463057265272246E-2</v>
      </c>
      <c r="BA137" s="13">
        <f t="shared" si="84"/>
        <v>6.3872477596733979E-2</v>
      </c>
      <c r="BB137" s="13">
        <f t="shared" si="84"/>
        <v>5.7916514230113236E-2</v>
      </c>
      <c r="BC137" s="13">
        <f t="shared" si="84"/>
        <v>4.7392682105821593E-2</v>
      </c>
      <c r="BD137" s="13">
        <f t="shared" si="84"/>
        <v>3.9899220212762931E-2</v>
      </c>
      <c r="BE137" s="13">
        <f t="shared" si="84"/>
        <v>3.1188271638945775E-2</v>
      </c>
      <c r="BF137" s="13">
        <f t="shared" si="84"/>
        <v>2.2812775631361082E-2</v>
      </c>
      <c r="BG137" s="13">
        <f t="shared" si="84"/>
        <v>0.3197690768106819</v>
      </c>
      <c r="BH137" s="13">
        <f t="shared" si="84"/>
        <v>7.0554727560468211E-2</v>
      </c>
      <c r="BI137" s="13">
        <f t="shared" si="84"/>
        <v>7.6889512821447958E-2</v>
      </c>
    </row>
    <row r="138" spans="5:61" x14ac:dyDescent="0.35">
      <c r="E138">
        <f t="shared" si="82"/>
        <v>11</v>
      </c>
      <c r="J138" t="str">
        <f t="shared" si="83"/>
        <v>% des engagements</v>
      </c>
      <c r="N138" s="13">
        <f t="shared" si="84"/>
        <v>0</v>
      </c>
      <c r="O138" s="13">
        <f t="shared" si="84"/>
        <v>0</v>
      </c>
      <c r="P138" s="13">
        <f t="shared" si="84"/>
        <v>0</v>
      </c>
      <c r="Q138" s="13">
        <f t="shared" si="84"/>
        <v>0</v>
      </c>
      <c r="R138" s="13">
        <f t="shared" si="84"/>
        <v>0</v>
      </c>
      <c r="S138" s="13">
        <f t="shared" si="84"/>
        <v>0</v>
      </c>
      <c r="T138" s="13">
        <f t="shared" si="84"/>
        <v>0</v>
      </c>
      <c r="U138" s="13">
        <f t="shared" si="84"/>
        <v>0</v>
      </c>
      <c r="V138" s="13">
        <f t="shared" si="84"/>
        <v>0</v>
      </c>
      <c r="W138" s="13">
        <f t="shared" si="84"/>
        <v>0</v>
      </c>
      <c r="X138" s="13">
        <f t="shared" si="84"/>
        <v>0.3175098128644252</v>
      </c>
      <c r="Y138" s="13">
        <f t="shared" si="84"/>
        <v>7.2813991506724907E-2</v>
      </c>
      <c r="Z138" s="13">
        <f t="shared" si="84"/>
        <v>7.6889512821447958E-2</v>
      </c>
      <c r="AA138" s="13">
        <f t="shared" si="84"/>
        <v>7.0603344905326715E-2</v>
      </c>
      <c r="AB138" s="13">
        <f t="shared" si="84"/>
        <v>7.6708594817690545E-2</v>
      </c>
      <c r="AC138" s="13">
        <f t="shared" si="84"/>
        <v>7.0217417091752554E-2</v>
      </c>
      <c r="AD138" s="13">
        <f t="shared" si="84"/>
        <v>6.611811777025367E-2</v>
      </c>
      <c r="AE138" s="13">
        <f t="shared" si="84"/>
        <v>5.6187509491861354E-2</v>
      </c>
      <c r="AF138" s="13">
        <f t="shared" si="84"/>
        <v>4.9121686844073476E-2</v>
      </c>
      <c r="AG138" s="13">
        <f t="shared" si="84"/>
        <v>3.9899220212762931E-2</v>
      </c>
      <c r="AH138" s="13">
        <f t="shared" si="84"/>
        <v>3.0309013996109746E-2</v>
      </c>
      <c r="AI138" s="13">
        <f t="shared" si="84"/>
        <v>2.3692033274197111E-2</v>
      </c>
      <c r="AJ138" s="13">
        <f t="shared" si="84"/>
        <v>0.3175098128644252</v>
      </c>
      <c r="AK138" s="13">
        <f t="shared" si="84"/>
        <v>7.2813991506724907E-2</v>
      </c>
      <c r="AL138" s="13">
        <f t="shared" si="84"/>
        <v>7.6889512821447958E-2</v>
      </c>
      <c r="AM138" s="13">
        <f t="shared" si="84"/>
        <v>7.0603344905326715E-2</v>
      </c>
      <c r="AN138" s="13">
        <f t="shared" si="84"/>
        <v>7.6708594817690545E-2</v>
      </c>
      <c r="AO138" s="13">
        <f t="shared" si="84"/>
        <v>7.0217417091752554E-2</v>
      </c>
      <c r="AP138" s="13">
        <f t="shared" si="84"/>
        <v>6.611811777025367E-2</v>
      </c>
      <c r="AQ138" s="13">
        <f t="shared" si="84"/>
        <v>5.6187509491861354E-2</v>
      </c>
      <c r="AR138" s="13">
        <f t="shared" ref="AR138:BI139" si="85">AR106</f>
        <v>4.9121686844073476E-2</v>
      </c>
      <c r="AS138" s="13">
        <f t="shared" si="85"/>
        <v>3.9899220212762931E-2</v>
      </c>
      <c r="AT138" s="13">
        <f t="shared" si="85"/>
        <v>3.0309013996109746E-2</v>
      </c>
      <c r="AU138" s="13">
        <f t="shared" si="85"/>
        <v>2.3692033274197111E-2</v>
      </c>
      <c r="AV138" s="13">
        <f t="shared" si="85"/>
        <v>0.3175098128644252</v>
      </c>
      <c r="AW138" s="13">
        <f t="shared" si="85"/>
        <v>7.2813991506724907E-2</v>
      </c>
      <c r="AX138" s="13">
        <f t="shared" si="85"/>
        <v>7.6889512821447958E-2</v>
      </c>
      <c r="AY138" s="13">
        <f t="shared" si="85"/>
        <v>7.0603344905326715E-2</v>
      </c>
      <c r="AZ138" s="13">
        <f t="shared" si="85"/>
        <v>7.6708594817690545E-2</v>
      </c>
      <c r="BA138" s="13">
        <f t="shared" si="85"/>
        <v>7.0217417091752554E-2</v>
      </c>
      <c r="BB138" s="13">
        <f t="shared" si="85"/>
        <v>6.611811777025367E-2</v>
      </c>
      <c r="BC138" s="13">
        <f t="shared" si="85"/>
        <v>5.6187509491861354E-2</v>
      </c>
      <c r="BD138" s="13">
        <f t="shared" si="85"/>
        <v>4.9121686844073476E-2</v>
      </c>
      <c r="BE138" s="13">
        <f t="shared" si="85"/>
        <v>3.9899220212762931E-2</v>
      </c>
      <c r="BF138" s="13">
        <f t="shared" si="85"/>
        <v>3.0309013996109746E-2</v>
      </c>
      <c r="BG138" s="13">
        <f t="shared" si="85"/>
        <v>2.3692033274197111E-2</v>
      </c>
      <c r="BH138" s="13">
        <f t="shared" si="85"/>
        <v>0.3175098128644252</v>
      </c>
      <c r="BI138" s="13">
        <f t="shared" si="85"/>
        <v>7.2813991506724907E-2</v>
      </c>
    </row>
    <row r="139" spans="5:61" x14ac:dyDescent="0.35">
      <c r="E139">
        <f t="shared" si="82"/>
        <v>12</v>
      </c>
      <c r="J139" t="str">
        <f t="shared" si="83"/>
        <v>% des engagements</v>
      </c>
      <c r="N139" s="13">
        <f t="shared" ref="N139:AQ139" si="86">N107</f>
        <v>0</v>
      </c>
      <c r="O139" s="13">
        <f t="shared" si="86"/>
        <v>0</v>
      </c>
      <c r="P139" s="13">
        <f t="shared" si="86"/>
        <v>0</v>
      </c>
      <c r="Q139" s="13">
        <f t="shared" si="86"/>
        <v>0</v>
      </c>
      <c r="R139" s="13">
        <f t="shared" si="86"/>
        <v>0</v>
      </c>
      <c r="S139" s="13">
        <f t="shared" si="86"/>
        <v>0</v>
      </c>
      <c r="T139" s="13">
        <f t="shared" si="86"/>
        <v>0</v>
      </c>
      <c r="U139" s="13">
        <f t="shared" si="86"/>
        <v>0</v>
      </c>
      <c r="V139" s="13">
        <f t="shared" si="86"/>
        <v>0</v>
      </c>
      <c r="W139" s="13">
        <f t="shared" si="86"/>
        <v>0</v>
      </c>
      <c r="X139" s="13">
        <f t="shared" si="86"/>
        <v>0</v>
      </c>
      <c r="Y139" s="13">
        <f t="shared" si="86"/>
        <v>0.3197690768106819</v>
      </c>
      <c r="Z139" s="13">
        <f t="shared" si="86"/>
        <v>7.29857240857959E-2</v>
      </c>
      <c r="AA139" s="13">
        <f t="shared" si="86"/>
        <v>6.9428537005597368E-2</v>
      </c>
      <c r="AB139" s="13">
        <f t="shared" si="86"/>
        <v>7.8146098436199296E-2</v>
      </c>
      <c r="AC139" s="13">
        <f t="shared" si="86"/>
        <v>7.4195820577340865E-2</v>
      </c>
      <c r="AD139" s="13">
        <f t="shared" si="86"/>
        <v>7.2463057265272246E-2</v>
      </c>
      <c r="AE139" s="13">
        <f t="shared" si="86"/>
        <v>6.3872477596733979E-2</v>
      </c>
      <c r="AF139" s="13">
        <f t="shared" si="86"/>
        <v>5.7916514230113236E-2</v>
      </c>
      <c r="AG139" s="13">
        <f t="shared" si="86"/>
        <v>4.882251980031338E-2</v>
      </c>
      <c r="AH139" s="13">
        <f t="shared" si="86"/>
        <v>3.8469382518271145E-2</v>
      </c>
      <c r="AI139" s="13">
        <f t="shared" si="86"/>
        <v>3.1188271638945775E-2</v>
      </c>
      <c r="AJ139" s="13">
        <f t="shared" si="86"/>
        <v>2.2812775631361082E-2</v>
      </c>
      <c r="AK139" s="13">
        <f t="shared" si="86"/>
        <v>0.3197690768106819</v>
      </c>
      <c r="AL139" s="13">
        <f t="shared" si="86"/>
        <v>7.29857240857959E-2</v>
      </c>
      <c r="AM139" s="13">
        <f t="shared" si="86"/>
        <v>6.9428537005597368E-2</v>
      </c>
      <c r="AN139" s="13">
        <f t="shared" si="86"/>
        <v>7.8146098436199296E-2</v>
      </c>
      <c r="AO139" s="13">
        <f t="shared" si="86"/>
        <v>7.4195820577340865E-2</v>
      </c>
      <c r="AP139" s="13">
        <f t="shared" si="86"/>
        <v>7.2463057265272246E-2</v>
      </c>
      <c r="AQ139" s="13">
        <f t="shared" si="86"/>
        <v>6.3872477596733979E-2</v>
      </c>
      <c r="AR139" s="13">
        <f t="shared" si="85"/>
        <v>5.7916514230113236E-2</v>
      </c>
      <c r="AS139" s="13">
        <f t="shared" si="85"/>
        <v>4.882251980031338E-2</v>
      </c>
      <c r="AT139" s="13">
        <f t="shared" si="85"/>
        <v>3.8469382518271145E-2</v>
      </c>
      <c r="AU139" s="13">
        <f t="shared" si="85"/>
        <v>3.1188271638945775E-2</v>
      </c>
      <c r="AV139" s="13">
        <f t="shared" si="85"/>
        <v>2.2812775631361082E-2</v>
      </c>
      <c r="AW139" s="13">
        <f t="shared" si="85"/>
        <v>0.3197690768106819</v>
      </c>
      <c r="AX139" s="13">
        <f t="shared" si="85"/>
        <v>7.29857240857959E-2</v>
      </c>
      <c r="AY139" s="13">
        <f t="shared" si="85"/>
        <v>6.9428537005597368E-2</v>
      </c>
      <c r="AZ139" s="13">
        <f t="shared" si="85"/>
        <v>7.8146098436199296E-2</v>
      </c>
      <c r="BA139" s="13">
        <f t="shared" si="85"/>
        <v>7.4195820577340865E-2</v>
      </c>
      <c r="BB139" s="13">
        <f t="shared" si="85"/>
        <v>7.2463057265272246E-2</v>
      </c>
      <c r="BC139" s="13">
        <f t="shared" si="85"/>
        <v>6.3872477596733979E-2</v>
      </c>
      <c r="BD139" s="13">
        <f t="shared" si="85"/>
        <v>5.7916514230113236E-2</v>
      </c>
      <c r="BE139" s="13">
        <f t="shared" si="85"/>
        <v>4.882251980031338E-2</v>
      </c>
      <c r="BF139" s="13">
        <f t="shared" si="85"/>
        <v>3.8469382518271145E-2</v>
      </c>
      <c r="BG139" s="13">
        <f t="shared" si="85"/>
        <v>3.1188271638945775E-2</v>
      </c>
      <c r="BH139" s="13">
        <f t="shared" si="85"/>
        <v>2.2812775631361082E-2</v>
      </c>
      <c r="BI139" s="13">
        <f t="shared" si="85"/>
        <v>0.3197690768106819</v>
      </c>
    </row>
    <row r="141" spans="5:61" x14ac:dyDescent="0.35">
      <c r="E141">
        <v>1</v>
      </c>
      <c r="J141" t="s">
        <v>50</v>
      </c>
      <c r="N141" s="41">
        <f t="shared" ref="N141:BI141" si="87">IFERROR(INDEX($N$113:$BI$113,1,MATCH(N115,$N$112:$BI$112,0)),0)</f>
        <v>0</v>
      </c>
      <c r="O141" s="41">
        <f t="shared" si="87"/>
        <v>0</v>
      </c>
      <c r="P141" s="41">
        <f t="shared" si="87"/>
        <v>0</v>
      </c>
      <c r="Q141" s="41">
        <f t="shared" si="87"/>
        <v>0</v>
      </c>
      <c r="R141" s="41">
        <f t="shared" si="87"/>
        <v>0</v>
      </c>
      <c r="S141" s="41">
        <f t="shared" si="87"/>
        <v>0</v>
      </c>
      <c r="T141" s="41">
        <f t="shared" si="87"/>
        <v>0</v>
      </c>
      <c r="U141" s="41">
        <f t="shared" si="87"/>
        <v>0</v>
      </c>
      <c r="V141" s="41">
        <f t="shared" si="87"/>
        <v>0</v>
      </c>
      <c r="W141" s="41">
        <f t="shared" si="87"/>
        <v>0</v>
      </c>
      <c r="X141" s="41">
        <f t="shared" si="87"/>
        <v>0</v>
      </c>
      <c r="Y141" s="41">
        <f t="shared" si="87"/>
        <v>0</v>
      </c>
      <c r="Z141" s="41">
        <f t="shared" si="87"/>
        <v>33518</v>
      </c>
      <c r="AA141" s="41">
        <f t="shared" si="87"/>
        <v>33518</v>
      </c>
      <c r="AB141" s="41">
        <f t="shared" si="87"/>
        <v>33518</v>
      </c>
      <c r="AC141" s="41">
        <f t="shared" si="87"/>
        <v>33518</v>
      </c>
      <c r="AD141" s="41">
        <f t="shared" si="87"/>
        <v>33518</v>
      </c>
      <c r="AE141" s="41">
        <f t="shared" si="87"/>
        <v>33518</v>
      </c>
      <c r="AF141" s="41">
        <f t="shared" si="87"/>
        <v>33518</v>
      </c>
      <c r="AG141" s="41">
        <f t="shared" si="87"/>
        <v>33518</v>
      </c>
      <c r="AH141" s="41">
        <f t="shared" si="87"/>
        <v>33518</v>
      </c>
      <c r="AI141" s="41">
        <f t="shared" si="87"/>
        <v>33518</v>
      </c>
      <c r="AJ141" s="41">
        <f t="shared" si="87"/>
        <v>33518</v>
      </c>
      <c r="AK141" s="41">
        <f t="shared" si="87"/>
        <v>33518</v>
      </c>
      <c r="AL141" s="41">
        <f t="shared" si="87"/>
        <v>65371.735654758428</v>
      </c>
      <c r="AM141" s="41">
        <f t="shared" si="87"/>
        <v>65371.735654758428</v>
      </c>
      <c r="AN141" s="41">
        <f t="shared" si="87"/>
        <v>65371.735654758428</v>
      </c>
      <c r="AO141" s="41">
        <f t="shared" si="87"/>
        <v>65371.735654758428</v>
      </c>
      <c r="AP141" s="41">
        <f t="shared" si="87"/>
        <v>65371.735654758428</v>
      </c>
      <c r="AQ141" s="41">
        <f t="shared" si="87"/>
        <v>65371.735654758428</v>
      </c>
      <c r="AR141" s="41">
        <f t="shared" si="87"/>
        <v>65371.735654758428</v>
      </c>
      <c r="AS141" s="41">
        <f t="shared" si="87"/>
        <v>65371.735654758428</v>
      </c>
      <c r="AT141" s="41">
        <f t="shared" si="87"/>
        <v>65371.735654758428</v>
      </c>
      <c r="AU141" s="41">
        <f t="shared" si="87"/>
        <v>65371.735654758428</v>
      </c>
      <c r="AV141" s="41">
        <f t="shared" si="87"/>
        <v>65371.735654758428</v>
      </c>
      <c r="AW141" s="41">
        <f t="shared" si="87"/>
        <v>65371.735654758428</v>
      </c>
      <c r="AX141" s="41">
        <f t="shared" si="87"/>
        <v>72486.86571658848</v>
      </c>
      <c r="AY141" s="41">
        <f t="shared" si="87"/>
        <v>72486.86571658848</v>
      </c>
      <c r="AZ141" s="41">
        <f t="shared" si="87"/>
        <v>72486.86571658848</v>
      </c>
      <c r="BA141" s="41">
        <f t="shared" si="87"/>
        <v>72486.86571658848</v>
      </c>
      <c r="BB141" s="41">
        <f t="shared" si="87"/>
        <v>72486.86571658848</v>
      </c>
      <c r="BC141" s="41">
        <f t="shared" si="87"/>
        <v>72486.86571658848</v>
      </c>
      <c r="BD141" s="41">
        <f t="shared" si="87"/>
        <v>72486.86571658848</v>
      </c>
      <c r="BE141" s="41">
        <f t="shared" si="87"/>
        <v>72486.86571658848</v>
      </c>
      <c r="BF141" s="41">
        <f t="shared" si="87"/>
        <v>72486.86571658848</v>
      </c>
      <c r="BG141" s="41">
        <f t="shared" si="87"/>
        <v>72486.86571658848</v>
      </c>
      <c r="BH141" s="41">
        <f t="shared" si="87"/>
        <v>72486.86571658848</v>
      </c>
      <c r="BI141" s="41">
        <f t="shared" si="87"/>
        <v>72486.86571658848</v>
      </c>
    </row>
    <row r="142" spans="5:61" x14ac:dyDescent="0.35">
      <c r="E142">
        <v>2</v>
      </c>
      <c r="J142" t="s">
        <v>50</v>
      </c>
      <c r="N142" s="41">
        <f t="shared" ref="N142:BI142" si="88">IFERROR(INDEX($N$113:$BI$113,1,MATCH(N116,$N$112:$BI$112,0)),0)</f>
        <v>0</v>
      </c>
      <c r="O142" s="41">
        <f t="shared" si="88"/>
        <v>0</v>
      </c>
      <c r="P142" s="41">
        <f t="shared" si="88"/>
        <v>0</v>
      </c>
      <c r="Q142" s="41">
        <f t="shared" si="88"/>
        <v>0</v>
      </c>
      <c r="R142" s="41">
        <f t="shared" si="88"/>
        <v>0</v>
      </c>
      <c r="S142" s="41">
        <f t="shared" si="88"/>
        <v>0</v>
      </c>
      <c r="T142" s="41">
        <f t="shared" si="88"/>
        <v>0</v>
      </c>
      <c r="U142" s="41">
        <f t="shared" si="88"/>
        <v>0</v>
      </c>
      <c r="V142" s="41">
        <f t="shared" si="88"/>
        <v>0</v>
      </c>
      <c r="W142" s="41">
        <f t="shared" si="88"/>
        <v>0</v>
      </c>
      <c r="X142" s="41">
        <f t="shared" si="88"/>
        <v>0</v>
      </c>
      <c r="Y142" s="41">
        <f t="shared" si="88"/>
        <v>0</v>
      </c>
      <c r="Z142" s="41">
        <f t="shared" si="88"/>
        <v>0</v>
      </c>
      <c r="AA142" s="41">
        <f t="shared" si="88"/>
        <v>39754</v>
      </c>
      <c r="AB142" s="41">
        <f t="shared" si="88"/>
        <v>39754</v>
      </c>
      <c r="AC142" s="41">
        <f t="shared" si="88"/>
        <v>39754</v>
      </c>
      <c r="AD142" s="41">
        <f t="shared" si="88"/>
        <v>39754</v>
      </c>
      <c r="AE142" s="41">
        <f t="shared" si="88"/>
        <v>39754</v>
      </c>
      <c r="AF142" s="41">
        <f t="shared" si="88"/>
        <v>39754</v>
      </c>
      <c r="AG142" s="41">
        <f t="shared" si="88"/>
        <v>39754</v>
      </c>
      <c r="AH142" s="41">
        <f t="shared" si="88"/>
        <v>39754</v>
      </c>
      <c r="AI142" s="41">
        <f t="shared" si="88"/>
        <v>39754</v>
      </c>
      <c r="AJ142" s="41">
        <f t="shared" si="88"/>
        <v>39754</v>
      </c>
      <c r="AK142" s="41">
        <f t="shared" si="88"/>
        <v>39754</v>
      </c>
      <c r="AL142" s="41">
        <f t="shared" si="88"/>
        <v>39754</v>
      </c>
      <c r="AM142" s="41">
        <f t="shared" si="88"/>
        <v>63873.376658526257</v>
      </c>
      <c r="AN142" s="41">
        <f t="shared" si="88"/>
        <v>63873.376658526257</v>
      </c>
      <c r="AO142" s="41">
        <f t="shared" si="88"/>
        <v>63873.376658526257</v>
      </c>
      <c r="AP142" s="41">
        <f t="shared" si="88"/>
        <v>63873.376658526257</v>
      </c>
      <c r="AQ142" s="41">
        <f t="shared" si="88"/>
        <v>63873.376658526257</v>
      </c>
      <c r="AR142" s="41">
        <f t="shared" si="88"/>
        <v>63873.376658526257</v>
      </c>
      <c r="AS142" s="41">
        <f t="shared" si="88"/>
        <v>63873.376658526257</v>
      </c>
      <c r="AT142" s="41">
        <f t="shared" si="88"/>
        <v>63873.376658526257</v>
      </c>
      <c r="AU142" s="41">
        <f t="shared" si="88"/>
        <v>63873.376658526257</v>
      </c>
      <c r="AV142" s="41">
        <f t="shared" si="88"/>
        <v>63873.376658526257</v>
      </c>
      <c r="AW142" s="41">
        <f t="shared" si="88"/>
        <v>63873.376658526257</v>
      </c>
      <c r="AX142" s="41">
        <f t="shared" si="88"/>
        <v>63873.376658526257</v>
      </c>
      <c r="AY142" s="41">
        <f t="shared" si="88"/>
        <v>70348.127966319968</v>
      </c>
      <c r="AZ142" s="41">
        <f t="shared" si="88"/>
        <v>70348.127966319968</v>
      </c>
      <c r="BA142" s="41">
        <f t="shared" si="88"/>
        <v>70348.127966319968</v>
      </c>
      <c r="BB142" s="41">
        <f t="shared" si="88"/>
        <v>70348.127966319968</v>
      </c>
      <c r="BC142" s="41">
        <f t="shared" si="88"/>
        <v>70348.127966319968</v>
      </c>
      <c r="BD142" s="41">
        <f t="shared" si="88"/>
        <v>70348.127966319968</v>
      </c>
      <c r="BE142" s="41">
        <f t="shared" si="88"/>
        <v>70348.127966319968</v>
      </c>
      <c r="BF142" s="41">
        <f t="shared" si="88"/>
        <v>70348.127966319968</v>
      </c>
      <c r="BG142" s="41">
        <f t="shared" si="88"/>
        <v>70348.127966319968</v>
      </c>
      <c r="BH142" s="41">
        <f t="shared" si="88"/>
        <v>70348.127966319968</v>
      </c>
      <c r="BI142" s="41">
        <f t="shared" si="88"/>
        <v>70348.127966319968</v>
      </c>
    </row>
    <row r="143" spans="5:61" x14ac:dyDescent="0.35">
      <c r="E143">
        <v>3</v>
      </c>
      <c r="J143" t="s">
        <v>50</v>
      </c>
      <c r="N143" s="41">
        <f t="shared" ref="N143:BI143" si="89">IFERROR(INDEX($N$113:$BI$113,1,MATCH(N117,$N$112:$BI$112,0)),0)</f>
        <v>0</v>
      </c>
      <c r="O143" s="41">
        <f t="shared" si="89"/>
        <v>0</v>
      </c>
      <c r="P143" s="41">
        <f t="shared" si="89"/>
        <v>0</v>
      </c>
      <c r="Q143" s="41">
        <f t="shared" si="89"/>
        <v>0</v>
      </c>
      <c r="R143" s="41">
        <f t="shared" si="89"/>
        <v>0</v>
      </c>
      <c r="S143" s="41">
        <f t="shared" si="89"/>
        <v>0</v>
      </c>
      <c r="T143" s="41">
        <f t="shared" si="89"/>
        <v>0</v>
      </c>
      <c r="U143" s="41">
        <f t="shared" si="89"/>
        <v>0</v>
      </c>
      <c r="V143" s="41">
        <f t="shared" si="89"/>
        <v>0</v>
      </c>
      <c r="W143" s="41">
        <f t="shared" si="89"/>
        <v>0</v>
      </c>
      <c r="X143" s="41">
        <f t="shared" si="89"/>
        <v>0</v>
      </c>
      <c r="Y143" s="41">
        <f t="shared" si="89"/>
        <v>0</v>
      </c>
      <c r="Z143" s="41">
        <f t="shared" si="89"/>
        <v>0</v>
      </c>
      <c r="AA143" s="41">
        <f t="shared" si="89"/>
        <v>0</v>
      </c>
      <c r="AB143" s="41">
        <f t="shared" si="89"/>
        <v>45141</v>
      </c>
      <c r="AC143" s="41">
        <f t="shared" si="89"/>
        <v>45141</v>
      </c>
      <c r="AD143" s="41">
        <f t="shared" si="89"/>
        <v>45141</v>
      </c>
      <c r="AE143" s="41">
        <f t="shared" si="89"/>
        <v>45141</v>
      </c>
      <c r="AF143" s="41">
        <f t="shared" si="89"/>
        <v>45141</v>
      </c>
      <c r="AG143" s="41">
        <f t="shared" si="89"/>
        <v>45141</v>
      </c>
      <c r="AH143" s="41">
        <f t="shared" si="89"/>
        <v>45141</v>
      </c>
      <c r="AI143" s="41">
        <f t="shared" si="89"/>
        <v>45141</v>
      </c>
      <c r="AJ143" s="41">
        <f t="shared" si="89"/>
        <v>45141</v>
      </c>
      <c r="AK143" s="41">
        <f t="shared" si="89"/>
        <v>45141</v>
      </c>
      <c r="AL143" s="41">
        <f t="shared" si="89"/>
        <v>45141</v>
      </c>
      <c r="AM143" s="41">
        <f t="shared" si="89"/>
        <v>45141</v>
      </c>
      <c r="AN143" s="41">
        <f t="shared" si="89"/>
        <v>73873.274065592719</v>
      </c>
      <c r="AO143" s="41">
        <f t="shared" si="89"/>
        <v>73873.274065592719</v>
      </c>
      <c r="AP143" s="41">
        <f t="shared" si="89"/>
        <v>73873.274065592719</v>
      </c>
      <c r="AQ143" s="41">
        <f t="shared" si="89"/>
        <v>73873.274065592719</v>
      </c>
      <c r="AR143" s="41">
        <f t="shared" si="89"/>
        <v>73873.274065592719</v>
      </c>
      <c r="AS143" s="41">
        <f t="shared" si="89"/>
        <v>73873.274065592719</v>
      </c>
      <c r="AT143" s="41">
        <f t="shared" si="89"/>
        <v>73873.274065592719</v>
      </c>
      <c r="AU143" s="41">
        <f t="shared" si="89"/>
        <v>73873.274065592719</v>
      </c>
      <c r="AV143" s="41">
        <f t="shared" si="89"/>
        <v>73873.274065592719</v>
      </c>
      <c r="AW143" s="41">
        <f t="shared" si="89"/>
        <v>73873.274065592719</v>
      </c>
      <c r="AX143" s="41">
        <f t="shared" si="89"/>
        <v>73873.274065592719</v>
      </c>
      <c r="AY143" s="41">
        <f t="shared" si="89"/>
        <v>73873.274065592719</v>
      </c>
      <c r="AZ143" s="41">
        <f t="shared" si="89"/>
        <v>81269.01370344765</v>
      </c>
      <c r="BA143" s="41">
        <f t="shared" si="89"/>
        <v>81269.01370344765</v>
      </c>
      <c r="BB143" s="41">
        <f t="shared" si="89"/>
        <v>81269.01370344765</v>
      </c>
      <c r="BC143" s="41">
        <f t="shared" si="89"/>
        <v>81269.01370344765</v>
      </c>
      <c r="BD143" s="41">
        <f t="shared" si="89"/>
        <v>81269.01370344765</v>
      </c>
      <c r="BE143" s="41">
        <f t="shared" si="89"/>
        <v>81269.01370344765</v>
      </c>
      <c r="BF143" s="41">
        <f t="shared" si="89"/>
        <v>81269.01370344765</v>
      </c>
      <c r="BG143" s="41">
        <f t="shared" si="89"/>
        <v>81269.01370344765</v>
      </c>
      <c r="BH143" s="41">
        <f t="shared" si="89"/>
        <v>81269.01370344765</v>
      </c>
      <c r="BI143" s="41">
        <f t="shared" si="89"/>
        <v>81269.01370344765</v>
      </c>
    </row>
    <row r="144" spans="5:61" x14ac:dyDescent="0.35">
      <c r="E144">
        <v>4</v>
      </c>
      <c r="J144" t="s">
        <v>50</v>
      </c>
      <c r="N144" s="41">
        <f t="shared" ref="N144:BI144" si="90">IFERROR(INDEX($N$113:$BI$113,1,MATCH(N118,$N$112:$BI$112,0)),0)</f>
        <v>0</v>
      </c>
      <c r="O144" s="41">
        <f t="shared" si="90"/>
        <v>0</v>
      </c>
      <c r="P144" s="41">
        <f t="shared" si="90"/>
        <v>0</v>
      </c>
      <c r="Q144" s="41">
        <f t="shared" si="90"/>
        <v>726</v>
      </c>
      <c r="R144" s="41">
        <f t="shared" si="90"/>
        <v>726</v>
      </c>
      <c r="S144" s="41">
        <f t="shared" si="90"/>
        <v>726</v>
      </c>
      <c r="T144" s="41">
        <f t="shared" si="90"/>
        <v>726</v>
      </c>
      <c r="U144" s="41">
        <f t="shared" si="90"/>
        <v>726</v>
      </c>
      <c r="V144" s="41">
        <f t="shared" si="90"/>
        <v>726</v>
      </c>
      <c r="W144" s="41">
        <f t="shared" si="90"/>
        <v>726</v>
      </c>
      <c r="X144" s="41">
        <f t="shared" si="90"/>
        <v>726</v>
      </c>
      <c r="Y144" s="41">
        <f t="shared" si="90"/>
        <v>726</v>
      </c>
      <c r="Z144" s="41">
        <f t="shared" si="90"/>
        <v>726</v>
      </c>
      <c r="AA144" s="41">
        <f t="shared" si="90"/>
        <v>726</v>
      </c>
      <c r="AB144" s="41">
        <f t="shared" si="90"/>
        <v>726</v>
      </c>
      <c r="AC144" s="41">
        <f t="shared" si="90"/>
        <v>57254</v>
      </c>
      <c r="AD144" s="41">
        <f t="shared" si="90"/>
        <v>57254</v>
      </c>
      <c r="AE144" s="41">
        <f t="shared" si="90"/>
        <v>57254</v>
      </c>
      <c r="AF144" s="41">
        <f t="shared" si="90"/>
        <v>57254</v>
      </c>
      <c r="AG144" s="41">
        <f t="shared" si="90"/>
        <v>57254</v>
      </c>
      <c r="AH144" s="41">
        <f t="shared" si="90"/>
        <v>57254</v>
      </c>
      <c r="AI144" s="41">
        <f t="shared" si="90"/>
        <v>57254</v>
      </c>
      <c r="AJ144" s="41">
        <f t="shared" si="90"/>
        <v>57254</v>
      </c>
      <c r="AK144" s="41">
        <f t="shared" si="90"/>
        <v>57254</v>
      </c>
      <c r="AL144" s="41">
        <f t="shared" si="90"/>
        <v>57254</v>
      </c>
      <c r="AM144" s="41">
        <f t="shared" si="90"/>
        <v>57254</v>
      </c>
      <c r="AN144" s="41">
        <f t="shared" si="90"/>
        <v>57254</v>
      </c>
      <c r="AO144" s="41">
        <f t="shared" si="90"/>
        <v>72547.17482812464</v>
      </c>
      <c r="AP144" s="41">
        <f t="shared" si="90"/>
        <v>72547.17482812464</v>
      </c>
      <c r="AQ144" s="41">
        <f t="shared" si="90"/>
        <v>72547.17482812464</v>
      </c>
      <c r="AR144" s="41">
        <f t="shared" si="90"/>
        <v>72547.17482812464</v>
      </c>
      <c r="AS144" s="41">
        <f t="shared" si="90"/>
        <v>72547.17482812464</v>
      </c>
      <c r="AT144" s="41">
        <f t="shared" si="90"/>
        <v>72547.17482812464</v>
      </c>
      <c r="AU144" s="41">
        <f t="shared" si="90"/>
        <v>72547.17482812464</v>
      </c>
      <c r="AV144" s="41">
        <f t="shared" si="90"/>
        <v>72547.17482812464</v>
      </c>
      <c r="AW144" s="41">
        <f t="shared" si="90"/>
        <v>72547.17482812464</v>
      </c>
      <c r="AX144" s="41">
        <f t="shared" si="90"/>
        <v>72547.17482812464</v>
      </c>
      <c r="AY144" s="41">
        <f t="shared" si="90"/>
        <v>72547.17482812464</v>
      </c>
      <c r="AZ144" s="41">
        <f t="shared" si="90"/>
        <v>72547.17482812464</v>
      </c>
      <c r="BA144" s="41">
        <f t="shared" si="90"/>
        <v>79802.169587532859</v>
      </c>
      <c r="BB144" s="41">
        <f t="shared" si="90"/>
        <v>79802.169587532859</v>
      </c>
      <c r="BC144" s="41">
        <f t="shared" si="90"/>
        <v>79802.169587532859</v>
      </c>
      <c r="BD144" s="41">
        <f t="shared" si="90"/>
        <v>79802.169587532859</v>
      </c>
      <c r="BE144" s="41">
        <f t="shared" si="90"/>
        <v>79802.169587532859</v>
      </c>
      <c r="BF144" s="41">
        <f t="shared" si="90"/>
        <v>79802.169587532859</v>
      </c>
      <c r="BG144" s="41">
        <f t="shared" si="90"/>
        <v>79802.169587532859</v>
      </c>
      <c r="BH144" s="41">
        <f t="shared" si="90"/>
        <v>79802.169587532859</v>
      </c>
      <c r="BI144" s="41">
        <f t="shared" si="90"/>
        <v>79802.169587532859</v>
      </c>
    </row>
    <row r="145" spans="5:61" x14ac:dyDescent="0.35">
      <c r="E145">
        <v>5</v>
      </c>
      <c r="J145" t="s">
        <v>50</v>
      </c>
      <c r="N145" s="41">
        <f t="shared" ref="N145:BI145" si="91">IFERROR(INDEX($N$113:$BI$113,1,MATCH(N119,$N$112:$BI$112,0)),0)</f>
        <v>0</v>
      </c>
      <c r="O145" s="41">
        <f t="shared" si="91"/>
        <v>0</v>
      </c>
      <c r="P145" s="41">
        <f t="shared" si="91"/>
        <v>0</v>
      </c>
      <c r="Q145" s="41">
        <f t="shared" si="91"/>
        <v>0</v>
      </c>
      <c r="R145" s="41">
        <f t="shared" si="91"/>
        <v>4807</v>
      </c>
      <c r="S145" s="41">
        <f t="shared" si="91"/>
        <v>4807</v>
      </c>
      <c r="T145" s="41">
        <f t="shared" si="91"/>
        <v>4807</v>
      </c>
      <c r="U145" s="41">
        <f t="shared" si="91"/>
        <v>4807</v>
      </c>
      <c r="V145" s="41">
        <f t="shared" si="91"/>
        <v>4807</v>
      </c>
      <c r="W145" s="41">
        <f t="shared" si="91"/>
        <v>4807</v>
      </c>
      <c r="X145" s="41">
        <f t="shared" si="91"/>
        <v>4807</v>
      </c>
      <c r="Y145" s="41">
        <f t="shared" si="91"/>
        <v>4807</v>
      </c>
      <c r="Z145" s="41">
        <f t="shared" si="91"/>
        <v>4807</v>
      </c>
      <c r="AA145" s="41">
        <f t="shared" si="91"/>
        <v>4807</v>
      </c>
      <c r="AB145" s="41">
        <f t="shared" si="91"/>
        <v>4807</v>
      </c>
      <c r="AC145" s="41">
        <f t="shared" si="91"/>
        <v>4807</v>
      </c>
      <c r="AD145" s="41">
        <f t="shared" si="91"/>
        <v>55077</v>
      </c>
      <c r="AE145" s="41">
        <f t="shared" si="91"/>
        <v>55077</v>
      </c>
      <c r="AF145" s="41">
        <f t="shared" si="91"/>
        <v>55077</v>
      </c>
      <c r="AG145" s="41">
        <f t="shared" si="91"/>
        <v>55077</v>
      </c>
      <c r="AH145" s="41">
        <f t="shared" si="91"/>
        <v>55077</v>
      </c>
      <c r="AI145" s="41">
        <f t="shared" si="91"/>
        <v>55077</v>
      </c>
      <c r="AJ145" s="41">
        <f t="shared" si="91"/>
        <v>55077</v>
      </c>
      <c r="AK145" s="41">
        <f t="shared" si="91"/>
        <v>55077</v>
      </c>
      <c r="AL145" s="41">
        <f t="shared" si="91"/>
        <v>55077</v>
      </c>
      <c r="AM145" s="41">
        <f t="shared" si="91"/>
        <v>55077</v>
      </c>
      <c r="AN145" s="41">
        <f t="shared" si="91"/>
        <v>55077</v>
      </c>
      <c r="AO145" s="41">
        <f t="shared" si="91"/>
        <v>55077</v>
      </c>
      <c r="AP145" s="41">
        <f t="shared" si="91"/>
        <v>74207.759944055273</v>
      </c>
      <c r="AQ145" s="41">
        <f t="shared" si="91"/>
        <v>74207.759944055273</v>
      </c>
      <c r="AR145" s="41">
        <f t="shared" si="91"/>
        <v>74207.759944055273</v>
      </c>
      <c r="AS145" s="41">
        <f t="shared" si="91"/>
        <v>74207.759944055273</v>
      </c>
      <c r="AT145" s="41">
        <f t="shared" si="91"/>
        <v>74207.759944055273</v>
      </c>
      <c r="AU145" s="41">
        <f t="shared" si="91"/>
        <v>74207.759944055273</v>
      </c>
      <c r="AV145" s="41">
        <f t="shared" si="91"/>
        <v>74207.759944055273</v>
      </c>
      <c r="AW145" s="41">
        <f t="shared" si="91"/>
        <v>74207.759944055273</v>
      </c>
      <c r="AX145" s="41">
        <f t="shared" si="91"/>
        <v>74207.759944055273</v>
      </c>
      <c r="AY145" s="41">
        <f t="shared" si="91"/>
        <v>74207.759944055273</v>
      </c>
      <c r="AZ145" s="41">
        <f t="shared" si="91"/>
        <v>74207.759944055273</v>
      </c>
      <c r="BA145" s="41">
        <f t="shared" si="91"/>
        <v>74207.759944055273</v>
      </c>
      <c r="BB145" s="41">
        <f t="shared" si="91"/>
        <v>81628.540237268462</v>
      </c>
      <c r="BC145" s="41">
        <f t="shared" si="91"/>
        <v>81628.540237268462</v>
      </c>
      <c r="BD145" s="41">
        <f t="shared" si="91"/>
        <v>81628.540237268462</v>
      </c>
      <c r="BE145" s="41">
        <f t="shared" si="91"/>
        <v>81628.540237268462</v>
      </c>
      <c r="BF145" s="41">
        <f t="shared" si="91"/>
        <v>81628.540237268462</v>
      </c>
      <c r="BG145" s="41">
        <f t="shared" si="91"/>
        <v>81628.540237268462</v>
      </c>
      <c r="BH145" s="41">
        <f t="shared" si="91"/>
        <v>81628.540237268462</v>
      </c>
      <c r="BI145" s="41">
        <f t="shared" si="91"/>
        <v>81628.540237268462</v>
      </c>
    </row>
    <row r="146" spans="5:61" x14ac:dyDescent="0.35">
      <c r="E146">
        <v>6</v>
      </c>
      <c r="J146" t="s">
        <v>50</v>
      </c>
      <c r="N146" s="41">
        <f t="shared" ref="N146:BI146" si="92">IFERROR(INDEX($N$113:$BI$113,1,MATCH(N120,$N$112:$BI$112,0)),0)</f>
        <v>0</v>
      </c>
      <c r="O146" s="41">
        <f t="shared" si="92"/>
        <v>0</v>
      </c>
      <c r="P146" s="41">
        <f t="shared" si="92"/>
        <v>0</v>
      </c>
      <c r="Q146" s="41">
        <f t="shared" si="92"/>
        <v>0</v>
      </c>
      <c r="R146" s="41">
        <f t="shared" si="92"/>
        <v>0</v>
      </c>
      <c r="S146" s="41">
        <f t="shared" si="92"/>
        <v>7112</v>
      </c>
      <c r="T146" s="41">
        <f t="shared" si="92"/>
        <v>7112</v>
      </c>
      <c r="U146" s="41">
        <f t="shared" si="92"/>
        <v>7112</v>
      </c>
      <c r="V146" s="41">
        <f t="shared" si="92"/>
        <v>7112</v>
      </c>
      <c r="W146" s="41">
        <f t="shared" si="92"/>
        <v>7112</v>
      </c>
      <c r="X146" s="41">
        <f t="shared" si="92"/>
        <v>7112</v>
      </c>
      <c r="Y146" s="41">
        <f t="shared" si="92"/>
        <v>7112</v>
      </c>
      <c r="Z146" s="41">
        <f t="shared" si="92"/>
        <v>7112</v>
      </c>
      <c r="AA146" s="41">
        <f t="shared" si="92"/>
        <v>7112</v>
      </c>
      <c r="AB146" s="41">
        <f t="shared" si="92"/>
        <v>7112</v>
      </c>
      <c r="AC146" s="41">
        <f t="shared" si="92"/>
        <v>7112</v>
      </c>
      <c r="AD146" s="41">
        <f t="shared" si="92"/>
        <v>7112</v>
      </c>
      <c r="AE146" s="41">
        <f t="shared" si="92"/>
        <v>71050</v>
      </c>
      <c r="AF146" s="41">
        <f t="shared" si="92"/>
        <v>71050</v>
      </c>
      <c r="AG146" s="41">
        <f t="shared" si="92"/>
        <v>71050</v>
      </c>
      <c r="AH146" s="41">
        <f t="shared" si="92"/>
        <v>71050</v>
      </c>
      <c r="AI146" s="41">
        <f t="shared" si="92"/>
        <v>71050</v>
      </c>
      <c r="AJ146" s="41">
        <f t="shared" si="92"/>
        <v>71050</v>
      </c>
      <c r="AK146" s="41">
        <f t="shared" si="92"/>
        <v>71050</v>
      </c>
      <c r="AL146" s="41">
        <f t="shared" si="92"/>
        <v>71050</v>
      </c>
      <c r="AM146" s="41">
        <f t="shared" si="92"/>
        <v>71050</v>
      </c>
      <c r="AN146" s="41">
        <f t="shared" si="92"/>
        <v>71050</v>
      </c>
      <c r="AO146" s="41">
        <f t="shared" si="92"/>
        <v>71050</v>
      </c>
      <c r="AP146" s="41">
        <f t="shared" si="92"/>
        <v>71050</v>
      </c>
      <c r="AQ146" s="41">
        <f t="shared" si="92"/>
        <v>69877.316848867995</v>
      </c>
      <c r="AR146" s="41">
        <f t="shared" si="92"/>
        <v>69877.316848867995</v>
      </c>
      <c r="AS146" s="41">
        <f t="shared" si="92"/>
        <v>69877.316848867995</v>
      </c>
      <c r="AT146" s="41">
        <f t="shared" si="92"/>
        <v>69877.316848867995</v>
      </c>
      <c r="AU146" s="41">
        <f t="shared" si="92"/>
        <v>69877.316848867995</v>
      </c>
      <c r="AV146" s="41">
        <f t="shared" si="92"/>
        <v>69877.316848867995</v>
      </c>
      <c r="AW146" s="41">
        <f t="shared" si="92"/>
        <v>69877.316848867995</v>
      </c>
      <c r="AX146" s="41">
        <f t="shared" si="92"/>
        <v>69877.316848867995</v>
      </c>
      <c r="AY146" s="41">
        <f t="shared" si="92"/>
        <v>69877.316848867995</v>
      </c>
      <c r="AZ146" s="41">
        <f t="shared" si="92"/>
        <v>69877.316848867995</v>
      </c>
      <c r="BA146" s="41">
        <f t="shared" si="92"/>
        <v>69877.316848867995</v>
      </c>
      <c r="BB146" s="41">
        <f t="shared" si="92"/>
        <v>69877.316848867995</v>
      </c>
      <c r="BC146" s="41">
        <f t="shared" si="92"/>
        <v>76865.048555801855</v>
      </c>
      <c r="BD146" s="41">
        <f t="shared" si="92"/>
        <v>76865.048555801855</v>
      </c>
      <c r="BE146" s="41">
        <f t="shared" si="92"/>
        <v>76865.048555801855</v>
      </c>
      <c r="BF146" s="41">
        <f t="shared" si="92"/>
        <v>76865.048555801855</v>
      </c>
      <c r="BG146" s="41">
        <f t="shared" si="92"/>
        <v>76865.048555801855</v>
      </c>
      <c r="BH146" s="41">
        <f t="shared" si="92"/>
        <v>76865.048555801855</v>
      </c>
      <c r="BI146" s="41">
        <f t="shared" si="92"/>
        <v>76865.048555801855</v>
      </c>
    </row>
    <row r="147" spans="5:61" x14ac:dyDescent="0.35">
      <c r="E147">
        <v>7</v>
      </c>
      <c r="J147" t="s">
        <v>50</v>
      </c>
      <c r="N147" s="41">
        <f t="shared" ref="N147:BI147" si="93">IFERROR(INDEX($N$113:$BI$113,1,MATCH(N121,$N$112:$BI$112,0)),0)</f>
        <v>0</v>
      </c>
      <c r="O147" s="41">
        <f t="shared" si="93"/>
        <v>0</v>
      </c>
      <c r="P147" s="41">
        <f t="shared" si="93"/>
        <v>0</v>
      </c>
      <c r="Q147" s="41">
        <f t="shared" si="93"/>
        <v>0</v>
      </c>
      <c r="R147" s="41">
        <f t="shared" si="93"/>
        <v>0</v>
      </c>
      <c r="S147" s="41">
        <f t="shared" si="93"/>
        <v>0</v>
      </c>
      <c r="T147" s="41">
        <f t="shared" si="93"/>
        <v>17956</v>
      </c>
      <c r="U147" s="41">
        <f t="shared" si="93"/>
        <v>17956</v>
      </c>
      <c r="V147" s="41">
        <f t="shared" si="93"/>
        <v>17956</v>
      </c>
      <c r="W147" s="41">
        <f t="shared" si="93"/>
        <v>17956</v>
      </c>
      <c r="X147" s="41">
        <f t="shared" si="93"/>
        <v>17956</v>
      </c>
      <c r="Y147" s="41">
        <f t="shared" si="93"/>
        <v>17956</v>
      </c>
      <c r="Z147" s="41">
        <f t="shared" si="93"/>
        <v>17956</v>
      </c>
      <c r="AA147" s="41">
        <f t="shared" si="93"/>
        <v>17956</v>
      </c>
      <c r="AB147" s="41">
        <f t="shared" si="93"/>
        <v>17956</v>
      </c>
      <c r="AC147" s="41">
        <f t="shared" si="93"/>
        <v>17956</v>
      </c>
      <c r="AD147" s="41">
        <f t="shared" si="93"/>
        <v>17956</v>
      </c>
      <c r="AE147" s="41">
        <f t="shared" si="93"/>
        <v>17956</v>
      </c>
      <c r="AF147" s="41">
        <f t="shared" si="93"/>
        <v>60529</v>
      </c>
      <c r="AG147" s="41">
        <f t="shared" si="93"/>
        <v>60529</v>
      </c>
      <c r="AH147" s="41">
        <f t="shared" si="93"/>
        <v>60529</v>
      </c>
      <c r="AI147" s="41">
        <f t="shared" si="93"/>
        <v>60529</v>
      </c>
      <c r="AJ147" s="41">
        <f t="shared" si="93"/>
        <v>60529</v>
      </c>
      <c r="AK147" s="41">
        <f t="shared" si="93"/>
        <v>60529</v>
      </c>
      <c r="AL147" s="41">
        <f t="shared" si="93"/>
        <v>60529</v>
      </c>
      <c r="AM147" s="41">
        <f t="shared" si="93"/>
        <v>60529</v>
      </c>
      <c r="AN147" s="41">
        <f t="shared" si="93"/>
        <v>60529</v>
      </c>
      <c r="AO147" s="41">
        <f t="shared" si="93"/>
        <v>60529</v>
      </c>
      <c r="AP147" s="41">
        <f t="shared" si="93"/>
        <v>60529</v>
      </c>
      <c r="AQ147" s="41">
        <f t="shared" si="93"/>
        <v>60529</v>
      </c>
      <c r="AR147" s="41">
        <f t="shared" si="93"/>
        <v>63676.963121060908</v>
      </c>
      <c r="AS147" s="41">
        <f t="shared" si="93"/>
        <v>63676.963121060908</v>
      </c>
      <c r="AT147" s="41">
        <f t="shared" si="93"/>
        <v>63676.963121060908</v>
      </c>
      <c r="AU147" s="41">
        <f t="shared" si="93"/>
        <v>63676.963121060908</v>
      </c>
      <c r="AV147" s="41">
        <f t="shared" si="93"/>
        <v>63676.963121060908</v>
      </c>
      <c r="AW147" s="41">
        <f t="shared" si="93"/>
        <v>63676.963121060908</v>
      </c>
      <c r="AX147" s="41">
        <f t="shared" si="93"/>
        <v>63676.963121060908</v>
      </c>
      <c r="AY147" s="41">
        <f t="shared" si="93"/>
        <v>63676.963121060908</v>
      </c>
      <c r="AZ147" s="41">
        <f t="shared" si="93"/>
        <v>63676.963121060908</v>
      </c>
      <c r="BA147" s="41">
        <f t="shared" si="93"/>
        <v>63676.963121060908</v>
      </c>
      <c r="BB147" s="41">
        <f t="shared" si="93"/>
        <v>63676.963121060908</v>
      </c>
      <c r="BC147" s="41">
        <f t="shared" si="93"/>
        <v>63676.963121060908</v>
      </c>
      <c r="BD147" s="41">
        <f t="shared" si="93"/>
        <v>70044.659433217879</v>
      </c>
      <c r="BE147" s="41">
        <f t="shared" si="93"/>
        <v>70044.659433217879</v>
      </c>
      <c r="BF147" s="41">
        <f t="shared" si="93"/>
        <v>70044.659433217879</v>
      </c>
      <c r="BG147" s="41">
        <f t="shared" si="93"/>
        <v>70044.659433217879</v>
      </c>
      <c r="BH147" s="41">
        <f t="shared" si="93"/>
        <v>70044.659433217879</v>
      </c>
      <c r="BI147" s="41">
        <f t="shared" si="93"/>
        <v>70044.659433217879</v>
      </c>
    </row>
    <row r="148" spans="5:61" x14ac:dyDescent="0.35">
      <c r="E148">
        <v>8</v>
      </c>
      <c r="J148" t="s">
        <v>50</v>
      </c>
      <c r="N148" s="41">
        <f t="shared" ref="N148:BI148" si="94">IFERROR(INDEX($N$113:$BI$113,1,MATCH(N122,$N$112:$BI$112,0)),0)</f>
        <v>0</v>
      </c>
      <c r="O148" s="41">
        <f t="shared" si="94"/>
        <v>0</v>
      </c>
      <c r="P148" s="41">
        <f t="shared" si="94"/>
        <v>0</v>
      </c>
      <c r="Q148" s="41">
        <f t="shared" si="94"/>
        <v>0</v>
      </c>
      <c r="R148" s="41">
        <f t="shared" si="94"/>
        <v>0</v>
      </c>
      <c r="S148" s="41">
        <f t="shared" si="94"/>
        <v>0</v>
      </c>
      <c r="T148" s="41">
        <f t="shared" si="94"/>
        <v>0</v>
      </c>
      <c r="U148" s="41">
        <f t="shared" si="94"/>
        <v>27791</v>
      </c>
      <c r="V148" s="41">
        <f t="shared" si="94"/>
        <v>27791</v>
      </c>
      <c r="W148" s="41">
        <f t="shared" si="94"/>
        <v>27791</v>
      </c>
      <c r="X148" s="41">
        <f t="shared" si="94"/>
        <v>27791</v>
      </c>
      <c r="Y148" s="41">
        <f t="shared" si="94"/>
        <v>27791</v>
      </c>
      <c r="Z148" s="41">
        <f t="shared" si="94"/>
        <v>27791</v>
      </c>
      <c r="AA148" s="41">
        <f t="shared" si="94"/>
        <v>27791</v>
      </c>
      <c r="AB148" s="41">
        <f t="shared" si="94"/>
        <v>27791</v>
      </c>
      <c r="AC148" s="41">
        <f t="shared" si="94"/>
        <v>27791</v>
      </c>
      <c r="AD148" s="41">
        <f t="shared" si="94"/>
        <v>27791</v>
      </c>
      <c r="AE148" s="41">
        <f t="shared" si="94"/>
        <v>27791</v>
      </c>
      <c r="AF148" s="41">
        <f t="shared" si="94"/>
        <v>27791</v>
      </c>
      <c r="AG148" s="41">
        <f t="shared" si="94"/>
        <v>51721</v>
      </c>
      <c r="AH148" s="41">
        <f t="shared" si="94"/>
        <v>51721</v>
      </c>
      <c r="AI148" s="41">
        <f t="shared" si="94"/>
        <v>51721</v>
      </c>
      <c r="AJ148" s="41">
        <f t="shared" si="94"/>
        <v>51721</v>
      </c>
      <c r="AK148" s="41">
        <f t="shared" si="94"/>
        <v>51721</v>
      </c>
      <c r="AL148" s="41">
        <f t="shared" si="94"/>
        <v>51721</v>
      </c>
      <c r="AM148" s="41">
        <f t="shared" si="94"/>
        <v>51721</v>
      </c>
      <c r="AN148" s="41">
        <f t="shared" si="94"/>
        <v>51721</v>
      </c>
      <c r="AO148" s="41">
        <f t="shared" si="94"/>
        <v>51721</v>
      </c>
      <c r="AP148" s="41">
        <f t="shared" si="94"/>
        <v>51721</v>
      </c>
      <c r="AQ148" s="41">
        <f t="shared" si="94"/>
        <v>51721</v>
      </c>
      <c r="AR148" s="41">
        <f t="shared" si="94"/>
        <v>51721</v>
      </c>
      <c r="AS148" s="41">
        <f t="shared" si="94"/>
        <v>50386.06586527796</v>
      </c>
      <c r="AT148" s="41">
        <f t="shared" si="94"/>
        <v>50386.06586527796</v>
      </c>
      <c r="AU148" s="41">
        <f t="shared" si="94"/>
        <v>50386.06586527796</v>
      </c>
      <c r="AV148" s="41">
        <f t="shared" si="94"/>
        <v>50386.06586527796</v>
      </c>
      <c r="AW148" s="41">
        <f t="shared" si="94"/>
        <v>50386.06586527796</v>
      </c>
      <c r="AX148" s="41">
        <f t="shared" si="94"/>
        <v>50386.06586527796</v>
      </c>
      <c r="AY148" s="41">
        <f t="shared" si="94"/>
        <v>50386.06586527796</v>
      </c>
      <c r="AZ148" s="41">
        <f t="shared" si="94"/>
        <v>50386.06586527796</v>
      </c>
      <c r="BA148" s="41">
        <f t="shared" si="94"/>
        <v>50386.06586527796</v>
      </c>
      <c r="BB148" s="41">
        <f t="shared" si="94"/>
        <v>50386.06586527796</v>
      </c>
      <c r="BC148" s="41">
        <f t="shared" si="94"/>
        <v>50386.06586527796</v>
      </c>
      <c r="BD148" s="41">
        <f t="shared" si="94"/>
        <v>50386.06586527796</v>
      </c>
      <c r="BE148" s="41">
        <f t="shared" si="94"/>
        <v>55424.672451805804</v>
      </c>
      <c r="BF148" s="41">
        <f t="shared" si="94"/>
        <v>55424.672451805804</v>
      </c>
      <c r="BG148" s="41">
        <f t="shared" si="94"/>
        <v>55424.672451805804</v>
      </c>
      <c r="BH148" s="41">
        <f t="shared" si="94"/>
        <v>55424.672451805804</v>
      </c>
      <c r="BI148" s="41">
        <f t="shared" si="94"/>
        <v>55424.672451805804</v>
      </c>
    </row>
    <row r="149" spans="5:61" x14ac:dyDescent="0.35">
      <c r="E149">
        <v>9</v>
      </c>
      <c r="J149" t="s">
        <v>50</v>
      </c>
      <c r="N149" s="41">
        <f t="shared" ref="N149:BI149" si="95">IFERROR(INDEX($N$113:$BI$113,1,MATCH(N123,$N$112:$BI$112,0)),0)</f>
        <v>0</v>
      </c>
      <c r="O149" s="41">
        <f t="shared" si="95"/>
        <v>0</v>
      </c>
      <c r="P149" s="41">
        <f t="shared" si="95"/>
        <v>0</v>
      </c>
      <c r="Q149" s="41">
        <f t="shared" si="95"/>
        <v>0</v>
      </c>
      <c r="R149" s="41">
        <f t="shared" si="95"/>
        <v>0</v>
      </c>
      <c r="S149" s="41">
        <f t="shared" si="95"/>
        <v>0</v>
      </c>
      <c r="T149" s="41">
        <f t="shared" si="95"/>
        <v>0</v>
      </c>
      <c r="U149" s="41">
        <f t="shared" si="95"/>
        <v>0</v>
      </c>
      <c r="V149" s="41">
        <f t="shared" si="95"/>
        <v>13787</v>
      </c>
      <c r="W149" s="41">
        <f t="shared" si="95"/>
        <v>13787</v>
      </c>
      <c r="X149" s="41">
        <f t="shared" si="95"/>
        <v>13787</v>
      </c>
      <c r="Y149" s="41">
        <f t="shared" si="95"/>
        <v>13787</v>
      </c>
      <c r="Z149" s="41">
        <f t="shared" si="95"/>
        <v>13787</v>
      </c>
      <c r="AA149" s="41">
        <f t="shared" si="95"/>
        <v>13787</v>
      </c>
      <c r="AB149" s="41">
        <f t="shared" si="95"/>
        <v>13787</v>
      </c>
      <c r="AC149" s="41">
        <f t="shared" si="95"/>
        <v>13787</v>
      </c>
      <c r="AD149" s="41">
        <f t="shared" si="95"/>
        <v>13787</v>
      </c>
      <c r="AE149" s="41">
        <f t="shared" si="95"/>
        <v>13787</v>
      </c>
      <c r="AF149" s="41">
        <f t="shared" si="95"/>
        <v>13787</v>
      </c>
      <c r="AG149" s="41">
        <f t="shared" si="95"/>
        <v>13787</v>
      </c>
      <c r="AH149" s="41">
        <f t="shared" si="95"/>
        <v>51153</v>
      </c>
      <c r="AI149" s="41">
        <f t="shared" si="95"/>
        <v>51153</v>
      </c>
      <c r="AJ149" s="41">
        <f t="shared" si="95"/>
        <v>51153</v>
      </c>
      <c r="AK149" s="41">
        <f t="shared" si="95"/>
        <v>51153</v>
      </c>
      <c r="AL149" s="41">
        <f t="shared" si="95"/>
        <v>51153</v>
      </c>
      <c r="AM149" s="41">
        <f t="shared" si="95"/>
        <v>51153</v>
      </c>
      <c r="AN149" s="41">
        <f t="shared" si="95"/>
        <v>51153</v>
      </c>
      <c r="AO149" s="41">
        <f t="shared" si="95"/>
        <v>51153</v>
      </c>
      <c r="AP149" s="41">
        <f t="shared" si="95"/>
        <v>51153</v>
      </c>
      <c r="AQ149" s="41">
        <f t="shared" si="95"/>
        <v>51153</v>
      </c>
      <c r="AR149" s="41">
        <f t="shared" si="95"/>
        <v>51153</v>
      </c>
      <c r="AS149" s="41">
        <f t="shared" si="95"/>
        <v>51153</v>
      </c>
      <c r="AT149" s="41">
        <f t="shared" si="95"/>
        <v>58224.509954096939</v>
      </c>
      <c r="AU149" s="41">
        <f t="shared" si="95"/>
        <v>58224.509954096939</v>
      </c>
      <c r="AV149" s="41">
        <f t="shared" si="95"/>
        <v>58224.509954096939</v>
      </c>
      <c r="AW149" s="41">
        <f t="shared" si="95"/>
        <v>58224.509954096939</v>
      </c>
      <c r="AX149" s="41">
        <f t="shared" si="95"/>
        <v>58224.509954096939</v>
      </c>
      <c r="AY149" s="41">
        <f t="shared" si="95"/>
        <v>58224.509954096939</v>
      </c>
      <c r="AZ149" s="41">
        <f t="shared" si="95"/>
        <v>58224.509954096939</v>
      </c>
      <c r="BA149" s="41">
        <f t="shared" si="95"/>
        <v>58224.509954096939</v>
      </c>
      <c r="BB149" s="41">
        <f t="shared" si="95"/>
        <v>58224.509954096939</v>
      </c>
      <c r="BC149" s="41">
        <f t="shared" si="95"/>
        <v>58224.509954096939</v>
      </c>
      <c r="BD149" s="41">
        <f t="shared" si="95"/>
        <v>58224.509954096939</v>
      </c>
      <c r="BE149" s="41">
        <f t="shared" si="95"/>
        <v>58224.509954096939</v>
      </c>
      <c r="BF149" s="41">
        <f t="shared" si="95"/>
        <v>64046.96094950664</v>
      </c>
      <c r="BG149" s="41">
        <f t="shared" si="95"/>
        <v>64046.96094950664</v>
      </c>
      <c r="BH149" s="41">
        <f t="shared" si="95"/>
        <v>64046.96094950664</v>
      </c>
      <c r="BI149" s="41">
        <f t="shared" si="95"/>
        <v>64046.96094950664</v>
      </c>
    </row>
    <row r="150" spans="5:61" x14ac:dyDescent="0.35">
      <c r="E150">
        <v>10</v>
      </c>
      <c r="J150" t="s">
        <v>50</v>
      </c>
      <c r="N150" s="41">
        <f t="shared" ref="N150:BI150" si="96">IFERROR(INDEX($N$113:$BI$113,1,MATCH(N124,$N$112:$BI$112,0)),0)</f>
        <v>0</v>
      </c>
      <c r="O150" s="41">
        <f t="shared" si="96"/>
        <v>0</v>
      </c>
      <c r="P150" s="41">
        <f t="shared" si="96"/>
        <v>0</v>
      </c>
      <c r="Q150" s="41">
        <f t="shared" si="96"/>
        <v>0</v>
      </c>
      <c r="R150" s="41">
        <f t="shared" si="96"/>
        <v>0</v>
      </c>
      <c r="S150" s="41">
        <f t="shared" si="96"/>
        <v>0</v>
      </c>
      <c r="T150" s="41">
        <f t="shared" si="96"/>
        <v>0</v>
      </c>
      <c r="U150" s="41">
        <f t="shared" si="96"/>
        <v>0</v>
      </c>
      <c r="V150" s="41">
        <f t="shared" si="96"/>
        <v>0</v>
      </c>
      <c r="W150" s="41">
        <f t="shared" si="96"/>
        <v>14792</v>
      </c>
      <c r="X150" s="41">
        <f t="shared" si="96"/>
        <v>14792</v>
      </c>
      <c r="Y150" s="41">
        <f t="shared" si="96"/>
        <v>14792</v>
      </c>
      <c r="Z150" s="41">
        <f t="shared" si="96"/>
        <v>14792</v>
      </c>
      <c r="AA150" s="41">
        <f t="shared" si="96"/>
        <v>14792</v>
      </c>
      <c r="AB150" s="41">
        <f t="shared" si="96"/>
        <v>14792</v>
      </c>
      <c r="AC150" s="41">
        <f t="shared" si="96"/>
        <v>14792</v>
      </c>
      <c r="AD150" s="41">
        <f t="shared" si="96"/>
        <v>14792</v>
      </c>
      <c r="AE150" s="41">
        <f t="shared" si="96"/>
        <v>14792</v>
      </c>
      <c r="AF150" s="41">
        <f t="shared" si="96"/>
        <v>14792</v>
      </c>
      <c r="AG150" s="41">
        <f t="shared" si="96"/>
        <v>14792</v>
      </c>
      <c r="AH150" s="41">
        <f t="shared" si="96"/>
        <v>14792</v>
      </c>
      <c r="AI150" s="41">
        <f t="shared" si="96"/>
        <v>63159</v>
      </c>
      <c r="AJ150" s="41">
        <f t="shared" si="96"/>
        <v>63159</v>
      </c>
      <c r="AK150" s="41">
        <f t="shared" si="96"/>
        <v>63159</v>
      </c>
      <c r="AL150" s="41">
        <f t="shared" si="96"/>
        <v>63159</v>
      </c>
      <c r="AM150" s="41">
        <f t="shared" si="96"/>
        <v>63159</v>
      </c>
      <c r="AN150" s="41">
        <f t="shared" si="96"/>
        <v>63159</v>
      </c>
      <c r="AO150" s="41">
        <f t="shared" si="96"/>
        <v>63159</v>
      </c>
      <c r="AP150" s="41">
        <f t="shared" si="96"/>
        <v>63159</v>
      </c>
      <c r="AQ150" s="41">
        <f t="shared" si="96"/>
        <v>63159</v>
      </c>
      <c r="AR150" s="41">
        <f t="shared" si="96"/>
        <v>63159</v>
      </c>
      <c r="AS150" s="41">
        <f t="shared" si="96"/>
        <v>63159</v>
      </c>
      <c r="AT150" s="41">
        <f t="shared" si="96"/>
        <v>63159</v>
      </c>
      <c r="AU150" s="41">
        <f t="shared" si="96"/>
        <v>69604.36557467503</v>
      </c>
      <c r="AV150" s="41">
        <f t="shared" si="96"/>
        <v>69604.36557467503</v>
      </c>
      <c r="AW150" s="41">
        <f t="shared" si="96"/>
        <v>69604.36557467503</v>
      </c>
      <c r="AX150" s="41">
        <f t="shared" si="96"/>
        <v>69604.36557467503</v>
      </c>
      <c r="AY150" s="41">
        <f t="shared" si="96"/>
        <v>69604.36557467503</v>
      </c>
      <c r="AZ150" s="41">
        <f t="shared" si="96"/>
        <v>69604.36557467503</v>
      </c>
      <c r="BA150" s="41">
        <f t="shared" si="96"/>
        <v>69604.36557467503</v>
      </c>
      <c r="BB150" s="41">
        <f t="shared" si="96"/>
        <v>69604.36557467503</v>
      </c>
      <c r="BC150" s="41">
        <f t="shared" si="96"/>
        <v>69604.36557467503</v>
      </c>
      <c r="BD150" s="41">
        <f t="shared" si="96"/>
        <v>69604.36557467503</v>
      </c>
      <c r="BE150" s="41">
        <f t="shared" si="96"/>
        <v>69604.36557467503</v>
      </c>
      <c r="BF150" s="41">
        <f t="shared" si="96"/>
        <v>69604.36557467503</v>
      </c>
      <c r="BG150" s="41">
        <f t="shared" si="96"/>
        <v>76564.802132142533</v>
      </c>
      <c r="BH150" s="41">
        <f t="shared" si="96"/>
        <v>76564.802132142533</v>
      </c>
      <c r="BI150" s="41">
        <f t="shared" si="96"/>
        <v>76564.802132142533</v>
      </c>
    </row>
    <row r="151" spans="5:61" x14ac:dyDescent="0.35">
      <c r="E151">
        <v>11</v>
      </c>
      <c r="J151" t="s">
        <v>50</v>
      </c>
      <c r="N151" s="41">
        <f t="shared" ref="N151:BI151" si="97">IFERROR(INDEX($N$113:$BI$113,1,MATCH(N125,$N$112:$BI$112,0)),0)</f>
        <v>0</v>
      </c>
      <c r="O151" s="41">
        <f t="shared" si="97"/>
        <v>0</v>
      </c>
      <c r="P151" s="41">
        <f t="shared" si="97"/>
        <v>0</v>
      </c>
      <c r="Q151" s="41">
        <f t="shared" si="97"/>
        <v>0</v>
      </c>
      <c r="R151" s="41">
        <f t="shared" si="97"/>
        <v>0</v>
      </c>
      <c r="S151" s="41">
        <f t="shared" si="97"/>
        <v>0</v>
      </c>
      <c r="T151" s="41">
        <f t="shared" si="97"/>
        <v>0</v>
      </c>
      <c r="U151" s="41">
        <f t="shared" si="97"/>
        <v>0</v>
      </c>
      <c r="V151" s="41">
        <f t="shared" si="97"/>
        <v>0</v>
      </c>
      <c r="W151" s="41">
        <f t="shared" si="97"/>
        <v>0</v>
      </c>
      <c r="X151" s="41">
        <f t="shared" si="97"/>
        <v>20452</v>
      </c>
      <c r="Y151" s="41">
        <f t="shared" si="97"/>
        <v>20452</v>
      </c>
      <c r="Z151" s="41">
        <f t="shared" si="97"/>
        <v>20452</v>
      </c>
      <c r="AA151" s="41">
        <f t="shared" si="97"/>
        <v>20452</v>
      </c>
      <c r="AB151" s="41">
        <f t="shared" si="97"/>
        <v>20452</v>
      </c>
      <c r="AC151" s="41">
        <f t="shared" si="97"/>
        <v>20452</v>
      </c>
      <c r="AD151" s="41">
        <f t="shared" si="97"/>
        <v>20452</v>
      </c>
      <c r="AE151" s="41">
        <f t="shared" si="97"/>
        <v>20452</v>
      </c>
      <c r="AF151" s="41">
        <f t="shared" si="97"/>
        <v>20452</v>
      </c>
      <c r="AG151" s="41">
        <f t="shared" si="97"/>
        <v>20452</v>
      </c>
      <c r="AH151" s="41">
        <f t="shared" si="97"/>
        <v>20452</v>
      </c>
      <c r="AI151" s="41">
        <f t="shared" si="97"/>
        <v>20452</v>
      </c>
      <c r="AJ151" s="41">
        <f t="shared" si="97"/>
        <v>62431</v>
      </c>
      <c r="AK151" s="41">
        <f t="shared" si="97"/>
        <v>62431</v>
      </c>
      <c r="AL151" s="41">
        <f t="shared" si="97"/>
        <v>62431</v>
      </c>
      <c r="AM151" s="41">
        <f t="shared" si="97"/>
        <v>62431</v>
      </c>
      <c r="AN151" s="41">
        <f t="shared" si="97"/>
        <v>62431</v>
      </c>
      <c r="AO151" s="41">
        <f t="shared" si="97"/>
        <v>62431</v>
      </c>
      <c r="AP151" s="41">
        <f t="shared" si="97"/>
        <v>62431</v>
      </c>
      <c r="AQ151" s="41">
        <f t="shared" si="97"/>
        <v>62431</v>
      </c>
      <c r="AR151" s="41">
        <f t="shared" si="97"/>
        <v>62431</v>
      </c>
      <c r="AS151" s="41">
        <f t="shared" si="97"/>
        <v>62431</v>
      </c>
      <c r="AT151" s="41">
        <f t="shared" si="97"/>
        <v>62431</v>
      </c>
      <c r="AU151" s="41">
        <f t="shared" si="97"/>
        <v>62431</v>
      </c>
      <c r="AV151" s="41">
        <f t="shared" si="97"/>
        <v>71378.934592984268</v>
      </c>
      <c r="AW151" s="41">
        <f t="shared" si="97"/>
        <v>71378.934592984268</v>
      </c>
      <c r="AX151" s="41">
        <f t="shared" si="97"/>
        <v>71378.934592984268</v>
      </c>
      <c r="AY151" s="41">
        <f t="shared" si="97"/>
        <v>71378.934592984268</v>
      </c>
      <c r="AZ151" s="41">
        <f t="shared" si="97"/>
        <v>71378.934592984268</v>
      </c>
      <c r="BA151" s="41">
        <f t="shared" si="97"/>
        <v>71378.934592984268</v>
      </c>
      <c r="BB151" s="41">
        <f t="shared" si="97"/>
        <v>71378.934592984268</v>
      </c>
      <c r="BC151" s="41">
        <f t="shared" si="97"/>
        <v>71378.934592984268</v>
      </c>
      <c r="BD151" s="41">
        <f t="shared" si="97"/>
        <v>71378.934592984268</v>
      </c>
      <c r="BE151" s="41">
        <f t="shared" si="97"/>
        <v>71378.934592984268</v>
      </c>
      <c r="BF151" s="41">
        <f t="shared" si="97"/>
        <v>71378.934592984268</v>
      </c>
      <c r="BG151" s="41">
        <f t="shared" si="97"/>
        <v>71378.934592984268</v>
      </c>
      <c r="BH151" s="41">
        <f t="shared" si="97"/>
        <v>78516.828052282712</v>
      </c>
      <c r="BI151" s="41">
        <f t="shared" si="97"/>
        <v>78516.828052282712</v>
      </c>
    </row>
    <row r="152" spans="5:61" x14ac:dyDescent="0.35">
      <c r="E152">
        <v>12</v>
      </c>
      <c r="J152" t="s">
        <v>50</v>
      </c>
      <c r="N152" s="41">
        <f t="shared" ref="N152:BI152" si="98">IFERROR(INDEX($N$113:$BI$113,1,MATCH(N126,$N$112:$BI$112,0)),0)</f>
        <v>0</v>
      </c>
      <c r="O152" s="41">
        <f t="shared" si="98"/>
        <v>0</v>
      </c>
      <c r="P152" s="41">
        <f t="shared" si="98"/>
        <v>0</v>
      </c>
      <c r="Q152" s="41">
        <f t="shared" si="98"/>
        <v>0</v>
      </c>
      <c r="R152" s="41">
        <f t="shared" si="98"/>
        <v>0</v>
      </c>
      <c r="S152" s="41">
        <f t="shared" si="98"/>
        <v>0</v>
      </c>
      <c r="T152" s="41">
        <f t="shared" si="98"/>
        <v>0</v>
      </c>
      <c r="U152" s="41">
        <f t="shared" si="98"/>
        <v>0</v>
      </c>
      <c r="V152" s="41">
        <f t="shared" si="98"/>
        <v>0</v>
      </c>
      <c r="W152" s="41">
        <f t="shared" si="98"/>
        <v>0</v>
      </c>
      <c r="X152" s="41">
        <f t="shared" si="98"/>
        <v>0</v>
      </c>
      <c r="Y152" s="41">
        <f t="shared" si="98"/>
        <v>31303</v>
      </c>
      <c r="Z152" s="41">
        <f t="shared" si="98"/>
        <v>31303</v>
      </c>
      <c r="AA152" s="41">
        <f t="shared" si="98"/>
        <v>31303</v>
      </c>
      <c r="AB152" s="41">
        <f t="shared" si="98"/>
        <v>31303</v>
      </c>
      <c r="AC152" s="41">
        <f t="shared" si="98"/>
        <v>31303</v>
      </c>
      <c r="AD152" s="41">
        <f t="shared" si="98"/>
        <v>31303</v>
      </c>
      <c r="AE152" s="41">
        <f t="shared" si="98"/>
        <v>31303</v>
      </c>
      <c r="AF152" s="41">
        <f t="shared" si="98"/>
        <v>31303</v>
      </c>
      <c r="AG152" s="41">
        <f t="shared" si="98"/>
        <v>31303</v>
      </c>
      <c r="AH152" s="41">
        <f t="shared" si="98"/>
        <v>31303</v>
      </c>
      <c r="AI152" s="41">
        <f t="shared" si="98"/>
        <v>31303</v>
      </c>
      <c r="AJ152" s="41">
        <f t="shared" si="98"/>
        <v>31303</v>
      </c>
      <c r="AK152" s="41">
        <f t="shared" si="98"/>
        <v>70804</v>
      </c>
      <c r="AL152" s="41">
        <f t="shared" si="98"/>
        <v>70804</v>
      </c>
      <c r="AM152" s="41">
        <f t="shared" si="98"/>
        <v>70804</v>
      </c>
      <c r="AN152" s="41">
        <f t="shared" si="98"/>
        <v>70804</v>
      </c>
      <c r="AO152" s="41">
        <f t="shared" si="98"/>
        <v>70804</v>
      </c>
      <c r="AP152" s="41">
        <f t="shared" si="98"/>
        <v>70804</v>
      </c>
      <c r="AQ152" s="41">
        <f t="shared" si="98"/>
        <v>70804</v>
      </c>
      <c r="AR152" s="41">
        <f t="shared" si="98"/>
        <v>70804</v>
      </c>
      <c r="AS152" s="41">
        <f t="shared" si="98"/>
        <v>70804</v>
      </c>
      <c r="AT152" s="41">
        <f t="shared" si="98"/>
        <v>70804</v>
      </c>
      <c r="AU152" s="41">
        <f t="shared" si="98"/>
        <v>70804</v>
      </c>
      <c r="AV152" s="41">
        <f t="shared" si="98"/>
        <v>70804</v>
      </c>
      <c r="AW152" s="41">
        <f t="shared" si="98"/>
        <v>78753.149697082248</v>
      </c>
      <c r="AX152" s="41">
        <f t="shared" si="98"/>
        <v>78753.149697082248</v>
      </c>
      <c r="AY152" s="41">
        <f t="shared" si="98"/>
        <v>78753.149697082248</v>
      </c>
      <c r="AZ152" s="41">
        <f t="shared" si="98"/>
        <v>78753.149697082248</v>
      </c>
      <c r="BA152" s="41">
        <f t="shared" si="98"/>
        <v>78753.149697082248</v>
      </c>
      <c r="BB152" s="41">
        <f t="shared" si="98"/>
        <v>78753.149697082248</v>
      </c>
      <c r="BC152" s="41">
        <f t="shared" si="98"/>
        <v>78753.149697082248</v>
      </c>
      <c r="BD152" s="41">
        <f t="shared" si="98"/>
        <v>78753.149697082248</v>
      </c>
      <c r="BE152" s="41">
        <f t="shared" si="98"/>
        <v>78753.149697082248</v>
      </c>
      <c r="BF152" s="41">
        <f t="shared" si="98"/>
        <v>78753.149697082248</v>
      </c>
      <c r="BG152" s="41">
        <f t="shared" si="98"/>
        <v>78753.149697082248</v>
      </c>
      <c r="BH152" s="41">
        <f t="shared" si="98"/>
        <v>78753.149697082248</v>
      </c>
      <c r="BI152" s="41">
        <f t="shared" si="98"/>
        <v>86628.464666790489</v>
      </c>
    </row>
    <row r="153" spans="5:61" x14ac:dyDescent="0.35"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</row>
    <row r="154" spans="5:61" x14ac:dyDescent="0.35">
      <c r="E154" t="s">
        <v>110</v>
      </c>
      <c r="J154" t="s">
        <v>50</v>
      </c>
      <c r="N154" s="41">
        <f t="shared" ref="N154:BI154" si="99">SUMPRODUCT(N128:N139,N141:N152)</f>
        <v>0</v>
      </c>
      <c r="O154" s="41">
        <f t="shared" si="99"/>
        <v>0</v>
      </c>
      <c r="P154" s="41">
        <f t="shared" si="99"/>
        <v>0</v>
      </c>
      <c r="Q154" s="41">
        <f t="shared" si="99"/>
        <v>230.51212413957271</v>
      </c>
      <c r="R154" s="41">
        <f t="shared" si="99"/>
        <v>1589.9929100628301</v>
      </c>
      <c r="S154" s="41">
        <f t="shared" si="99"/>
        <v>2651.2817563396588</v>
      </c>
      <c r="T154" s="41">
        <f t="shared" si="99"/>
        <v>6685.9663411913471</v>
      </c>
      <c r="U154" s="41">
        <f t="shared" si="99"/>
        <v>11175.226121793588</v>
      </c>
      <c r="V154" s="41">
        <f t="shared" si="99"/>
        <v>8619.6074973562136</v>
      </c>
      <c r="W154" s="41">
        <f t="shared" si="99"/>
        <v>10212.195592556931</v>
      </c>
      <c r="X154" s="41">
        <f t="shared" si="99"/>
        <v>12835.440792645088</v>
      </c>
      <c r="Y154" s="41">
        <f t="shared" si="99"/>
        <v>17912.423597951856</v>
      </c>
      <c r="Z154" s="41">
        <f t="shared" si="99"/>
        <v>20632.034593375192</v>
      </c>
      <c r="AA154" s="41">
        <f t="shared" si="99"/>
        <v>23275.497716014979</v>
      </c>
      <c r="AB154" s="41">
        <f t="shared" si="99"/>
        <v>28822.107193842276</v>
      </c>
      <c r="AC154" s="41">
        <f t="shared" si="99"/>
        <v>34659.438442944447</v>
      </c>
      <c r="AD154" s="41">
        <f t="shared" si="99"/>
        <v>37921.276066183971</v>
      </c>
      <c r="AE154" s="41">
        <f t="shared" si="99"/>
        <v>45059.629710730798</v>
      </c>
      <c r="AF154" s="41">
        <f t="shared" si="99"/>
        <v>46295.3443939965</v>
      </c>
      <c r="AG154" s="41">
        <f t="shared" si="99"/>
        <v>46060.670975867783</v>
      </c>
      <c r="AH154" s="41">
        <f t="shared" si="99"/>
        <v>46693.028890390386</v>
      </c>
      <c r="AI154" s="41">
        <f t="shared" si="99"/>
        <v>53132.303375467694</v>
      </c>
      <c r="AJ154" s="41">
        <f t="shared" si="99"/>
        <v>53499.567829433043</v>
      </c>
      <c r="AK154" s="41">
        <f t="shared" si="99"/>
        <v>58781.240040064906</v>
      </c>
      <c r="AL154" s="41">
        <f t="shared" si="99"/>
        <v>58715.109983602953</v>
      </c>
      <c r="AM154" s="41">
        <f t="shared" si="99"/>
        <v>55185.082364715679</v>
      </c>
      <c r="AN154" s="41">
        <f t="shared" si="99"/>
        <v>63406.045770943972</v>
      </c>
      <c r="AO154" s="41">
        <f t="shared" si="99"/>
        <v>62664.978685163202</v>
      </c>
      <c r="AP154" s="41">
        <f t="shared" si="99"/>
        <v>65761.812190689016</v>
      </c>
      <c r="AQ154" s="41">
        <f t="shared" si="99"/>
        <v>63694.324216924142</v>
      </c>
      <c r="AR154" s="41">
        <f t="shared" si="99"/>
        <v>63961.173806663232</v>
      </c>
      <c r="AS154" s="41">
        <f t="shared" si="99"/>
        <v>59946.851059996799</v>
      </c>
      <c r="AT154" s="41">
        <f t="shared" si="99"/>
        <v>60055.932824136777</v>
      </c>
      <c r="AU154" s="41">
        <f t="shared" si="99"/>
        <v>64474.925211902984</v>
      </c>
      <c r="AV154" s="41">
        <f t="shared" si="99"/>
        <v>63581.47583471502</v>
      </c>
      <c r="AW154" s="41">
        <f t="shared" si="99"/>
        <v>67552.89702619196</v>
      </c>
      <c r="AX154" s="41">
        <f t="shared" si="99"/>
        <v>66321.595268439283</v>
      </c>
      <c r="AY154" s="41">
        <f t="shared" si="99"/>
        <v>61520.064183864495</v>
      </c>
      <c r="AZ154" s="41">
        <f t="shared" si="99"/>
        <v>70016.700219011298</v>
      </c>
      <c r="BA154" s="41">
        <f t="shared" si="99"/>
        <v>68994.67902742044</v>
      </c>
      <c r="BB154" s="41">
        <f t="shared" si="99"/>
        <v>72188.867717918081</v>
      </c>
      <c r="BC154" s="41">
        <f t="shared" si="99"/>
        <v>70137.409078457509</v>
      </c>
      <c r="BD154" s="41">
        <f t="shared" si="99"/>
        <v>70498.236007370171</v>
      </c>
      <c r="BE154" s="41">
        <f t="shared" si="99"/>
        <v>66182.136851165109</v>
      </c>
      <c r="BF154" s="41">
        <f t="shared" si="99"/>
        <v>66212.736199889769</v>
      </c>
      <c r="BG154" s="41">
        <f t="shared" si="99"/>
        <v>71041.450420428286</v>
      </c>
      <c r="BH154" s="41">
        <f t="shared" si="99"/>
        <v>69980.756289677913</v>
      </c>
      <c r="BI154" s="41">
        <f t="shared" si="99"/>
        <v>74324.973803356814</v>
      </c>
    </row>
    <row r="155" spans="5:61" x14ac:dyDescent="0.35"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</row>
    <row r="156" spans="5:61" x14ac:dyDescent="0.35">
      <c r="E156" t="str">
        <f>E26</f>
        <v>Mois de dépôt engagement</v>
      </c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</row>
    <row r="157" spans="5:61" x14ac:dyDescent="0.35">
      <c r="E157">
        <f t="shared" ref="E157:E168" si="100">E27</f>
        <v>1</v>
      </c>
      <c r="J157" t="str">
        <f t="shared" ref="J157:J168" si="101">J27</f>
        <v>booléen</v>
      </c>
      <c r="N157" s="79">
        <f t="shared" ref="N157:BI162" si="102">N27</f>
        <v>1</v>
      </c>
      <c r="O157" s="79">
        <f t="shared" si="102"/>
        <v>1</v>
      </c>
      <c r="P157" s="79">
        <f t="shared" si="102"/>
        <v>1</v>
      </c>
      <c r="Q157" s="79">
        <f t="shared" si="102"/>
        <v>1</v>
      </c>
      <c r="R157" s="79">
        <f t="shared" si="102"/>
        <v>1</v>
      </c>
      <c r="S157" s="79">
        <f t="shared" si="102"/>
        <v>1</v>
      </c>
      <c r="T157" s="79">
        <f t="shared" si="102"/>
        <v>1</v>
      </c>
      <c r="U157" s="79">
        <f t="shared" si="102"/>
        <v>1</v>
      </c>
      <c r="V157" s="79">
        <f t="shared" si="102"/>
        <v>1</v>
      </c>
      <c r="W157" s="79">
        <f t="shared" si="102"/>
        <v>1</v>
      </c>
      <c r="X157" s="79">
        <f t="shared" si="102"/>
        <v>1</v>
      </c>
      <c r="Y157" s="79">
        <f t="shared" si="102"/>
        <v>1</v>
      </c>
      <c r="Z157" s="79">
        <f t="shared" si="102"/>
        <v>1</v>
      </c>
      <c r="AA157" s="79">
        <f t="shared" si="102"/>
        <v>1</v>
      </c>
      <c r="AB157" s="79">
        <f t="shared" si="102"/>
        <v>1</v>
      </c>
      <c r="AC157" s="79">
        <f t="shared" si="102"/>
        <v>1</v>
      </c>
      <c r="AD157" s="79">
        <f t="shared" si="102"/>
        <v>1</v>
      </c>
      <c r="AE157" s="79">
        <f t="shared" si="102"/>
        <v>1</v>
      </c>
      <c r="AF157" s="79">
        <f t="shared" si="102"/>
        <v>1</v>
      </c>
      <c r="AG157" s="79">
        <f t="shared" si="102"/>
        <v>1</v>
      </c>
      <c r="AH157" s="79">
        <f t="shared" si="102"/>
        <v>1</v>
      </c>
      <c r="AI157" s="79">
        <f t="shared" si="102"/>
        <v>1</v>
      </c>
      <c r="AJ157" s="79">
        <f t="shared" si="102"/>
        <v>1</v>
      </c>
      <c r="AK157" s="79">
        <f t="shared" si="102"/>
        <v>1</v>
      </c>
      <c r="AL157" s="79">
        <f t="shared" si="102"/>
        <v>1</v>
      </c>
      <c r="AM157" s="79">
        <f t="shared" si="102"/>
        <v>1</v>
      </c>
      <c r="AN157" s="79">
        <f t="shared" si="102"/>
        <v>1</v>
      </c>
      <c r="AO157" s="79">
        <f t="shared" si="102"/>
        <v>1</v>
      </c>
      <c r="AP157" s="79">
        <f t="shared" si="102"/>
        <v>1</v>
      </c>
      <c r="AQ157" s="79">
        <f t="shared" si="102"/>
        <v>1</v>
      </c>
      <c r="AR157" s="79">
        <f t="shared" si="102"/>
        <v>1</v>
      </c>
      <c r="AS157" s="79">
        <f t="shared" si="102"/>
        <v>1</v>
      </c>
      <c r="AT157" s="79">
        <f t="shared" si="102"/>
        <v>1</v>
      </c>
      <c r="AU157" s="79">
        <f t="shared" si="102"/>
        <v>1</v>
      </c>
      <c r="AV157" s="79">
        <f t="shared" si="102"/>
        <v>1</v>
      </c>
      <c r="AW157" s="79">
        <f t="shared" si="102"/>
        <v>1</v>
      </c>
      <c r="AX157" s="79">
        <f t="shared" si="102"/>
        <v>1</v>
      </c>
      <c r="AY157" s="79">
        <f t="shared" si="102"/>
        <v>1</v>
      </c>
      <c r="AZ157" s="79">
        <f t="shared" si="102"/>
        <v>1</v>
      </c>
      <c r="BA157" s="79">
        <f t="shared" si="102"/>
        <v>1</v>
      </c>
      <c r="BB157" s="79">
        <f t="shared" si="102"/>
        <v>1</v>
      </c>
      <c r="BC157" s="79">
        <f t="shared" si="102"/>
        <v>1</v>
      </c>
      <c r="BD157" s="79">
        <f t="shared" si="102"/>
        <v>1</v>
      </c>
      <c r="BE157" s="79">
        <f t="shared" si="102"/>
        <v>1</v>
      </c>
      <c r="BF157" s="79">
        <f t="shared" si="102"/>
        <v>1</v>
      </c>
      <c r="BG157" s="79">
        <f t="shared" si="102"/>
        <v>1</v>
      </c>
      <c r="BH157" s="79">
        <f t="shared" si="102"/>
        <v>1</v>
      </c>
      <c r="BI157" s="79">
        <f t="shared" si="102"/>
        <v>1</v>
      </c>
    </row>
    <row r="158" spans="5:61" x14ac:dyDescent="0.35">
      <c r="E158">
        <f t="shared" si="100"/>
        <v>2</v>
      </c>
      <c r="J158" t="str">
        <f t="shared" si="101"/>
        <v>booléen</v>
      </c>
      <c r="N158" s="79">
        <f t="shared" si="102"/>
        <v>0</v>
      </c>
      <c r="O158" s="79">
        <f t="shared" si="102"/>
        <v>1</v>
      </c>
      <c r="P158" s="79">
        <f t="shared" si="102"/>
        <v>1</v>
      </c>
      <c r="Q158" s="79">
        <f t="shared" si="102"/>
        <v>1</v>
      </c>
      <c r="R158" s="79">
        <f t="shared" si="102"/>
        <v>1</v>
      </c>
      <c r="S158" s="79">
        <f t="shared" si="102"/>
        <v>1</v>
      </c>
      <c r="T158" s="79">
        <f t="shared" si="102"/>
        <v>1</v>
      </c>
      <c r="U158" s="79">
        <f t="shared" si="102"/>
        <v>1</v>
      </c>
      <c r="V158" s="79">
        <f t="shared" si="102"/>
        <v>1</v>
      </c>
      <c r="W158" s="79">
        <f t="shared" si="102"/>
        <v>1</v>
      </c>
      <c r="X158" s="79">
        <f t="shared" si="102"/>
        <v>1</v>
      </c>
      <c r="Y158" s="79">
        <f t="shared" si="102"/>
        <v>1</v>
      </c>
      <c r="Z158" s="79">
        <f t="shared" si="102"/>
        <v>0</v>
      </c>
      <c r="AA158" s="79">
        <f t="shared" si="102"/>
        <v>1</v>
      </c>
      <c r="AB158" s="79">
        <f t="shared" si="102"/>
        <v>1</v>
      </c>
      <c r="AC158" s="79">
        <f t="shared" si="102"/>
        <v>1</v>
      </c>
      <c r="AD158" s="79">
        <f t="shared" si="102"/>
        <v>1</v>
      </c>
      <c r="AE158" s="79">
        <f t="shared" si="102"/>
        <v>1</v>
      </c>
      <c r="AF158" s="79">
        <f t="shared" si="102"/>
        <v>1</v>
      </c>
      <c r="AG158" s="79">
        <f t="shared" si="102"/>
        <v>1</v>
      </c>
      <c r="AH158" s="79">
        <f t="shared" si="102"/>
        <v>1</v>
      </c>
      <c r="AI158" s="79">
        <f t="shared" si="102"/>
        <v>1</v>
      </c>
      <c r="AJ158" s="79">
        <f t="shared" si="102"/>
        <v>1</v>
      </c>
      <c r="AK158" s="79">
        <f t="shared" si="102"/>
        <v>1</v>
      </c>
      <c r="AL158" s="79">
        <f t="shared" si="102"/>
        <v>0</v>
      </c>
      <c r="AM158" s="79">
        <f t="shared" si="102"/>
        <v>1</v>
      </c>
      <c r="AN158" s="79">
        <f t="shared" si="102"/>
        <v>1</v>
      </c>
      <c r="AO158" s="79">
        <f t="shared" si="102"/>
        <v>1</v>
      </c>
      <c r="AP158" s="79">
        <f t="shared" si="102"/>
        <v>1</v>
      </c>
      <c r="AQ158" s="79">
        <f t="shared" si="102"/>
        <v>1</v>
      </c>
      <c r="AR158" s="79">
        <f t="shared" si="102"/>
        <v>1</v>
      </c>
      <c r="AS158" s="79">
        <f t="shared" si="102"/>
        <v>1</v>
      </c>
      <c r="AT158" s="79">
        <f t="shared" si="102"/>
        <v>1</v>
      </c>
      <c r="AU158" s="79">
        <f t="shared" si="102"/>
        <v>1</v>
      </c>
      <c r="AV158" s="79">
        <f t="shared" si="102"/>
        <v>1</v>
      </c>
      <c r="AW158" s="79">
        <f t="shared" si="102"/>
        <v>1</v>
      </c>
      <c r="AX158" s="79">
        <f t="shared" si="102"/>
        <v>0</v>
      </c>
      <c r="AY158" s="79">
        <f t="shared" si="102"/>
        <v>1</v>
      </c>
      <c r="AZ158" s="79">
        <f t="shared" si="102"/>
        <v>1</v>
      </c>
      <c r="BA158" s="79">
        <f t="shared" si="102"/>
        <v>1</v>
      </c>
      <c r="BB158" s="79">
        <f t="shared" si="102"/>
        <v>1</v>
      </c>
      <c r="BC158" s="79">
        <f t="shared" si="102"/>
        <v>1</v>
      </c>
      <c r="BD158" s="79">
        <f t="shared" si="102"/>
        <v>1</v>
      </c>
      <c r="BE158" s="79">
        <f t="shared" si="102"/>
        <v>1</v>
      </c>
      <c r="BF158" s="79">
        <f t="shared" si="102"/>
        <v>1</v>
      </c>
      <c r="BG158" s="79">
        <f t="shared" si="102"/>
        <v>1</v>
      </c>
      <c r="BH158" s="79">
        <f t="shared" si="102"/>
        <v>1</v>
      </c>
      <c r="BI158" s="79">
        <f t="shared" si="102"/>
        <v>1</v>
      </c>
    </row>
    <row r="159" spans="5:61" x14ac:dyDescent="0.35">
      <c r="E159">
        <f t="shared" si="100"/>
        <v>3</v>
      </c>
      <c r="J159" t="str">
        <f t="shared" si="101"/>
        <v>booléen</v>
      </c>
      <c r="N159" s="79">
        <f t="shared" si="102"/>
        <v>0</v>
      </c>
      <c r="O159" s="79">
        <f t="shared" si="102"/>
        <v>0</v>
      </c>
      <c r="P159" s="79">
        <f t="shared" si="102"/>
        <v>1</v>
      </c>
      <c r="Q159" s="79">
        <f t="shared" si="102"/>
        <v>1</v>
      </c>
      <c r="R159" s="79">
        <f t="shared" si="102"/>
        <v>1</v>
      </c>
      <c r="S159" s="79">
        <f t="shared" si="102"/>
        <v>1</v>
      </c>
      <c r="T159" s="79">
        <f t="shared" si="102"/>
        <v>1</v>
      </c>
      <c r="U159" s="79">
        <f t="shared" si="102"/>
        <v>1</v>
      </c>
      <c r="V159" s="79">
        <f t="shared" si="102"/>
        <v>1</v>
      </c>
      <c r="W159" s="79">
        <f t="shared" si="102"/>
        <v>1</v>
      </c>
      <c r="X159" s="79">
        <f t="shared" si="102"/>
        <v>1</v>
      </c>
      <c r="Y159" s="79">
        <f t="shared" si="102"/>
        <v>1</v>
      </c>
      <c r="Z159" s="79">
        <f t="shared" si="102"/>
        <v>0</v>
      </c>
      <c r="AA159" s="79">
        <f t="shared" si="102"/>
        <v>0</v>
      </c>
      <c r="AB159" s="79">
        <f t="shared" si="102"/>
        <v>1</v>
      </c>
      <c r="AC159" s="79">
        <f t="shared" si="102"/>
        <v>1</v>
      </c>
      <c r="AD159" s="79">
        <f t="shared" si="102"/>
        <v>1</v>
      </c>
      <c r="AE159" s="79">
        <f t="shared" si="102"/>
        <v>1</v>
      </c>
      <c r="AF159" s="79">
        <f t="shared" si="102"/>
        <v>1</v>
      </c>
      <c r="AG159" s="79">
        <f t="shared" si="102"/>
        <v>1</v>
      </c>
      <c r="AH159" s="79">
        <f t="shared" si="102"/>
        <v>1</v>
      </c>
      <c r="AI159" s="79">
        <f t="shared" si="102"/>
        <v>1</v>
      </c>
      <c r="AJ159" s="79">
        <f t="shared" si="102"/>
        <v>1</v>
      </c>
      <c r="AK159" s="79">
        <f t="shared" si="102"/>
        <v>1</v>
      </c>
      <c r="AL159" s="79">
        <f t="shared" si="102"/>
        <v>0</v>
      </c>
      <c r="AM159" s="79">
        <f t="shared" si="102"/>
        <v>0</v>
      </c>
      <c r="AN159" s="79">
        <f t="shared" si="102"/>
        <v>1</v>
      </c>
      <c r="AO159" s="79">
        <f t="shared" si="102"/>
        <v>1</v>
      </c>
      <c r="AP159" s="79">
        <f t="shared" si="102"/>
        <v>1</v>
      </c>
      <c r="AQ159" s="79">
        <f t="shared" si="102"/>
        <v>1</v>
      </c>
      <c r="AR159" s="79">
        <f t="shared" si="102"/>
        <v>1</v>
      </c>
      <c r="AS159" s="79">
        <f t="shared" si="102"/>
        <v>1</v>
      </c>
      <c r="AT159" s="79">
        <f t="shared" si="102"/>
        <v>1</v>
      </c>
      <c r="AU159" s="79">
        <f t="shared" si="102"/>
        <v>1</v>
      </c>
      <c r="AV159" s="79">
        <f t="shared" si="102"/>
        <v>1</v>
      </c>
      <c r="AW159" s="79">
        <f t="shared" si="102"/>
        <v>1</v>
      </c>
      <c r="AX159" s="79">
        <f t="shared" si="102"/>
        <v>0</v>
      </c>
      <c r="AY159" s="79">
        <f t="shared" si="102"/>
        <v>0</v>
      </c>
      <c r="AZ159" s="79">
        <f t="shared" si="102"/>
        <v>1</v>
      </c>
      <c r="BA159" s="79">
        <f t="shared" si="102"/>
        <v>1</v>
      </c>
      <c r="BB159" s="79">
        <f t="shared" si="102"/>
        <v>1</v>
      </c>
      <c r="BC159" s="79">
        <f t="shared" si="102"/>
        <v>1</v>
      </c>
      <c r="BD159" s="79">
        <f t="shared" si="102"/>
        <v>1</v>
      </c>
      <c r="BE159" s="79">
        <f t="shared" si="102"/>
        <v>1</v>
      </c>
      <c r="BF159" s="79">
        <f t="shared" si="102"/>
        <v>1</v>
      </c>
      <c r="BG159" s="79">
        <f t="shared" si="102"/>
        <v>1</v>
      </c>
      <c r="BH159" s="79">
        <f t="shared" si="102"/>
        <v>1</v>
      </c>
      <c r="BI159" s="79">
        <f t="shared" si="102"/>
        <v>1</v>
      </c>
    </row>
    <row r="160" spans="5:61" x14ac:dyDescent="0.35">
      <c r="E160">
        <f t="shared" si="100"/>
        <v>4</v>
      </c>
      <c r="J160" t="str">
        <f t="shared" si="101"/>
        <v>booléen</v>
      </c>
      <c r="N160" s="79">
        <f t="shared" si="102"/>
        <v>0</v>
      </c>
      <c r="O160" s="79">
        <f t="shared" si="102"/>
        <v>0</v>
      </c>
      <c r="P160" s="79">
        <f t="shared" si="102"/>
        <v>0</v>
      </c>
      <c r="Q160" s="79">
        <f t="shared" si="102"/>
        <v>1</v>
      </c>
      <c r="R160" s="79">
        <f t="shared" si="102"/>
        <v>1</v>
      </c>
      <c r="S160" s="79">
        <f t="shared" si="102"/>
        <v>1</v>
      </c>
      <c r="T160" s="79">
        <f t="shared" si="102"/>
        <v>1</v>
      </c>
      <c r="U160" s="79">
        <f t="shared" si="102"/>
        <v>1</v>
      </c>
      <c r="V160" s="79">
        <f t="shared" si="102"/>
        <v>1</v>
      </c>
      <c r="W160" s="79">
        <f t="shared" si="102"/>
        <v>1</v>
      </c>
      <c r="X160" s="79">
        <f t="shared" si="102"/>
        <v>1</v>
      </c>
      <c r="Y160" s="79">
        <f t="shared" si="102"/>
        <v>1</v>
      </c>
      <c r="Z160" s="79">
        <f t="shared" si="102"/>
        <v>0</v>
      </c>
      <c r="AA160" s="79">
        <f t="shared" si="102"/>
        <v>0</v>
      </c>
      <c r="AB160" s="79">
        <f t="shared" si="102"/>
        <v>0</v>
      </c>
      <c r="AC160" s="79">
        <f t="shared" si="102"/>
        <v>1</v>
      </c>
      <c r="AD160" s="79">
        <f t="shared" si="102"/>
        <v>1</v>
      </c>
      <c r="AE160" s="79">
        <f t="shared" si="102"/>
        <v>1</v>
      </c>
      <c r="AF160" s="79">
        <f t="shared" si="102"/>
        <v>1</v>
      </c>
      <c r="AG160" s="79">
        <f t="shared" si="102"/>
        <v>1</v>
      </c>
      <c r="AH160" s="79">
        <f t="shared" si="102"/>
        <v>1</v>
      </c>
      <c r="AI160" s="79">
        <f t="shared" si="102"/>
        <v>1</v>
      </c>
      <c r="AJ160" s="79">
        <f t="shared" si="102"/>
        <v>1</v>
      </c>
      <c r="AK160" s="79">
        <f t="shared" si="102"/>
        <v>1</v>
      </c>
      <c r="AL160" s="79">
        <f t="shared" si="102"/>
        <v>0</v>
      </c>
      <c r="AM160" s="79">
        <f t="shared" si="102"/>
        <v>0</v>
      </c>
      <c r="AN160" s="79">
        <f t="shared" si="102"/>
        <v>0</v>
      </c>
      <c r="AO160" s="79">
        <f t="shared" si="102"/>
        <v>1</v>
      </c>
      <c r="AP160" s="79">
        <f t="shared" si="102"/>
        <v>1</v>
      </c>
      <c r="AQ160" s="79">
        <f t="shared" si="102"/>
        <v>1</v>
      </c>
      <c r="AR160" s="79">
        <f t="shared" si="102"/>
        <v>1</v>
      </c>
      <c r="AS160" s="79">
        <f t="shared" si="102"/>
        <v>1</v>
      </c>
      <c r="AT160" s="79">
        <f t="shared" si="102"/>
        <v>1</v>
      </c>
      <c r="AU160" s="79">
        <f t="shared" si="102"/>
        <v>1</v>
      </c>
      <c r="AV160" s="79">
        <f t="shared" si="102"/>
        <v>1</v>
      </c>
      <c r="AW160" s="79">
        <f t="shared" si="102"/>
        <v>1</v>
      </c>
      <c r="AX160" s="79">
        <f t="shared" si="102"/>
        <v>0</v>
      </c>
      <c r="AY160" s="79">
        <f t="shared" si="102"/>
        <v>0</v>
      </c>
      <c r="AZ160" s="79">
        <f t="shared" si="102"/>
        <v>0</v>
      </c>
      <c r="BA160" s="79">
        <f t="shared" si="102"/>
        <v>1</v>
      </c>
      <c r="BB160" s="79">
        <f t="shared" si="102"/>
        <v>1</v>
      </c>
      <c r="BC160" s="79">
        <f t="shared" si="102"/>
        <v>1</v>
      </c>
      <c r="BD160" s="79">
        <f t="shared" si="102"/>
        <v>1</v>
      </c>
      <c r="BE160" s="79">
        <f t="shared" si="102"/>
        <v>1</v>
      </c>
      <c r="BF160" s="79">
        <f t="shared" si="102"/>
        <v>1</v>
      </c>
      <c r="BG160" s="79">
        <f t="shared" si="102"/>
        <v>1</v>
      </c>
      <c r="BH160" s="79">
        <f t="shared" si="102"/>
        <v>1</v>
      </c>
      <c r="BI160" s="79">
        <f t="shared" si="102"/>
        <v>1</v>
      </c>
    </row>
    <row r="161" spans="4:61" x14ac:dyDescent="0.35">
      <c r="E161">
        <f t="shared" si="100"/>
        <v>5</v>
      </c>
      <c r="J161" t="str">
        <f t="shared" si="101"/>
        <v>booléen</v>
      </c>
      <c r="N161" s="79">
        <f t="shared" si="102"/>
        <v>0</v>
      </c>
      <c r="O161" s="79">
        <f t="shared" si="102"/>
        <v>0</v>
      </c>
      <c r="P161" s="79">
        <f t="shared" si="102"/>
        <v>0</v>
      </c>
      <c r="Q161" s="79">
        <f t="shared" si="102"/>
        <v>0</v>
      </c>
      <c r="R161" s="79">
        <f t="shared" si="102"/>
        <v>1</v>
      </c>
      <c r="S161" s="79">
        <f t="shared" si="102"/>
        <v>1</v>
      </c>
      <c r="T161" s="79">
        <f t="shared" si="102"/>
        <v>1</v>
      </c>
      <c r="U161" s="79">
        <f t="shared" si="102"/>
        <v>1</v>
      </c>
      <c r="V161" s="79">
        <f t="shared" si="102"/>
        <v>1</v>
      </c>
      <c r="W161" s="79">
        <f t="shared" si="102"/>
        <v>1</v>
      </c>
      <c r="X161" s="79">
        <f t="shared" si="102"/>
        <v>1</v>
      </c>
      <c r="Y161" s="79">
        <f t="shared" si="102"/>
        <v>1</v>
      </c>
      <c r="Z161" s="79">
        <f t="shared" si="102"/>
        <v>0</v>
      </c>
      <c r="AA161" s="79">
        <f t="shared" si="102"/>
        <v>0</v>
      </c>
      <c r="AB161" s="79">
        <f t="shared" si="102"/>
        <v>0</v>
      </c>
      <c r="AC161" s="79">
        <f t="shared" si="102"/>
        <v>0</v>
      </c>
      <c r="AD161" s="79">
        <f t="shared" si="102"/>
        <v>1</v>
      </c>
      <c r="AE161" s="79">
        <f t="shared" si="102"/>
        <v>1</v>
      </c>
      <c r="AF161" s="79">
        <f t="shared" si="102"/>
        <v>1</v>
      </c>
      <c r="AG161" s="79">
        <f t="shared" si="102"/>
        <v>1</v>
      </c>
      <c r="AH161" s="79">
        <f t="shared" si="102"/>
        <v>1</v>
      </c>
      <c r="AI161" s="79">
        <f t="shared" si="102"/>
        <v>1</v>
      </c>
      <c r="AJ161" s="79">
        <f t="shared" si="102"/>
        <v>1</v>
      </c>
      <c r="AK161" s="79">
        <f t="shared" si="102"/>
        <v>1</v>
      </c>
      <c r="AL161" s="79">
        <f t="shared" si="102"/>
        <v>0</v>
      </c>
      <c r="AM161" s="79">
        <f t="shared" si="102"/>
        <v>0</v>
      </c>
      <c r="AN161" s="79">
        <f t="shared" si="102"/>
        <v>0</v>
      </c>
      <c r="AO161" s="79">
        <f t="shared" si="102"/>
        <v>0</v>
      </c>
      <c r="AP161" s="79">
        <f t="shared" si="102"/>
        <v>1</v>
      </c>
      <c r="AQ161" s="79">
        <f t="shared" si="102"/>
        <v>1</v>
      </c>
      <c r="AR161" s="79">
        <f t="shared" si="102"/>
        <v>1</v>
      </c>
      <c r="AS161" s="79">
        <f t="shared" si="102"/>
        <v>1</v>
      </c>
      <c r="AT161" s="79">
        <f t="shared" si="102"/>
        <v>1</v>
      </c>
      <c r="AU161" s="79">
        <f t="shared" si="102"/>
        <v>1</v>
      </c>
      <c r="AV161" s="79">
        <f t="shared" si="102"/>
        <v>1</v>
      </c>
      <c r="AW161" s="79">
        <f t="shared" si="102"/>
        <v>1</v>
      </c>
      <c r="AX161" s="79">
        <f t="shared" si="102"/>
        <v>0</v>
      </c>
      <c r="AY161" s="79">
        <f t="shared" si="102"/>
        <v>0</v>
      </c>
      <c r="AZ161" s="79">
        <f t="shared" si="102"/>
        <v>0</v>
      </c>
      <c r="BA161" s="79">
        <f t="shared" si="102"/>
        <v>0</v>
      </c>
      <c r="BB161" s="79">
        <f t="shared" si="102"/>
        <v>1</v>
      </c>
      <c r="BC161" s="79">
        <f t="shared" si="102"/>
        <v>1</v>
      </c>
      <c r="BD161" s="79">
        <f t="shared" si="102"/>
        <v>1</v>
      </c>
      <c r="BE161" s="79">
        <f t="shared" si="102"/>
        <v>1</v>
      </c>
      <c r="BF161" s="79">
        <f t="shared" si="102"/>
        <v>1</v>
      </c>
      <c r="BG161" s="79">
        <f t="shared" si="102"/>
        <v>1</v>
      </c>
      <c r="BH161" s="79">
        <f t="shared" si="102"/>
        <v>1</v>
      </c>
      <c r="BI161" s="79">
        <f t="shared" si="102"/>
        <v>1</v>
      </c>
    </row>
    <row r="162" spans="4:61" x14ac:dyDescent="0.35">
      <c r="E162">
        <f t="shared" si="100"/>
        <v>6</v>
      </c>
      <c r="J162" t="str">
        <f t="shared" si="101"/>
        <v>booléen</v>
      </c>
      <c r="N162" s="79">
        <f t="shared" si="102"/>
        <v>0</v>
      </c>
      <c r="O162" s="79">
        <f t="shared" si="102"/>
        <v>0</v>
      </c>
      <c r="P162" s="79">
        <f t="shared" si="102"/>
        <v>0</v>
      </c>
      <c r="Q162" s="79">
        <f t="shared" si="102"/>
        <v>0</v>
      </c>
      <c r="R162" s="79">
        <f t="shared" si="102"/>
        <v>0</v>
      </c>
      <c r="S162" s="79">
        <f t="shared" si="102"/>
        <v>1</v>
      </c>
      <c r="T162" s="79">
        <f t="shared" si="102"/>
        <v>1</v>
      </c>
      <c r="U162" s="79">
        <f t="shared" si="102"/>
        <v>1</v>
      </c>
      <c r="V162" s="79">
        <f t="shared" si="102"/>
        <v>1</v>
      </c>
      <c r="W162" s="79">
        <f t="shared" si="102"/>
        <v>1</v>
      </c>
      <c r="X162" s="79">
        <f t="shared" si="102"/>
        <v>1</v>
      </c>
      <c r="Y162" s="79">
        <f t="shared" si="102"/>
        <v>1</v>
      </c>
      <c r="Z162" s="79">
        <f t="shared" si="102"/>
        <v>0</v>
      </c>
      <c r="AA162" s="79">
        <f t="shared" si="102"/>
        <v>0</v>
      </c>
      <c r="AB162" s="79">
        <f t="shared" si="102"/>
        <v>0</v>
      </c>
      <c r="AC162" s="79">
        <f t="shared" ref="N162:BI167" si="103">AC32</f>
        <v>0</v>
      </c>
      <c r="AD162" s="79">
        <f t="shared" si="103"/>
        <v>0</v>
      </c>
      <c r="AE162" s="79">
        <f t="shared" si="103"/>
        <v>1</v>
      </c>
      <c r="AF162" s="79">
        <f t="shared" si="103"/>
        <v>1</v>
      </c>
      <c r="AG162" s="79">
        <f t="shared" si="103"/>
        <v>1</v>
      </c>
      <c r="AH162" s="79">
        <f t="shared" si="103"/>
        <v>1</v>
      </c>
      <c r="AI162" s="79">
        <f t="shared" si="103"/>
        <v>1</v>
      </c>
      <c r="AJ162" s="79">
        <f t="shared" si="103"/>
        <v>1</v>
      </c>
      <c r="AK162" s="79">
        <f t="shared" si="103"/>
        <v>1</v>
      </c>
      <c r="AL162" s="79">
        <f t="shared" si="103"/>
        <v>0</v>
      </c>
      <c r="AM162" s="79">
        <f t="shared" si="103"/>
        <v>0</v>
      </c>
      <c r="AN162" s="79">
        <f t="shared" si="103"/>
        <v>0</v>
      </c>
      <c r="AO162" s="79">
        <f t="shared" si="103"/>
        <v>0</v>
      </c>
      <c r="AP162" s="79">
        <f t="shared" si="103"/>
        <v>0</v>
      </c>
      <c r="AQ162" s="79">
        <f t="shared" si="103"/>
        <v>1</v>
      </c>
      <c r="AR162" s="79">
        <f t="shared" si="103"/>
        <v>1</v>
      </c>
      <c r="AS162" s="79">
        <f t="shared" si="103"/>
        <v>1</v>
      </c>
      <c r="AT162" s="79">
        <f t="shared" si="103"/>
        <v>1</v>
      </c>
      <c r="AU162" s="79">
        <f t="shared" si="103"/>
        <v>1</v>
      </c>
      <c r="AV162" s="79">
        <f t="shared" si="103"/>
        <v>1</v>
      </c>
      <c r="AW162" s="79">
        <f t="shared" si="103"/>
        <v>1</v>
      </c>
      <c r="AX162" s="79">
        <f t="shared" si="103"/>
        <v>0</v>
      </c>
      <c r="AY162" s="79">
        <f t="shared" si="103"/>
        <v>0</v>
      </c>
      <c r="AZ162" s="79">
        <f t="shared" si="103"/>
        <v>0</v>
      </c>
      <c r="BA162" s="79">
        <f t="shared" si="103"/>
        <v>0</v>
      </c>
      <c r="BB162" s="79">
        <f t="shared" si="103"/>
        <v>0</v>
      </c>
      <c r="BC162" s="79">
        <f t="shared" si="103"/>
        <v>1</v>
      </c>
      <c r="BD162" s="79">
        <f t="shared" si="103"/>
        <v>1</v>
      </c>
      <c r="BE162" s="79">
        <f t="shared" si="103"/>
        <v>1</v>
      </c>
      <c r="BF162" s="79">
        <f t="shared" si="103"/>
        <v>1</v>
      </c>
      <c r="BG162" s="79">
        <f t="shared" si="103"/>
        <v>1</v>
      </c>
      <c r="BH162" s="79">
        <f t="shared" si="103"/>
        <v>1</v>
      </c>
      <c r="BI162" s="79">
        <f t="shared" si="103"/>
        <v>1</v>
      </c>
    </row>
    <row r="163" spans="4:61" x14ac:dyDescent="0.35">
      <c r="E163">
        <f t="shared" si="100"/>
        <v>7</v>
      </c>
      <c r="J163" t="str">
        <f t="shared" si="101"/>
        <v>booléen</v>
      </c>
      <c r="N163" s="79">
        <f t="shared" si="103"/>
        <v>0</v>
      </c>
      <c r="O163" s="79">
        <f t="shared" si="103"/>
        <v>0</v>
      </c>
      <c r="P163" s="79">
        <f t="shared" si="103"/>
        <v>0</v>
      </c>
      <c r="Q163" s="79">
        <f t="shared" si="103"/>
        <v>0</v>
      </c>
      <c r="R163" s="79">
        <f t="shared" si="103"/>
        <v>0</v>
      </c>
      <c r="S163" s="79">
        <f t="shared" si="103"/>
        <v>0</v>
      </c>
      <c r="T163" s="79">
        <f t="shared" si="103"/>
        <v>1</v>
      </c>
      <c r="U163" s="79">
        <f t="shared" si="103"/>
        <v>1</v>
      </c>
      <c r="V163" s="79">
        <f t="shared" si="103"/>
        <v>1</v>
      </c>
      <c r="W163" s="79">
        <f t="shared" si="103"/>
        <v>1</v>
      </c>
      <c r="X163" s="79">
        <f t="shared" si="103"/>
        <v>1</v>
      </c>
      <c r="Y163" s="79">
        <f t="shared" si="103"/>
        <v>1</v>
      </c>
      <c r="Z163" s="79">
        <f t="shared" si="103"/>
        <v>0</v>
      </c>
      <c r="AA163" s="79">
        <f t="shared" si="103"/>
        <v>0</v>
      </c>
      <c r="AB163" s="79">
        <f t="shared" si="103"/>
        <v>0</v>
      </c>
      <c r="AC163" s="79">
        <f t="shared" si="103"/>
        <v>0</v>
      </c>
      <c r="AD163" s="79">
        <f t="shared" si="103"/>
        <v>0</v>
      </c>
      <c r="AE163" s="79">
        <f t="shared" si="103"/>
        <v>0</v>
      </c>
      <c r="AF163" s="79">
        <f t="shared" si="103"/>
        <v>1</v>
      </c>
      <c r="AG163" s="79">
        <f t="shared" si="103"/>
        <v>1</v>
      </c>
      <c r="AH163" s="79">
        <f t="shared" si="103"/>
        <v>1</v>
      </c>
      <c r="AI163" s="79">
        <f t="shared" si="103"/>
        <v>1</v>
      </c>
      <c r="AJ163" s="79">
        <f t="shared" si="103"/>
        <v>1</v>
      </c>
      <c r="AK163" s="79">
        <f t="shared" si="103"/>
        <v>1</v>
      </c>
      <c r="AL163" s="79">
        <f t="shared" si="103"/>
        <v>0</v>
      </c>
      <c r="AM163" s="79">
        <f t="shared" si="103"/>
        <v>0</v>
      </c>
      <c r="AN163" s="79">
        <f t="shared" si="103"/>
        <v>0</v>
      </c>
      <c r="AO163" s="79">
        <f t="shared" si="103"/>
        <v>0</v>
      </c>
      <c r="AP163" s="79">
        <f t="shared" si="103"/>
        <v>0</v>
      </c>
      <c r="AQ163" s="79">
        <f t="shared" si="103"/>
        <v>0</v>
      </c>
      <c r="AR163" s="79">
        <f t="shared" si="103"/>
        <v>1</v>
      </c>
      <c r="AS163" s="79">
        <f t="shared" si="103"/>
        <v>1</v>
      </c>
      <c r="AT163" s="79">
        <f t="shared" si="103"/>
        <v>1</v>
      </c>
      <c r="AU163" s="79">
        <f t="shared" si="103"/>
        <v>1</v>
      </c>
      <c r="AV163" s="79">
        <f t="shared" si="103"/>
        <v>1</v>
      </c>
      <c r="AW163" s="79">
        <f t="shared" si="103"/>
        <v>1</v>
      </c>
      <c r="AX163" s="79">
        <f t="shared" si="103"/>
        <v>0</v>
      </c>
      <c r="AY163" s="79">
        <f t="shared" si="103"/>
        <v>0</v>
      </c>
      <c r="AZ163" s="79">
        <f t="shared" si="103"/>
        <v>0</v>
      </c>
      <c r="BA163" s="79">
        <f t="shared" si="103"/>
        <v>0</v>
      </c>
      <c r="BB163" s="79">
        <f t="shared" si="103"/>
        <v>0</v>
      </c>
      <c r="BC163" s="79">
        <f t="shared" si="103"/>
        <v>0</v>
      </c>
      <c r="BD163" s="79">
        <f t="shared" si="103"/>
        <v>1</v>
      </c>
      <c r="BE163" s="79">
        <f t="shared" si="103"/>
        <v>1</v>
      </c>
      <c r="BF163" s="79">
        <f t="shared" si="103"/>
        <v>1</v>
      </c>
      <c r="BG163" s="79">
        <f t="shared" si="103"/>
        <v>1</v>
      </c>
      <c r="BH163" s="79">
        <f t="shared" si="103"/>
        <v>1</v>
      </c>
      <c r="BI163" s="79">
        <f t="shared" si="103"/>
        <v>1</v>
      </c>
    </row>
    <row r="164" spans="4:61" x14ac:dyDescent="0.35">
      <c r="E164">
        <f t="shared" si="100"/>
        <v>8</v>
      </c>
      <c r="J164" t="str">
        <f t="shared" si="101"/>
        <v>booléen</v>
      </c>
      <c r="N164" s="79">
        <f t="shared" si="103"/>
        <v>0</v>
      </c>
      <c r="O164" s="79">
        <f t="shared" si="103"/>
        <v>0</v>
      </c>
      <c r="P164" s="79">
        <f t="shared" si="103"/>
        <v>0</v>
      </c>
      <c r="Q164" s="79">
        <f t="shared" si="103"/>
        <v>0</v>
      </c>
      <c r="R164" s="79">
        <f t="shared" si="103"/>
        <v>0</v>
      </c>
      <c r="S164" s="79">
        <f t="shared" si="103"/>
        <v>0</v>
      </c>
      <c r="T164" s="79">
        <f t="shared" si="103"/>
        <v>0</v>
      </c>
      <c r="U164" s="79">
        <f t="shared" si="103"/>
        <v>1</v>
      </c>
      <c r="V164" s="79">
        <f t="shared" si="103"/>
        <v>1</v>
      </c>
      <c r="W164" s="79">
        <f t="shared" si="103"/>
        <v>1</v>
      </c>
      <c r="X164" s="79">
        <f t="shared" si="103"/>
        <v>1</v>
      </c>
      <c r="Y164" s="79">
        <f t="shared" si="103"/>
        <v>1</v>
      </c>
      <c r="Z164" s="79">
        <f t="shared" si="103"/>
        <v>0</v>
      </c>
      <c r="AA164" s="79">
        <f t="shared" si="103"/>
        <v>0</v>
      </c>
      <c r="AB164" s="79">
        <f t="shared" si="103"/>
        <v>0</v>
      </c>
      <c r="AC164" s="79">
        <f t="shared" si="103"/>
        <v>0</v>
      </c>
      <c r="AD164" s="79">
        <f t="shared" si="103"/>
        <v>0</v>
      </c>
      <c r="AE164" s="79">
        <f t="shared" si="103"/>
        <v>0</v>
      </c>
      <c r="AF164" s="79">
        <f t="shared" si="103"/>
        <v>0</v>
      </c>
      <c r="AG164" s="79">
        <f t="shared" si="103"/>
        <v>1</v>
      </c>
      <c r="AH164" s="79">
        <f t="shared" si="103"/>
        <v>1</v>
      </c>
      <c r="AI164" s="79">
        <f t="shared" si="103"/>
        <v>1</v>
      </c>
      <c r="AJ164" s="79">
        <f t="shared" si="103"/>
        <v>1</v>
      </c>
      <c r="AK164" s="79">
        <f t="shared" si="103"/>
        <v>1</v>
      </c>
      <c r="AL164" s="79">
        <f t="shared" si="103"/>
        <v>0</v>
      </c>
      <c r="AM164" s="79">
        <f t="shared" si="103"/>
        <v>0</v>
      </c>
      <c r="AN164" s="79">
        <f t="shared" si="103"/>
        <v>0</v>
      </c>
      <c r="AO164" s="79">
        <f t="shared" si="103"/>
        <v>0</v>
      </c>
      <c r="AP164" s="79">
        <f t="shared" si="103"/>
        <v>0</v>
      </c>
      <c r="AQ164" s="79">
        <f t="shared" si="103"/>
        <v>0</v>
      </c>
      <c r="AR164" s="79">
        <f t="shared" si="103"/>
        <v>0</v>
      </c>
      <c r="AS164" s="79">
        <f t="shared" si="103"/>
        <v>1</v>
      </c>
      <c r="AT164" s="79">
        <f t="shared" si="103"/>
        <v>1</v>
      </c>
      <c r="AU164" s="79">
        <f t="shared" si="103"/>
        <v>1</v>
      </c>
      <c r="AV164" s="79">
        <f t="shared" si="103"/>
        <v>1</v>
      </c>
      <c r="AW164" s="79">
        <f t="shared" si="103"/>
        <v>1</v>
      </c>
      <c r="AX164" s="79">
        <f t="shared" si="103"/>
        <v>0</v>
      </c>
      <c r="AY164" s="79">
        <f t="shared" si="103"/>
        <v>0</v>
      </c>
      <c r="AZ164" s="79">
        <f t="shared" si="103"/>
        <v>0</v>
      </c>
      <c r="BA164" s="79">
        <f t="shared" si="103"/>
        <v>0</v>
      </c>
      <c r="BB164" s="79">
        <f t="shared" si="103"/>
        <v>0</v>
      </c>
      <c r="BC164" s="79">
        <f t="shared" si="103"/>
        <v>0</v>
      </c>
      <c r="BD164" s="79">
        <f t="shared" si="103"/>
        <v>0</v>
      </c>
      <c r="BE164" s="79">
        <f t="shared" si="103"/>
        <v>1</v>
      </c>
      <c r="BF164" s="79">
        <f t="shared" si="103"/>
        <v>1</v>
      </c>
      <c r="BG164" s="79">
        <f t="shared" si="103"/>
        <v>1</v>
      </c>
      <c r="BH164" s="79">
        <f t="shared" si="103"/>
        <v>1</v>
      </c>
      <c r="BI164" s="79">
        <f t="shared" si="103"/>
        <v>1</v>
      </c>
    </row>
    <row r="165" spans="4:61" x14ac:dyDescent="0.35">
      <c r="E165">
        <f t="shared" si="100"/>
        <v>9</v>
      </c>
      <c r="J165" t="str">
        <f t="shared" si="101"/>
        <v>booléen</v>
      </c>
      <c r="N165" s="79">
        <f t="shared" si="103"/>
        <v>0</v>
      </c>
      <c r="O165" s="79">
        <f t="shared" si="103"/>
        <v>0</v>
      </c>
      <c r="P165" s="79">
        <f t="shared" si="103"/>
        <v>0</v>
      </c>
      <c r="Q165" s="79">
        <f t="shared" si="103"/>
        <v>0</v>
      </c>
      <c r="R165" s="79">
        <f t="shared" si="103"/>
        <v>0</v>
      </c>
      <c r="S165" s="79">
        <f t="shared" si="103"/>
        <v>0</v>
      </c>
      <c r="T165" s="79">
        <f t="shared" si="103"/>
        <v>0</v>
      </c>
      <c r="U165" s="79">
        <f t="shared" si="103"/>
        <v>0</v>
      </c>
      <c r="V165" s="79">
        <f t="shared" si="103"/>
        <v>1</v>
      </c>
      <c r="W165" s="79">
        <f t="shared" si="103"/>
        <v>1</v>
      </c>
      <c r="X165" s="79">
        <f t="shared" si="103"/>
        <v>1</v>
      </c>
      <c r="Y165" s="79">
        <f t="shared" si="103"/>
        <v>1</v>
      </c>
      <c r="Z165" s="79">
        <f t="shared" si="103"/>
        <v>0</v>
      </c>
      <c r="AA165" s="79">
        <f t="shared" si="103"/>
        <v>0</v>
      </c>
      <c r="AB165" s="79">
        <f t="shared" si="103"/>
        <v>0</v>
      </c>
      <c r="AC165" s="79">
        <f t="shared" si="103"/>
        <v>0</v>
      </c>
      <c r="AD165" s="79">
        <f t="shared" si="103"/>
        <v>0</v>
      </c>
      <c r="AE165" s="79">
        <f t="shared" si="103"/>
        <v>0</v>
      </c>
      <c r="AF165" s="79">
        <f t="shared" si="103"/>
        <v>0</v>
      </c>
      <c r="AG165" s="79">
        <f t="shared" si="103"/>
        <v>0</v>
      </c>
      <c r="AH165" s="79">
        <f t="shared" si="103"/>
        <v>1</v>
      </c>
      <c r="AI165" s="79">
        <f t="shared" si="103"/>
        <v>1</v>
      </c>
      <c r="AJ165" s="79">
        <f t="shared" si="103"/>
        <v>1</v>
      </c>
      <c r="AK165" s="79">
        <f t="shared" si="103"/>
        <v>1</v>
      </c>
      <c r="AL165" s="79">
        <f t="shared" si="103"/>
        <v>0</v>
      </c>
      <c r="AM165" s="79">
        <f t="shared" si="103"/>
        <v>0</v>
      </c>
      <c r="AN165" s="79">
        <f t="shared" si="103"/>
        <v>0</v>
      </c>
      <c r="AO165" s="79">
        <f t="shared" si="103"/>
        <v>0</v>
      </c>
      <c r="AP165" s="79">
        <f t="shared" si="103"/>
        <v>0</v>
      </c>
      <c r="AQ165" s="79">
        <f t="shared" si="103"/>
        <v>0</v>
      </c>
      <c r="AR165" s="79">
        <f t="shared" si="103"/>
        <v>0</v>
      </c>
      <c r="AS165" s="79">
        <f t="shared" si="103"/>
        <v>0</v>
      </c>
      <c r="AT165" s="79">
        <f t="shared" si="103"/>
        <v>1</v>
      </c>
      <c r="AU165" s="79">
        <f t="shared" si="103"/>
        <v>1</v>
      </c>
      <c r="AV165" s="79">
        <f t="shared" si="103"/>
        <v>1</v>
      </c>
      <c r="AW165" s="79">
        <f t="shared" si="103"/>
        <v>1</v>
      </c>
      <c r="AX165" s="79">
        <f t="shared" si="103"/>
        <v>0</v>
      </c>
      <c r="AY165" s="79">
        <f t="shared" si="103"/>
        <v>0</v>
      </c>
      <c r="AZ165" s="79">
        <f t="shared" si="103"/>
        <v>0</v>
      </c>
      <c r="BA165" s="79">
        <f t="shared" si="103"/>
        <v>0</v>
      </c>
      <c r="BB165" s="79">
        <f t="shared" si="103"/>
        <v>0</v>
      </c>
      <c r="BC165" s="79">
        <f t="shared" si="103"/>
        <v>0</v>
      </c>
      <c r="BD165" s="79">
        <f t="shared" si="103"/>
        <v>0</v>
      </c>
      <c r="BE165" s="79">
        <f t="shared" si="103"/>
        <v>0</v>
      </c>
      <c r="BF165" s="79">
        <f t="shared" si="103"/>
        <v>1</v>
      </c>
      <c r="BG165" s="79">
        <f t="shared" si="103"/>
        <v>1</v>
      </c>
      <c r="BH165" s="79">
        <f t="shared" si="103"/>
        <v>1</v>
      </c>
      <c r="BI165" s="79">
        <f t="shared" si="103"/>
        <v>1</v>
      </c>
    </row>
    <row r="166" spans="4:61" x14ac:dyDescent="0.35">
      <c r="E166">
        <f t="shared" si="100"/>
        <v>10</v>
      </c>
      <c r="J166" t="str">
        <f t="shared" si="101"/>
        <v>booléen</v>
      </c>
      <c r="N166" s="79">
        <f t="shared" si="103"/>
        <v>0</v>
      </c>
      <c r="O166" s="79">
        <f t="shared" si="103"/>
        <v>0</v>
      </c>
      <c r="P166" s="79">
        <f t="shared" si="103"/>
        <v>0</v>
      </c>
      <c r="Q166" s="79">
        <f t="shared" si="103"/>
        <v>0</v>
      </c>
      <c r="R166" s="79">
        <f t="shared" si="103"/>
        <v>0</v>
      </c>
      <c r="S166" s="79">
        <f t="shared" si="103"/>
        <v>0</v>
      </c>
      <c r="T166" s="79">
        <f t="shared" si="103"/>
        <v>0</v>
      </c>
      <c r="U166" s="79">
        <f t="shared" si="103"/>
        <v>0</v>
      </c>
      <c r="V166" s="79">
        <f t="shared" si="103"/>
        <v>0</v>
      </c>
      <c r="W166" s="79">
        <f t="shared" si="103"/>
        <v>1</v>
      </c>
      <c r="X166" s="79">
        <f t="shared" si="103"/>
        <v>1</v>
      </c>
      <c r="Y166" s="79">
        <f t="shared" si="103"/>
        <v>1</v>
      </c>
      <c r="Z166" s="79">
        <f t="shared" si="103"/>
        <v>0</v>
      </c>
      <c r="AA166" s="79">
        <f t="shared" si="103"/>
        <v>0</v>
      </c>
      <c r="AB166" s="79">
        <f t="shared" si="103"/>
        <v>0</v>
      </c>
      <c r="AC166" s="79">
        <f t="shared" si="103"/>
        <v>0</v>
      </c>
      <c r="AD166" s="79">
        <f t="shared" si="103"/>
        <v>0</v>
      </c>
      <c r="AE166" s="79">
        <f t="shared" si="103"/>
        <v>0</v>
      </c>
      <c r="AF166" s="79">
        <f t="shared" si="103"/>
        <v>0</v>
      </c>
      <c r="AG166" s="79">
        <f t="shared" si="103"/>
        <v>0</v>
      </c>
      <c r="AH166" s="79">
        <f t="shared" si="103"/>
        <v>0</v>
      </c>
      <c r="AI166" s="79">
        <f t="shared" si="103"/>
        <v>1</v>
      </c>
      <c r="AJ166" s="79">
        <f t="shared" si="103"/>
        <v>1</v>
      </c>
      <c r="AK166" s="79">
        <f t="shared" si="103"/>
        <v>1</v>
      </c>
      <c r="AL166" s="79">
        <f t="shared" si="103"/>
        <v>0</v>
      </c>
      <c r="AM166" s="79">
        <f t="shared" si="103"/>
        <v>0</v>
      </c>
      <c r="AN166" s="79">
        <f t="shared" si="103"/>
        <v>0</v>
      </c>
      <c r="AO166" s="79">
        <f t="shared" si="103"/>
        <v>0</v>
      </c>
      <c r="AP166" s="79">
        <f t="shared" si="103"/>
        <v>0</v>
      </c>
      <c r="AQ166" s="79">
        <f t="shared" si="103"/>
        <v>0</v>
      </c>
      <c r="AR166" s="79">
        <f t="shared" si="103"/>
        <v>0</v>
      </c>
      <c r="AS166" s="79">
        <f t="shared" si="103"/>
        <v>0</v>
      </c>
      <c r="AT166" s="79">
        <f t="shared" si="103"/>
        <v>0</v>
      </c>
      <c r="AU166" s="79">
        <f t="shared" si="103"/>
        <v>1</v>
      </c>
      <c r="AV166" s="79">
        <f t="shared" si="103"/>
        <v>1</v>
      </c>
      <c r="AW166" s="79">
        <f t="shared" si="103"/>
        <v>1</v>
      </c>
      <c r="AX166" s="79">
        <f t="shared" si="103"/>
        <v>0</v>
      </c>
      <c r="AY166" s="79">
        <f t="shared" si="103"/>
        <v>0</v>
      </c>
      <c r="AZ166" s="79">
        <f t="shared" si="103"/>
        <v>0</v>
      </c>
      <c r="BA166" s="79">
        <f t="shared" si="103"/>
        <v>0</v>
      </c>
      <c r="BB166" s="79">
        <f t="shared" si="103"/>
        <v>0</v>
      </c>
      <c r="BC166" s="79">
        <f t="shared" si="103"/>
        <v>0</v>
      </c>
      <c r="BD166" s="79">
        <f t="shared" si="103"/>
        <v>0</v>
      </c>
      <c r="BE166" s="79">
        <f t="shared" si="103"/>
        <v>0</v>
      </c>
      <c r="BF166" s="79">
        <f t="shared" si="103"/>
        <v>0</v>
      </c>
      <c r="BG166" s="79">
        <f t="shared" si="103"/>
        <v>1</v>
      </c>
      <c r="BH166" s="79">
        <f t="shared" si="103"/>
        <v>1</v>
      </c>
      <c r="BI166" s="79">
        <f t="shared" si="103"/>
        <v>1</v>
      </c>
    </row>
    <row r="167" spans="4:61" x14ac:dyDescent="0.35">
      <c r="E167">
        <f t="shared" si="100"/>
        <v>11</v>
      </c>
      <c r="J167" t="str">
        <f t="shared" si="101"/>
        <v>booléen</v>
      </c>
      <c r="N167" s="79">
        <f t="shared" si="103"/>
        <v>0</v>
      </c>
      <c r="O167" s="79">
        <f t="shared" si="103"/>
        <v>0</v>
      </c>
      <c r="P167" s="79">
        <f t="shared" si="103"/>
        <v>0</v>
      </c>
      <c r="Q167" s="79">
        <f t="shared" si="103"/>
        <v>0</v>
      </c>
      <c r="R167" s="79">
        <f t="shared" si="103"/>
        <v>0</v>
      </c>
      <c r="S167" s="79">
        <f t="shared" si="103"/>
        <v>0</v>
      </c>
      <c r="T167" s="79">
        <f t="shared" si="103"/>
        <v>0</v>
      </c>
      <c r="U167" s="79">
        <f t="shared" si="103"/>
        <v>0</v>
      </c>
      <c r="V167" s="79">
        <f t="shared" si="103"/>
        <v>0</v>
      </c>
      <c r="W167" s="79">
        <f t="shared" si="103"/>
        <v>0</v>
      </c>
      <c r="X167" s="79">
        <f t="shared" si="103"/>
        <v>1</v>
      </c>
      <c r="Y167" s="79">
        <f t="shared" si="103"/>
        <v>1</v>
      </c>
      <c r="Z167" s="79">
        <f t="shared" si="103"/>
        <v>0</v>
      </c>
      <c r="AA167" s="79">
        <f t="shared" si="103"/>
        <v>0</v>
      </c>
      <c r="AB167" s="79">
        <f t="shared" si="103"/>
        <v>0</v>
      </c>
      <c r="AC167" s="79">
        <f t="shared" si="103"/>
        <v>0</v>
      </c>
      <c r="AD167" s="79">
        <f t="shared" si="103"/>
        <v>0</v>
      </c>
      <c r="AE167" s="79">
        <f t="shared" si="103"/>
        <v>0</v>
      </c>
      <c r="AF167" s="79">
        <f t="shared" si="103"/>
        <v>0</v>
      </c>
      <c r="AG167" s="79">
        <f t="shared" si="103"/>
        <v>0</v>
      </c>
      <c r="AH167" s="79">
        <f t="shared" si="103"/>
        <v>0</v>
      </c>
      <c r="AI167" s="79">
        <f t="shared" si="103"/>
        <v>0</v>
      </c>
      <c r="AJ167" s="79">
        <f t="shared" si="103"/>
        <v>1</v>
      </c>
      <c r="AK167" s="79">
        <f t="shared" si="103"/>
        <v>1</v>
      </c>
      <c r="AL167" s="79">
        <f t="shared" si="103"/>
        <v>0</v>
      </c>
      <c r="AM167" s="79">
        <f t="shared" si="103"/>
        <v>0</v>
      </c>
      <c r="AN167" s="79">
        <f t="shared" si="103"/>
        <v>0</v>
      </c>
      <c r="AO167" s="79">
        <f t="shared" si="103"/>
        <v>0</v>
      </c>
      <c r="AP167" s="79">
        <f t="shared" si="103"/>
        <v>0</v>
      </c>
      <c r="AQ167" s="79">
        <f t="shared" si="103"/>
        <v>0</v>
      </c>
      <c r="AR167" s="79">
        <f t="shared" ref="N167:BI168" si="104">AR37</f>
        <v>0</v>
      </c>
      <c r="AS167" s="79">
        <f t="shared" si="104"/>
        <v>0</v>
      </c>
      <c r="AT167" s="79">
        <f t="shared" si="104"/>
        <v>0</v>
      </c>
      <c r="AU167" s="79">
        <f t="shared" si="104"/>
        <v>0</v>
      </c>
      <c r="AV167" s="79">
        <f t="shared" si="104"/>
        <v>1</v>
      </c>
      <c r="AW167" s="79">
        <f t="shared" si="104"/>
        <v>1</v>
      </c>
      <c r="AX167" s="79">
        <f t="shared" si="104"/>
        <v>0</v>
      </c>
      <c r="AY167" s="79">
        <f t="shared" si="104"/>
        <v>0</v>
      </c>
      <c r="AZ167" s="79">
        <f t="shared" si="104"/>
        <v>0</v>
      </c>
      <c r="BA167" s="79">
        <f t="shared" si="104"/>
        <v>0</v>
      </c>
      <c r="BB167" s="79">
        <f t="shared" si="104"/>
        <v>0</v>
      </c>
      <c r="BC167" s="79">
        <f t="shared" si="104"/>
        <v>0</v>
      </c>
      <c r="BD167" s="79">
        <f t="shared" si="104"/>
        <v>0</v>
      </c>
      <c r="BE167" s="79">
        <f t="shared" si="104"/>
        <v>0</v>
      </c>
      <c r="BF167" s="79">
        <f t="shared" si="104"/>
        <v>0</v>
      </c>
      <c r="BG167" s="79">
        <f t="shared" si="104"/>
        <v>0</v>
      </c>
      <c r="BH167" s="79">
        <f t="shared" si="104"/>
        <v>1</v>
      </c>
      <c r="BI167" s="79">
        <f t="shared" si="104"/>
        <v>1</v>
      </c>
    </row>
    <row r="168" spans="4:61" x14ac:dyDescent="0.35">
      <c r="E168">
        <f t="shared" si="100"/>
        <v>12</v>
      </c>
      <c r="J168" t="str">
        <f t="shared" si="101"/>
        <v>booléen</v>
      </c>
      <c r="N168" s="79">
        <f t="shared" si="104"/>
        <v>0</v>
      </c>
      <c r="O168" s="79">
        <f t="shared" si="104"/>
        <v>0</v>
      </c>
      <c r="P168" s="79">
        <f t="shared" si="104"/>
        <v>0</v>
      </c>
      <c r="Q168" s="79">
        <f t="shared" si="104"/>
        <v>0</v>
      </c>
      <c r="R168" s="79">
        <f t="shared" si="104"/>
        <v>0</v>
      </c>
      <c r="S168" s="79">
        <f t="shared" si="104"/>
        <v>0</v>
      </c>
      <c r="T168" s="79">
        <f t="shared" si="104"/>
        <v>0</v>
      </c>
      <c r="U168" s="79">
        <f t="shared" si="104"/>
        <v>0</v>
      </c>
      <c r="V168" s="79">
        <f t="shared" si="104"/>
        <v>0</v>
      </c>
      <c r="W168" s="79">
        <f t="shared" si="104"/>
        <v>0</v>
      </c>
      <c r="X168" s="79">
        <f t="shared" si="104"/>
        <v>0</v>
      </c>
      <c r="Y168" s="79">
        <f t="shared" si="104"/>
        <v>1</v>
      </c>
      <c r="Z168" s="79">
        <f t="shared" si="104"/>
        <v>0</v>
      </c>
      <c r="AA168" s="79">
        <f t="shared" si="104"/>
        <v>0</v>
      </c>
      <c r="AB168" s="79">
        <f t="shared" si="104"/>
        <v>0</v>
      </c>
      <c r="AC168" s="79">
        <f t="shared" si="104"/>
        <v>0</v>
      </c>
      <c r="AD168" s="79">
        <f t="shared" si="104"/>
        <v>0</v>
      </c>
      <c r="AE168" s="79">
        <f t="shared" si="104"/>
        <v>0</v>
      </c>
      <c r="AF168" s="79">
        <f t="shared" si="104"/>
        <v>0</v>
      </c>
      <c r="AG168" s="79">
        <f t="shared" si="104"/>
        <v>0</v>
      </c>
      <c r="AH168" s="79">
        <f t="shared" si="104"/>
        <v>0</v>
      </c>
      <c r="AI168" s="79">
        <f t="shared" si="104"/>
        <v>0</v>
      </c>
      <c r="AJ168" s="79">
        <f t="shared" si="104"/>
        <v>0</v>
      </c>
      <c r="AK168" s="79">
        <f t="shared" si="104"/>
        <v>1</v>
      </c>
      <c r="AL168" s="79">
        <f t="shared" si="104"/>
        <v>0</v>
      </c>
      <c r="AM168" s="79">
        <f t="shared" si="104"/>
        <v>0</v>
      </c>
      <c r="AN168" s="79">
        <f t="shared" si="104"/>
        <v>0</v>
      </c>
      <c r="AO168" s="79">
        <f t="shared" si="104"/>
        <v>0</v>
      </c>
      <c r="AP168" s="79">
        <f t="shared" si="104"/>
        <v>0</v>
      </c>
      <c r="AQ168" s="79">
        <f t="shared" si="104"/>
        <v>0</v>
      </c>
      <c r="AR168" s="79">
        <f t="shared" si="104"/>
        <v>0</v>
      </c>
      <c r="AS168" s="79">
        <f t="shared" si="104"/>
        <v>0</v>
      </c>
      <c r="AT168" s="79">
        <f t="shared" si="104"/>
        <v>0</v>
      </c>
      <c r="AU168" s="79">
        <f t="shared" si="104"/>
        <v>0</v>
      </c>
      <c r="AV168" s="79">
        <f t="shared" si="104"/>
        <v>0</v>
      </c>
      <c r="AW168" s="79">
        <f t="shared" si="104"/>
        <v>1</v>
      </c>
      <c r="AX168" s="79">
        <f t="shared" si="104"/>
        <v>0</v>
      </c>
      <c r="AY168" s="79">
        <f t="shared" si="104"/>
        <v>0</v>
      </c>
      <c r="AZ168" s="79">
        <f t="shared" si="104"/>
        <v>0</v>
      </c>
      <c r="BA168" s="79">
        <f t="shared" si="104"/>
        <v>0</v>
      </c>
      <c r="BB168" s="79">
        <f t="shared" si="104"/>
        <v>0</v>
      </c>
      <c r="BC168" s="79">
        <f t="shared" si="104"/>
        <v>0</v>
      </c>
      <c r="BD168" s="79">
        <f t="shared" si="104"/>
        <v>0</v>
      </c>
      <c r="BE168" s="79">
        <f t="shared" si="104"/>
        <v>0</v>
      </c>
      <c r="BF168" s="79">
        <f t="shared" si="104"/>
        <v>0</v>
      </c>
      <c r="BG168" s="79">
        <f t="shared" si="104"/>
        <v>0</v>
      </c>
      <c r="BH168" s="79">
        <f t="shared" si="104"/>
        <v>0</v>
      </c>
      <c r="BI168" s="79">
        <f t="shared" si="104"/>
        <v>1</v>
      </c>
    </row>
    <row r="169" spans="4:61" x14ac:dyDescent="0.35"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</row>
    <row r="170" spans="4:61" x14ac:dyDescent="0.35"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</row>
    <row r="171" spans="4:61" x14ac:dyDescent="0.35">
      <c r="E171" t="s">
        <v>190</v>
      </c>
      <c r="J171" t="s">
        <v>50</v>
      </c>
      <c r="N171" s="41">
        <f>SUMPRODUCT(N128:N139,N141:N152,N157:N168)</f>
        <v>0</v>
      </c>
      <c r="O171" s="41">
        <f t="shared" ref="O171:BI171" si="105">SUMPRODUCT(O128:O139,O141:O152,O157:O168)</f>
        <v>0</v>
      </c>
      <c r="P171" s="41">
        <f t="shared" si="105"/>
        <v>0</v>
      </c>
      <c r="Q171" s="41">
        <f t="shared" si="105"/>
        <v>230.51212413957271</v>
      </c>
      <c r="R171" s="41">
        <f t="shared" si="105"/>
        <v>1589.9929100628301</v>
      </c>
      <c r="S171" s="41">
        <f t="shared" si="105"/>
        <v>2651.2817563396588</v>
      </c>
      <c r="T171" s="41">
        <f t="shared" si="105"/>
        <v>6685.9663411913471</v>
      </c>
      <c r="U171" s="41">
        <f t="shared" si="105"/>
        <v>11175.226121793588</v>
      </c>
      <c r="V171" s="41">
        <f t="shared" si="105"/>
        <v>8619.6074973562136</v>
      </c>
      <c r="W171" s="41">
        <f t="shared" si="105"/>
        <v>10212.195592556931</v>
      </c>
      <c r="X171" s="41">
        <f t="shared" si="105"/>
        <v>12835.440792645088</v>
      </c>
      <c r="Y171" s="41">
        <f t="shared" si="105"/>
        <v>17912.423597951856</v>
      </c>
      <c r="Z171" s="41">
        <f t="shared" si="105"/>
        <v>10718.019916540436</v>
      </c>
      <c r="AA171" s="41">
        <f t="shared" si="105"/>
        <v>14645.789080214967</v>
      </c>
      <c r="AB171" s="41">
        <f t="shared" si="105"/>
        <v>19886.510955933976</v>
      </c>
      <c r="AC171" s="41">
        <f t="shared" si="105"/>
        <v>26848.276194174992</v>
      </c>
      <c r="AD171" s="41">
        <f t="shared" si="105"/>
        <v>30929.421889832953</v>
      </c>
      <c r="AE171" s="41">
        <f t="shared" si="105"/>
        <v>39423.827653677799</v>
      </c>
      <c r="AF171" s="41">
        <f t="shared" si="105"/>
        <v>41795.449908371113</v>
      </c>
      <c r="AG171" s="41">
        <f t="shared" si="105"/>
        <v>42928.3818099325</v>
      </c>
      <c r="AH171" s="41">
        <f t="shared" si="105"/>
        <v>44531.495278033421</v>
      </c>
      <c r="AI171" s="41">
        <f t="shared" si="105"/>
        <v>51671.467443829897</v>
      </c>
      <c r="AJ171" s="41">
        <f t="shared" si="105"/>
        <v>52785.459513844544</v>
      </c>
      <c r="AK171" s="41">
        <f t="shared" si="105"/>
        <v>58781.240040064906</v>
      </c>
      <c r="AL171" s="41">
        <f t="shared" si="105"/>
        <v>20903.85955983404</v>
      </c>
      <c r="AM171" s="41">
        <f t="shared" si="105"/>
        <v>24288.406753508723</v>
      </c>
      <c r="AN171" s="41">
        <f t="shared" si="105"/>
        <v>33265.422782340203</v>
      </c>
      <c r="AO171" s="41">
        <f t="shared" si="105"/>
        <v>37929.967899464944</v>
      </c>
      <c r="AP171" s="41">
        <f t="shared" si="105"/>
        <v>44697.905477379594</v>
      </c>
      <c r="AQ171" s="41">
        <f t="shared" si="105"/>
        <v>47740.03550851583</v>
      </c>
      <c r="AR171" s="41">
        <f t="shared" si="105"/>
        <v>51439.302576230562</v>
      </c>
      <c r="AS171" s="41">
        <f t="shared" si="105"/>
        <v>50817.334524433223</v>
      </c>
      <c r="AT171" s="41">
        <f t="shared" si="105"/>
        <v>53999.092515420845</v>
      </c>
      <c r="AU171" s="41">
        <f t="shared" si="105"/>
        <v>60787.553497437664</v>
      </c>
      <c r="AV171" s="41">
        <f t="shared" si="105"/>
        <v>61966.240068912128</v>
      </c>
      <c r="AW171" s="41">
        <f t="shared" si="105"/>
        <v>67552.89702619196</v>
      </c>
      <c r="AX171" s="41">
        <f t="shared" si="105"/>
        <v>23179.058131093367</v>
      </c>
      <c r="AY171" s="41">
        <f t="shared" si="105"/>
        <v>26782.58393695733</v>
      </c>
      <c r="AZ171" s="41">
        <f t="shared" si="105"/>
        <v>36645.323522452381</v>
      </c>
      <c r="BA171" s="41">
        <f t="shared" si="105"/>
        <v>41773.844748092037</v>
      </c>
      <c r="BB171" s="41">
        <f t="shared" si="105"/>
        <v>49219.529667493945</v>
      </c>
      <c r="BC171" s="41">
        <f t="shared" si="105"/>
        <v>52561.772429951525</v>
      </c>
      <c r="BD171" s="41">
        <f t="shared" si="105"/>
        <v>56628.46160440876</v>
      </c>
      <c r="BE171" s="41">
        <f t="shared" si="105"/>
        <v>55938.948922858646</v>
      </c>
      <c r="BF171" s="41">
        <f t="shared" si="105"/>
        <v>59431.85725724959</v>
      </c>
      <c r="BG171" s="41">
        <f t="shared" si="105"/>
        <v>66894.163701799407</v>
      </c>
      <c r="BH171" s="41">
        <f t="shared" si="105"/>
        <v>68184.178355375378</v>
      </c>
      <c r="BI171" s="41">
        <f t="shared" si="105"/>
        <v>74324.973803356814</v>
      </c>
    </row>
    <row r="172" spans="4:61" x14ac:dyDescent="0.35"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</row>
    <row r="173" spans="4:61" s="8" customFormat="1" x14ac:dyDescent="0.35">
      <c r="E173" s="27" t="s">
        <v>192</v>
      </c>
      <c r="F173" s="27"/>
      <c r="G173" s="27"/>
      <c r="H173" s="27"/>
      <c r="I173" s="27"/>
      <c r="J173" s="27" t="s">
        <v>66</v>
      </c>
      <c r="K173" s="27"/>
      <c r="L173" s="27"/>
      <c r="M173" s="27"/>
      <c r="N173" s="56">
        <f>IFERROR(N171/N154,1)</f>
        <v>1</v>
      </c>
      <c r="O173" s="56">
        <f t="shared" ref="O173:BI173" si="106">IFERROR(O171/O154,1)</f>
        <v>1</v>
      </c>
      <c r="P173" s="56">
        <f t="shared" si="106"/>
        <v>1</v>
      </c>
      <c r="Q173" s="56">
        <f t="shared" si="106"/>
        <v>1</v>
      </c>
      <c r="R173" s="56">
        <f t="shared" si="106"/>
        <v>1</v>
      </c>
      <c r="S173" s="56">
        <f t="shared" si="106"/>
        <v>1</v>
      </c>
      <c r="T173" s="56">
        <f t="shared" si="106"/>
        <v>1</v>
      </c>
      <c r="U173" s="56">
        <f t="shared" si="106"/>
        <v>1</v>
      </c>
      <c r="V173" s="56">
        <f t="shared" si="106"/>
        <v>1</v>
      </c>
      <c r="W173" s="56">
        <f t="shared" si="106"/>
        <v>1</v>
      </c>
      <c r="X173" s="56">
        <f t="shared" si="106"/>
        <v>1</v>
      </c>
      <c r="Y173" s="56">
        <f t="shared" si="106"/>
        <v>1</v>
      </c>
      <c r="Z173" s="56">
        <f t="shared" si="106"/>
        <v>0.51948439054972895</v>
      </c>
      <c r="AA173" s="56">
        <f t="shared" si="106"/>
        <v>0.62923634368247083</v>
      </c>
      <c r="AB173" s="56">
        <f t="shared" si="106"/>
        <v>0.68997422090577221</v>
      </c>
      <c r="AC173" s="56">
        <f t="shared" si="106"/>
        <v>0.77463102116821636</v>
      </c>
      <c r="AD173" s="56">
        <f t="shared" si="106"/>
        <v>0.81562186451352159</v>
      </c>
      <c r="AE173" s="56">
        <f t="shared" si="106"/>
        <v>0.87492569084048977</v>
      </c>
      <c r="AF173" s="56">
        <f t="shared" si="106"/>
        <v>0.90280028057834416</v>
      </c>
      <c r="AG173" s="56">
        <f t="shared" si="106"/>
        <v>0.93199644947472959</v>
      </c>
      <c r="AH173" s="56">
        <f t="shared" si="106"/>
        <v>0.95370757340606327</v>
      </c>
      <c r="AI173" s="56">
        <f t="shared" si="106"/>
        <v>0.97250569166342038</v>
      </c>
      <c r="AJ173" s="56">
        <f t="shared" si="106"/>
        <v>0.98665207319309167</v>
      </c>
      <c r="AK173" s="56">
        <f t="shared" si="106"/>
        <v>1</v>
      </c>
      <c r="AL173" s="56">
        <f t="shared" si="106"/>
        <v>0.35602180708972098</v>
      </c>
      <c r="AM173" s="56">
        <f t="shared" si="106"/>
        <v>0.44012631154535126</v>
      </c>
      <c r="AN173" s="56">
        <f t="shared" si="106"/>
        <v>0.52464118173387486</v>
      </c>
      <c r="AO173" s="56">
        <f t="shared" si="106"/>
        <v>0.60528174899779208</v>
      </c>
      <c r="AP173" s="56">
        <f t="shared" si="106"/>
        <v>0.67969394377042747</v>
      </c>
      <c r="AQ173" s="56">
        <f t="shared" si="106"/>
        <v>0.74951789025859361</v>
      </c>
      <c r="AR173" s="56">
        <f t="shared" si="106"/>
        <v>0.8042269945157231</v>
      </c>
      <c r="AS173" s="56">
        <f t="shared" si="106"/>
        <v>0.84770648709426866</v>
      </c>
      <c r="AT173" s="56">
        <f t="shared" si="106"/>
        <v>0.89914667837310391</v>
      </c>
      <c r="AU173" s="56">
        <f t="shared" si="106"/>
        <v>0.94280921300262976</v>
      </c>
      <c r="AV173" s="56">
        <f t="shared" si="106"/>
        <v>0.97459581199401812</v>
      </c>
      <c r="AW173" s="56">
        <f t="shared" si="106"/>
        <v>1</v>
      </c>
      <c r="AX173" s="56">
        <f t="shared" si="106"/>
        <v>0.34949488228193565</v>
      </c>
      <c r="AY173" s="56">
        <f t="shared" si="106"/>
        <v>0.43534713905551931</v>
      </c>
      <c r="AZ173" s="56">
        <f t="shared" si="106"/>
        <v>0.52337975665557357</v>
      </c>
      <c r="BA173" s="56">
        <f t="shared" si="106"/>
        <v>0.60546473056987382</v>
      </c>
      <c r="BB173" s="56">
        <f t="shared" si="106"/>
        <v>0.68181606421397178</v>
      </c>
      <c r="BC173" s="56">
        <f t="shared" si="106"/>
        <v>0.74941137861472151</v>
      </c>
      <c r="BD173" s="56">
        <f t="shared" si="106"/>
        <v>0.80326068865735289</v>
      </c>
      <c r="BE173" s="56">
        <f t="shared" si="106"/>
        <v>0.84522730126798351</v>
      </c>
      <c r="BF173" s="56">
        <f t="shared" si="106"/>
        <v>0.89758950721853015</v>
      </c>
      <c r="BG173" s="56">
        <f t="shared" si="106"/>
        <v>0.94162159282946867</v>
      </c>
      <c r="BH173" s="56">
        <f t="shared" si="106"/>
        <v>0.97432754331968363</v>
      </c>
      <c r="BI173" s="56">
        <f t="shared" si="106"/>
        <v>1</v>
      </c>
    </row>
    <row r="174" spans="4:61" x14ac:dyDescent="0.35"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</row>
    <row r="175" spans="4:61" x14ac:dyDescent="0.35">
      <c r="D175" s="1" t="s">
        <v>89</v>
      </c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</row>
    <row r="176" spans="4:61" x14ac:dyDescent="0.35"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</row>
    <row r="177" spans="4:61" s="4" customFormat="1" x14ac:dyDescent="0.35">
      <c r="E177" s="4" t="str">
        <f>Hypothèses_trajectoire!E107</f>
        <v>Taux de forclusion</v>
      </c>
      <c r="I177" s="14">
        <f>Hypothèses_trajectoire!I107</f>
        <v>0.05</v>
      </c>
      <c r="J177" s="4" t="str">
        <f>Hypothèses_trajectoire!J107</f>
        <v>% des dossiers engagés</v>
      </c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</row>
    <row r="178" spans="4:61" x14ac:dyDescent="0.35">
      <c r="E178" t="str">
        <f>E154</f>
        <v>Volume de demande de solde</v>
      </c>
      <c r="J178" t="str">
        <f>J154</f>
        <v>Volume</v>
      </c>
      <c r="N178" s="41">
        <f t="shared" ref="N178:BI178" si="107">N154</f>
        <v>0</v>
      </c>
      <c r="O178" s="41">
        <f t="shared" si="107"/>
        <v>0</v>
      </c>
      <c r="P178" s="41">
        <f t="shared" si="107"/>
        <v>0</v>
      </c>
      <c r="Q178" s="41">
        <f t="shared" si="107"/>
        <v>230.51212413957271</v>
      </c>
      <c r="R178" s="41">
        <f t="shared" si="107"/>
        <v>1589.9929100628301</v>
      </c>
      <c r="S178" s="41">
        <f t="shared" si="107"/>
        <v>2651.2817563396588</v>
      </c>
      <c r="T178" s="41">
        <f t="shared" si="107"/>
        <v>6685.9663411913471</v>
      </c>
      <c r="U178" s="41">
        <f t="shared" si="107"/>
        <v>11175.226121793588</v>
      </c>
      <c r="V178" s="41">
        <f t="shared" si="107"/>
        <v>8619.6074973562136</v>
      </c>
      <c r="W178" s="41">
        <f t="shared" si="107"/>
        <v>10212.195592556931</v>
      </c>
      <c r="X178" s="41">
        <f t="shared" si="107"/>
        <v>12835.440792645088</v>
      </c>
      <c r="Y178" s="41">
        <f t="shared" si="107"/>
        <v>17912.423597951856</v>
      </c>
      <c r="Z178" s="41">
        <f t="shared" si="107"/>
        <v>20632.034593375192</v>
      </c>
      <c r="AA178" s="41">
        <f t="shared" si="107"/>
        <v>23275.497716014979</v>
      </c>
      <c r="AB178" s="41">
        <f t="shared" si="107"/>
        <v>28822.107193842276</v>
      </c>
      <c r="AC178" s="41">
        <f t="shared" si="107"/>
        <v>34659.438442944447</v>
      </c>
      <c r="AD178" s="41">
        <f t="shared" si="107"/>
        <v>37921.276066183971</v>
      </c>
      <c r="AE178" s="41">
        <f t="shared" si="107"/>
        <v>45059.629710730798</v>
      </c>
      <c r="AF178" s="41">
        <f t="shared" si="107"/>
        <v>46295.3443939965</v>
      </c>
      <c r="AG178" s="41">
        <f t="shared" si="107"/>
        <v>46060.670975867783</v>
      </c>
      <c r="AH178" s="41">
        <f t="shared" si="107"/>
        <v>46693.028890390386</v>
      </c>
      <c r="AI178" s="41">
        <f t="shared" si="107"/>
        <v>53132.303375467694</v>
      </c>
      <c r="AJ178" s="41">
        <f t="shared" si="107"/>
        <v>53499.567829433043</v>
      </c>
      <c r="AK178" s="41">
        <f t="shared" si="107"/>
        <v>58781.240040064906</v>
      </c>
      <c r="AL178" s="41">
        <f t="shared" si="107"/>
        <v>58715.109983602953</v>
      </c>
      <c r="AM178" s="41">
        <f t="shared" si="107"/>
        <v>55185.082364715679</v>
      </c>
      <c r="AN178" s="41">
        <f t="shared" si="107"/>
        <v>63406.045770943972</v>
      </c>
      <c r="AO178" s="41">
        <f t="shared" si="107"/>
        <v>62664.978685163202</v>
      </c>
      <c r="AP178" s="41">
        <f t="shared" si="107"/>
        <v>65761.812190689016</v>
      </c>
      <c r="AQ178" s="41">
        <f t="shared" si="107"/>
        <v>63694.324216924142</v>
      </c>
      <c r="AR178" s="41">
        <f t="shared" si="107"/>
        <v>63961.173806663232</v>
      </c>
      <c r="AS178" s="41">
        <f t="shared" si="107"/>
        <v>59946.851059996799</v>
      </c>
      <c r="AT178" s="41">
        <f t="shared" si="107"/>
        <v>60055.932824136777</v>
      </c>
      <c r="AU178" s="41">
        <f t="shared" si="107"/>
        <v>64474.925211902984</v>
      </c>
      <c r="AV178" s="41">
        <f t="shared" si="107"/>
        <v>63581.47583471502</v>
      </c>
      <c r="AW178" s="41">
        <f t="shared" si="107"/>
        <v>67552.89702619196</v>
      </c>
      <c r="AX178" s="41">
        <f t="shared" si="107"/>
        <v>66321.595268439283</v>
      </c>
      <c r="AY178" s="41">
        <f t="shared" si="107"/>
        <v>61520.064183864495</v>
      </c>
      <c r="AZ178" s="41">
        <f t="shared" si="107"/>
        <v>70016.700219011298</v>
      </c>
      <c r="BA178" s="41">
        <f t="shared" si="107"/>
        <v>68994.67902742044</v>
      </c>
      <c r="BB178" s="41">
        <f t="shared" si="107"/>
        <v>72188.867717918081</v>
      </c>
      <c r="BC178" s="41">
        <f t="shared" si="107"/>
        <v>70137.409078457509</v>
      </c>
      <c r="BD178" s="41">
        <f t="shared" si="107"/>
        <v>70498.236007370171</v>
      </c>
      <c r="BE178" s="41">
        <f t="shared" si="107"/>
        <v>66182.136851165109</v>
      </c>
      <c r="BF178" s="41">
        <f t="shared" si="107"/>
        <v>66212.736199889769</v>
      </c>
      <c r="BG178" s="41">
        <f t="shared" si="107"/>
        <v>71041.450420428286</v>
      </c>
      <c r="BH178" s="41">
        <f t="shared" si="107"/>
        <v>69980.756289677913</v>
      </c>
      <c r="BI178" s="41">
        <f t="shared" si="107"/>
        <v>74324.973803356814</v>
      </c>
    </row>
    <row r="179" spans="4:61" x14ac:dyDescent="0.35"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</row>
    <row r="180" spans="4:61" s="26" customFormat="1" x14ac:dyDescent="0.35">
      <c r="E180" s="26" t="str">
        <f>"Volumes-"&amp;Paramétrage_général!I31&amp;"-Trajectoire"</f>
        <v>Volumes-Demande de solde-Trajectoire</v>
      </c>
      <c r="J180" s="26" t="s">
        <v>50</v>
      </c>
      <c r="N180" s="91">
        <f>N178*(1-$I177)</f>
        <v>0</v>
      </c>
      <c r="O180" s="91">
        <f t="shared" ref="O180:BI180" si="108">O178*(1-$I177)</f>
        <v>0</v>
      </c>
      <c r="P180" s="91">
        <f t="shared" si="108"/>
        <v>0</v>
      </c>
      <c r="Q180" s="91">
        <f t="shared" si="108"/>
        <v>218.98651793259407</v>
      </c>
      <c r="R180" s="91">
        <f t="shared" si="108"/>
        <v>1510.4932645596884</v>
      </c>
      <c r="S180" s="91">
        <f t="shared" si="108"/>
        <v>2518.7176685226759</v>
      </c>
      <c r="T180" s="91">
        <f t="shared" si="108"/>
        <v>6351.668024131779</v>
      </c>
      <c r="U180" s="91">
        <f t="shared" si="108"/>
        <v>10616.464815703908</v>
      </c>
      <c r="V180" s="91">
        <f t="shared" si="108"/>
        <v>8188.6271224884022</v>
      </c>
      <c r="W180" s="91">
        <f t="shared" si="108"/>
        <v>9701.5858129290846</v>
      </c>
      <c r="X180" s="91">
        <f t="shared" si="108"/>
        <v>12193.668753012833</v>
      </c>
      <c r="Y180" s="91">
        <f t="shared" si="108"/>
        <v>17016.802418054263</v>
      </c>
      <c r="Z180" s="91">
        <f t="shared" si="108"/>
        <v>19600.432863706432</v>
      </c>
      <c r="AA180" s="91">
        <f t="shared" si="108"/>
        <v>22111.722830214228</v>
      </c>
      <c r="AB180" s="91">
        <f t="shared" si="108"/>
        <v>27381.00183415016</v>
      </c>
      <c r="AC180" s="91">
        <f t="shared" si="108"/>
        <v>32926.466520797221</v>
      </c>
      <c r="AD180" s="91">
        <f t="shared" si="108"/>
        <v>36025.212262874767</v>
      </c>
      <c r="AE180" s="91">
        <f t="shared" si="108"/>
        <v>42806.648225194258</v>
      </c>
      <c r="AF180" s="91">
        <f t="shared" si="108"/>
        <v>43980.577174296675</v>
      </c>
      <c r="AG180" s="91">
        <f t="shared" si="108"/>
        <v>43757.637427074391</v>
      </c>
      <c r="AH180" s="91">
        <f t="shared" si="108"/>
        <v>44358.377445870865</v>
      </c>
      <c r="AI180" s="91">
        <f t="shared" si="108"/>
        <v>50475.688206694307</v>
      </c>
      <c r="AJ180" s="91">
        <f t="shared" si="108"/>
        <v>50824.589437961389</v>
      </c>
      <c r="AK180" s="91">
        <f t="shared" si="108"/>
        <v>55842.178038061655</v>
      </c>
      <c r="AL180" s="91">
        <f t="shared" si="108"/>
        <v>55779.354484422802</v>
      </c>
      <c r="AM180" s="91">
        <f t="shared" si="108"/>
        <v>52425.82824647989</v>
      </c>
      <c r="AN180" s="91">
        <f t="shared" si="108"/>
        <v>60235.743482396771</v>
      </c>
      <c r="AO180" s="91">
        <f t="shared" si="108"/>
        <v>59531.72975090504</v>
      </c>
      <c r="AP180" s="91">
        <f t="shared" si="108"/>
        <v>62473.721581154561</v>
      </c>
      <c r="AQ180" s="91">
        <f t="shared" si="108"/>
        <v>60509.608006077935</v>
      </c>
      <c r="AR180" s="91">
        <f t="shared" si="108"/>
        <v>60763.115116330067</v>
      </c>
      <c r="AS180" s="91">
        <f t="shared" si="108"/>
        <v>56949.508506996957</v>
      </c>
      <c r="AT180" s="91">
        <f t="shared" si="108"/>
        <v>57053.136182929935</v>
      </c>
      <c r="AU180" s="91">
        <f t="shared" si="108"/>
        <v>61251.178951307833</v>
      </c>
      <c r="AV180" s="91">
        <f t="shared" si="108"/>
        <v>60402.402042979265</v>
      </c>
      <c r="AW180" s="91">
        <f t="shared" si="108"/>
        <v>64175.252174882356</v>
      </c>
      <c r="AX180" s="91">
        <f t="shared" si="108"/>
        <v>63005.515505017313</v>
      </c>
      <c r="AY180" s="91">
        <f t="shared" si="108"/>
        <v>58444.060974671265</v>
      </c>
      <c r="AZ180" s="91">
        <f t="shared" si="108"/>
        <v>66515.865208060728</v>
      </c>
      <c r="BA180" s="91">
        <f t="shared" si="108"/>
        <v>65544.945076049407</v>
      </c>
      <c r="BB180" s="91">
        <f t="shared" si="108"/>
        <v>68579.424332022172</v>
      </c>
      <c r="BC180" s="91">
        <f t="shared" si="108"/>
        <v>66630.538624534631</v>
      </c>
      <c r="BD180" s="91">
        <f t="shared" si="108"/>
        <v>66973.324207001657</v>
      </c>
      <c r="BE180" s="91">
        <f t="shared" si="108"/>
        <v>62873.030008606853</v>
      </c>
      <c r="BF180" s="91">
        <f t="shared" si="108"/>
        <v>62902.09938989528</v>
      </c>
      <c r="BG180" s="91">
        <f t="shared" si="108"/>
        <v>67489.377899406871</v>
      </c>
      <c r="BH180" s="91">
        <f t="shared" si="108"/>
        <v>66481.718475194008</v>
      </c>
      <c r="BI180" s="91">
        <f t="shared" si="108"/>
        <v>70608.725113188964</v>
      </c>
    </row>
    <row r="181" spans="4:61" x14ac:dyDescent="0.35"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</row>
    <row r="182" spans="4:61" x14ac:dyDescent="0.35">
      <c r="D182" s="1" t="s">
        <v>90</v>
      </c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</row>
    <row r="183" spans="4:61" x14ac:dyDescent="0.35"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</row>
    <row r="184" spans="4:61" s="4" customFormat="1" x14ac:dyDescent="0.35">
      <c r="E184" s="4" t="str">
        <f>Time!E19</f>
        <v>Frise mensuelle-début de période</v>
      </c>
      <c r="J184" s="4" t="str">
        <f>Time!J19</f>
        <v>date</v>
      </c>
      <c r="N184" s="5">
        <f>Time!N19</f>
        <v>43831</v>
      </c>
      <c r="O184" s="5">
        <f>Time!O19</f>
        <v>43862</v>
      </c>
      <c r="P184" s="5">
        <f>Time!P19</f>
        <v>43891</v>
      </c>
      <c r="Q184" s="5">
        <f>Time!Q19</f>
        <v>43922</v>
      </c>
      <c r="R184" s="5">
        <f>Time!R19</f>
        <v>43952</v>
      </c>
      <c r="S184" s="5">
        <f>Time!S19</f>
        <v>43983</v>
      </c>
      <c r="T184" s="5">
        <f>Time!T19</f>
        <v>44013</v>
      </c>
      <c r="U184" s="5">
        <f>Time!U19</f>
        <v>44044</v>
      </c>
      <c r="V184" s="5">
        <f>Time!V19</f>
        <v>44075</v>
      </c>
      <c r="W184" s="5">
        <f>Time!W19</f>
        <v>44105</v>
      </c>
      <c r="X184" s="5">
        <f>Time!X19</f>
        <v>44136</v>
      </c>
      <c r="Y184" s="5">
        <f>Time!Y19</f>
        <v>44166</v>
      </c>
      <c r="Z184" s="5">
        <f>Time!Z19</f>
        <v>44197</v>
      </c>
      <c r="AA184" s="5">
        <f>Time!AA19</f>
        <v>44228</v>
      </c>
      <c r="AB184" s="5">
        <f>Time!AB19</f>
        <v>44256</v>
      </c>
      <c r="AC184" s="5">
        <f>Time!AC19</f>
        <v>44287</v>
      </c>
      <c r="AD184" s="5">
        <f>Time!AD19</f>
        <v>44317</v>
      </c>
      <c r="AE184" s="5">
        <f>Time!AE19</f>
        <v>44348</v>
      </c>
      <c r="AF184" s="5">
        <f>Time!AF19</f>
        <v>44378</v>
      </c>
      <c r="AG184" s="5">
        <f>Time!AG19</f>
        <v>44409</v>
      </c>
      <c r="AH184" s="5">
        <f>Time!AH19</f>
        <v>44440</v>
      </c>
      <c r="AI184" s="5">
        <f>Time!AI19</f>
        <v>44470</v>
      </c>
      <c r="AJ184" s="5">
        <f>Time!AJ19</f>
        <v>44501</v>
      </c>
      <c r="AK184" s="5">
        <f>Time!AK19</f>
        <v>44531</v>
      </c>
      <c r="AL184" s="5">
        <f>Time!AL19</f>
        <v>44562</v>
      </c>
      <c r="AM184" s="5">
        <f>Time!AM19</f>
        <v>44593</v>
      </c>
      <c r="AN184" s="5">
        <f>Time!AN19</f>
        <v>44621</v>
      </c>
      <c r="AO184" s="5">
        <f>Time!AO19</f>
        <v>44652</v>
      </c>
      <c r="AP184" s="5">
        <f>Time!AP19</f>
        <v>44682</v>
      </c>
      <c r="AQ184" s="5">
        <f>Time!AQ19</f>
        <v>44713</v>
      </c>
      <c r="AR184" s="5">
        <f>Time!AR19</f>
        <v>44743</v>
      </c>
      <c r="AS184" s="5">
        <f>Time!AS19</f>
        <v>44774</v>
      </c>
      <c r="AT184" s="5">
        <f>Time!AT19</f>
        <v>44805</v>
      </c>
      <c r="AU184" s="5">
        <f>Time!AU19</f>
        <v>44835</v>
      </c>
      <c r="AV184" s="5">
        <f>Time!AV19</f>
        <v>44866</v>
      </c>
      <c r="AW184" s="5">
        <f>Time!AW19</f>
        <v>44896</v>
      </c>
      <c r="AX184" s="5">
        <f>Time!AX19</f>
        <v>44927</v>
      </c>
      <c r="AY184" s="5">
        <f>Time!AY19</f>
        <v>44958</v>
      </c>
      <c r="AZ184" s="5">
        <f>Time!AZ19</f>
        <v>44986</v>
      </c>
      <c r="BA184" s="5">
        <f>Time!BA19</f>
        <v>45017</v>
      </c>
      <c r="BB184" s="5">
        <f>Time!BB19</f>
        <v>45047</v>
      </c>
      <c r="BC184" s="5">
        <f>Time!BC19</f>
        <v>45078</v>
      </c>
      <c r="BD184" s="5">
        <f>Time!BD19</f>
        <v>45108</v>
      </c>
      <c r="BE184" s="5">
        <f>Time!BE19</f>
        <v>45139</v>
      </c>
      <c r="BF184" s="5">
        <f>Time!BF19</f>
        <v>45170</v>
      </c>
      <c r="BG184" s="5">
        <f>Time!BG19</f>
        <v>45200</v>
      </c>
      <c r="BH184" s="5">
        <f>Time!BH19</f>
        <v>45231</v>
      </c>
      <c r="BI184" s="5">
        <f>Time!BI19</f>
        <v>45261</v>
      </c>
    </row>
    <row r="185" spans="4:61" s="4" customFormat="1" x14ac:dyDescent="0.35">
      <c r="E185" s="4" t="str">
        <f>Hypothèses_trajectoire!E107</f>
        <v>Taux de forclusion</v>
      </c>
      <c r="I185" s="14">
        <f>Hypothèses_trajectoire!I107</f>
        <v>0.05</v>
      </c>
      <c r="J185" s="4" t="str">
        <f>Hypothèses_trajectoire!J107</f>
        <v>% des dossiers engagés</v>
      </c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</row>
    <row r="186" spans="4:61" s="4" customFormat="1" x14ac:dyDescent="0.35">
      <c r="E186" s="4" t="str">
        <f>Engagements!E213</f>
        <v>Volumes-Engagement-Projection</v>
      </c>
      <c r="J186" s="4" t="str">
        <f>Engagements!J213</f>
        <v>Volume</v>
      </c>
      <c r="N186" s="85">
        <f>Engagements!N213</f>
        <v>0</v>
      </c>
      <c r="O186" s="85">
        <f>Engagements!O213</f>
        <v>0</v>
      </c>
      <c r="P186" s="85">
        <f>Engagements!P213</f>
        <v>0</v>
      </c>
      <c r="Q186" s="85">
        <f>Engagements!Q213</f>
        <v>726</v>
      </c>
      <c r="R186" s="85">
        <f>Engagements!R213</f>
        <v>4807</v>
      </c>
      <c r="S186" s="85">
        <f>Engagements!S213</f>
        <v>7112</v>
      </c>
      <c r="T186" s="85">
        <f>Engagements!T213</f>
        <v>17956</v>
      </c>
      <c r="U186" s="85">
        <f>Engagements!U213</f>
        <v>27791</v>
      </c>
      <c r="V186" s="85">
        <f>Engagements!V213</f>
        <v>13787</v>
      </c>
      <c r="W186" s="85">
        <f>Engagements!W213</f>
        <v>14792</v>
      </c>
      <c r="X186" s="85">
        <f>Engagements!X213</f>
        <v>20452</v>
      </c>
      <c r="Y186" s="85">
        <f>Engagements!Y213</f>
        <v>31303</v>
      </c>
      <c r="Z186" s="85">
        <f>Engagements!Z213</f>
        <v>33518</v>
      </c>
      <c r="AA186" s="85">
        <f>Engagements!AA213</f>
        <v>39754</v>
      </c>
      <c r="AB186" s="85">
        <f>Engagements!AB213</f>
        <v>45141</v>
      </c>
      <c r="AC186" s="85">
        <f>Engagements!AC213</f>
        <v>57254</v>
      </c>
      <c r="AD186" s="85">
        <f>Engagements!AD213</f>
        <v>55077</v>
      </c>
      <c r="AE186" s="85">
        <f>Engagements!AE213</f>
        <v>71050</v>
      </c>
      <c r="AF186" s="85">
        <f>Engagements!AF213</f>
        <v>60529</v>
      </c>
      <c r="AG186" s="85">
        <f>Engagements!AG213</f>
        <v>51721</v>
      </c>
      <c r="AH186" s="85">
        <f>Engagements!AH213</f>
        <v>51153</v>
      </c>
      <c r="AI186" s="85">
        <f>Engagements!AI213</f>
        <v>63159</v>
      </c>
      <c r="AJ186" s="85">
        <f>Engagements!AJ213</f>
        <v>62431</v>
      </c>
      <c r="AK186" s="85">
        <f>Engagements!AK213</f>
        <v>70804</v>
      </c>
      <c r="AL186" s="85">
        <f>Engagements!AL213</f>
        <v>65371.735654758428</v>
      </c>
      <c r="AM186" s="85">
        <f>Engagements!AM213</f>
        <v>63873.376658526257</v>
      </c>
      <c r="AN186" s="85">
        <f>Engagements!AN213</f>
        <v>73873.274065592719</v>
      </c>
      <c r="AO186" s="85">
        <f>Engagements!AO213</f>
        <v>72547.17482812464</v>
      </c>
      <c r="AP186" s="85">
        <f>Engagements!AP213</f>
        <v>74207.759944055273</v>
      </c>
      <c r="AQ186" s="85">
        <f>Engagements!AQ213</f>
        <v>69877.316848867995</v>
      </c>
      <c r="AR186" s="85">
        <f>Engagements!AR213</f>
        <v>63676.963121060908</v>
      </c>
      <c r="AS186" s="85">
        <f>Engagements!AS213</f>
        <v>50386.06586527796</v>
      </c>
      <c r="AT186" s="85">
        <f>Engagements!AT213</f>
        <v>58224.509954096939</v>
      </c>
      <c r="AU186" s="85">
        <f>Engagements!AU213</f>
        <v>69604.36557467503</v>
      </c>
      <c r="AV186" s="85">
        <f>Engagements!AV213</f>
        <v>71378.934592984268</v>
      </c>
      <c r="AW186" s="85">
        <f>Engagements!AW213</f>
        <v>78753.149697082248</v>
      </c>
      <c r="AX186" s="85">
        <f>Engagements!AX213</f>
        <v>72486.86571658848</v>
      </c>
      <c r="AY186" s="85">
        <f>Engagements!AY213</f>
        <v>70348.127966319968</v>
      </c>
      <c r="AZ186" s="85">
        <f>Engagements!AZ213</f>
        <v>81269.01370344765</v>
      </c>
      <c r="BA186" s="85">
        <f>Engagements!BA213</f>
        <v>79802.169587532859</v>
      </c>
      <c r="BB186" s="85">
        <f>Engagements!BB213</f>
        <v>81628.540237268462</v>
      </c>
      <c r="BC186" s="85">
        <f>Engagements!BC213</f>
        <v>76865.048555801855</v>
      </c>
      <c r="BD186" s="85">
        <f>Engagements!BD213</f>
        <v>70044.659433217879</v>
      </c>
      <c r="BE186" s="85">
        <f>Engagements!BE213</f>
        <v>55424.672451805804</v>
      </c>
      <c r="BF186" s="85">
        <f>Engagements!BF213</f>
        <v>64046.96094950664</v>
      </c>
      <c r="BG186" s="85">
        <f>Engagements!BG213</f>
        <v>76564.802132142533</v>
      </c>
      <c r="BH186" s="85">
        <f>Engagements!BH213</f>
        <v>78516.828052282712</v>
      </c>
      <c r="BI186" s="85">
        <f>Engagements!BI213</f>
        <v>86628.464666790489</v>
      </c>
    </row>
    <row r="187" spans="4:61" s="4" customFormat="1" x14ac:dyDescent="0.35">
      <c r="E187" s="4" t="str">
        <f>Engagements!E215</f>
        <v>Montant-Engagement-Projection</v>
      </c>
      <c r="J187" s="4" t="str">
        <f>Engagements!J215</f>
        <v>EUR</v>
      </c>
      <c r="N187" s="85">
        <f>Engagements!N215</f>
        <v>0</v>
      </c>
      <c r="O187" s="85">
        <f>Engagements!O215</f>
        <v>0</v>
      </c>
      <c r="P187" s="85">
        <f>Engagements!P215</f>
        <v>0</v>
      </c>
      <c r="Q187" s="85">
        <f>Engagements!Q215</f>
        <v>1695772.18</v>
      </c>
      <c r="R187" s="85">
        <f>Engagements!R215</f>
        <v>10857056.4</v>
      </c>
      <c r="S187" s="85">
        <f>Engagements!S215</f>
        <v>20903722.16</v>
      </c>
      <c r="T187" s="85">
        <f>Engagements!T215</f>
        <v>86869565.299999997</v>
      </c>
      <c r="U187" s="85">
        <f>Engagements!U215</f>
        <v>172653794.88999999</v>
      </c>
      <c r="V187" s="85">
        <f>Engagements!V215</f>
        <v>56745854.399999999</v>
      </c>
      <c r="W187" s="85">
        <f>Engagements!W215</f>
        <v>49226405.049999997</v>
      </c>
      <c r="X187" s="85">
        <f>Engagements!X215</f>
        <v>62967540.109999999</v>
      </c>
      <c r="Y187" s="85">
        <f>Engagements!Y215</f>
        <v>99522693.840000004</v>
      </c>
      <c r="Z187" s="85">
        <f>Engagements!Z215</f>
        <v>98951762.090000004</v>
      </c>
      <c r="AA187" s="85">
        <f>Engagements!AA215</f>
        <v>91501313.090000004</v>
      </c>
      <c r="AB187" s="85">
        <f>Engagements!AB215</f>
        <v>125765957.95</v>
      </c>
      <c r="AC187" s="85">
        <f>Engagements!AC215</f>
        <v>148151497.30000001</v>
      </c>
      <c r="AD187" s="85">
        <f>Engagements!AD215</f>
        <v>163744048.12</v>
      </c>
      <c r="AE187" s="85">
        <f>Engagements!AE215</f>
        <v>220443813.47999999</v>
      </c>
      <c r="AF187" s="85">
        <f>Engagements!AF215</f>
        <v>217255838.49000001</v>
      </c>
      <c r="AG187" s="85">
        <f>Engagements!AG215</f>
        <v>184361005.40000001</v>
      </c>
      <c r="AH187" s="85">
        <f>Engagements!AH215</f>
        <v>171496786</v>
      </c>
      <c r="AI187" s="85">
        <f>Engagements!AI215</f>
        <v>197482118.59999999</v>
      </c>
      <c r="AJ187" s="85">
        <f>Engagements!AJ215</f>
        <v>216834248.84999999</v>
      </c>
      <c r="AK187" s="85">
        <f>Engagements!AK215</f>
        <v>258729610.41999999</v>
      </c>
      <c r="AL187" s="85">
        <f>Engagements!AL215</f>
        <v>222016648.27472091</v>
      </c>
      <c r="AM187" s="85">
        <f>Engagements!AM215</f>
        <v>209481841.57260922</v>
      </c>
      <c r="AN187" s="85">
        <f>Engagements!AN215</f>
        <v>239973980.18285999</v>
      </c>
      <c r="AO187" s="85">
        <f>Engagements!AO215</f>
        <v>235400070.87507883</v>
      </c>
      <c r="AP187" s="85">
        <f>Engagements!AP215</f>
        <v>240777320.10095528</v>
      </c>
      <c r="AQ187" s="85">
        <f>Engagements!AQ215</f>
        <v>226726429.66375583</v>
      </c>
      <c r="AR187" s="85">
        <f>Engagements!AR215</f>
        <v>206608540.37346491</v>
      </c>
      <c r="AS187" s="85">
        <f>Engagements!AS215</f>
        <v>163484422.20276999</v>
      </c>
      <c r="AT187" s="85">
        <f>Engagements!AT215</f>
        <v>188917316.81009197</v>
      </c>
      <c r="AU187" s="85">
        <f>Engagements!AU215</f>
        <v>225840801.2880336</v>
      </c>
      <c r="AV187" s="85">
        <f>Engagements!AV215</f>
        <v>231598631.06964281</v>
      </c>
      <c r="AW187" s="85">
        <f>Engagements!AW215</f>
        <v>255525271.79439864</v>
      </c>
      <c r="AX187" s="85">
        <f>Engagements!AX215</f>
        <v>239474714.09349138</v>
      </c>
      <c r="AY187" s="85">
        <f>Engagements!AY215</f>
        <v>234488596.21133733</v>
      </c>
      <c r="AZ187" s="85">
        <f>Engagements!AZ215</f>
        <v>271522030.35538626</v>
      </c>
      <c r="BA187" s="85">
        <f>Engagements!BA215</f>
        <v>266693852.81543246</v>
      </c>
      <c r="BB187" s="85">
        <f>Engagements!BB215</f>
        <v>272800462.8139993</v>
      </c>
      <c r="BC187" s="85">
        <f>Engagements!BC215</f>
        <v>256881043.53524208</v>
      </c>
      <c r="BD187" s="85">
        <f>Engagements!BD215</f>
        <v>234087476.24016291</v>
      </c>
      <c r="BE187" s="85">
        <f>Engagements!BE215</f>
        <v>185227850.3557364</v>
      </c>
      <c r="BF187" s="85">
        <f>Engagements!BF215</f>
        <v>214043319.94583425</v>
      </c>
      <c r="BG187" s="85">
        <f>Engagements!BG215</f>
        <v>255877627.85934216</v>
      </c>
      <c r="BH187" s="85">
        <f>Engagements!BH215</f>
        <v>262401249.00190538</v>
      </c>
      <c r="BI187" s="85">
        <f>Engagements!BI215</f>
        <v>289510132.94305366</v>
      </c>
    </row>
    <row r="188" spans="4:61" s="4" customFormat="1" x14ac:dyDescent="0.35">
      <c r="E188" s="4" t="str">
        <f>Avances!E98</f>
        <v>Montant dépôts-Demande d'avance</v>
      </c>
      <c r="J188" s="4" t="str">
        <f>Avances!J98</f>
        <v>EUR</v>
      </c>
      <c r="N188" s="85">
        <f>Avances!N98</f>
        <v>0</v>
      </c>
      <c r="O188" s="85">
        <f>Avances!O98</f>
        <v>0</v>
      </c>
      <c r="P188" s="85">
        <f>Avances!P98</f>
        <v>0</v>
      </c>
      <c r="Q188" s="85">
        <f>Avances!Q98</f>
        <v>7257.9049304</v>
      </c>
      <c r="R188" s="85">
        <f>Avances!R98</f>
        <v>46468.201392000003</v>
      </c>
      <c r="S188" s="85">
        <f>Avances!S98</f>
        <v>89467.930844800008</v>
      </c>
      <c r="T188" s="85">
        <f>Avances!T98</f>
        <v>371801.73948399996</v>
      </c>
      <c r="U188" s="85">
        <f>Avances!U98</f>
        <v>738958.24212920002</v>
      </c>
      <c r="V188" s="85">
        <f>Avances!V98</f>
        <v>242872.25683200001</v>
      </c>
      <c r="W188" s="85">
        <f>Avances!W98</f>
        <v>210689.01361400002</v>
      </c>
      <c r="X188" s="85">
        <f>Avances!X98</f>
        <v>269501.07167079998</v>
      </c>
      <c r="Y188" s="85">
        <f>Avances!Y98</f>
        <v>425957.12963520008</v>
      </c>
      <c r="Z188" s="85">
        <f>Avances!Z98</f>
        <v>423513.54174520005</v>
      </c>
      <c r="AA188" s="85">
        <f>Avances!AA98</f>
        <v>391625.62002520007</v>
      </c>
      <c r="AB188" s="85">
        <f>Avances!AB98</f>
        <v>538278.30002600001</v>
      </c>
      <c r="AC188" s="85">
        <f>Avances!AC98</f>
        <v>634088.40844399994</v>
      </c>
      <c r="AD188" s="85">
        <f>Avances!AD98</f>
        <v>700824.52595359995</v>
      </c>
      <c r="AE188" s="85">
        <f>Avances!AE98</f>
        <v>943499.52169439988</v>
      </c>
      <c r="AF188" s="85">
        <f>Avances!AF98</f>
        <v>929854.98873720004</v>
      </c>
      <c r="AG188" s="85">
        <f>Avances!AG98</f>
        <v>789065.10311200016</v>
      </c>
      <c r="AH188" s="85">
        <f>Avances!AH98</f>
        <v>734006.24407999997</v>
      </c>
      <c r="AI188" s="85">
        <f>Avances!AI98</f>
        <v>845223.46760800004</v>
      </c>
      <c r="AJ188" s="85">
        <f>Avances!AJ98</f>
        <v>928050.58507799997</v>
      </c>
      <c r="AK188" s="85">
        <f>Avances!AK98</f>
        <v>1107362.7325975997</v>
      </c>
      <c r="AL188" s="85">
        <f>Avances!AL98</f>
        <v>950231.25461580534</v>
      </c>
      <c r="AM188" s="85">
        <f>Avances!AM98</f>
        <v>896582.28193076747</v>
      </c>
      <c r="AN188" s="85">
        <f>Avances!AN98</f>
        <v>1027088.6351826406</v>
      </c>
      <c r="AO188" s="85">
        <f>Avances!AO98</f>
        <v>1007512.3033453374</v>
      </c>
      <c r="AP188" s="85">
        <f>Avances!AP98</f>
        <v>1030526.9300320885</v>
      </c>
      <c r="AQ188" s="85">
        <f>Avances!AQ98</f>
        <v>970389.11896087497</v>
      </c>
      <c r="AR188" s="85">
        <f>Avances!AR98</f>
        <v>884284.55279842985</v>
      </c>
      <c r="AS188" s="85">
        <f>Avances!AS98</f>
        <v>699713.32702785556</v>
      </c>
      <c r="AT188" s="85">
        <f>Avances!AT98</f>
        <v>808566.11594719358</v>
      </c>
      <c r="AU188" s="85">
        <f>Avances!AU98</f>
        <v>966598.62951278384</v>
      </c>
      <c r="AV188" s="85">
        <f>Avances!AV98</f>
        <v>991242.14097807126</v>
      </c>
      <c r="AW188" s="85">
        <f>Avances!AW98</f>
        <v>1093648.1632800261</v>
      </c>
      <c r="AX188" s="85">
        <f>Avances!AX98</f>
        <v>1024951.776320143</v>
      </c>
      <c r="AY188" s="85">
        <f>Avances!AY98</f>
        <v>1003611.1917845237</v>
      </c>
      <c r="AZ188" s="85">
        <f>Avances!AZ98</f>
        <v>1162114.2899210532</v>
      </c>
      <c r="BA188" s="85">
        <f>Avances!BA98</f>
        <v>1141449.6900500508</v>
      </c>
      <c r="BB188" s="85">
        <f>Avances!BB98</f>
        <v>1167585.980843917</v>
      </c>
      <c r="BC188" s="85">
        <f>Avances!BC98</f>
        <v>1099450.866330836</v>
      </c>
      <c r="BD188" s="85">
        <f>Avances!BD98</f>
        <v>1001894.3983078974</v>
      </c>
      <c r="BE188" s="85">
        <f>Avances!BE98</f>
        <v>792775.19952255185</v>
      </c>
      <c r="BF188" s="85">
        <f>Avances!BF98</f>
        <v>916105.40936817054</v>
      </c>
      <c r="BG188" s="85">
        <f>Avances!BG98</f>
        <v>1095156.2472379846</v>
      </c>
      <c r="BH188" s="85">
        <f>Avances!BH98</f>
        <v>1123077.345728155</v>
      </c>
      <c r="BI188" s="85">
        <f>Avances!BI98</f>
        <v>1239103.3689962695</v>
      </c>
    </row>
    <row r="189" spans="4:61" s="4" customFormat="1" x14ac:dyDescent="0.35">
      <c r="E189" s="4" t="str">
        <f>Avances!E101</f>
        <v>Montant-Rejet de l'avance</v>
      </c>
      <c r="J189" s="4" t="str">
        <f>Avances!J101</f>
        <v>EUR</v>
      </c>
      <c r="N189" s="85">
        <f>Avances!N101</f>
        <v>0</v>
      </c>
      <c r="O189" s="85">
        <f>Avances!O101</f>
        <v>0</v>
      </c>
      <c r="P189" s="85">
        <f>Avances!P101</f>
        <v>0</v>
      </c>
      <c r="Q189" s="85">
        <f>Avances!Q101</f>
        <v>1422.5493663584</v>
      </c>
      <c r="R189" s="85">
        <f>Avances!R101</f>
        <v>9107.7674728320017</v>
      </c>
      <c r="S189" s="85">
        <f>Avances!S101</f>
        <v>17535.714445580801</v>
      </c>
      <c r="T189" s="85">
        <f>Avances!T101</f>
        <v>72873.140938864002</v>
      </c>
      <c r="U189" s="85">
        <f>Avances!U101</f>
        <v>144835.81545732322</v>
      </c>
      <c r="V189" s="85">
        <f>Avances!V101</f>
        <v>47602.962339072008</v>
      </c>
      <c r="W189" s="85">
        <f>Avances!W101</f>
        <v>41295.04666834401</v>
      </c>
      <c r="X189" s="85">
        <f>Avances!X101</f>
        <v>52822.210047476801</v>
      </c>
      <c r="Y189" s="85">
        <f>Avances!Y101</f>
        <v>83487.597408499219</v>
      </c>
      <c r="Z189" s="85">
        <f>Avances!Z101</f>
        <v>83008.65418205921</v>
      </c>
      <c r="AA189" s="85">
        <f>Avances!AA101</f>
        <v>76758.621524939212</v>
      </c>
      <c r="AB189" s="85">
        <f>Avances!AB101</f>
        <v>105502.546805096</v>
      </c>
      <c r="AC189" s="85">
        <f>Avances!AC101</f>
        <v>124281.32805502399</v>
      </c>
      <c r="AD189" s="85">
        <f>Avances!AD101</f>
        <v>137361.6070869056</v>
      </c>
      <c r="AE189" s="85">
        <f>Avances!AE101</f>
        <v>184925.90625210237</v>
      </c>
      <c r="AF189" s="85">
        <f>Avances!AF101</f>
        <v>182251.57779249121</v>
      </c>
      <c r="AG189" s="85">
        <f>Avances!AG101</f>
        <v>154656.76020995204</v>
      </c>
      <c r="AH189" s="85">
        <f>Avances!AH101</f>
        <v>143865.22383967999</v>
      </c>
      <c r="AI189" s="85">
        <f>Avances!AI101</f>
        <v>165663.79965116802</v>
      </c>
      <c r="AJ189" s="85">
        <f>Avances!AJ101</f>
        <v>181897.91467528799</v>
      </c>
      <c r="AK189" s="85">
        <f>Avances!AK101</f>
        <v>217043.09558912955</v>
      </c>
      <c r="AL189" s="85">
        <f>Avances!AL101</f>
        <v>186245.32590469785</v>
      </c>
      <c r="AM189" s="85">
        <f>Avances!AM101</f>
        <v>175730.12725843044</v>
      </c>
      <c r="AN189" s="85">
        <f>Avances!AN101</f>
        <v>201309.37249579758</v>
      </c>
      <c r="AO189" s="85">
        <f>Avances!AO101</f>
        <v>197472.41145568615</v>
      </c>
      <c r="AP189" s="85">
        <f>Avances!AP101</f>
        <v>201983.27828628937</v>
      </c>
      <c r="AQ189" s="85">
        <f>Avances!AQ101</f>
        <v>190196.2673163315</v>
      </c>
      <c r="AR189" s="85">
        <f>Avances!AR101</f>
        <v>173319.77234849226</v>
      </c>
      <c r="AS189" s="85">
        <f>Avances!AS101</f>
        <v>137143.81209745968</v>
      </c>
      <c r="AT189" s="85">
        <f>Avances!AT101</f>
        <v>158478.95872564995</v>
      </c>
      <c r="AU189" s="85">
        <f>Avances!AU101</f>
        <v>189453.33138450564</v>
      </c>
      <c r="AV189" s="85">
        <f>Avances!AV101</f>
        <v>194283.45963170196</v>
      </c>
      <c r="AW189" s="85">
        <f>Avances!AW101</f>
        <v>214355.04000288513</v>
      </c>
      <c r="AX189" s="85">
        <f>Avances!AX101</f>
        <v>200890.54815874805</v>
      </c>
      <c r="AY189" s="85">
        <f>Avances!AY101</f>
        <v>196707.79358976663</v>
      </c>
      <c r="AZ189" s="85">
        <f>Avances!AZ101</f>
        <v>227774.40082452644</v>
      </c>
      <c r="BA189" s="85">
        <f>Avances!BA101</f>
        <v>223724.13924980999</v>
      </c>
      <c r="BB189" s="85">
        <f>Avances!BB101</f>
        <v>228846.85224540773</v>
      </c>
      <c r="BC189" s="85">
        <f>Avances!BC101</f>
        <v>215492.36980084385</v>
      </c>
      <c r="BD189" s="85">
        <f>Avances!BD101</f>
        <v>196371.3020683479</v>
      </c>
      <c r="BE189" s="85">
        <f>Avances!BE101</f>
        <v>155383.93910642018</v>
      </c>
      <c r="BF189" s="85">
        <f>Avances!BF101</f>
        <v>179556.66023616144</v>
      </c>
      <c r="BG189" s="85">
        <f>Avances!BG101</f>
        <v>214650.62445864498</v>
      </c>
      <c r="BH189" s="85">
        <f>Avances!BH101</f>
        <v>220123.15976271839</v>
      </c>
      <c r="BI189" s="85">
        <f>Avances!BI101</f>
        <v>242864.26032326883</v>
      </c>
    </row>
    <row r="190" spans="4:61" x14ac:dyDescent="0.35"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41"/>
      <c r="BB190" s="41"/>
      <c r="BC190" s="41"/>
      <c r="BD190" s="41"/>
      <c r="BE190" s="41"/>
      <c r="BF190" s="41"/>
      <c r="BG190" s="41"/>
      <c r="BH190" s="41"/>
      <c r="BI190" s="41"/>
    </row>
    <row r="191" spans="4:61" x14ac:dyDescent="0.35">
      <c r="E191" t="s">
        <v>91</v>
      </c>
      <c r="J191" t="s">
        <v>51</v>
      </c>
      <c r="N191" s="41">
        <f>IFERROR((N187-N188+N189)/N186,0)</f>
        <v>0</v>
      </c>
      <c r="O191" s="41">
        <f t="shared" ref="O191:BI191" si="109">IFERROR((O187-O188+O189)/O186,0)</f>
        <v>0</v>
      </c>
      <c r="P191" s="41">
        <f t="shared" si="109"/>
        <v>0</v>
      </c>
      <c r="Q191" s="41">
        <f t="shared" si="109"/>
        <v>2327.7366727768022</v>
      </c>
      <c r="R191" s="41">
        <f t="shared" si="109"/>
        <v>2250.8208791514107</v>
      </c>
      <c r="S191" s="41">
        <f t="shared" si="109"/>
        <v>2929.1043227785126</v>
      </c>
      <c r="T191" s="41">
        <f t="shared" si="109"/>
        <v>4821.2651315134144</v>
      </c>
      <c r="U191" s="41">
        <f t="shared" si="109"/>
        <v>6191.2011969100822</v>
      </c>
      <c r="V191" s="41">
        <f t="shared" si="109"/>
        <v>4101.7324367525252</v>
      </c>
      <c r="W191" s="41">
        <f t="shared" si="109"/>
        <v>3316.4555897143282</v>
      </c>
      <c r="X191" s="41">
        <f t="shared" si="109"/>
        <v>3068.2017039104576</v>
      </c>
      <c r="Y191" s="41">
        <f t="shared" si="109"/>
        <v>3168.393582333109</v>
      </c>
      <c r="Z191" s="41">
        <f t="shared" si="109"/>
        <v>2942.0388210047395</v>
      </c>
      <c r="AA191" s="41">
        <f t="shared" si="109"/>
        <v>2293.7678244076005</v>
      </c>
      <c r="AB191" s="41">
        <f t="shared" si="109"/>
        <v>2776.4821824234973</v>
      </c>
      <c r="AC191" s="41">
        <f t="shared" si="109"/>
        <v>2578.7139801517983</v>
      </c>
      <c r="AD191" s="41">
        <f t="shared" si="109"/>
        <v>2962.7718503392216</v>
      </c>
      <c r="AE191" s="41">
        <f t="shared" si="109"/>
        <v>3091.9808566440215</v>
      </c>
      <c r="AF191" s="41">
        <f t="shared" si="109"/>
        <v>3576.9339503222473</v>
      </c>
      <c r="AG191" s="41">
        <f t="shared" si="109"/>
        <v>3552.263047062082</v>
      </c>
      <c r="AH191" s="41">
        <f t="shared" si="109"/>
        <v>3341.0874236068198</v>
      </c>
      <c r="AI191" s="41">
        <f t="shared" si="109"/>
        <v>3115.98598666925</v>
      </c>
      <c r="AJ191" s="41">
        <f t="shared" si="109"/>
        <v>3461.2307376078757</v>
      </c>
      <c r="AK191" s="41">
        <f t="shared" si="109"/>
        <v>3641.592152745488</v>
      </c>
      <c r="AL191" s="41">
        <f t="shared" si="109"/>
        <v>3384.5309464397669</v>
      </c>
      <c r="AM191" s="41">
        <f t="shared" si="109"/>
        <v>3268.3568700930737</v>
      </c>
      <c r="AN191" s="41">
        <f t="shared" si="109"/>
        <v>3237.2763214451734</v>
      </c>
      <c r="AO191" s="41">
        <f t="shared" si="109"/>
        <v>3233.6204895499914</v>
      </c>
      <c r="AP191" s="41">
        <f t="shared" si="109"/>
        <v>3233.4728420599845</v>
      </c>
      <c r="AQ191" s="41">
        <f t="shared" si="109"/>
        <v>3233.470416455631</v>
      </c>
      <c r="AR191" s="41">
        <f t="shared" si="109"/>
        <v>3233.4704028137794</v>
      </c>
      <c r="AS191" s="41">
        <f t="shared" si="109"/>
        <v>3233.4704027788025</v>
      </c>
      <c r="AT191" s="41">
        <f t="shared" si="109"/>
        <v>3233.470402778772</v>
      </c>
      <c r="AU191" s="41">
        <f t="shared" si="109"/>
        <v>3233.4704027787716</v>
      </c>
      <c r="AV191" s="41">
        <f t="shared" si="109"/>
        <v>3233.470402778772</v>
      </c>
      <c r="AW191" s="41">
        <f t="shared" si="109"/>
        <v>3233.470402778772</v>
      </c>
      <c r="AX191" s="41">
        <f t="shared" si="109"/>
        <v>3292.3295897275257</v>
      </c>
      <c r="AY191" s="41">
        <f t="shared" si="109"/>
        <v>3321.7897841577328</v>
      </c>
      <c r="AZ191" s="41">
        <f t="shared" si="109"/>
        <v>3329.530876967081</v>
      </c>
      <c r="BA191" s="41">
        <f t="shared" si="109"/>
        <v>3330.4373632738079</v>
      </c>
      <c r="BB191" s="41">
        <f t="shared" si="109"/>
        <v>3330.4739113940341</v>
      </c>
      <c r="BC191" s="41">
        <f t="shared" si="109"/>
        <v>3330.4745114792381</v>
      </c>
      <c r="BD191" s="41">
        <f t="shared" si="109"/>
        <v>3330.4745148534776</v>
      </c>
      <c r="BE191" s="41">
        <f t="shared" si="109"/>
        <v>3330.4745148621282</v>
      </c>
      <c r="BF191" s="41">
        <f t="shared" si="109"/>
        <v>3330.474514862135</v>
      </c>
      <c r="BG191" s="41">
        <f t="shared" si="109"/>
        <v>3330.4745148621359</v>
      </c>
      <c r="BH191" s="41">
        <f t="shared" si="109"/>
        <v>3330.474514862135</v>
      </c>
      <c r="BI191" s="41">
        <f t="shared" si="109"/>
        <v>3330.4745148621355</v>
      </c>
    </row>
    <row r="192" spans="4:61" x14ac:dyDescent="0.35"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</row>
    <row r="193" spans="5:61" x14ac:dyDescent="0.35">
      <c r="E193">
        <f t="shared" ref="E193:E204" si="110">E13</f>
        <v>1</v>
      </c>
      <c r="J193" t="str">
        <f t="shared" ref="J193:J204" si="111">J13</f>
        <v>date</v>
      </c>
      <c r="N193" s="7">
        <f t="shared" ref="N193:BI193" si="112">N13</f>
        <v>43831</v>
      </c>
      <c r="O193" s="7">
        <f t="shared" si="112"/>
        <v>43831</v>
      </c>
      <c r="P193" s="7">
        <f t="shared" si="112"/>
        <v>43831</v>
      </c>
      <c r="Q193" s="7">
        <f t="shared" si="112"/>
        <v>43831</v>
      </c>
      <c r="R193" s="7">
        <f t="shared" si="112"/>
        <v>43831</v>
      </c>
      <c r="S193" s="7">
        <f t="shared" si="112"/>
        <v>43831</v>
      </c>
      <c r="T193" s="7">
        <f t="shared" si="112"/>
        <v>43831</v>
      </c>
      <c r="U193" s="7">
        <f t="shared" si="112"/>
        <v>43831</v>
      </c>
      <c r="V193" s="7">
        <f t="shared" si="112"/>
        <v>43831</v>
      </c>
      <c r="W193" s="7">
        <f t="shared" si="112"/>
        <v>43831</v>
      </c>
      <c r="X193" s="7">
        <f t="shared" si="112"/>
        <v>43831</v>
      </c>
      <c r="Y193" s="7">
        <f t="shared" si="112"/>
        <v>43831</v>
      </c>
      <c r="Z193" s="7">
        <f t="shared" si="112"/>
        <v>44197</v>
      </c>
      <c r="AA193" s="7">
        <f t="shared" si="112"/>
        <v>44197</v>
      </c>
      <c r="AB193" s="7">
        <f t="shared" si="112"/>
        <v>44197</v>
      </c>
      <c r="AC193" s="7">
        <f t="shared" si="112"/>
        <v>44197</v>
      </c>
      <c r="AD193" s="7">
        <f t="shared" si="112"/>
        <v>44197</v>
      </c>
      <c r="AE193" s="7">
        <f t="shared" si="112"/>
        <v>44197</v>
      </c>
      <c r="AF193" s="7">
        <f t="shared" si="112"/>
        <v>44197</v>
      </c>
      <c r="AG193" s="7">
        <f t="shared" si="112"/>
        <v>44197</v>
      </c>
      <c r="AH193" s="7">
        <f t="shared" si="112"/>
        <v>44197</v>
      </c>
      <c r="AI193" s="7">
        <f t="shared" si="112"/>
        <v>44197</v>
      </c>
      <c r="AJ193" s="7">
        <f t="shared" si="112"/>
        <v>44197</v>
      </c>
      <c r="AK193" s="7">
        <f t="shared" si="112"/>
        <v>44197</v>
      </c>
      <c r="AL193" s="7">
        <f t="shared" si="112"/>
        <v>44562</v>
      </c>
      <c r="AM193" s="7">
        <f t="shared" si="112"/>
        <v>44562</v>
      </c>
      <c r="AN193" s="7">
        <f t="shared" si="112"/>
        <v>44562</v>
      </c>
      <c r="AO193" s="7">
        <f t="shared" si="112"/>
        <v>44562</v>
      </c>
      <c r="AP193" s="7">
        <f t="shared" si="112"/>
        <v>44562</v>
      </c>
      <c r="AQ193" s="7">
        <f t="shared" si="112"/>
        <v>44562</v>
      </c>
      <c r="AR193" s="7">
        <f t="shared" si="112"/>
        <v>44562</v>
      </c>
      <c r="AS193" s="7">
        <f t="shared" si="112"/>
        <v>44562</v>
      </c>
      <c r="AT193" s="7">
        <f t="shared" si="112"/>
        <v>44562</v>
      </c>
      <c r="AU193" s="7">
        <f t="shared" si="112"/>
        <v>44562</v>
      </c>
      <c r="AV193" s="7">
        <f t="shared" si="112"/>
        <v>44562</v>
      </c>
      <c r="AW193" s="7">
        <f t="shared" si="112"/>
        <v>44562</v>
      </c>
      <c r="AX193" s="7">
        <f t="shared" si="112"/>
        <v>44927</v>
      </c>
      <c r="AY193" s="7">
        <f t="shared" si="112"/>
        <v>44927</v>
      </c>
      <c r="AZ193" s="7">
        <f t="shared" si="112"/>
        <v>44927</v>
      </c>
      <c r="BA193" s="7">
        <f t="shared" si="112"/>
        <v>44927</v>
      </c>
      <c r="BB193" s="7">
        <f t="shared" si="112"/>
        <v>44927</v>
      </c>
      <c r="BC193" s="7">
        <f t="shared" si="112"/>
        <v>44927</v>
      </c>
      <c r="BD193" s="7">
        <f t="shared" si="112"/>
        <v>44927</v>
      </c>
      <c r="BE193" s="7">
        <f t="shared" si="112"/>
        <v>44927</v>
      </c>
      <c r="BF193" s="7">
        <f t="shared" si="112"/>
        <v>44927</v>
      </c>
      <c r="BG193" s="7">
        <f t="shared" si="112"/>
        <v>44927</v>
      </c>
      <c r="BH193" s="7">
        <f t="shared" si="112"/>
        <v>44927</v>
      </c>
      <c r="BI193" s="7">
        <f t="shared" si="112"/>
        <v>44927</v>
      </c>
    </row>
    <row r="194" spans="5:61" x14ac:dyDescent="0.35">
      <c r="E194">
        <f t="shared" si="110"/>
        <v>2</v>
      </c>
      <c r="J194" t="str">
        <f t="shared" si="111"/>
        <v>date</v>
      </c>
      <c r="N194" s="78"/>
      <c r="O194" s="7">
        <f t="shared" ref="O194:BI194" si="113">O14</f>
        <v>43862</v>
      </c>
      <c r="P194" s="7">
        <f t="shared" si="113"/>
        <v>43862</v>
      </c>
      <c r="Q194" s="7">
        <f t="shared" si="113"/>
        <v>43862</v>
      </c>
      <c r="R194" s="7">
        <f t="shared" si="113"/>
        <v>43862</v>
      </c>
      <c r="S194" s="7">
        <f t="shared" si="113"/>
        <v>43862</v>
      </c>
      <c r="T194" s="7">
        <f t="shared" si="113"/>
        <v>43862</v>
      </c>
      <c r="U194" s="7">
        <f t="shared" si="113"/>
        <v>43862</v>
      </c>
      <c r="V194" s="7">
        <f t="shared" si="113"/>
        <v>43862</v>
      </c>
      <c r="W194" s="7">
        <f t="shared" si="113"/>
        <v>43862</v>
      </c>
      <c r="X194" s="7">
        <f t="shared" si="113"/>
        <v>43862</v>
      </c>
      <c r="Y194" s="7">
        <f t="shared" si="113"/>
        <v>43862</v>
      </c>
      <c r="Z194" s="7">
        <f t="shared" si="113"/>
        <v>43862</v>
      </c>
      <c r="AA194" s="7">
        <f t="shared" si="113"/>
        <v>44228</v>
      </c>
      <c r="AB194" s="7">
        <f t="shared" si="113"/>
        <v>44228</v>
      </c>
      <c r="AC194" s="7">
        <f t="shared" si="113"/>
        <v>44228</v>
      </c>
      <c r="AD194" s="7">
        <f t="shared" si="113"/>
        <v>44228</v>
      </c>
      <c r="AE194" s="7">
        <f t="shared" si="113"/>
        <v>44228</v>
      </c>
      <c r="AF194" s="7">
        <f t="shared" si="113"/>
        <v>44228</v>
      </c>
      <c r="AG194" s="7">
        <f t="shared" si="113"/>
        <v>44228</v>
      </c>
      <c r="AH194" s="7">
        <f t="shared" si="113"/>
        <v>44228</v>
      </c>
      <c r="AI194" s="7">
        <f t="shared" si="113"/>
        <v>44228</v>
      </c>
      <c r="AJ194" s="7">
        <f t="shared" si="113"/>
        <v>44228</v>
      </c>
      <c r="AK194" s="7">
        <f t="shared" si="113"/>
        <v>44228</v>
      </c>
      <c r="AL194" s="7">
        <f t="shared" si="113"/>
        <v>44228</v>
      </c>
      <c r="AM194" s="7">
        <f t="shared" si="113"/>
        <v>44593</v>
      </c>
      <c r="AN194" s="7">
        <f t="shared" si="113"/>
        <v>44593</v>
      </c>
      <c r="AO194" s="7">
        <f t="shared" si="113"/>
        <v>44593</v>
      </c>
      <c r="AP194" s="7">
        <f t="shared" si="113"/>
        <v>44593</v>
      </c>
      <c r="AQ194" s="7">
        <f t="shared" si="113"/>
        <v>44593</v>
      </c>
      <c r="AR194" s="7">
        <f t="shared" si="113"/>
        <v>44593</v>
      </c>
      <c r="AS194" s="7">
        <f t="shared" si="113"/>
        <v>44593</v>
      </c>
      <c r="AT194" s="7">
        <f t="shared" si="113"/>
        <v>44593</v>
      </c>
      <c r="AU194" s="7">
        <f t="shared" si="113"/>
        <v>44593</v>
      </c>
      <c r="AV194" s="7">
        <f t="shared" si="113"/>
        <v>44593</v>
      </c>
      <c r="AW194" s="7">
        <f t="shared" si="113"/>
        <v>44593</v>
      </c>
      <c r="AX194" s="7">
        <f t="shared" si="113"/>
        <v>44593</v>
      </c>
      <c r="AY194" s="7">
        <f t="shared" si="113"/>
        <v>44958</v>
      </c>
      <c r="AZ194" s="7">
        <f t="shared" si="113"/>
        <v>44958</v>
      </c>
      <c r="BA194" s="7">
        <f t="shared" si="113"/>
        <v>44958</v>
      </c>
      <c r="BB194" s="7">
        <f t="shared" si="113"/>
        <v>44958</v>
      </c>
      <c r="BC194" s="7">
        <f t="shared" si="113"/>
        <v>44958</v>
      </c>
      <c r="BD194" s="7">
        <f t="shared" si="113"/>
        <v>44958</v>
      </c>
      <c r="BE194" s="7">
        <f t="shared" si="113"/>
        <v>44958</v>
      </c>
      <c r="BF194" s="7">
        <f t="shared" si="113"/>
        <v>44958</v>
      </c>
      <c r="BG194" s="7">
        <f t="shared" si="113"/>
        <v>44958</v>
      </c>
      <c r="BH194" s="7">
        <f t="shared" si="113"/>
        <v>44958</v>
      </c>
      <c r="BI194" s="7">
        <f t="shared" si="113"/>
        <v>44958</v>
      </c>
    </row>
    <row r="195" spans="5:61" x14ac:dyDescent="0.35">
      <c r="E195">
        <f t="shared" si="110"/>
        <v>3</v>
      </c>
      <c r="J195" t="str">
        <f t="shared" si="111"/>
        <v>date</v>
      </c>
      <c r="N195" s="78"/>
      <c r="O195" s="78"/>
      <c r="P195" s="7">
        <f t="shared" ref="P195:BI195" si="114">P15</f>
        <v>43891</v>
      </c>
      <c r="Q195" s="7">
        <f t="shared" si="114"/>
        <v>43891</v>
      </c>
      <c r="R195" s="7">
        <f t="shared" si="114"/>
        <v>43891</v>
      </c>
      <c r="S195" s="7">
        <f t="shared" si="114"/>
        <v>43891</v>
      </c>
      <c r="T195" s="7">
        <f t="shared" si="114"/>
        <v>43891</v>
      </c>
      <c r="U195" s="7">
        <f t="shared" si="114"/>
        <v>43891</v>
      </c>
      <c r="V195" s="7">
        <f t="shared" si="114"/>
        <v>43891</v>
      </c>
      <c r="W195" s="7">
        <f t="shared" si="114"/>
        <v>43891</v>
      </c>
      <c r="X195" s="7">
        <f t="shared" si="114"/>
        <v>43891</v>
      </c>
      <c r="Y195" s="7">
        <f t="shared" si="114"/>
        <v>43891</v>
      </c>
      <c r="Z195" s="7">
        <f t="shared" si="114"/>
        <v>43891</v>
      </c>
      <c r="AA195" s="7">
        <f t="shared" si="114"/>
        <v>43891</v>
      </c>
      <c r="AB195" s="7">
        <f t="shared" si="114"/>
        <v>44256</v>
      </c>
      <c r="AC195" s="7">
        <f t="shared" si="114"/>
        <v>44256</v>
      </c>
      <c r="AD195" s="7">
        <f t="shared" si="114"/>
        <v>44256</v>
      </c>
      <c r="AE195" s="7">
        <f t="shared" si="114"/>
        <v>44256</v>
      </c>
      <c r="AF195" s="7">
        <f t="shared" si="114"/>
        <v>44256</v>
      </c>
      <c r="AG195" s="7">
        <f t="shared" si="114"/>
        <v>44256</v>
      </c>
      <c r="AH195" s="7">
        <f t="shared" si="114"/>
        <v>44256</v>
      </c>
      <c r="AI195" s="7">
        <f t="shared" si="114"/>
        <v>44256</v>
      </c>
      <c r="AJ195" s="7">
        <f t="shared" si="114"/>
        <v>44256</v>
      </c>
      <c r="AK195" s="7">
        <f t="shared" si="114"/>
        <v>44256</v>
      </c>
      <c r="AL195" s="7">
        <f t="shared" si="114"/>
        <v>44256</v>
      </c>
      <c r="AM195" s="7">
        <f t="shared" si="114"/>
        <v>44256</v>
      </c>
      <c r="AN195" s="7">
        <f t="shared" si="114"/>
        <v>44621</v>
      </c>
      <c r="AO195" s="7">
        <f t="shared" si="114"/>
        <v>44621</v>
      </c>
      <c r="AP195" s="7">
        <f t="shared" si="114"/>
        <v>44621</v>
      </c>
      <c r="AQ195" s="7">
        <f t="shared" si="114"/>
        <v>44621</v>
      </c>
      <c r="AR195" s="7">
        <f t="shared" si="114"/>
        <v>44621</v>
      </c>
      <c r="AS195" s="7">
        <f t="shared" si="114"/>
        <v>44621</v>
      </c>
      <c r="AT195" s="7">
        <f t="shared" si="114"/>
        <v>44621</v>
      </c>
      <c r="AU195" s="7">
        <f t="shared" si="114"/>
        <v>44621</v>
      </c>
      <c r="AV195" s="7">
        <f t="shared" si="114"/>
        <v>44621</v>
      </c>
      <c r="AW195" s="7">
        <f t="shared" si="114"/>
        <v>44621</v>
      </c>
      <c r="AX195" s="7">
        <f t="shared" si="114"/>
        <v>44621</v>
      </c>
      <c r="AY195" s="7">
        <f t="shared" si="114"/>
        <v>44621</v>
      </c>
      <c r="AZ195" s="7">
        <f t="shared" si="114"/>
        <v>44986</v>
      </c>
      <c r="BA195" s="7">
        <f t="shared" si="114"/>
        <v>44986</v>
      </c>
      <c r="BB195" s="7">
        <f t="shared" si="114"/>
        <v>44986</v>
      </c>
      <c r="BC195" s="7">
        <f t="shared" si="114"/>
        <v>44986</v>
      </c>
      <c r="BD195" s="7">
        <f t="shared" si="114"/>
        <v>44986</v>
      </c>
      <c r="BE195" s="7">
        <f t="shared" si="114"/>
        <v>44986</v>
      </c>
      <c r="BF195" s="7">
        <f t="shared" si="114"/>
        <v>44986</v>
      </c>
      <c r="BG195" s="7">
        <f t="shared" si="114"/>
        <v>44986</v>
      </c>
      <c r="BH195" s="7">
        <f t="shared" si="114"/>
        <v>44986</v>
      </c>
      <c r="BI195" s="7">
        <f t="shared" si="114"/>
        <v>44986</v>
      </c>
    </row>
    <row r="196" spans="5:61" x14ac:dyDescent="0.35">
      <c r="E196">
        <f t="shared" si="110"/>
        <v>4</v>
      </c>
      <c r="J196" t="str">
        <f t="shared" si="111"/>
        <v>date</v>
      </c>
      <c r="N196" s="78"/>
      <c r="O196" s="78"/>
      <c r="P196" s="78"/>
      <c r="Q196" s="7">
        <f t="shared" ref="Q196:BI196" si="115">Q16</f>
        <v>43922</v>
      </c>
      <c r="R196" s="7">
        <f t="shared" si="115"/>
        <v>43922</v>
      </c>
      <c r="S196" s="7">
        <f t="shared" si="115"/>
        <v>43922</v>
      </c>
      <c r="T196" s="7">
        <f t="shared" si="115"/>
        <v>43922</v>
      </c>
      <c r="U196" s="7">
        <f t="shared" si="115"/>
        <v>43922</v>
      </c>
      <c r="V196" s="7">
        <f t="shared" si="115"/>
        <v>43922</v>
      </c>
      <c r="W196" s="7">
        <f t="shared" si="115"/>
        <v>43922</v>
      </c>
      <c r="X196" s="7">
        <f t="shared" si="115"/>
        <v>43922</v>
      </c>
      <c r="Y196" s="7">
        <f t="shared" si="115"/>
        <v>43922</v>
      </c>
      <c r="Z196" s="7">
        <f t="shared" si="115"/>
        <v>43922</v>
      </c>
      <c r="AA196" s="7">
        <f t="shared" si="115"/>
        <v>43922</v>
      </c>
      <c r="AB196" s="7">
        <f t="shared" si="115"/>
        <v>43922</v>
      </c>
      <c r="AC196" s="7">
        <f t="shared" si="115"/>
        <v>44287</v>
      </c>
      <c r="AD196" s="7">
        <f t="shared" si="115"/>
        <v>44287</v>
      </c>
      <c r="AE196" s="7">
        <f t="shared" si="115"/>
        <v>44287</v>
      </c>
      <c r="AF196" s="7">
        <f t="shared" si="115"/>
        <v>44287</v>
      </c>
      <c r="AG196" s="7">
        <f t="shared" si="115"/>
        <v>44287</v>
      </c>
      <c r="AH196" s="7">
        <f t="shared" si="115"/>
        <v>44287</v>
      </c>
      <c r="AI196" s="7">
        <f t="shared" si="115"/>
        <v>44287</v>
      </c>
      <c r="AJ196" s="7">
        <f t="shared" si="115"/>
        <v>44287</v>
      </c>
      <c r="AK196" s="7">
        <f t="shared" si="115"/>
        <v>44287</v>
      </c>
      <c r="AL196" s="7">
        <f t="shared" si="115"/>
        <v>44287</v>
      </c>
      <c r="AM196" s="7">
        <f t="shared" si="115"/>
        <v>44287</v>
      </c>
      <c r="AN196" s="7">
        <f t="shared" si="115"/>
        <v>44287</v>
      </c>
      <c r="AO196" s="7">
        <f t="shared" si="115"/>
        <v>44652</v>
      </c>
      <c r="AP196" s="7">
        <f t="shared" si="115"/>
        <v>44652</v>
      </c>
      <c r="AQ196" s="7">
        <f t="shared" si="115"/>
        <v>44652</v>
      </c>
      <c r="AR196" s="7">
        <f t="shared" si="115"/>
        <v>44652</v>
      </c>
      <c r="AS196" s="7">
        <f t="shared" si="115"/>
        <v>44652</v>
      </c>
      <c r="AT196" s="7">
        <f t="shared" si="115"/>
        <v>44652</v>
      </c>
      <c r="AU196" s="7">
        <f t="shared" si="115"/>
        <v>44652</v>
      </c>
      <c r="AV196" s="7">
        <f t="shared" si="115"/>
        <v>44652</v>
      </c>
      <c r="AW196" s="7">
        <f t="shared" si="115"/>
        <v>44652</v>
      </c>
      <c r="AX196" s="7">
        <f t="shared" si="115"/>
        <v>44652</v>
      </c>
      <c r="AY196" s="7">
        <f t="shared" si="115"/>
        <v>44652</v>
      </c>
      <c r="AZ196" s="7">
        <f t="shared" si="115"/>
        <v>44652</v>
      </c>
      <c r="BA196" s="7">
        <f t="shared" si="115"/>
        <v>45017</v>
      </c>
      <c r="BB196" s="7">
        <f t="shared" si="115"/>
        <v>45017</v>
      </c>
      <c r="BC196" s="7">
        <f t="shared" si="115"/>
        <v>45017</v>
      </c>
      <c r="BD196" s="7">
        <f t="shared" si="115"/>
        <v>45017</v>
      </c>
      <c r="BE196" s="7">
        <f t="shared" si="115"/>
        <v>45017</v>
      </c>
      <c r="BF196" s="7">
        <f t="shared" si="115"/>
        <v>45017</v>
      </c>
      <c r="BG196" s="7">
        <f t="shared" si="115"/>
        <v>45017</v>
      </c>
      <c r="BH196" s="7">
        <f t="shared" si="115"/>
        <v>45017</v>
      </c>
      <c r="BI196" s="7">
        <f t="shared" si="115"/>
        <v>45017</v>
      </c>
    </row>
    <row r="197" spans="5:61" x14ac:dyDescent="0.35">
      <c r="E197">
        <f t="shared" si="110"/>
        <v>5</v>
      </c>
      <c r="J197" t="str">
        <f t="shared" si="111"/>
        <v>date</v>
      </c>
      <c r="N197" s="78"/>
      <c r="O197" s="78"/>
      <c r="P197" s="78"/>
      <c r="Q197" s="78"/>
      <c r="R197" s="7">
        <f t="shared" ref="R197:BI197" si="116">R17</f>
        <v>43952</v>
      </c>
      <c r="S197" s="7">
        <f t="shared" si="116"/>
        <v>43952</v>
      </c>
      <c r="T197" s="7">
        <f t="shared" si="116"/>
        <v>43952</v>
      </c>
      <c r="U197" s="7">
        <f t="shared" si="116"/>
        <v>43952</v>
      </c>
      <c r="V197" s="7">
        <f t="shared" si="116"/>
        <v>43952</v>
      </c>
      <c r="W197" s="7">
        <f t="shared" si="116"/>
        <v>43952</v>
      </c>
      <c r="X197" s="7">
        <f t="shared" si="116"/>
        <v>43952</v>
      </c>
      <c r="Y197" s="7">
        <f t="shared" si="116"/>
        <v>43952</v>
      </c>
      <c r="Z197" s="7">
        <f t="shared" si="116"/>
        <v>43952</v>
      </c>
      <c r="AA197" s="7">
        <f t="shared" si="116"/>
        <v>43952</v>
      </c>
      <c r="AB197" s="7">
        <f t="shared" si="116"/>
        <v>43952</v>
      </c>
      <c r="AC197" s="7">
        <f t="shared" si="116"/>
        <v>43952</v>
      </c>
      <c r="AD197" s="7">
        <f t="shared" si="116"/>
        <v>44317</v>
      </c>
      <c r="AE197" s="7">
        <f t="shared" si="116"/>
        <v>44317</v>
      </c>
      <c r="AF197" s="7">
        <f t="shared" si="116"/>
        <v>44317</v>
      </c>
      <c r="AG197" s="7">
        <f t="shared" si="116"/>
        <v>44317</v>
      </c>
      <c r="AH197" s="7">
        <f t="shared" si="116"/>
        <v>44317</v>
      </c>
      <c r="AI197" s="7">
        <f t="shared" si="116"/>
        <v>44317</v>
      </c>
      <c r="AJ197" s="7">
        <f t="shared" si="116"/>
        <v>44317</v>
      </c>
      <c r="AK197" s="7">
        <f t="shared" si="116"/>
        <v>44317</v>
      </c>
      <c r="AL197" s="7">
        <f t="shared" si="116"/>
        <v>44317</v>
      </c>
      <c r="AM197" s="7">
        <f t="shared" si="116"/>
        <v>44317</v>
      </c>
      <c r="AN197" s="7">
        <f t="shared" si="116"/>
        <v>44317</v>
      </c>
      <c r="AO197" s="7">
        <f t="shared" si="116"/>
        <v>44317</v>
      </c>
      <c r="AP197" s="7">
        <f t="shared" si="116"/>
        <v>44682</v>
      </c>
      <c r="AQ197" s="7">
        <f t="shared" si="116"/>
        <v>44682</v>
      </c>
      <c r="AR197" s="7">
        <f t="shared" si="116"/>
        <v>44682</v>
      </c>
      <c r="AS197" s="7">
        <f t="shared" si="116"/>
        <v>44682</v>
      </c>
      <c r="AT197" s="7">
        <f t="shared" si="116"/>
        <v>44682</v>
      </c>
      <c r="AU197" s="7">
        <f t="shared" si="116"/>
        <v>44682</v>
      </c>
      <c r="AV197" s="7">
        <f t="shared" si="116"/>
        <v>44682</v>
      </c>
      <c r="AW197" s="7">
        <f t="shared" si="116"/>
        <v>44682</v>
      </c>
      <c r="AX197" s="7">
        <f t="shared" si="116"/>
        <v>44682</v>
      </c>
      <c r="AY197" s="7">
        <f t="shared" si="116"/>
        <v>44682</v>
      </c>
      <c r="AZ197" s="7">
        <f t="shared" si="116"/>
        <v>44682</v>
      </c>
      <c r="BA197" s="7">
        <f t="shared" si="116"/>
        <v>44682</v>
      </c>
      <c r="BB197" s="7">
        <f t="shared" si="116"/>
        <v>45047</v>
      </c>
      <c r="BC197" s="7">
        <f t="shared" si="116"/>
        <v>45047</v>
      </c>
      <c r="BD197" s="7">
        <f t="shared" si="116"/>
        <v>45047</v>
      </c>
      <c r="BE197" s="7">
        <f t="shared" si="116"/>
        <v>45047</v>
      </c>
      <c r="BF197" s="7">
        <f t="shared" si="116"/>
        <v>45047</v>
      </c>
      <c r="BG197" s="7">
        <f t="shared" si="116"/>
        <v>45047</v>
      </c>
      <c r="BH197" s="7">
        <f t="shared" si="116"/>
        <v>45047</v>
      </c>
      <c r="BI197" s="7">
        <f t="shared" si="116"/>
        <v>45047</v>
      </c>
    </row>
    <row r="198" spans="5:61" x14ac:dyDescent="0.35">
      <c r="E198">
        <f t="shared" si="110"/>
        <v>6</v>
      </c>
      <c r="J198" t="str">
        <f t="shared" si="111"/>
        <v>date</v>
      </c>
      <c r="N198" s="78"/>
      <c r="O198" s="78"/>
      <c r="P198" s="78"/>
      <c r="Q198" s="78"/>
      <c r="R198" s="78"/>
      <c r="S198" s="7">
        <f t="shared" ref="S198:BI198" si="117">S18</f>
        <v>43983</v>
      </c>
      <c r="T198" s="7">
        <f t="shared" si="117"/>
        <v>43983</v>
      </c>
      <c r="U198" s="7">
        <f t="shared" si="117"/>
        <v>43983</v>
      </c>
      <c r="V198" s="7">
        <f t="shared" si="117"/>
        <v>43983</v>
      </c>
      <c r="W198" s="7">
        <f t="shared" si="117"/>
        <v>43983</v>
      </c>
      <c r="X198" s="7">
        <f t="shared" si="117"/>
        <v>43983</v>
      </c>
      <c r="Y198" s="7">
        <f t="shared" si="117"/>
        <v>43983</v>
      </c>
      <c r="Z198" s="7">
        <f t="shared" si="117"/>
        <v>43983</v>
      </c>
      <c r="AA198" s="7">
        <f t="shared" si="117"/>
        <v>43983</v>
      </c>
      <c r="AB198" s="7">
        <f t="shared" si="117"/>
        <v>43983</v>
      </c>
      <c r="AC198" s="7">
        <f t="shared" si="117"/>
        <v>43983</v>
      </c>
      <c r="AD198" s="7">
        <f t="shared" si="117"/>
        <v>43983</v>
      </c>
      <c r="AE198" s="7">
        <f t="shared" si="117"/>
        <v>44348</v>
      </c>
      <c r="AF198" s="7">
        <f t="shared" si="117"/>
        <v>44348</v>
      </c>
      <c r="AG198" s="7">
        <f t="shared" si="117"/>
        <v>44348</v>
      </c>
      <c r="AH198" s="7">
        <f t="shared" si="117"/>
        <v>44348</v>
      </c>
      <c r="AI198" s="7">
        <f t="shared" si="117"/>
        <v>44348</v>
      </c>
      <c r="AJ198" s="7">
        <f t="shared" si="117"/>
        <v>44348</v>
      </c>
      <c r="AK198" s="7">
        <f t="shared" si="117"/>
        <v>44348</v>
      </c>
      <c r="AL198" s="7">
        <f t="shared" si="117"/>
        <v>44348</v>
      </c>
      <c r="AM198" s="7">
        <f t="shared" si="117"/>
        <v>44348</v>
      </c>
      <c r="AN198" s="7">
        <f t="shared" si="117"/>
        <v>44348</v>
      </c>
      <c r="AO198" s="7">
        <f t="shared" si="117"/>
        <v>44348</v>
      </c>
      <c r="AP198" s="7">
        <f t="shared" si="117"/>
        <v>44348</v>
      </c>
      <c r="AQ198" s="7">
        <f t="shared" si="117"/>
        <v>44713</v>
      </c>
      <c r="AR198" s="7">
        <f t="shared" si="117"/>
        <v>44713</v>
      </c>
      <c r="AS198" s="7">
        <f t="shared" si="117"/>
        <v>44713</v>
      </c>
      <c r="AT198" s="7">
        <f t="shared" si="117"/>
        <v>44713</v>
      </c>
      <c r="AU198" s="7">
        <f t="shared" si="117"/>
        <v>44713</v>
      </c>
      <c r="AV198" s="7">
        <f t="shared" si="117"/>
        <v>44713</v>
      </c>
      <c r="AW198" s="7">
        <f t="shared" si="117"/>
        <v>44713</v>
      </c>
      <c r="AX198" s="7">
        <f t="shared" si="117"/>
        <v>44713</v>
      </c>
      <c r="AY198" s="7">
        <f t="shared" si="117"/>
        <v>44713</v>
      </c>
      <c r="AZ198" s="7">
        <f t="shared" si="117"/>
        <v>44713</v>
      </c>
      <c r="BA198" s="7">
        <f t="shared" si="117"/>
        <v>44713</v>
      </c>
      <c r="BB198" s="7">
        <f t="shared" si="117"/>
        <v>44713</v>
      </c>
      <c r="BC198" s="7">
        <f t="shared" si="117"/>
        <v>45078</v>
      </c>
      <c r="BD198" s="7">
        <f t="shared" si="117"/>
        <v>45078</v>
      </c>
      <c r="BE198" s="7">
        <f t="shared" si="117"/>
        <v>45078</v>
      </c>
      <c r="BF198" s="7">
        <f t="shared" si="117"/>
        <v>45078</v>
      </c>
      <c r="BG198" s="7">
        <f t="shared" si="117"/>
        <v>45078</v>
      </c>
      <c r="BH198" s="7">
        <f t="shared" si="117"/>
        <v>45078</v>
      </c>
      <c r="BI198" s="7">
        <f t="shared" si="117"/>
        <v>45078</v>
      </c>
    </row>
    <row r="199" spans="5:61" x14ac:dyDescent="0.35">
      <c r="E199">
        <f t="shared" si="110"/>
        <v>7</v>
      </c>
      <c r="J199" t="str">
        <f t="shared" si="111"/>
        <v>date</v>
      </c>
      <c r="N199" s="78"/>
      <c r="O199" s="78"/>
      <c r="P199" s="78"/>
      <c r="Q199" s="78"/>
      <c r="R199" s="78"/>
      <c r="S199" s="78"/>
      <c r="T199" s="7">
        <f t="shared" ref="T199:BI199" si="118">T19</f>
        <v>44013</v>
      </c>
      <c r="U199" s="7">
        <f t="shared" si="118"/>
        <v>44013</v>
      </c>
      <c r="V199" s="7">
        <f t="shared" si="118"/>
        <v>44013</v>
      </c>
      <c r="W199" s="7">
        <f t="shared" si="118"/>
        <v>44013</v>
      </c>
      <c r="X199" s="7">
        <f t="shared" si="118"/>
        <v>44013</v>
      </c>
      <c r="Y199" s="7">
        <f t="shared" si="118"/>
        <v>44013</v>
      </c>
      <c r="Z199" s="7">
        <f t="shared" si="118"/>
        <v>44013</v>
      </c>
      <c r="AA199" s="7">
        <f t="shared" si="118"/>
        <v>44013</v>
      </c>
      <c r="AB199" s="7">
        <f t="shared" si="118"/>
        <v>44013</v>
      </c>
      <c r="AC199" s="7">
        <f t="shared" si="118"/>
        <v>44013</v>
      </c>
      <c r="AD199" s="7">
        <f t="shared" si="118"/>
        <v>44013</v>
      </c>
      <c r="AE199" s="7">
        <f t="shared" si="118"/>
        <v>44013</v>
      </c>
      <c r="AF199" s="7">
        <f t="shared" si="118"/>
        <v>44378</v>
      </c>
      <c r="AG199" s="7">
        <f t="shared" si="118"/>
        <v>44378</v>
      </c>
      <c r="AH199" s="7">
        <f t="shared" si="118"/>
        <v>44378</v>
      </c>
      <c r="AI199" s="7">
        <f t="shared" si="118"/>
        <v>44378</v>
      </c>
      <c r="AJ199" s="7">
        <f t="shared" si="118"/>
        <v>44378</v>
      </c>
      <c r="AK199" s="7">
        <f t="shared" si="118"/>
        <v>44378</v>
      </c>
      <c r="AL199" s="7">
        <f t="shared" si="118"/>
        <v>44378</v>
      </c>
      <c r="AM199" s="7">
        <f t="shared" si="118"/>
        <v>44378</v>
      </c>
      <c r="AN199" s="7">
        <f t="shared" si="118"/>
        <v>44378</v>
      </c>
      <c r="AO199" s="7">
        <f t="shared" si="118"/>
        <v>44378</v>
      </c>
      <c r="AP199" s="7">
        <f t="shared" si="118"/>
        <v>44378</v>
      </c>
      <c r="AQ199" s="7">
        <f t="shared" si="118"/>
        <v>44378</v>
      </c>
      <c r="AR199" s="7">
        <f t="shared" si="118"/>
        <v>44743</v>
      </c>
      <c r="AS199" s="7">
        <f t="shared" si="118"/>
        <v>44743</v>
      </c>
      <c r="AT199" s="7">
        <f t="shared" si="118"/>
        <v>44743</v>
      </c>
      <c r="AU199" s="7">
        <f t="shared" si="118"/>
        <v>44743</v>
      </c>
      <c r="AV199" s="7">
        <f t="shared" si="118"/>
        <v>44743</v>
      </c>
      <c r="AW199" s="7">
        <f t="shared" si="118"/>
        <v>44743</v>
      </c>
      <c r="AX199" s="7">
        <f t="shared" si="118"/>
        <v>44743</v>
      </c>
      <c r="AY199" s="7">
        <f t="shared" si="118"/>
        <v>44743</v>
      </c>
      <c r="AZ199" s="7">
        <f t="shared" si="118"/>
        <v>44743</v>
      </c>
      <c r="BA199" s="7">
        <f t="shared" si="118"/>
        <v>44743</v>
      </c>
      <c r="BB199" s="7">
        <f t="shared" si="118"/>
        <v>44743</v>
      </c>
      <c r="BC199" s="7">
        <f t="shared" si="118"/>
        <v>44743</v>
      </c>
      <c r="BD199" s="7">
        <f t="shared" si="118"/>
        <v>45108</v>
      </c>
      <c r="BE199" s="7">
        <f t="shared" si="118"/>
        <v>45108</v>
      </c>
      <c r="BF199" s="7">
        <f t="shared" si="118"/>
        <v>45108</v>
      </c>
      <c r="BG199" s="7">
        <f t="shared" si="118"/>
        <v>45108</v>
      </c>
      <c r="BH199" s="7">
        <f t="shared" si="118"/>
        <v>45108</v>
      </c>
      <c r="BI199" s="7">
        <f t="shared" si="118"/>
        <v>45108</v>
      </c>
    </row>
    <row r="200" spans="5:61" x14ac:dyDescent="0.35">
      <c r="E200">
        <f t="shared" si="110"/>
        <v>8</v>
      </c>
      <c r="J200" t="str">
        <f t="shared" si="111"/>
        <v>date</v>
      </c>
      <c r="N200" s="78"/>
      <c r="O200" s="78"/>
      <c r="P200" s="78"/>
      <c r="Q200" s="78"/>
      <c r="R200" s="78"/>
      <c r="S200" s="78"/>
      <c r="T200" s="78"/>
      <c r="U200" s="7">
        <f t="shared" ref="U200:BI200" si="119">U20</f>
        <v>44044</v>
      </c>
      <c r="V200" s="7">
        <f t="shared" si="119"/>
        <v>44044</v>
      </c>
      <c r="W200" s="7">
        <f t="shared" si="119"/>
        <v>44044</v>
      </c>
      <c r="X200" s="7">
        <f t="shared" si="119"/>
        <v>44044</v>
      </c>
      <c r="Y200" s="7">
        <f t="shared" si="119"/>
        <v>44044</v>
      </c>
      <c r="Z200" s="7">
        <f t="shared" si="119"/>
        <v>44044</v>
      </c>
      <c r="AA200" s="7">
        <f t="shared" si="119"/>
        <v>44044</v>
      </c>
      <c r="AB200" s="7">
        <f t="shared" si="119"/>
        <v>44044</v>
      </c>
      <c r="AC200" s="7">
        <f t="shared" si="119"/>
        <v>44044</v>
      </c>
      <c r="AD200" s="7">
        <f t="shared" si="119"/>
        <v>44044</v>
      </c>
      <c r="AE200" s="7">
        <f t="shared" si="119"/>
        <v>44044</v>
      </c>
      <c r="AF200" s="7">
        <f t="shared" si="119"/>
        <v>44044</v>
      </c>
      <c r="AG200" s="7">
        <f t="shared" si="119"/>
        <v>44409</v>
      </c>
      <c r="AH200" s="7">
        <f t="shared" si="119"/>
        <v>44409</v>
      </c>
      <c r="AI200" s="7">
        <f t="shared" si="119"/>
        <v>44409</v>
      </c>
      <c r="AJ200" s="7">
        <f t="shared" si="119"/>
        <v>44409</v>
      </c>
      <c r="AK200" s="7">
        <f t="shared" si="119"/>
        <v>44409</v>
      </c>
      <c r="AL200" s="7">
        <f t="shared" si="119"/>
        <v>44409</v>
      </c>
      <c r="AM200" s="7">
        <f t="shared" si="119"/>
        <v>44409</v>
      </c>
      <c r="AN200" s="7">
        <f t="shared" si="119"/>
        <v>44409</v>
      </c>
      <c r="AO200" s="7">
        <f t="shared" si="119"/>
        <v>44409</v>
      </c>
      <c r="AP200" s="7">
        <f t="shared" si="119"/>
        <v>44409</v>
      </c>
      <c r="AQ200" s="7">
        <f t="shared" si="119"/>
        <v>44409</v>
      </c>
      <c r="AR200" s="7">
        <f t="shared" si="119"/>
        <v>44409</v>
      </c>
      <c r="AS200" s="7">
        <f t="shared" si="119"/>
        <v>44774</v>
      </c>
      <c r="AT200" s="7">
        <f t="shared" si="119"/>
        <v>44774</v>
      </c>
      <c r="AU200" s="7">
        <f t="shared" si="119"/>
        <v>44774</v>
      </c>
      <c r="AV200" s="7">
        <f t="shared" si="119"/>
        <v>44774</v>
      </c>
      <c r="AW200" s="7">
        <f t="shared" si="119"/>
        <v>44774</v>
      </c>
      <c r="AX200" s="7">
        <f t="shared" si="119"/>
        <v>44774</v>
      </c>
      <c r="AY200" s="7">
        <f t="shared" si="119"/>
        <v>44774</v>
      </c>
      <c r="AZ200" s="7">
        <f t="shared" si="119"/>
        <v>44774</v>
      </c>
      <c r="BA200" s="7">
        <f t="shared" si="119"/>
        <v>44774</v>
      </c>
      <c r="BB200" s="7">
        <f t="shared" si="119"/>
        <v>44774</v>
      </c>
      <c r="BC200" s="7">
        <f t="shared" si="119"/>
        <v>44774</v>
      </c>
      <c r="BD200" s="7">
        <f t="shared" si="119"/>
        <v>44774</v>
      </c>
      <c r="BE200" s="7">
        <f t="shared" si="119"/>
        <v>45139</v>
      </c>
      <c r="BF200" s="7">
        <f t="shared" si="119"/>
        <v>45139</v>
      </c>
      <c r="BG200" s="7">
        <f t="shared" si="119"/>
        <v>45139</v>
      </c>
      <c r="BH200" s="7">
        <f t="shared" si="119"/>
        <v>45139</v>
      </c>
      <c r="BI200" s="7">
        <f t="shared" si="119"/>
        <v>45139</v>
      </c>
    </row>
    <row r="201" spans="5:61" x14ac:dyDescent="0.35">
      <c r="E201">
        <f t="shared" si="110"/>
        <v>9</v>
      </c>
      <c r="J201" t="str">
        <f t="shared" si="111"/>
        <v>date</v>
      </c>
      <c r="N201" s="78"/>
      <c r="O201" s="78"/>
      <c r="P201" s="78"/>
      <c r="Q201" s="78"/>
      <c r="R201" s="78"/>
      <c r="S201" s="78"/>
      <c r="T201" s="78"/>
      <c r="U201" s="78"/>
      <c r="V201" s="7">
        <f t="shared" ref="V201:BI201" si="120">V21</f>
        <v>44075</v>
      </c>
      <c r="W201" s="7">
        <f t="shared" si="120"/>
        <v>44075</v>
      </c>
      <c r="X201" s="7">
        <f t="shared" si="120"/>
        <v>44075</v>
      </c>
      <c r="Y201" s="7">
        <f t="shared" si="120"/>
        <v>44075</v>
      </c>
      <c r="Z201" s="7">
        <f t="shared" si="120"/>
        <v>44075</v>
      </c>
      <c r="AA201" s="7">
        <f t="shared" si="120"/>
        <v>44075</v>
      </c>
      <c r="AB201" s="7">
        <f t="shared" si="120"/>
        <v>44075</v>
      </c>
      <c r="AC201" s="7">
        <f t="shared" si="120"/>
        <v>44075</v>
      </c>
      <c r="AD201" s="7">
        <f t="shared" si="120"/>
        <v>44075</v>
      </c>
      <c r="AE201" s="7">
        <f t="shared" si="120"/>
        <v>44075</v>
      </c>
      <c r="AF201" s="7">
        <f t="shared" si="120"/>
        <v>44075</v>
      </c>
      <c r="AG201" s="7">
        <f t="shared" si="120"/>
        <v>44075</v>
      </c>
      <c r="AH201" s="7">
        <f t="shared" si="120"/>
        <v>44440</v>
      </c>
      <c r="AI201" s="7">
        <f t="shared" si="120"/>
        <v>44440</v>
      </c>
      <c r="AJ201" s="7">
        <f t="shared" si="120"/>
        <v>44440</v>
      </c>
      <c r="AK201" s="7">
        <f t="shared" si="120"/>
        <v>44440</v>
      </c>
      <c r="AL201" s="7">
        <f t="shared" si="120"/>
        <v>44440</v>
      </c>
      <c r="AM201" s="7">
        <f t="shared" si="120"/>
        <v>44440</v>
      </c>
      <c r="AN201" s="7">
        <f t="shared" si="120"/>
        <v>44440</v>
      </c>
      <c r="AO201" s="7">
        <f t="shared" si="120"/>
        <v>44440</v>
      </c>
      <c r="AP201" s="7">
        <f t="shared" si="120"/>
        <v>44440</v>
      </c>
      <c r="AQ201" s="7">
        <f t="shared" si="120"/>
        <v>44440</v>
      </c>
      <c r="AR201" s="7">
        <f t="shared" si="120"/>
        <v>44440</v>
      </c>
      <c r="AS201" s="7">
        <f t="shared" si="120"/>
        <v>44440</v>
      </c>
      <c r="AT201" s="7">
        <f t="shared" si="120"/>
        <v>44805</v>
      </c>
      <c r="AU201" s="7">
        <f t="shared" si="120"/>
        <v>44805</v>
      </c>
      <c r="AV201" s="7">
        <f t="shared" si="120"/>
        <v>44805</v>
      </c>
      <c r="AW201" s="7">
        <f t="shared" si="120"/>
        <v>44805</v>
      </c>
      <c r="AX201" s="7">
        <f t="shared" si="120"/>
        <v>44805</v>
      </c>
      <c r="AY201" s="7">
        <f t="shared" si="120"/>
        <v>44805</v>
      </c>
      <c r="AZ201" s="7">
        <f t="shared" si="120"/>
        <v>44805</v>
      </c>
      <c r="BA201" s="7">
        <f t="shared" si="120"/>
        <v>44805</v>
      </c>
      <c r="BB201" s="7">
        <f t="shared" si="120"/>
        <v>44805</v>
      </c>
      <c r="BC201" s="7">
        <f t="shared" si="120"/>
        <v>44805</v>
      </c>
      <c r="BD201" s="7">
        <f t="shared" si="120"/>
        <v>44805</v>
      </c>
      <c r="BE201" s="7">
        <f t="shared" si="120"/>
        <v>44805</v>
      </c>
      <c r="BF201" s="7">
        <f t="shared" si="120"/>
        <v>45170</v>
      </c>
      <c r="BG201" s="7">
        <f t="shared" si="120"/>
        <v>45170</v>
      </c>
      <c r="BH201" s="7">
        <f t="shared" si="120"/>
        <v>45170</v>
      </c>
      <c r="BI201" s="7">
        <f t="shared" si="120"/>
        <v>45170</v>
      </c>
    </row>
    <row r="202" spans="5:61" x14ac:dyDescent="0.35">
      <c r="E202">
        <f t="shared" si="110"/>
        <v>10</v>
      </c>
      <c r="J202" t="str">
        <f t="shared" si="111"/>
        <v>date</v>
      </c>
      <c r="N202" s="78"/>
      <c r="O202" s="78"/>
      <c r="P202" s="78"/>
      <c r="Q202" s="78"/>
      <c r="R202" s="78"/>
      <c r="S202" s="78"/>
      <c r="T202" s="78"/>
      <c r="U202" s="78"/>
      <c r="V202" s="78"/>
      <c r="W202" s="7">
        <f t="shared" ref="W202:BI202" si="121">W22</f>
        <v>44105</v>
      </c>
      <c r="X202" s="7">
        <f t="shared" si="121"/>
        <v>44105</v>
      </c>
      <c r="Y202" s="7">
        <f t="shared" si="121"/>
        <v>44105</v>
      </c>
      <c r="Z202" s="7">
        <f t="shared" si="121"/>
        <v>44105</v>
      </c>
      <c r="AA202" s="7">
        <f t="shared" si="121"/>
        <v>44105</v>
      </c>
      <c r="AB202" s="7">
        <f t="shared" si="121"/>
        <v>44105</v>
      </c>
      <c r="AC202" s="7">
        <f t="shared" si="121"/>
        <v>44105</v>
      </c>
      <c r="AD202" s="7">
        <f t="shared" si="121"/>
        <v>44105</v>
      </c>
      <c r="AE202" s="7">
        <f t="shared" si="121"/>
        <v>44105</v>
      </c>
      <c r="AF202" s="7">
        <f t="shared" si="121"/>
        <v>44105</v>
      </c>
      <c r="AG202" s="7">
        <f t="shared" si="121"/>
        <v>44105</v>
      </c>
      <c r="AH202" s="7">
        <f t="shared" si="121"/>
        <v>44105</v>
      </c>
      <c r="AI202" s="7">
        <f t="shared" si="121"/>
        <v>44470</v>
      </c>
      <c r="AJ202" s="7">
        <f t="shared" si="121"/>
        <v>44470</v>
      </c>
      <c r="AK202" s="7">
        <f t="shared" si="121"/>
        <v>44470</v>
      </c>
      <c r="AL202" s="7">
        <f t="shared" si="121"/>
        <v>44470</v>
      </c>
      <c r="AM202" s="7">
        <f t="shared" si="121"/>
        <v>44470</v>
      </c>
      <c r="AN202" s="7">
        <f t="shared" si="121"/>
        <v>44470</v>
      </c>
      <c r="AO202" s="7">
        <f t="shared" si="121"/>
        <v>44470</v>
      </c>
      <c r="AP202" s="7">
        <f t="shared" si="121"/>
        <v>44470</v>
      </c>
      <c r="AQ202" s="7">
        <f t="shared" si="121"/>
        <v>44470</v>
      </c>
      <c r="AR202" s="7">
        <f t="shared" si="121"/>
        <v>44470</v>
      </c>
      <c r="AS202" s="7">
        <f t="shared" si="121"/>
        <v>44470</v>
      </c>
      <c r="AT202" s="7">
        <f t="shared" si="121"/>
        <v>44470</v>
      </c>
      <c r="AU202" s="7">
        <f t="shared" si="121"/>
        <v>44835</v>
      </c>
      <c r="AV202" s="7">
        <f t="shared" si="121"/>
        <v>44835</v>
      </c>
      <c r="AW202" s="7">
        <f t="shared" si="121"/>
        <v>44835</v>
      </c>
      <c r="AX202" s="7">
        <f t="shared" si="121"/>
        <v>44835</v>
      </c>
      <c r="AY202" s="7">
        <f t="shared" si="121"/>
        <v>44835</v>
      </c>
      <c r="AZ202" s="7">
        <f t="shared" si="121"/>
        <v>44835</v>
      </c>
      <c r="BA202" s="7">
        <f t="shared" si="121"/>
        <v>44835</v>
      </c>
      <c r="BB202" s="7">
        <f t="shared" si="121"/>
        <v>44835</v>
      </c>
      <c r="BC202" s="7">
        <f t="shared" si="121"/>
        <v>44835</v>
      </c>
      <c r="BD202" s="7">
        <f t="shared" si="121"/>
        <v>44835</v>
      </c>
      <c r="BE202" s="7">
        <f t="shared" si="121"/>
        <v>44835</v>
      </c>
      <c r="BF202" s="7">
        <f t="shared" si="121"/>
        <v>44835</v>
      </c>
      <c r="BG202" s="7">
        <f t="shared" si="121"/>
        <v>45200</v>
      </c>
      <c r="BH202" s="7">
        <f t="shared" si="121"/>
        <v>45200</v>
      </c>
      <c r="BI202" s="7">
        <f t="shared" si="121"/>
        <v>45200</v>
      </c>
    </row>
    <row r="203" spans="5:61" x14ac:dyDescent="0.35">
      <c r="E203">
        <f t="shared" si="110"/>
        <v>11</v>
      </c>
      <c r="J203" t="str">
        <f t="shared" si="111"/>
        <v>date</v>
      </c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">
        <f t="shared" ref="X203:BI203" si="122">X23</f>
        <v>44136</v>
      </c>
      <c r="Y203" s="7">
        <f t="shared" si="122"/>
        <v>44136</v>
      </c>
      <c r="Z203" s="7">
        <f t="shared" si="122"/>
        <v>44136</v>
      </c>
      <c r="AA203" s="7">
        <f t="shared" si="122"/>
        <v>44136</v>
      </c>
      <c r="AB203" s="7">
        <f t="shared" si="122"/>
        <v>44136</v>
      </c>
      <c r="AC203" s="7">
        <f t="shared" si="122"/>
        <v>44136</v>
      </c>
      <c r="AD203" s="7">
        <f t="shared" si="122"/>
        <v>44136</v>
      </c>
      <c r="AE203" s="7">
        <f t="shared" si="122"/>
        <v>44136</v>
      </c>
      <c r="AF203" s="7">
        <f t="shared" si="122"/>
        <v>44136</v>
      </c>
      <c r="AG203" s="7">
        <f t="shared" si="122"/>
        <v>44136</v>
      </c>
      <c r="AH203" s="7">
        <f t="shared" si="122"/>
        <v>44136</v>
      </c>
      <c r="AI203" s="7">
        <f t="shared" si="122"/>
        <v>44136</v>
      </c>
      <c r="AJ203" s="7">
        <f t="shared" si="122"/>
        <v>44501</v>
      </c>
      <c r="AK203" s="7">
        <f t="shared" si="122"/>
        <v>44501</v>
      </c>
      <c r="AL203" s="7">
        <f t="shared" si="122"/>
        <v>44501</v>
      </c>
      <c r="AM203" s="7">
        <f t="shared" si="122"/>
        <v>44501</v>
      </c>
      <c r="AN203" s="7">
        <f t="shared" si="122"/>
        <v>44501</v>
      </c>
      <c r="AO203" s="7">
        <f t="shared" si="122"/>
        <v>44501</v>
      </c>
      <c r="AP203" s="7">
        <f t="shared" si="122"/>
        <v>44501</v>
      </c>
      <c r="AQ203" s="7">
        <f t="shared" si="122"/>
        <v>44501</v>
      </c>
      <c r="AR203" s="7">
        <f t="shared" si="122"/>
        <v>44501</v>
      </c>
      <c r="AS203" s="7">
        <f t="shared" si="122"/>
        <v>44501</v>
      </c>
      <c r="AT203" s="7">
        <f t="shared" si="122"/>
        <v>44501</v>
      </c>
      <c r="AU203" s="7">
        <f t="shared" si="122"/>
        <v>44501</v>
      </c>
      <c r="AV203" s="7">
        <f t="shared" si="122"/>
        <v>44866</v>
      </c>
      <c r="AW203" s="7">
        <f t="shared" si="122"/>
        <v>44866</v>
      </c>
      <c r="AX203" s="7">
        <f t="shared" si="122"/>
        <v>44866</v>
      </c>
      <c r="AY203" s="7">
        <f t="shared" si="122"/>
        <v>44866</v>
      </c>
      <c r="AZ203" s="7">
        <f t="shared" si="122"/>
        <v>44866</v>
      </c>
      <c r="BA203" s="7">
        <f t="shared" si="122"/>
        <v>44866</v>
      </c>
      <c r="BB203" s="7">
        <f t="shared" si="122"/>
        <v>44866</v>
      </c>
      <c r="BC203" s="7">
        <f t="shared" si="122"/>
        <v>44866</v>
      </c>
      <c r="BD203" s="7">
        <f t="shared" si="122"/>
        <v>44866</v>
      </c>
      <c r="BE203" s="7">
        <f t="shared" si="122"/>
        <v>44866</v>
      </c>
      <c r="BF203" s="7">
        <f t="shared" si="122"/>
        <v>44866</v>
      </c>
      <c r="BG203" s="7">
        <f t="shared" si="122"/>
        <v>44866</v>
      </c>
      <c r="BH203" s="7">
        <f t="shared" si="122"/>
        <v>45231</v>
      </c>
      <c r="BI203" s="7">
        <f t="shared" si="122"/>
        <v>45231</v>
      </c>
    </row>
    <row r="204" spans="5:61" x14ac:dyDescent="0.35">
      <c r="E204">
        <f t="shared" si="110"/>
        <v>12</v>
      </c>
      <c r="J204" t="str">
        <f t="shared" si="111"/>
        <v>date</v>
      </c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">
        <f t="shared" ref="Y204:BI204" si="123">Y24</f>
        <v>44166</v>
      </c>
      <c r="Z204" s="7">
        <f t="shared" si="123"/>
        <v>44166</v>
      </c>
      <c r="AA204" s="7">
        <f t="shared" si="123"/>
        <v>44166</v>
      </c>
      <c r="AB204" s="7">
        <f t="shared" si="123"/>
        <v>44166</v>
      </c>
      <c r="AC204" s="7">
        <f t="shared" si="123"/>
        <v>44166</v>
      </c>
      <c r="AD204" s="7">
        <f t="shared" si="123"/>
        <v>44166</v>
      </c>
      <c r="AE204" s="7">
        <f t="shared" si="123"/>
        <v>44166</v>
      </c>
      <c r="AF204" s="7">
        <f t="shared" si="123"/>
        <v>44166</v>
      </c>
      <c r="AG204" s="7">
        <f t="shared" si="123"/>
        <v>44166</v>
      </c>
      <c r="AH204" s="7">
        <f t="shared" si="123"/>
        <v>44166</v>
      </c>
      <c r="AI204" s="7">
        <f t="shared" si="123"/>
        <v>44166</v>
      </c>
      <c r="AJ204" s="7">
        <f t="shared" si="123"/>
        <v>44166</v>
      </c>
      <c r="AK204" s="7">
        <f t="shared" si="123"/>
        <v>44531</v>
      </c>
      <c r="AL204" s="7">
        <f t="shared" si="123"/>
        <v>44531</v>
      </c>
      <c r="AM204" s="7">
        <f t="shared" si="123"/>
        <v>44531</v>
      </c>
      <c r="AN204" s="7">
        <f t="shared" si="123"/>
        <v>44531</v>
      </c>
      <c r="AO204" s="7">
        <f t="shared" si="123"/>
        <v>44531</v>
      </c>
      <c r="AP204" s="7">
        <f t="shared" si="123"/>
        <v>44531</v>
      </c>
      <c r="AQ204" s="7">
        <f t="shared" si="123"/>
        <v>44531</v>
      </c>
      <c r="AR204" s="7">
        <f t="shared" si="123"/>
        <v>44531</v>
      </c>
      <c r="AS204" s="7">
        <f t="shared" si="123"/>
        <v>44531</v>
      </c>
      <c r="AT204" s="7">
        <f t="shared" si="123"/>
        <v>44531</v>
      </c>
      <c r="AU204" s="7">
        <f t="shared" si="123"/>
        <v>44531</v>
      </c>
      <c r="AV204" s="7">
        <f t="shared" si="123"/>
        <v>44531</v>
      </c>
      <c r="AW204" s="7">
        <f t="shared" si="123"/>
        <v>44896</v>
      </c>
      <c r="AX204" s="7">
        <f t="shared" si="123"/>
        <v>44896</v>
      </c>
      <c r="AY204" s="7">
        <f t="shared" si="123"/>
        <v>44896</v>
      </c>
      <c r="AZ204" s="7">
        <f t="shared" si="123"/>
        <v>44896</v>
      </c>
      <c r="BA204" s="7">
        <f t="shared" si="123"/>
        <v>44896</v>
      </c>
      <c r="BB204" s="7">
        <f t="shared" si="123"/>
        <v>44896</v>
      </c>
      <c r="BC204" s="7">
        <f t="shared" si="123"/>
        <v>44896</v>
      </c>
      <c r="BD204" s="7">
        <f t="shared" si="123"/>
        <v>44896</v>
      </c>
      <c r="BE204" s="7">
        <f t="shared" si="123"/>
        <v>44896</v>
      </c>
      <c r="BF204" s="7">
        <f t="shared" si="123"/>
        <v>44896</v>
      </c>
      <c r="BG204" s="7">
        <f t="shared" si="123"/>
        <v>44896</v>
      </c>
      <c r="BH204" s="7">
        <f t="shared" si="123"/>
        <v>44896</v>
      </c>
      <c r="BI204" s="7">
        <f t="shared" si="123"/>
        <v>45261</v>
      </c>
    </row>
    <row r="205" spans="5:61" x14ac:dyDescent="0.35"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</row>
    <row r="206" spans="5:61" x14ac:dyDescent="0.35">
      <c r="E206" s="12" t="s">
        <v>92</v>
      </c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</row>
    <row r="207" spans="5:61" x14ac:dyDescent="0.35">
      <c r="E207">
        <v>1</v>
      </c>
      <c r="J207" t="s">
        <v>51</v>
      </c>
      <c r="N207" s="41">
        <f t="shared" ref="N207:N218" si="124">IFERROR(INDEX($N$191:$BI$191,1,MATCH(N193,$N$184:$BI$184,0)),0)</f>
        <v>0</v>
      </c>
      <c r="O207" s="41">
        <f t="shared" ref="O207:BI207" si="125">IFERROR(INDEX($N$191:$BI$191,1,MATCH(O193,$N$184:$BI$184,0)),0)</f>
        <v>0</v>
      </c>
      <c r="P207" s="41">
        <f t="shared" si="125"/>
        <v>0</v>
      </c>
      <c r="Q207" s="41">
        <f t="shared" si="125"/>
        <v>0</v>
      </c>
      <c r="R207" s="41">
        <f t="shared" si="125"/>
        <v>0</v>
      </c>
      <c r="S207" s="41">
        <f t="shared" si="125"/>
        <v>0</v>
      </c>
      <c r="T207" s="41">
        <f t="shared" si="125"/>
        <v>0</v>
      </c>
      <c r="U207" s="41">
        <f t="shared" si="125"/>
        <v>0</v>
      </c>
      <c r="V207" s="41">
        <f t="shared" si="125"/>
        <v>0</v>
      </c>
      <c r="W207" s="41">
        <f t="shared" si="125"/>
        <v>0</v>
      </c>
      <c r="X207" s="41">
        <f t="shared" si="125"/>
        <v>0</v>
      </c>
      <c r="Y207" s="41">
        <f t="shared" si="125"/>
        <v>0</v>
      </c>
      <c r="Z207" s="41">
        <f t="shared" si="125"/>
        <v>2942.0388210047395</v>
      </c>
      <c r="AA207" s="41">
        <f t="shared" si="125"/>
        <v>2942.0388210047395</v>
      </c>
      <c r="AB207" s="41">
        <f t="shared" si="125"/>
        <v>2942.0388210047395</v>
      </c>
      <c r="AC207" s="41">
        <f t="shared" si="125"/>
        <v>2942.0388210047395</v>
      </c>
      <c r="AD207" s="41">
        <f t="shared" si="125"/>
        <v>2942.0388210047395</v>
      </c>
      <c r="AE207" s="41">
        <f t="shared" si="125"/>
        <v>2942.0388210047395</v>
      </c>
      <c r="AF207" s="41">
        <f t="shared" si="125"/>
        <v>2942.0388210047395</v>
      </c>
      <c r="AG207" s="41">
        <f t="shared" si="125"/>
        <v>2942.0388210047395</v>
      </c>
      <c r="AH207" s="41">
        <f t="shared" si="125"/>
        <v>2942.0388210047395</v>
      </c>
      <c r="AI207" s="41">
        <f t="shared" si="125"/>
        <v>2942.0388210047395</v>
      </c>
      <c r="AJ207" s="41">
        <f t="shared" si="125"/>
        <v>2942.0388210047395</v>
      </c>
      <c r="AK207" s="41">
        <f t="shared" si="125"/>
        <v>2942.0388210047395</v>
      </c>
      <c r="AL207" s="41">
        <f t="shared" si="125"/>
        <v>3384.5309464397669</v>
      </c>
      <c r="AM207" s="41">
        <f t="shared" si="125"/>
        <v>3384.5309464397669</v>
      </c>
      <c r="AN207" s="41">
        <f t="shared" si="125"/>
        <v>3384.5309464397669</v>
      </c>
      <c r="AO207" s="41">
        <f t="shared" si="125"/>
        <v>3384.5309464397669</v>
      </c>
      <c r="AP207" s="41">
        <f t="shared" si="125"/>
        <v>3384.5309464397669</v>
      </c>
      <c r="AQ207" s="41">
        <f t="shared" si="125"/>
        <v>3384.5309464397669</v>
      </c>
      <c r="AR207" s="41">
        <f t="shared" si="125"/>
        <v>3384.5309464397669</v>
      </c>
      <c r="AS207" s="41">
        <f t="shared" si="125"/>
        <v>3384.5309464397669</v>
      </c>
      <c r="AT207" s="41">
        <f t="shared" si="125"/>
        <v>3384.5309464397669</v>
      </c>
      <c r="AU207" s="41">
        <f t="shared" si="125"/>
        <v>3384.5309464397669</v>
      </c>
      <c r="AV207" s="41">
        <f t="shared" si="125"/>
        <v>3384.5309464397669</v>
      </c>
      <c r="AW207" s="41">
        <f t="shared" si="125"/>
        <v>3384.5309464397669</v>
      </c>
      <c r="AX207" s="41">
        <f t="shared" si="125"/>
        <v>3292.3295897275257</v>
      </c>
      <c r="AY207" s="41">
        <f t="shared" si="125"/>
        <v>3292.3295897275257</v>
      </c>
      <c r="AZ207" s="41">
        <f t="shared" si="125"/>
        <v>3292.3295897275257</v>
      </c>
      <c r="BA207" s="41">
        <f t="shared" si="125"/>
        <v>3292.3295897275257</v>
      </c>
      <c r="BB207" s="41">
        <f t="shared" si="125"/>
        <v>3292.3295897275257</v>
      </c>
      <c r="BC207" s="41">
        <f t="shared" si="125"/>
        <v>3292.3295897275257</v>
      </c>
      <c r="BD207" s="41">
        <f t="shared" si="125"/>
        <v>3292.3295897275257</v>
      </c>
      <c r="BE207" s="41">
        <f t="shared" si="125"/>
        <v>3292.3295897275257</v>
      </c>
      <c r="BF207" s="41">
        <f t="shared" si="125"/>
        <v>3292.3295897275257</v>
      </c>
      <c r="BG207" s="41">
        <f t="shared" si="125"/>
        <v>3292.3295897275257</v>
      </c>
      <c r="BH207" s="41">
        <f t="shared" si="125"/>
        <v>3292.3295897275257</v>
      </c>
      <c r="BI207" s="41">
        <f t="shared" si="125"/>
        <v>3292.3295897275257</v>
      </c>
    </row>
    <row r="208" spans="5:61" x14ac:dyDescent="0.35">
      <c r="E208">
        <v>2</v>
      </c>
      <c r="J208" t="s">
        <v>51</v>
      </c>
      <c r="N208" s="41">
        <f t="shared" si="124"/>
        <v>0</v>
      </c>
      <c r="O208" s="41">
        <f t="shared" ref="O208:BI208" si="126">IFERROR(INDEX($N$191:$BI$191,1,MATCH(O194,$N$184:$BI$184,0)),0)</f>
        <v>0</v>
      </c>
      <c r="P208" s="41">
        <f t="shared" si="126"/>
        <v>0</v>
      </c>
      <c r="Q208" s="41">
        <f t="shared" si="126"/>
        <v>0</v>
      </c>
      <c r="R208" s="41">
        <f t="shared" si="126"/>
        <v>0</v>
      </c>
      <c r="S208" s="41">
        <f t="shared" si="126"/>
        <v>0</v>
      </c>
      <c r="T208" s="41">
        <f t="shared" si="126"/>
        <v>0</v>
      </c>
      <c r="U208" s="41">
        <f t="shared" si="126"/>
        <v>0</v>
      </c>
      <c r="V208" s="41">
        <f t="shared" si="126"/>
        <v>0</v>
      </c>
      <c r="W208" s="41">
        <f t="shared" si="126"/>
        <v>0</v>
      </c>
      <c r="X208" s="41">
        <f t="shared" si="126"/>
        <v>0</v>
      </c>
      <c r="Y208" s="41">
        <f t="shared" si="126"/>
        <v>0</v>
      </c>
      <c r="Z208" s="41">
        <f t="shared" si="126"/>
        <v>0</v>
      </c>
      <c r="AA208" s="41">
        <f t="shared" si="126"/>
        <v>2293.7678244076005</v>
      </c>
      <c r="AB208" s="41">
        <f t="shared" si="126"/>
        <v>2293.7678244076005</v>
      </c>
      <c r="AC208" s="41">
        <f t="shared" si="126"/>
        <v>2293.7678244076005</v>
      </c>
      <c r="AD208" s="41">
        <f t="shared" si="126"/>
        <v>2293.7678244076005</v>
      </c>
      <c r="AE208" s="41">
        <f t="shared" si="126"/>
        <v>2293.7678244076005</v>
      </c>
      <c r="AF208" s="41">
        <f t="shared" si="126"/>
        <v>2293.7678244076005</v>
      </c>
      <c r="AG208" s="41">
        <f t="shared" si="126"/>
        <v>2293.7678244076005</v>
      </c>
      <c r="AH208" s="41">
        <f t="shared" si="126"/>
        <v>2293.7678244076005</v>
      </c>
      <c r="AI208" s="41">
        <f t="shared" si="126"/>
        <v>2293.7678244076005</v>
      </c>
      <c r="AJ208" s="41">
        <f t="shared" si="126"/>
        <v>2293.7678244076005</v>
      </c>
      <c r="AK208" s="41">
        <f t="shared" si="126"/>
        <v>2293.7678244076005</v>
      </c>
      <c r="AL208" s="41">
        <f t="shared" si="126"/>
        <v>2293.7678244076005</v>
      </c>
      <c r="AM208" s="41">
        <f t="shared" si="126"/>
        <v>3268.3568700930737</v>
      </c>
      <c r="AN208" s="41">
        <f t="shared" si="126"/>
        <v>3268.3568700930737</v>
      </c>
      <c r="AO208" s="41">
        <f t="shared" si="126"/>
        <v>3268.3568700930737</v>
      </c>
      <c r="AP208" s="41">
        <f t="shared" si="126"/>
        <v>3268.3568700930737</v>
      </c>
      <c r="AQ208" s="41">
        <f t="shared" si="126"/>
        <v>3268.3568700930737</v>
      </c>
      <c r="AR208" s="41">
        <f t="shared" si="126"/>
        <v>3268.3568700930737</v>
      </c>
      <c r="AS208" s="41">
        <f t="shared" si="126"/>
        <v>3268.3568700930737</v>
      </c>
      <c r="AT208" s="41">
        <f t="shared" si="126"/>
        <v>3268.3568700930737</v>
      </c>
      <c r="AU208" s="41">
        <f t="shared" si="126"/>
        <v>3268.3568700930737</v>
      </c>
      <c r="AV208" s="41">
        <f t="shared" si="126"/>
        <v>3268.3568700930737</v>
      </c>
      <c r="AW208" s="41">
        <f t="shared" si="126"/>
        <v>3268.3568700930737</v>
      </c>
      <c r="AX208" s="41">
        <f t="shared" si="126"/>
        <v>3268.3568700930737</v>
      </c>
      <c r="AY208" s="41">
        <f t="shared" si="126"/>
        <v>3321.7897841577328</v>
      </c>
      <c r="AZ208" s="41">
        <f t="shared" si="126"/>
        <v>3321.7897841577328</v>
      </c>
      <c r="BA208" s="41">
        <f t="shared" si="126"/>
        <v>3321.7897841577328</v>
      </c>
      <c r="BB208" s="41">
        <f t="shared" si="126"/>
        <v>3321.7897841577328</v>
      </c>
      <c r="BC208" s="41">
        <f t="shared" si="126"/>
        <v>3321.7897841577328</v>
      </c>
      <c r="BD208" s="41">
        <f t="shared" si="126"/>
        <v>3321.7897841577328</v>
      </c>
      <c r="BE208" s="41">
        <f t="shared" si="126"/>
        <v>3321.7897841577328</v>
      </c>
      <c r="BF208" s="41">
        <f t="shared" si="126"/>
        <v>3321.7897841577328</v>
      </c>
      <c r="BG208" s="41">
        <f t="shared" si="126"/>
        <v>3321.7897841577328</v>
      </c>
      <c r="BH208" s="41">
        <f t="shared" si="126"/>
        <v>3321.7897841577328</v>
      </c>
      <c r="BI208" s="41">
        <f t="shared" si="126"/>
        <v>3321.7897841577328</v>
      </c>
    </row>
    <row r="209" spans="5:61" x14ac:dyDescent="0.35">
      <c r="E209">
        <v>3</v>
      </c>
      <c r="J209" t="s">
        <v>51</v>
      </c>
      <c r="N209" s="41">
        <f t="shared" si="124"/>
        <v>0</v>
      </c>
      <c r="O209" s="41">
        <f t="shared" ref="O209:BI209" si="127">IFERROR(INDEX($N$191:$BI$191,1,MATCH(O195,$N$184:$BI$184,0)),0)</f>
        <v>0</v>
      </c>
      <c r="P209" s="41">
        <f t="shared" si="127"/>
        <v>0</v>
      </c>
      <c r="Q209" s="41">
        <f t="shared" si="127"/>
        <v>0</v>
      </c>
      <c r="R209" s="41">
        <f t="shared" si="127"/>
        <v>0</v>
      </c>
      <c r="S209" s="41">
        <f t="shared" si="127"/>
        <v>0</v>
      </c>
      <c r="T209" s="41">
        <f t="shared" si="127"/>
        <v>0</v>
      </c>
      <c r="U209" s="41">
        <f t="shared" si="127"/>
        <v>0</v>
      </c>
      <c r="V209" s="41">
        <f t="shared" si="127"/>
        <v>0</v>
      </c>
      <c r="W209" s="41">
        <f t="shared" si="127"/>
        <v>0</v>
      </c>
      <c r="X209" s="41">
        <f t="shared" si="127"/>
        <v>0</v>
      </c>
      <c r="Y209" s="41">
        <f t="shared" si="127"/>
        <v>0</v>
      </c>
      <c r="Z209" s="41">
        <f t="shared" si="127"/>
        <v>0</v>
      </c>
      <c r="AA209" s="41">
        <f t="shared" si="127"/>
        <v>0</v>
      </c>
      <c r="AB209" s="41">
        <f t="shared" si="127"/>
        <v>2776.4821824234973</v>
      </c>
      <c r="AC209" s="41">
        <f t="shared" si="127"/>
        <v>2776.4821824234973</v>
      </c>
      <c r="AD209" s="41">
        <f t="shared" si="127"/>
        <v>2776.4821824234973</v>
      </c>
      <c r="AE209" s="41">
        <f t="shared" si="127"/>
        <v>2776.4821824234973</v>
      </c>
      <c r="AF209" s="41">
        <f t="shared" si="127"/>
        <v>2776.4821824234973</v>
      </c>
      <c r="AG209" s="41">
        <f t="shared" si="127"/>
        <v>2776.4821824234973</v>
      </c>
      <c r="AH209" s="41">
        <f t="shared" si="127"/>
        <v>2776.4821824234973</v>
      </c>
      <c r="AI209" s="41">
        <f t="shared" si="127"/>
        <v>2776.4821824234973</v>
      </c>
      <c r="AJ209" s="41">
        <f t="shared" si="127"/>
        <v>2776.4821824234973</v>
      </c>
      <c r="AK209" s="41">
        <f t="shared" si="127"/>
        <v>2776.4821824234973</v>
      </c>
      <c r="AL209" s="41">
        <f t="shared" si="127"/>
        <v>2776.4821824234973</v>
      </c>
      <c r="AM209" s="41">
        <f t="shared" si="127"/>
        <v>2776.4821824234973</v>
      </c>
      <c r="AN209" s="41">
        <f t="shared" si="127"/>
        <v>3237.2763214451734</v>
      </c>
      <c r="AO209" s="41">
        <f t="shared" si="127"/>
        <v>3237.2763214451734</v>
      </c>
      <c r="AP209" s="41">
        <f t="shared" si="127"/>
        <v>3237.2763214451734</v>
      </c>
      <c r="AQ209" s="41">
        <f t="shared" si="127"/>
        <v>3237.2763214451734</v>
      </c>
      <c r="AR209" s="41">
        <f t="shared" si="127"/>
        <v>3237.2763214451734</v>
      </c>
      <c r="AS209" s="41">
        <f t="shared" si="127"/>
        <v>3237.2763214451734</v>
      </c>
      <c r="AT209" s="41">
        <f t="shared" si="127"/>
        <v>3237.2763214451734</v>
      </c>
      <c r="AU209" s="41">
        <f t="shared" si="127"/>
        <v>3237.2763214451734</v>
      </c>
      <c r="AV209" s="41">
        <f t="shared" si="127"/>
        <v>3237.2763214451734</v>
      </c>
      <c r="AW209" s="41">
        <f t="shared" si="127"/>
        <v>3237.2763214451734</v>
      </c>
      <c r="AX209" s="41">
        <f t="shared" si="127"/>
        <v>3237.2763214451734</v>
      </c>
      <c r="AY209" s="41">
        <f t="shared" si="127"/>
        <v>3237.2763214451734</v>
      </c>
      <c r="AZ209" s="41">
        <f t="shared" si="127"/>
        <v>3329.530876967081</v>
      </c>
      <c r="BA209" s="41">
        <f t="shared" si="127"/>
        <v>3329.530876967081</v>
      </c>
      <c r="BB209" s="41">
        <f t="shared" si="127"/>
        <v>3329.530876967081</v>
      </c>
      <c r="BC209" s="41">
        <f t="shared" si="127"/>
        <v>3329.530876967081</v>
      </c>
      <c r="BD209" s="41">
        <f t="shared" si="127"/>
        <v>3329.530876967081</v>
      </c>
      <c r="BE209" s="41">
        <f t="shared" si="127"/>
        <v>3329.530876967081</v>
      </c>
      <c r="BF209" s="41">
        <f t="shared" si="127"/>
        <v>3329.530876967081</v>
      </c>
      <c r="BG209" s="41">
        <f t="shared" si="127"/>
        <v>3329.530876967081</v>
      </c>
      <c r="BH209" s="41">
        <f t="shared" si="127"/>
        <v>3329.530876967081</v>
      </c>
      <c r="BI209" s="41">
        <f t="shared" si="127"/>
        <v>3329.530876967081</v>
      </c>
    </row>
    <row r="210" spans="5:61" x14ac:dyDescent="0.35">
      <c r="E210">
        <v>4</v>
      </c>
      <c r="J210" t="s">
        <v>51</v>
      </c>
      <c r="N210" s="41">
        <f t="shared" si="124"/>
        <v>0</v>
      </c>
      <c r="O210" s="41">
        <f t="shared" ref="O210:BI210" si="128">IFERROR(INDEX($N$191:$BI$191,1,MATCH(O196,$N$184:$BI$184,0)),0)</f>
        <v>0</v>
      </c>
      <c r="P210" s="41">
        <f t="shared" si="128"/>
        <v>0</v>
      </c>
      <c r="Q210" s="41">
        <f t="shared" si="128"/>
        <v>2327.7366727768022</v>
      </c>
      <c r="R210" s="41">
        <f t="shared" si="128"/>
        <v>2327.7366727768022</v>
      </c>
      <c r="S210" s="41">
        <f t="shared" si="128"/>
        <v>2327.7366727768022</v>
      </c>
      <c r="T210" s="41">
        <f t="shared" si="128"/>
        <v>2327.7366727768022</v>
      </c>
      <c r="U210" s="41">
        <f t="shared" si="128"/>
        <v>2327.7366727768022</v>
      </c>
      <c r="V210" s="41">
        <f t="shared" si="128"/>
        <v>2327.7366727768022</v>
      </c>
      <c r="W210" s="41">
        <f t="shared" si="128"/>
        <v>2327.7366727768022</v>
      </c>
      <c r="X210" s="41">
        <f t="shared" si="128"/>
        <v>2327.7366727768022</v>
      </c>
      <c r="Y210" s="41">
        <f t="shared" si="128"/>
        <v>2327.7366727768022</v>
      </c>
      <c r="Z210" s="41">
        <f t="shared" si="128"/>
        <v>2327.7366727768022</v>
      </c>
      <c r="AA210" s="41">
        <f t="shared" si="128"/>
        <v>2327.7366727768022</v>
      </c>
      <c r="AB210" s="41">
        <f t="shared" si="128"/>
        <v>2327.7366727768022</v>
      </c>
      <c r="AC210" s="41">
        <f t="shared" si="128"/>
        <v>2578.7139801517983</v>
      </c>
      <c r="AD210" s="41">
        <f t="shared" si="128"/>
        <v>2578.7139801517983</v>
      </c>
      <c r="AE210" s="41">
        <f t="shared" si="128"/>
        <v>2578.7139801517983</v>
      </c>
      <c r="AF210" s="41">
        <f t="shared" si="128"/>
        <v>2578.7139801517983</v>
      </c>
      <c r="AG210" s="41">
        <f t="shared" si="128"/>
        <v>2578.7139801517983</v>
      </c>
      <c r="AH210" s="41">
        <f t="shared" si="128"/>
        <v>2578.7139801517983</v>
      </c>
      <c r="AI210" s="41">
        <f t="shared" si="128"/>
        <v>2578.7139801517983</v>
      </c>
      <c r="AJ210" s="41">
        <f t="shared" si="128"/>
        <v>2578.7139801517983</v>
      </c>
      <c r="AK210" s="41">
        <f t="shared" si="128"/>
        <v>2578.7139801517983</v>
      </c>
      <c r="AL210" s="41">
        <f t="shared" si="128"/>
        <v>2578.7139801517983</v>
      </c>
      <c r="AM210" s="41">
        <f t="shared" si="128"/>
        <v>2578.7139801517983</v>
      </c>
      <c r="AN210" s="41">
        <f t="shared" si="128"/>
        <v>2578.7139801517983</v>
      </c>
      <c r="AO210" s="41">
        <f t="shared" si="128"/>
        <v>3233.6204895499914</v>
      </c>
      <c r="AP210" s="41">
        <f t="shared" si="128"/>
        <v>3233.6204895499914</v>
      </c>
      <c r="AQ210" s="41">
        <f t="shared" si="128"/>
        <v>3233.6204895499914</v>
      </c>
      <c r="AR210" s="41">
        <f t="shared" si="128"/>
        <v>3233.6204895499914</v>
      </c>
      <c r="AS210" s="41">
        <f t="shared" si="128"/>
        <v>3233.6204895499914</v>
      </c>
      <c r="AT210" s="41">
        <f t="shared" si="128"/>
        <v>3233.6204895499914</v>
      </c>
      <c r="AU210" s="41">
        <f t="shared" si="128"/>
        <v>3233.6204895499914</v>
      </c>
      <c r="AV210" s="41">
        <f t="shared" si="128"/>
        <v>3233.6204895499914</v>
      </c>
      <c r="AW210" s="41">
        <f t="shared" si="128"/>
        <v>3233.6204895499914</v>
      </c>
      <c r="AX210" s="41">
        <f t="shared" si="128"/>
        <v>3233.6204895499914</v>
      </c>
      <c r="AY210" s="41">
        <f t="shared" si="128"/>
        <v>3233.6204895499914</v>
      </c>
      <c r="AZ210" s="41">
        <f t="shared" si="128"/>
        <v>3233.6204895499914</v>
      </c>
      <c r="BA210" s="41">
        <f t="shared" si="128"/>
        <v>3330.4373632738079</v>
      </c>
      <c r="BB210" s="41">
        <f t="shared" si="128"/>
        <v>3330.4373632738079</v>
      </c>
      <c r="BC210" s="41">
        <f t="shared" si="128"/>
        <v>3330.4373632738079</v>
      </c>
      <c r="BD210" s="41">
        <f t="shared" si="128"/>
        <v>3330.4373632738079</v>
      </c>
      <c r="BE210" s="41">
        <f t="shared" si="128"/>
        <v>3330.4373632738079</v>
      </c>
      <c r="BF210" s="41">
        <f t="shared" si="128"/>
        <v>3330.4373632738079</v>
      </c>
      <c r="BG210" s="41">
        <f t="shared" si="128"/>
        <v>3330.4373632738079</v>
      </c>
      <c r="BH210" s="41">
        <f t="shared" si="128"/>
        <v>3330.4373632738079</v>
      </c>
      <c r="BI210" s="41">
        <f t="shared" si="128"/>
        <v>3330.4373632738079</v>
      </c>
    </row>
    <row r="211" spans="5:61" x14ac:dyDescent="0.35">
      <c r="E211">
        <v>5</v>
      </c>
      <c r="J211" t="s">
        <v>51</v>
      </c>
      <c r="N211" s="41">
        <f t="shared" si="124"/>
        <v>0</v>
      </c>
      <c r="O211" s="41">
        <f t="shared" ref="O211:BI211" si="129">IFERROR(INDEX($N$191:$BI$191,1,MATCH(O197,$N$184:$BI$184,0)),0)</f>
        <v>0</v>
      </c>
      <c r="P211" s="41">
        <f t="shared" si="129"/>
        <v>0</v>
      </c>
      <c r="Q211" s="41">
        <f t="shared" si="129"/>
        <v>0</v>
      </c>
      <c r="R211" s="41">
        <f t="shared" si="129"/>
        <v>2250.8208791514107</v>
      </c>
      <c r="S211" s="41">
        <f t="shared" si="129"/>
        <v>2250.8208791514107</v>
      </c>
      <c r="T211" s="41">
        <f t="shared" si="129"/>
        <v>2250.8208791514107</v>
      </c>
      <c r="U211" s="41">
        <f t="shared" si="129"/>
        <v>2250.8208791514107</v>
      </c>
      <c r="V211" s="41">
        <f t="shared" si="129"/>
        <v>2250.8208791514107</v>
      </c>
      <c r="W211" s="41">
        <f t="shared" si="129"/>
        <v>2250.8208791514107</v>
      </c>
      <c r="X211" s="41">
        <f t="shared" si="129"/>
        <v>2250.8208791514107</v>
      </c>
      <c r="Y211" s="41">
        <f t="shared" si="129"/>
        <v>2250.8208791514107</v>
      </c>
      <c r="Z211" s="41">
        <f t="shared" si="129"/>
        <v>2250.8208791514107</v>
      </c>
      <c r="AA211" s="41">
        <f t="shared" si="129"/>
        <v>2250.8208791514107</v>
      </c>
      <c r="AB211" s="41">
        <f t="shared" si="129"/>
        <v>2250.8208791514107</v>
      </c>
      <c r="AC211" s="41">
        <f t="shared" si="129"/>
        <v>2250.8208791514107</v>
      </c>
      <c r="AD211" s="41">
        <f t="shared" si="129"/>
        <v>2962.7718503392216</v>
      </c>
      <c r="AE211" s="41">
        <f t="shared" si="129"/>
        <v>2962.7718503392216</v>
      </c>
      <c r="AF211" s="41">
        <f t="shared" si="129"/>
        <v>2962.7718503392216</v>
      </c>
      <c r="AG211" s="41">
        <f t="shared" si="129"/>
        <v>2962.7718503392216</v>
      </c>
      <c r="AH211" s="41">
        <f t="shared" si="129"/>
        <v>2962.7718503392216</v>
      </c>
      <c r="AI211" s="41">
        <f t="shared" si="129"/>
        <v>2962.7718503392216</v>
      </c>
      <c r="AJ211" s="41">
        <f t="shared" si="129"/>
        <v>2962.7718503392216</v>
      </c>
      <c r="AK211" s="41">
        <f t="shared" si="129"/>
        <v>2962.7718503392216</v>
      </c>
      <c r="AL211" s="41">
        <f t="shared" si="129"/>
        <v>2962.7718503392216</v>
      </c>
      <c r="AM211" s="41">
        <f t="shared" si="129"/>
        <v>2962.7718503392216</v>
      </c>
      <c r="AN211" s="41">
        <f t="shared" si="129"/>
        <v>2962.7718503392216</v>
      </c>
      <c r="AO211" s="41">
        <f t="shared" si="129"/>
        <v>2962.7718503392216</v>
      </c>
      <c r="AP211" s="41">
        <f t="shared" si="129"/>
        <v>3233.4728420599845</v>
      </c>
      <c r="AQ211" s="41">
        <f t="shared" si="129"/>
        <v>3233.4728420599845</v>
      </c>
      <c r="AR211" s="41">
        <f t="shared" si="129"/>
        <v>3233.4728420599845</v>
      </c>
      <c r="AS211" s="41">
        <f t="shared" si="129"/>
        <v>3233.4728420599845</v>
      </c>
      <c r="AT211" s="41">
        <f t="shared" si="129"/>
        <v>3233.4728420599845</v>
      </c>
      <c r="AU211" s="41">
        <f t="shared" si="129"/>
        <v>3233.4728420599845</v>
      </c>
      <c r="AV211" s="41">
        <f t="shared" si="129"/>
        <v>3233.4728420599845</v>
      </c>
      <c r="AW211" s="41">
        <f t="shared" si="129"/>
        <v>3233.4728420599845</v>
      </c>
      <c r="AX211" s="41">
        <f t="shared" si="129"/>
        <v>3233.4728420599845</v>
      </c>
      <c r="AY211" s="41">
        <f t="shared" si="129"/>
        <v>3233.4728420599845</v>
      </c>
      <c r="AZ211" s="41">
        <f t="shared" si="129"/>
        <v>3233.4728420599845</v>
      </c>
      <c r="BA211" s="41">
        <f t="shared" si="129"/>
        <v>3233.4728420599845</v>
      </c>
      <c r="BB211" s="41">
        <f t="shared" si="129"/>
        <v>3330.4739113940341</v>
      </c>
      <c r="BC211" s="41">
        <f t="shared" si="129"/>
        <v>3330.4739113940341</v>
      </c>
      <c r="BD211" s="41">
        <f t="shared" si="129"/>
        <v>3330.4739113940341</v>
      </c>
      <c r="BE211" s="41">
        <f t="shared" si="129"/>
        <v>3330.4739113940341</v>
      </c>
      <c r="BF211" s="41">
        <f t="shared" si="129"/>
        <v>3330.4739113940341</v>
      </c>
      <c r="BG211" s="41">
        <f t="shared" si="129"/>
        <v>3330.4739113940341</v>
      </c>
      <c r="BH211" s="41">
        <f t="shared" si="129"/>
        <v>3330.4739113940341</v>
      </c>
      <c r="BI211" s="41">
        <f t="shared" si="129"/>
        <v>3330.4739113940341</v>
      </c>
    </row>
    <row r="212" spans="5:61" x14ac:dyDescent="0.35">
      <c r="E212">
        <v>6</v>
      </c>
      <c r="J212" t="s">
        <v>51</v>
      </c>
      <c r="N212" s="41">
        <f t="shared" si="124"/>
        <v>0</v>
      </c>
      <c r="O212" s="41">
        <f t="shared" ref="O212:BI212" si="130">IFERROR(INDEX($N$191:$BI$191,1,MATCH(O198,$N$184:$BI$184,0)),0)</f>
        <v>0</v>
      </c>
      <c r="P212" s="41">
        <f t="shared" si="130"/>
        <v>0</v>
      </c>
      <c r="Q212" s="41">
        <f t="shared" si="130"/>
        <v>0</v>
      </c>
      <c r="R212" s="41">
        <f t="shared" si="130"/>
        <v>0</v>
      </c>
      <c r="S212" s="41">
        <f t="shared" si="130"/>
        <v>2929.1043227785126</v>
      </c>
      <c r="T212" s="41">
        <f t="shared" si="130"/>
        <v>2929.1043227785126</v>
      </c>
      <c r="U212" s="41">
        <f t="shared" si="130"/>
        <v>2929.1043227785126</v>
      </c>
      <c r="V212" s="41">
        <f t="shared" si="130"/>
        <v>2929.1043227785126</v>
      </c>
      <c r="W212" s="41">
        <f t="shared" si="130"/>
        <v>2929.1043227785126</v>
      </c>
      <c r="X212" s="41">
        <f t="shared" si="130"/>
        <v>2929.1043227785126</v>
      </c>
      <c r="Y212" s="41">
        <f t="shared" si="130"/>
        <v>2929.1043227785126</v>
      </c>
      <c r="Z212" s="41">
        <f t="shared" si="130"/>
        <v>2929.1043227785126</v>
      </c>
      <c r="AA212" s="41">
        <f t="shared" si="130"/>
        <v>2929.1043227785126</v>
      </c>
      <c r="AB212" s="41">
        <f t="shared" si="130"/>
        <v>2929.1043227785126</v>
      </c>
      <c r="AC212" s="41">
        <f t="shared" si="130"/>
        <v>2929.1043227785126</v>
      </c>
      <c r="AD212" s="41">
        <f t="shared" si="130"/>
        <v>2929.1043227785126</v>
      </c>
      <c r="AE212" s="41">
        <f t="shared" si="130"/>
        <v>3091.9808566440215</v>
      </c>
      <c r="AF212" s="41">
        <f t="shared" si="130"/>
        <v>3091.9808566440215</v>
      </c>
      <c r="AG212" s="41">
        <f t="shared" si="130"/>
        <v>3091.9808566440215</v>
      </c>
      <c r="AH212" s="41">
        <f t="shared" si="130"/>
        <v>3091.9808566440215</v>
      </c>
      <c r="AI212" s="41">
        <f t="shared" si="130"/>
        <v>3091.9808566440215</v>
      </c>
      <c r="AJ212" s="41">
        <f t="shared" si="130"/>
        <v>3091.9808566440215</v>
      </c>
      <c r="AK212" s="41">
        <f t="shared" si="130"/>
        <v>3091.9808566440215</v>
      </c>
      <c r="AL212" s="41">
        <f t="shared" si="130"/>
        <v>3091.9808566440215</v>
      </c>
      <c r="AM212" s="41">
        <f t="shared" si="130"/>
        <v>3091.9808566440215</v>
      </c>
      <c r="AN212" s="41">
        <f t="shared" si="130"/>
        <v>3091.9808566440215</v>
      </c>
      <c r="AO212" s="41">
        <f t="shared" si="130"/>
        <v>3091.9808566440215</v>
      </c>
      <c r="AP212" s="41">
        <f t="shared" si="130"/>
        <v>3091.9808566440215</v>
      </c>
      <c r="AQ212" s="41">
        <f t="shared" si="130"/>
        <v>3233.470416455631</v>
      </c>
      <c r="AR212" s="41">
        <f t="shared" si="130"/>
        <v>3233.470416455631</v>
      </c>
      <c r="AS212" s="41">
        <f t="shared" si="130"/>
        <v>3233.470416455631</v>
      </c>
      <c r="AT212" s="41">
        <f t="shared" si="130"/>
        <v>3233.470416455631</v>
      </c>
      <c r="AU212" s="41">
        <f t="shared" si="130"/>
        <v>3233.470416455631</v>
      </c>
      <c r="AV212" s="41">
        <f t="shared" si="130"/>
        <v>3233.470416455631</v>
      </c>
      <c r="AW212" s="41">
        <f t="shared" si="130"/>
        <v>3233.470416455631</v>
      </c>
      <c r="AX212" s="41">
        <f t="shared" si="130"/>
        <v>3233.470416455631</v>
      </c>
      <c r="AY212" s="41">
        <f t="shared" si="130"/>
        <v>3233.470416455631</v>
      </c>
      <c r="AZ212" s="41">
        <f t="shared" si="130"/>
        <v>3233.470416455631</v>
      </c>
      <c r="BA212" s="41">
        <f t="shared" si="130"/>
        <v>3233.470416455631</v>
      </c>
      <c r="BB212" s="41">
        <f t="shared" si="130"/>
        <v>3233.470416455631</v>
      </c>
      <c r="BC212" s="41">
        <f t="shared" si="130"/>
        <v>3330.4745114792381</v>
      </c>
      <c r="BD212" s="41">
        <f t="shared" si="130"/>
        <v>3330.4745114792381</v>
      </c>
      <c r="BE212" s="41">
        <f t="shared" si="130"/>
        <v>3330.4745114792381</v>
      </c>
      <c r="BF212" s="41">
        <f t="shared" si="130"/>
        <v>3330.4745114792381</v>
      </c>
      <c r="BG212" s="41">
        <f t="shared" si="130"/>
        <v>3330.4745114792381</v>
      </c>
      <c r="BH212" s="41">
        <f t="shared" si="130"/>
        <v>3330.4745114792381</v>
      </c>
      <c r="BI212" s="41">
        <f t="shared" si="130"/>
        <v>3330.4745114792381</v>
      </c>
    </row>
    <row r="213" spans="5:61" x14ac:dyDescent="0.35">
      <c r="E213">
        <v>7</v>
      </c>
      <c r="J213" t="s">
        <v>51</v>
      </c>
      <c r="N213" s="41">
        <f t="shared" si="124"/>
        <v>0</v>
      </c>
      <c r="O213" s="41">
        <f t="shared" ref="O213:AB213" si="131">IFERROR(INDEX($N$191:$BI$191,1,MATCH(O199,$N$184:$BI$184,0)),0)</f>
        <v>0</v>
      </c>
      <c r="P213" s="41">
        <f t="shared" si="131"/>
        <v>0</v>
      </c>
      <c r="Q213" s="41">
        <f t="shared" si="131"/>
        <v>0</v>
      </c>
      <c r="R213" s="41">
        <f t="shared" si="131"/>
        <v>0</v>
      </c>
      <c r="S213" s="41">
        <f t="shared" si="131"/>
        <v>0</v>
      </c>
      <c r="T213" s="41">
        <f t="shared" si="131"/>
        <v>4821.2651315134144</v>
      </c>
      <c r="U213" s="41">
        <f t="shared" si="131"/>
        <v>4821.2651315134144</v>
      </c>
      <c r="V213" s="41">
        <f t="shared" si="131"/>
        <v>4821.2651315134144</v>
      </c>
      <c r="W213" s="41">
        <f t="shared" si="131"/>
        <v>4821.2651315134144</v>
      </c>
      <c r="X213" s="41">
        <f t="shared" si="131"/>
        <v>4821.2651315134144</v>
      </c>
      <c r="Y213" s="41">
        <f t="shared" si="131"/>
        <v>4821.2651315134144</v>
      </c>
      <c r="Z213" s="41">
        <f t="shared" si="131"/>
        <v>4821.2651315134144</v>
      </c>
      <c r="AA213" s="41">
        <f t="shared" si="131"/>
        <v>4821.2651315134144</v>
      </c>
      <c r="AB213" s="41">
        <f t="shared" si="131"/>
        <v>4821.2651315134144</v>
      </c>
      <c r="AC213" s="41">
        <f t="shared" ref="AC213:BI213" si="132">IFERROR(INDEX($N$191:$BI$191,1,MATCH(AC199,$N$184:$BI$184,0)),0)</f>
        <v>4821.2651315134144</v>
      </c>
      <c r="AD213" s="41">
        <f t="shared" si="132"/>
        <v>4821.2651315134144</v>
      </c>
      <c r="AE213" s="41">
        <f t="shared" si="132"/>
        <v>4821.2651315134144</v>
      </c>
      <c r="AF213" s="41">
        <f t="shared" si="132"/>
        <v>3576.9339503222473</v>
      </c>
      <c r="AG213" s="41">
        <f t="shared" si="132"/>
        <v>3576.9339503222473</v>
      </c>
      <c r="AH213" s="41">
        <f t="shared" si="132"/>
        <v>3576.9339503222473</v>
      </c>
      <c r="AI213" s="41">
        <f t="shared" si="132"/>
        <v>3576.9339503222473</v>
      </c>
      <c r="AJ213" s="41">
        <f t="shared" si="132"/>
        <v>3576.9339503222473</v>
      </c>
      <c r="AK213" s="41">
        <f t="shared" si="132"/>
        <v>3576.9339503222473</v>
      </c>
      <c r="AL213" s="41">
        <f t="shared" si="132"/>
        <v>3576.9339503222473</v>
      </c>
      <c r="AM213" s="41">
        <f t="shared" si="132"/>
        <v>3576.9339503222473</v>
      </c>
      <c r="AN213" s="41">
        <f t="shared" si="132"/>
        <v>3576.9339503222473</v>
      </c>
      <c r="AO213" s="41">
        <f t="shared" si="132"/>
        <v>3576.9339503222473</v>
      </c>
      <c r="AP213" s="41">
        <f t="shared" si="132"/>
        <v>3576.9339503222473</v>
      </c>
      <c r="AQ213" s="41">
        <f t="shared" si="132"/>
        <v>3576.9339503222473</v>
      </c>
      <c r="AR213" s="41">
        <f t="shared" si="132"/>
        <v>3233.4704028137794</v>
      </c>
      <c r="AS213" s="41">
        <f t="shared" si="132"/>
        <v>3233.4704028137794</v>
      </c>
      <c r="AT213" s="41">
        <f t="shared" si="132"/>
        <v>3233.4704028137794</v>
      </c>
      <c r="AU213" s="41">
        <f t="shared" si="132"/>
        <v>3233.4704028137794</v>
      </c>
      <c r="AV213" s="41">
        <f t="shared" si="132"/>
        <v>3233.4704028137794</v>
      </c>
      <c r="AW213" s="41">
        <f t="shared" si="132"/>
        <v>3233.4704028137794</v>
      </c>
      <c r="AX213" s="41">
        <f t="shared" si="132"/>
        <v>3233.4704028137794</v>
      </c>
      <c r="AY213" s="41">
        <f t="shared" si="132"/>
        <v>3233.4704028137794</v>
      </c>
      <c r="AZ213" s="41">
        <f t="shared" si="132"/>
        <v>3233.4704028137794</v>
      </c>
      <c r="BA213" s="41">
        <f t="shared" si="132"/>
        <v>3233.4704028137794</v>
      </c>
      <c r="BB213" s="41">
        <f t="shared" si="132"/>
        <v>3233.4704028137794</v>
      </c>
      <c r="BC213" s="41">
        <f t="shared" si="132"/>
        <v>3233.4704028137794</v>
      </c>
      <c r="BD213" s="41">
        <f t="shared" si="132"/>
        <v>3330.4745148534776</v>
      </c>
      <c r="BE213" s="41">
        <f t="shared" si="132"/>
        <v>3330.4745148534776</v>
      </c>
      <c r="BF213" s="41">
        <f t="shared" si="132"/>
        <v>3330.4745148534776</v>
      </c>
      <c r="BG213" s="41">
        <f t="shared" si="132"/>
        <v>3330.4745148534776</v>
      </c>
      <c r="BH213" s="41">
        <f t="shared" si="132"/>
        <v>3330.4745148534776</v>
      </c>
      <c r="BI213" s="41">
        <f t="shared" si="132"/>
        <v>3330.4745148534776</v>
      </c>
    </row>
    <row r="214" spans="5:61" x14ac:dyDescent="0.35">
      <c r="E214">
        <v>8</v>
      </c>
      <c r="J214" t="s">
        <v>51</v>
      </c>
      <c r="N214" s="41">
        <f t="shared" si="124"/>
        <v>0</v>
      </c>
      <c r="O214" s="41">
        <f t="shared" ref="O214:AB214" si="133">IFERROR(INDEX($N$191:$BI$191,1,MATCH(O200,$N$184:$BI$184,0)),0)</f>
        <v>0</v>
      </c>
      <c r="P214" s="41">
        <f t="shared" si="133"/>
        <v>0</v>
      </c>
      <c r="Q214" s="41">
        <f t="shared" si="133"/>
        <v>0</v>
      </c>
      <c r="R214" s="41">
        <f t="shared" si="133"/>
        <v>0</v>
      </c>
      <c r="S214" s="41">
        <f t="shared" si="133"/>
        <v>0</v>
      </c>
      <c r="T214" s="41">
        <f t="shared" si="133"/>
        <v>0</v>
      </c>
      <c r="U214" s="41">
        <f t="shared" si="133"/>
        <v>6191.2011969100822</v>
      </c>
      <c r="V214" s="41">
        <f t="shared" si="133"/>
        <v>6191.2011969100822</v>
      </c>
      <c r="W214" s="41">
        <f t="shared" si="133"/>
        <v>6191.2011969100822</v>
      </c>
      <c r="X214" s="41">
        <f t="shared" si="133"/>
        <v>6191.2011969100822</v>
      </c>
      <c r="Y214" s="41">
        <f t="shared" si="133"/>
        <v>6191.2011969100822</v>
      </c>
      <c r="Z214" s="41">
        <f t="shared" si="133"/>
        <v>6191.2011969100822</v>
      </c>
      <c r="AA214" s="41">
        <f t="shared" si="133"/>
        <v>6191.2011969100822</v>
      </c>
      <c r="AB214" s="41">
        <f t="shared" si="133"/>
        <v>6191.2011969100822</v>
      </c>
      <c r="AC214" s="41">
        <f t="shared" ref="AC214:BI214" si="134">IFERROR(INDEX($N$191:$BI$191,1,MATCH(AC200,$N$184:$BI$184,0)),0)</f>
        <v>6191.2011969100822</v>
      </c>
      <c r="AD214" s="41">
        <f t="shared" si="134"/>
        <v>6191.2011969100822</v>
      </c>
      <c r="AE214" s="41">
        <f t="shared" si="134"/>
        <v>6191.2011969100822</v>
      </c>
      <c r="AF214" s="41">
        <f t="shared" si="134"/>
        <v>6191.2011969100822</v>
      </c>
      <c r="AG214" s="41">
        <f t="shared" si="134"/>
        <v>3552.263047062082</v>
      </c>
      <c r="AH214" s="41">
        <f t="shared" si="134"/>
        <v>3552.263047062082</v>
      </c>
      <c r="AI214" s="41">
        <f t="shared" si="134"/>
        <v>3552.263047062082</v>
      </c>
      <c r="AJ214" s="41">
        <f t="shared" si="134"/>
        <v>3552.263047062082</v>
      </c>
      <c r="AK214" s="41">
        <f t="shared" si="134"/>
        <v>3552.263047062082</v>
      </c>
      <c r="AL214" s="41">
        <f t="shared" si="134"/>
        <v>3552.263047062082</v>
      </c>
      <c r="AM214" s="41">
        <f t="shared" si="134"/>
        <v>3552.263047062082</v>
      </c>
      <c r="AN214" s="41">
        <f t="shared" si="134"/>
        <v>3552.263047062082</v>
      </c>
      <c r="AO214" s="41">
        <f t="shared" si="134"/>
        <v>3552.263047062082</v>
      </c>
      <c r="AP214" s="41">
        <f t="shared" si="134"/>
        <v>3552.263047062082</v>
      </c>
      <c r="AQ214" s="41">
        <f t="shared" si="134"/>
        <v>3552.263047062082</v>
      </c>
      <c r="AR214" s="41">
        <f t="shared" si="134"/>
        <v>3552.263047062082</v>
      </c>
      <c r="AS214" s="41">
        <f t="shared" si="134"/>
        <v>3233.4704027788025</v>
      </c>
      <c r="AT214" s="41">
        <f t="shared" si="134"/>
        <v>3233.4704027788025</v>
      </c>
      <c r="AU214" s="41">
        <f t="shared" si="134"/>
        <v>3233.4704027788025</v>
      </c>
      <c r="AV214" s="41">
        <f t="shared" si="134"/>
        <v>3233.4704027788025</v>
      </c>
      <c r="AW214" s="41">
        <f t="shared" si="134"/>
        <v>3233.4704027788025</v>
      </c>
      <c r="AX214" s="41">
        <f t="shared" si="134"/>
        <v>3233.4704027788025</v>
      </c>
      <c r="AY214" s="41">
        <f t="shared" si="134"/>
        <v>3233.4704027788025</v>
      </c>
      <c r="AZ214" s="41">
        <f t="shared" si="134"/>
        <v>3233.4704027788025</v>
      </c>
      <c r="BA214" s="41">
        <f t="shared" si="134"/>
        <v>3233.4704027788025</v>
      </c>
      <c r="BB214" s="41">
        <f t="shared" si="134"/>
        <v>3233.4704027788025</v>
      </c>
      <c r="BC214" s="41">
        <f t="shared" si="134"/>
        <v>3233.4704027788025</v>
      </c>
      <c r="BD214" s="41">
        <f t="shared" si="134"/>
        <v>3233.4704027788025</v>
      </c>
      <c r="BE214" s="41">
        <f t="shared" si="134"/>
        <v>3330.4745148621282</v>
      </c>
      <c r="BF214" s="41">
        <f t="shared" si="134"/>
        <v>3330.4745148621282</v>
      </c>
      <c r="BG214" s="41">
        <f t="shared" si="134"/>
        <v>3330.4745148621282</v>
      </c>
      <c r="BH214" s="41">
        <f t="shared" si="134"/>
        <v>3330.4745148621282</v>
      </c>
      <c r="BI214" s="41">
        <f t="shared" si="134"/>
        <v>3330.4745148621282</v>
      </c>
    </row>
    <row r="215" spans="5:61" x14ac:dyDescent="0.35">
      <c r="E215">
        <v>9</v>
      </c>
      <c r="J215" t="s">
        <v>51</v>
      </c>
      <c r="N215" s="41">
        <f t="shared" si="124"/>
        <v>0</v>
      </c>
      <c r="O215" s="41">
        <f t="shared" ref="O215:AB215" si="135">IFERROR(INDEX($N$191:$BI$191,1,MATCH(O201,$N$184:$BI$184,0)),0)</f>
        <v>0</v>
      </c>
      <c r="P215" s="41">
        <f t="shared" si="135"/>
        <v>0</v>
      </c>
      <c r="Q215" s="41">
        <f t="shared" si="135"/>
        <v>0</v>
      </c>
      <c r="R215" s="41">
        <f t="shared" si="135"/>
        <v>0</v>
      </c>
      <c r="S215" s="41">
        <f t="shared" si="135"/>
        <v>0</v>
      </c>
      <c r="T215" s="41">
        <f t="shared" si="135"/>
        <v>0</v>
      </c>
      <c r="U215" s="41">
        <f t="shared" si="135"/>
        <v>0</v>
      </c>
      <c r="V215" s="41">
        <f t="shared" si="135"/>
        <v>4101.7324367525252</v>
      </c>
      <c r="W215" s="41">
        <f t="shared" si="135"/>
        <v>4101.7324367525252</v>
      </c>
      <c r="X215" s="41">
        <f t="shared" si="135"/>
        <v>4101.7324367525252</v>
      </c>
      <c r="Y215" s="41">
        <f t="shared" si="135"/>
        <v>4101.7324367525252</v>
      </c>
      <c r="Z215" s="41">
        <f t="shared" si="135"/>
        <v>4101.7324367525252</v>
      </c>
      <c r="AA215" s="41">
        <f t="shared" si="135"/>
        <v>4101.7324367525252</v>
      </c>
      <c r="AB215" s="41">
        <f t="shared" si="135"/>
        <v>4101.7324367525252</v>
      </c>
      <c r="AC215" s="41">
        <f t="shared" ref="AC215:BI215" si="136">IFERROR(INDEX($N$191:$BI$191,1,MATCH(AC201,$N$184:$BI$184,0)),0)</f>
        <v>4101.7324367525252</v>
      </c>
      <c r="AD215" s="41">
        <f t="shared" si="136"/>
        <v>4101.7324367525252</v>
      </c>
      <c r="AE215" s="41">
        <f t="shared" si="136"/>
        <v>4101.7324367525252</v>
      </c>
      <c r="AF215" s="41">
        <f t="shared" si="136"/>
        <v>4101.7324367525252</v>
      </c>
      <c r="AG215" s="41">
        <f t="shared" si="136"/>
        <v>4101.7324367525252</v>
      </c>
      <c r="AH215" s="41">
        <f t="shared" si="136"/>
        <v>3341.0874236068198</v>
      </c>
      <c r="AI215" s="41">
        <f t="shared" si="136"/>
        <v>3341.0874236068198</v>
      </c>
      <c r="AJ215" s="41">
        <f t="shared" si="136"/>
        <v>3341.0874236068198</v>
      </c>
      <c r="AK215" s="41">
        <f t="shared" si="136"/>
        <v>3341.0874236068198</v>
      </c>
      <c r="AL215" s="41">
        <f t="shared" si="136"/>
        <v>3341.0874236068198</v>
      </c>
      <c r="AM215" s="41">
        <f t="shared" si="136"/>
        <v>3341.0874236068198</v>
      </c>
      <c r="AN215" s="41">
        <f t="shared" si="136"/>
        <v>3341.0874236068198</v>
      </c>
      <c r="AO215" s="41">
        <f t="shared" si="136"/>
        <v>3341.0874236068198</v>
      </c>
      <c r="AP215" s="41">
        <f t="shared" si="136"/>
        <v>3341.0874236068198</v>
      </c>
      <c r="AQ215" s="41">
        <f t="shared" si="136"/>
        <v>3341.0874236068198</v>
      </c>
      <c r="AR215" s="41">
        <f t="shared" si="136"/>
        <v>3341.0874236068198</v>
      </c>
      <c r="AS215" s="41">
        <f t="shared" si="136"/>
        <v>3341.0874236068198</v>
      </c>
      <c r="AT215" s="41">
        <f t="shared" si="136"/>
        <v>3233.470402778772</v>
      </c>
      <c r="AU215" s="41">
        <f t="shared" si="136"/>
        <v>3233.470402778772</v>
      </c>
      <c r="AV215" s="41">
        <f t="shared" si="136"/>
        <v>3233.470402778772</v>
      </c>
      <c r="AW215" s="41">
        <f t="shared" si="136"/>
        <v>3233.470402778772</v>
      </c>
      <c r="AX215" s="41">
        <f t="shared" si="136"/>
        <v>3233.470402778772</v>
      </c>
      <c r="AY215" s="41">
        <f t="shared" si="136"/>
        <v>3233.470402778772</v>
      </c>
      <c r="AZ215" s="41">
        <f t="shared" si="136"/>
        <v>3233.470402778772</v>
      </c>
      <c r="BA215" s="41">
        <f t="shared" si="136"/>
        <v>3233.470402778772</v>
      </c>
      <c r="BB215" s="41">
        <f t="shared" si="136"/>
        <v>3233.470402778772</v>
      </c>
      <c r="BC215" s="41">
        <f t="shared" si="136"/>
        <v>3233.470402778772</v>
      </c>
      <c r="BD215" s="41">
        <f t="shared" si="136"/>
        <v>3233.470402778772</v>
      </c>
      <c r="BE215" s="41">
        <f t="shared" si="136"/>
        <v>3233.470402778772</v>
      </c>
      <c r="BF215" s="41">
        <f t="shared" si="136"/>
        <v>3330.474514862135</v>
      </c>
      <c r="BG215" s="41">
        <f t="shared" si="136"/>
        <v>3330.474514862135</v>
      </c>
      <c r="BH215" s="41">
        <f t="shared" si="136"/>
        <v>3330.474514862135</v>
      </c>
      <c r="BI215" s="41">
        <f t="shared" si="136"/>
        <v>3330.474514862135</v>
      </c>
    </row>
    <row r="216" spans="5:61" x14ac:dyDescent="0.35">
      <c r="E216">
        <v>10</v>
      </c>
      <c r="J216" t="s">
        <v>51</v>
      </c>
      <c r="N216" s="41">
        <f t="shared" si="124"/>
        <v>0</v>
      </c>
      <c r="O216" s="41">
        <f t="shared" ref="O216:AB216" si="137">IFERROR(INDEX($N$191:$BI$191,1,MATCH(O202,$N$184:$BI$184,0)),0)</f>
        <v>0</v>
      </c>
      <c r="P216" s="41">
        <f t="shared" si="137"/>
        <v>0</v>
      </c>
      <c r="Q216" s="41">
        <f t="shared" si="137"/>
        <v>0</v>
      </c>
      <c r="R216" s="41">
        <f t="shared" si="137"/>
        <v>0</v>
      </c>
      <c r="S216" s="41">
        <f t="shared" si="137"/>
        <v>0</v>
      </c>
      <c r="T216" s="41">
        <f t="shared" si="137"/>
        <v>0</v>
      </c>
      <c r="U216" s="41">
        <f t="shared" si="137"/>
        <v>0</v>
      </c>
      <c r="V216" s="41">
        <f t="shared" si="137"/>
        <v>0</v>
      </c>
      <c r="W216" s="41">
        <f t="shared" si="137"/>
        <v>3316.4555897143282</v>
      </c>
      <c r="X216" s="41">
        <f t="shared" si="137"/>
        <v>3316.4555897143282</v>
      </c>
      <c r="Y216" s="41">
        <f t="shared" si="137"/>
        <v>3316.4555897143282</v>
      </c>
      <c r="Z216" s="41">
        <f t="shared" si="137"/>
        <v>3316.4555897143282</v>
      </c>
      <c r="AA216" s="41">
        <f t="shared" si="137"/>
        <v>3316.4555897143282</v>
      </c>
      <c r="AB216" s="41">
        <f t="shared" si="137"/>
        <v>3316.4555897143282</v>
      </c>
      <c r="AC216" s="41">
        <f t="shared" ref="AC216:BI216" si="138">IFERROR(INDEX($N$191:$BI$191,1,MATCH(AC202,$N$184:$BI$184,0)),0)</f>
        <v>3316.4555897143282</v>
      </c>
      <c r="AD216" s="41">
        <f t="shared" si="138"/>
        <v>3316.4555897143282</v>
      </c>
      <c r="AE216" s="41">
        <f t="shared" si="138"/>
        <v>3316.4555897143282</v>
      </c>
      <c r="AF216" s="41">
        <f t="shared" si="138"/>
        <v>3316.4555897143282</v>
      </c>
      <c r="AG216" s="41">
        <f t="shared" si="138"/>
        <v>3316.4555897143282</v>
      </c>
      <c r="AH216" s="41">
        <f t="shared" si="138"/>
        <v>3316.4555897143282</v>
      </c>
      <c r="AI216" s="41">
        <f t="shared" si="138"/>
        <v>3115.98598666925</v>
      </c>
      <c r="AJ216" s="41">
        <f t="shared" si="138"/>
        <v>3115.98598666925</v>
      </c>
      <c r="AK216" s="41">
        <f t="shared" si="138"/>
        <v>3115.98598666925</v>
      </c>
      <c r="AL216" s="41">
        <f t="shared" si="138"/>
        <v>3115.98598666925</v>
      </c>
      <c r="AM216" s="41">
        <f t="shared" si="138"/>
        <v>3115.98598666925</v>
      </c>
      <c r="AN216" s="41">
        <f t="shared" si="138"/>
        <v>3115.98598666925</v>
      </c>
      <c r="AO216" s="41">
        <f t="shared" si="138"/>
        <v>3115.98598666925</v>
      </c>
      <c r="AP216" s="41">
        <f t="shared" si="138"/>
        <v>3115.98598666925</v>
      </c>
      <c r="AQ216" s="41">
        <f t="shared" si="138"/>
        <v>3115.98598666925</v>
      </c>
      <c r="AR216" s="41">
        <f t="shared" si="138"/>
        <v>3115.98598666925</v>
      </c>
      <c r="AS216" s="41">
        <f t="shared" si="138"/>
        <v>3115.98598666925</v>
      </c>
      <c r="AT216" s="41">
        <f t="shared" si="138"/>
        <v>3115.98598666925</v>
      </c>
      <c r="AU216" s="41">
        <f t="shared" si="138"/>
        <v>3233.4704027787716</v>
      </c>
      <c r="AV216" s="41">
        <f t="shared" si="138"/>
        <v>3233.4704027787716</v>
      </c>
      <c r="AW216" s="41">
        <f t="shared" si="138"/>
        <v>3233.4704027787716</v>
      </c>
      <c r="AX216" s="41">
        <f t="shared" si="138"/>
        <v>3233.4704027787716</v>
      </c>
      <c r="AY216" s="41">
        <f t="shared" si="138"/>
        <v>3233.4704027787716</v>
      </c>
      <c r="AZ216" s="41">
        <f t="shared" si="138"/>
        <v>3233.4704027787716</v>
      </c>
      <c r="BA216" s="41">
        <f t="shared" si="138"/>
        <v>3233.4704027787716</v>
      </c>
      <c r="BB216" s="41">
        <f t="shared" si="138"/>
        <v>3233.4704027787716</v>
      </c>
      <c r="BC216" s="41">
        <f t="shared" si="138"/>
        <v>3233.4704027787716</v>
      </c>
      <c r="BD216" s="41">
        <f t="shared" si="138"/>
        <v>3233.4704027787716</v>
      </c>
      <c r="BE216" s="41">
        <f t="shared" si="138"/>
        <v>3233.4704027787716</v>
      </c>
      <c r="BF216" s="41">
        <f t="shared" si="138"/>
        <v>3233.4704027787716</v>
      </c>
      <c r="BG216" s="41">
        <f t="shared" si="138"/>
        <v>3330.4745148621359</v>
      </c>
      <c r="BH216" s="41">
        <f t="shared" si="138"/>
        <v>3330.4745148621359</v>
      </c>
      <c r="BI216" s="41">
        <f t="shared" si="138"/>
        <v>3330.4745148621359</v>
      </c>
    </row>
    <row r="217" spans="5:61" x14ac:dyDescent="0.35">
      <c r="E217">
        <v>11</v>
      </c>
      <c r="J217" t="s">
        <v>51</v>
      </c>
      <c r="N217" s="41">
        <f t="shared" si="124"/>
        <v>0</v>
      </c>
      <c r="O217" s="41">
        <f t="shared" ref="O217:AB217" si="139">IFERROR(INDEX($N$191:$BI$191,1,MATCH(O203,$N$184:$BI$184,0)),0)</f>
        <v>0</v>
      </c>
      <c r="P217" s="41">
        <f t="shared" si="139"/>
        <v>0</v>
      </c>
      <c r="Q217" s="41">
        <f t="shared" si="139"/>
        <v>0</v>
      </c>
      <c r="R217" s="41">
        <f t="shared" si="139"/>
        <v>0</v>
      </c>
      <c r="S217" s="41">
        <f t="shared" si="139"/>
        <v>0</v>
      </c>
      <c r="T217" s="41">
        <f t="shared" si="139"/>
        <v>0</v>
      </c>
      <c r="U217" s="41">
        <f t="shared" si="139"/>
        <v>0</v>
      </c>
      <c r="V217" s="41">
        <f t="shared" si="139"/>
        <v>0</v>
      </c>
      <c r="W217" s="41">
        <f t="shared" si="139"/>
        <v>0</v>
      </c>
      <c r="X217" s="41">
        <f t="shared" si="139"/>
        <v>3068.2017039104576</v>
      </c>
      <c r="Y217" s="41">
        <f t="shared" si="139"/>
        <v>3068.2017039104576</v>
      </c>
      <c r="Z217" s="41">
        <f t="shared" si="139"/>
        <v>3068.2017039104576</v>
      </c>
      <c r="AA217" s="41">
        <f t="shared" si="139"/>
        <v>3068.2017039104576</v>
      </c>
      <c r="AB217" s="41">
        <f t="shared" si="139"/>
        <v>3068.2017039104576</v>
      </c>
      <c r="AC217" s="41">
        <f t="shared" ref="AC217:BI217" si="140">IFERROR(INDEX($N$191:$BI$191,1,MATCH(AC203,$N$184:$BI$184,0)),0)</f>
        <v>3068.2017039104576</v>
      </c>
      <c r="AD217" s="41">
        <f t="shared" si="140"/>
        <v>3068.2017039104576</v>
      </c>
      <c r="AE217" s="41">
        <f t="shared" si="140"/>
        <v>3068.2017039104576</v>
      </c>
      <c r="AF217" s="41">
        <f t="shared" si="140"/>
        <v>3068.2017039104576</v>
      </c>
      <c r="AG217" s="41">
        <f t="shared" si="140"/>
        <v>3068.2017039104576</v>
      </c>
      <c r="AH217" s="41">
        <f t="shared" si="140"/>
        <v>3068.2017039104576</v>
      </c>
      <c r="AI217" s="41">
        <f t="shared" si="140"/>
        <v>3068.2017039104576</v>
      </c>
      <c r="AJ217" s="41">
        <f t="shared" si="140"/>
        <v>3461.2307376078757</v>
      </c>
      <c r="AK217" s="41">
        <f t="shared" si="140"/>
        <v>3461.2307376078757</v>
      </c>
      <c r="AL217" s="41">
        <f t="shared" si="140"/>
        <v>3461.2307376078757</v>
      </c>
      <c r="AM217" s="41">
        <f t="shared" si="140"/>
        <v>3461.2307376078757</v>
      </c>
      <c r="AN217" s="41">
        <f t="shared" si="140"/>
        <v>3461.2307376078757</v>
      </c>
      <c r="AO217" s="41">
        <f t="shared" si="140"/>
        <v>3461.2307376078757</v>
      </c>
      <c r="AP217" s="41">
        <f t="shared" si="140"/>
        <v>3461.2307376078757</v>
      </c>
      <c r="AQ217" s="41">
        <f t="shared" si="140"/>
        <v>3461.2307376078757</v>
      </c>
      <c r="AR217" s="41">
        <f t="shared" si="140"/>
        <v>3461.2307376078757</v>
      </c>
      <c r="AS217" s="41">
        <f t="shared" si="140"/>
        <v>3461.2307376078757</v>
      </c>
      <c r="AT217" s="41">
        <f t="shared" si="140"/>
        <v>3461.2307376078757</v>
      </c>
      <c r="AU217" s="41">
        <f t="shared" si="140"/>
        <v>3461.2307376078757</v>
      </c>
      <c r="AV217" s="41">
        <f t="shared" si="140"/>
        <v>3233.470402778772</v>
      </c>
      <c r="AW217" s="41">
        <f t="shared" si="140"/>
        <v>3233.470402778772</v>
      </c>
      <c r="AX217" s="41">
        <f t="shared" si="140"/>
        <v>3233.470402778772</v>
      </c>
      <c r="AY217" s="41">
        <f t="shared" si="140"/>
        <v>3233.470402778772</v>
      </c>
      <c r="AZ217" s="41">
        <f t="shared" si="140"/>
        <v>3233.470402778772</v>
      </c>
      <c r="BA217" s="41">
        <f t="shared" si="140"/>
        <v>3233.470402778772</v>
      </c>
      <c r="BB217" s="41">
        <f t="shared" si="140"/>
        <v>3233.470402778772</v>
      </c>
      <c r="BC217" s="41">
        <f t="shared" si="140"/>
        <v>3233.470402778772</v>
      </c>
      <c r="BD217" s="41">
        <f t="shared" si="140"/>
        <v>3233.470402778772</v>
      </c>
      <c r="BE217" s="41">
        <f t="shared" si="140"/>
        <v>3233.470402778772</v>
      </c>
      <c r="BF217" s="41">
        <f t="shared" si="140"/>
        <v>3233.470402778772</v>
      </c>
      <c r="BG217" s="41">
        <f t="shared" si="140"/>
        <v>3233.470402778772</v>
      </c>
      <c r="BH217" s="41">
        <f t="shared" si="140"/>
        <v>3330.474514862135</v>
      </c>
      <c r="BI217" s="41">
        <f t="shared" si="140"/>
        <v>3330.474514862135</v>
      </c>
    </row>
    <row r="218" spans="5:61" x14ac:dyDescent="0.35">
      <c r="E218">
        <v>12</v>
      </c>
      <c r="J218" t="s">
        <v>51</v>
      </c>
      <c r="N218" s="41">
        <f t="shared" si="124"/>
        <v>0</v>
      </c>
      <c r="O218" s="41">
        <f t="shared" ref="O218:AB218" si="141">IFERROR(INDEX($N$191:$BI$191,1,MATCH(O204,$N$184:$BI$184,0)),0)</f>
        <v>0</v>
      </c>
      <c r="P218" s="41">
        <f t="shared" si="141"/>
        <v>0</v>
      </c>
      <c r="Q218" s="41">
        <f t="shared" si="141"/>
        <v>0</v>
      </c>
      <c r="R218" s="41">
        <f t="shared" si="141"/>
        <v>0</v>
      </c>
      <c r="S218" s="41">
        <f t="shared" si="141"/>
        <v>0</v>
      </c>
      <c r="T218" s="41">
        <f t="shared" si="141"/>
        <v>0</v>
      </c>
      <c r="U218" s="41">
        <f t="shared" si="141"/>
        <v>0</v>
      </c>
      <c r="V218" s="41">
        <f t="shared" si="141"/>
        <v>0</v>
      </c>
      <c r="W218" s="41">
        <f t="shared" si="141"/>
        <v>0</v>
      </c>
      <c r="X218" s="41">
        <f t="shared" si="141"/>
        <v>0</v>
      </c>
      <c r="Y218" s="41">
        <f t="shared" si="141"/>
        <v>3168.393582333109</v>
      </c>
      <c r="Z218" s="41">
        <f t="shared" si="141"/>
        <v>3168.393582333109</v>
      </c>
      <c r="AA218" s="41">
        <f t="shared" si="141"/>
        <v>3168.393582333109</v>
      </c>
      <c r="AB218" s="41">
        <f t="shared" si="141"/>
        <v>3168.393582333109</v>
      </c>
      <c r="AC218" s="41">
        <f t="shared" ref="AC218:BI218" si="142">IFERROR(INDEX($N$191:$BI$191,1,MATCH(AC204,$N$184:$BI$184,0)),0)</f>
        <v>3168.393582333109</v>
      </c>
      <c r="AD218" s="41">
        <f t="shared" si="142"/>
        <v>3168.393582333109</v>
      </c>
      <c r="AE218" s="41">
        <f t="shared" si="142"/>
        <v>3168.393582333109</v>
      </c>
      <c r="AF218" s="41">
        <f t="shared" si="142"/>
        <v>3168.393582333109</v>
      </c>
      <c r="AG218" s="41">
        <f t="shared" si="142"/>
        <v>3168.393582333109</v>
      </c>
      <c r="AH218" s="41">
        <f t="shared" si="142"/>
        <v>3168.393582333109</v>
      </c>
      <c r="AI218" s="41">
        <f t="shared" si="142"/>
        <v>3168.393582333109</v>
      </c>
      <c r="AJ218" s="41">
        <f t="shared" si="142"/>
        <v>3168.393582333109</v>
      </c>
      <c r="AK218" s="41">
        <f t="shared" si="142"/>
        <v>3641.592152745488</v>
      </c>
      <c r="AL218" s="41">
        <f t="shared" si="142"/>
        <v>3641.592152745488</v>
      </c>
      <c r="AM218" s="41">
        <f t="shared" si="142"/>
        <v>3641.592152745488</v>
      </c>
      <c r="AN218" s="41">
        <f t="shared" si="142"/>
        <v>3641.592152745488</v>
      </c>
      <c r="AO218" s="41">
        <f t="shared" si="142"/>
        <v>3641.592152745488</v>
      </c>
      <c r="AP218" s="41">
        <f t="shared" si="142"/>
        <v>3641.592152745488</v>
      </c>
      <c r="AQ218" s="41">
        <f t="shared" si="142"/>
        <v>3641.592152745488</v>
      </c>
      <c r="AR218" s="41">
        <f t="shared" si="142"/>
        <v>3641.592152745488</v>
      </c>
      <c r="AS218" s="41">
        <f t="shared" si="142"/>
        <v>3641.592152745488</v>
      </c>
      <c r="AT218" s="41">
        <f t="shared" si="142"/>
        <v>3641.592152745488</v>
      </c>
      <c r="AU218" s="41">
        <f t="shared" si="142"/>
        <v>3641.592152745488</v>
      </c>
      <c r="AV218" s="41">
        <f t="shared" si="142"/>
        <v>3641.592152745488</v>
      </c>
      <c r="AW218" s="41">
        <f t="shared" si="142"/>
        <v>3233.470402778772</v>
      </c>
      <c r="AX218" s="41">
        <f t="shared" si="142"/>
        <v>3233.470402778772</v>
      </c>
      <c r="AY218" s="41">
        <f t="shared" si="142"/>
        <v>3233.470402778772</v>
      </c>
      <c r="AZ218" s="41">
        <f t="shared" si="142"/>
        <v>3233.470402778772</v>
      </c>
      <c r="BA218" s="41">
        <f t="shared" si="142"/>
        <v>3233.470402778772</v>
      </c>
      <c r="BB218" s="41">
        <f t="shared" si="142"/>
        <v>3233.470402778772</v>
      </c>
      <c r="BC218" s="41">
        <f t="shared" si="142"/>
        <v>3233.470402778772</v>
      </c>
      <c r="BD218" s="41">
        <f t="shared" si="142"/>
        <v>3233.470402778772</v>
      </c>
      <c r="BE218" s="41">
        <f t="shared" si="142"/>
        <v>3233.470402778772</v>
      </c>
      <c r="BF218" s="41">
        <f t="shared" si="142"/>
        <v>3233.470402778772</v>
      </c>
      <c r="BG218" s="41">
        <f t="shared" si="142"/>
        <v>3233.470402778772</v>
      </c>
      <c r="BH218" s="41">
        <f t="shared" si="142"/>
        <v>3233.470402778772</v>
      </c>
      <c r="BI218" s="41">
        <f t="shared" si="142"/>
        <v>3330.4745148621355</v>
      </c>
    </row>
    <row r="219" spans="5:61" x14ac:dyDescent="0.35"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</row>
    <row r="220" spans="5:61" x14ac:dyDescent="0.35">
      <c r="E220" s="12" t="s">
        <v>17</v>
      </c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</row>
    <row r="221" spans="5:61" x14ac:dyDescent="0.35">
      <c r="E221">
        <v>1</v>
      </c>
      <c r="J221" t="s">
        <v>50</v>
      </c>
      <c r="N221" s="41">
        <f t="shared" ref="N221:BI221" si="143">N141*N128*(1-$I$185)</f>
        <v>0</v>
      </c>
      <c r="O221" s="41">
        <f t="shared" si="143"/>
        <v>0</v>
      </c>
      <c r="P221" s="41">
        <f t="shared" si="143"/>
        <v>0</v>
      </c>
      <c r="Q221" s="41">
        <f t="shared" si="143"/>
        <v>0</v>
      </c>
      <c r="R221" s="41">
        <f t="shared" si="143"/>
        <v>0</v>
      </c>
      <c r="S221" s="41">
        <f t="shared" si="143"/>
        <v>0</v>
      </c>
      <c r="T221" s="41">
        <f t="shared" si="143"/>
        <v>0</v>
      </c>
      <c r="U221" s="41">
        <f t="shared" si="143"/>
        <v>0</v>
      </c>
      <c r="V221" s="41">
        <f t="shared" si="143"/>
        <v>0</v>
      </c>
      <c r="W221" s="41">
        <f t="shared" si="143"/>
        <v>0</v>
      </c>
      <c r="X221" s="41">
        <f t="shared" si="143"/>
        <v>0</v>
      </c>
      <c r="Y221" s="41">
        <f t="shared" si="143"/>
        <v>0</v>
      </c>
      <c r="Z221" s="41">
        <f t="shared" si="143"/>
        <v>10182.118920713414</v>
      </c>
      <c r="AA221" s="41">
        <f t="shared" si="143"/>
        <v>2092.2063960538708</v>
      </c>
      <c r="AB221" s="41">
        <f t="shared" si="143"/>
        <v>2442.5627470443824</v>
      </c>
      <c r="AC221" s="41">
        <f t="shared" si="143"/>
        <v>2408.3238723766631</v>
      </c>
      <c r="AD221" s="41">
        <f t="shared" si="143"/>
        <v>2442.5627470443842</v>
      </c>
      <c r="AE221" s="41">
        <f t="shared" si="143"/>
        <v>2235.870016777294</v>
      </c>
      <c r="AF221" s="41">
        <f t="shared" si="143"/>
        <v>2105.3397178521941</v>
      </c>
      <c r="AG221" s="41">
        <f t="shared" si="143"/>
        <v>1844.1834377666885</v>
      </c>
      <c r="AH221" s="41">
        <f t="shared" si="143"/>
        <v>1509.0825228817816</v>
      </c>
      <c r="AI221" s="41">
        <f t="shared" si="143"/>
        <v>1270.4749599368185</v>
      </c>
      <c r="AJ221" s="41">
        <f t="shared" si="143"/>
        <v>965.10265456552611</v>
      </c>
      <c r="AK221" s="41">
        <f t="shared" si="143"/>
        <v>754.40409272031184</v>
      </c>
      <c r="AL221" s="41">
        <f t="shared" si="143"/>
        <v>19858.666581842335</v>
      </c>
      <c r="AM221" s="41">
        <f t="shared" si="143"/>
        <v>4080.5287743310605</v>
      </c>
      <c r="AN221" s="41">
        <f t="shared" si="143"/>
        <v>4763.8452837265331</v>
      </c>
      <c r="AO221" s="41">
        <f t="shared" si="143"/>
        <v>4697.0675922206392</v>
      </c>
      <c r="AP221" s="41">
        <f t="shared" si="143"/>
        <v>4763.8452837265368</v>
      </c>
      <c r="AQ221" s="41">
        <f t="shared" si="143"/>
        <v>4360.7227070578665</v>
      </c>
      <c r="AR221" s="41">
        <f t="shared" si="143"/>
        <v>4106.1433110238477</v>
      </c>
      <c r="AS221" s="41">
        <f t="shared" si="143"/>
        <v>3596.7979053812164</v>
      </c>
      <c r="AT221" s="41">
        <f t="shared" si="143"/>
        <v>2943.2347922621802</v>
      </c>
      <c r="AU221" s="41">
        <f t="shared" si="143"/>
        <v>2477.8672127507457</v>
      </c>
      <c r="AV221" s="41">
        <f t="shared" si="143"/>
        <v>1882.2852083645566</v>
      </c>
      <c r="AW221" s="41">
        <f t="shared" si="143"/>
        <v>1471.3498695083265</v>
      </c>
      <c r="AX221" s="41">
        <f t="shared" si="143"/>
        <v>22020.105224538696</v>
      </c>
      <c r="AY221" s="41">
        <f t="shared" si="143"/>
        <v>4524.6579176008263</v>
      </c>
      <c r="AZ221" s="41">
        <f t="shared" si="143"/>
        <v>5282.3473312652195</v>
      </c>
      <c r="BA221" s="41">
        <f t="shared" si="143"/>
        <v>5208.3014839495654</v>
      </c>
      <c r="BB221" s="41">
        <f t="shared" si="143"/>
        <v>5282.3473312652222</v>
      </c>
      <c r="BC221" s="41">
        <f t="shared" si="143"/>
        <v>4835.3484595107748</v>
      </c>
      <c r="BD221" s="41">
        <f t="shared" si="143"/>
        <v>4553.0603680336617</v>
      </c>
      <c r="BE221" s="41">
        <f t="shared" si="143"/>
        <v>3988.2772602825485</v>
      </c>
      <c r="BF221" s="41">
        <f t="shared" si="143"/>
        <v>3263.5796345659724</v>
      </c>
      <c r="BG221" s="41">
        <f t="shared" si="143"/>
        <v>2747.5609468711823</v>
      </c>
      <c r="BH221" s="41">
        <f t="shared" si="143"/>
        <v>2087.1551561612978</v>
      </c>
      <c r="BI221" s="41">
        <f t="shared" si="143"/>
        <v>1631.4931727746884</v>
      </c>
    </row>
    <row r="222" spans="5:61" x14ac:dyDescent="0.35">
      <c r="E222">
        <v>2</v>
      </c>
      <c r="J222" t="s">
        <v>50</v>
      </c>
      <c r="N222" s="41">
        <f t="shared" ref="N222:BI222" si="144">N142*N129*(1-$I$185)</f>
        <v>0</v>
      </c>
      <c r="O222" s="41">
        <f t="shared" si="144"/>
        <v>0</v>
      </c>
      <c r="P222" s="41">
        <f t="shared" si="144"/>
        <v>0</v>
      </c>
      <c r="Q222" s="41">
        <f t="shared" si="144"/>
        <v>0</v>
      </c>
      <c r="R222" s="41">
        <f t="shared" si="144"/>
        <v>0</v>
      </c>
      <c r="S222" s="41">
        <f t="shared" si="144"/>
        <v>0</v>
      </c>
      <c r="T222" s="41">
        <f t="shared" si="144"/>
        <v>0</v>
      </c>
      <c r="U222" s="41">
        <f t="shared" si="144"/>
        <v>0</v>
      </c>
      <c r="V222" s="41">
        <f t="shared" si="144"/>
        <v>0</v>
      </c>
      <c r="W222" s="41">
        <f t="shared" si="144"/>
        <v>0</v>
      </c>
      <c r="X222" s="41">
        <f t="shared" si="144"/>
        <v>0</v>
      </c>
      <c r="Y222" s="41">
        <f t="shared" si="144"/>
        <v>0</v>
      </c>
      <c r="Z222" s="41">
        <f t="shared" si="144"/>
        <v>0</v>
      </c>
      <c r="AA222" s="41">
        <f t="shared" si="144"/>
        <v>11821.293230150346</v>
      </c>
      <c r="AB222" s="41">
        <f t="shared" si="144"/>
        <v>2736.6615595974513</v>
      </c>
      <c r="AC222" s="41">
        <f t="shared" si="144"/>
        <v>2802.1016186700299</v>
      </c>
      <c r="AD222" s="41">
        <f t="shared" si="144"/>
        <v>2951.2889973710294</v>
      </c>
      <c r="AE222" s="41">
        <f t="shared" si="144"/>
        <v>2805.5167769129944</v>
      </c>
      <c r="AF222" s="41">
        <f t="shared" si="144"/>
        <v>2743.3350666626066</v>
      </c>
      <c r="AG222" s="41">
        <f t="shared" si="144"/>
        <v>2497.0366711467314</v>
      </c>
      <c r="AH222" s="41">
        <f t="shared" si="144"/>
        <v>2121.9943397224833</v>
      </c>
      <c r="AI222" s="41">
        <f t="shared" si="144"/>
        <v>1855.1443618593321</v>
      </c>
      <c r="AJ222" s="41">
        <f t="shared" si="144"/>
        <v>1463.5321536048805</v>
      </c>
      <c r="AK222" s="41">
        <f t="shared" si="144"/>
        <v>1187.9730819976676</v>
      </c>
      <c r="AL222" s="41">
        <f t="shared" si="144"/>
        <v>894.76043624331032</v>
      </c>
      <c r="AM222" s="41">
        <f t="shared" si="144"/>
        <v>18993.457641502227</v>
      </c>
      <c r="AN222" s="41">
        <f t="shared" si="144"/>
        <v>4397.037143006437</v>
      </c>
      <c r="AO222" s="41">
        <f t="shared" si="144"/>
        <v>4502.1807145136827</v>
      </c>
      <c r="AP222" s="41">
        <f t="shared" si="144"/>
        <v>4741.882420819139</v>
      </c>
      <c r="AQ222" s="41">
        <f t="shared" si="144"/>
        <v>4507.6679029425532</v>
      </c>
      <c r="AR222" s="41">
        <f t="shared" si="144"/>
        <v>4407.7595717030717</v>
      </c>
      <c r="AS222" s="41">
        <f t="shared" si="144"/>
        <v>4012.0280682776006</v>
      </c>
      <c r="AT222" s="41">
        <f t="shared" si="144"/>
        <v>3409.4416594142704</v>
      </c>
      <c r="AU222" s="41">
        <f t="shared" si="144"/>
        <v>2980.6896055989951</v>
      </c>
      <c r="AV222" s="41">
        <f t="shared" si="144"/>
        <v>2351.4801151851048</v>
      </c>
      <c r="AW222" s="41">
        <f t="shared" si="144"/>
        <v>1908.7350235605804</v>
      </c>
      <c r="AX222" s="41">
        <f t="shared" si="144"/>
        <v>1437.6256568726726</v>
      </c>
      <c r="AY222" s="41">
        <f t="shared" si="144"/>
        <v>20918.796822508637</v>
      </c>
      <c r="AZ222" s="41">
        <f t="shared" si="144"/>
        <v>4842.7584040617357</v>
      </c>
      <c r="BA222" s="41">
        <f t="shared" si="144"/>
        <v>4958.5602265138505</v>
      </c>
      <c r="BB222" s="41">
        <f t="shared" si="144"/>
        <v>5222.5601462154573</v>
      </c>
      <c r="BC222" s="41">
        <f t="shared" si="144"/>
        <v>4964.6036432543351</v>
      </c>
      <c r="BD222" s="41">
        <f t="shared" si="144"/>
        <v>4854.5677497628913</v>
      </c>
      <c r="BE222" s="41">
        <f t="shared" si="144"/>
        <v>4418.7215193043185</v>
      </c>
      <c r="BF222" s="41">
        <f t="shared" si="144"/>
        <v>3755.0518024501662</v>
      </c>
      <c r="BG222" s="41">
        <f t="shared" si="144"/>
        <v>3282.837776426958</v>
      </c>
      <c r="BH222" s="41">
        <f t="shared" si="144"/>
        <v>2589.846234960507</v>
      </c>
      <c r="BI222" s="41">
        <f t="shared" si="144"/>
        <v>2102.2207172338744</v>
      </c>
    </row>
    <row r="223" spans="5:61" x14ac:dyDescent="0.35">
      <c r="E223">
        <v>3</v>
      </c>
      <c r="J223" t="s">
        <v>50</v>
      </c>
      <c r="N223" s="41">
        <f t="shared" ref="N223:BI223" si="145">N143*N130*(1-$I$185)</f>
        <v>0</v>
      </c>
      <c r="O223" s="41">
        <f t="shared" si="145"/>
        <v>0</v>
      </c>
      <c r="P223" s="41">
        <f t="shared" si="145"/>
        <v>0</v>
      </c>
      <c r="Q223" s="41">
        <f t="shared" si="145"/>
        <v>0</v>
      </c>
      <c r="R223" s="41">
        <f t="shared" si="145"/>
        <v>0</v>
      </c>
      <c r="S223" s="41">
        <f t="shared" si="145"/>
        <v>0</v>
      </c>
      <c r="T223" s="41">
        <f t="shared" si="145"/>
        <v>0</v>
      </c>
      <c r="U223" s="41">
        <f t="shared" si="145"/>
        <v>0</v>
      </c>
      <c r="V223" s="41">
        <f t="shared" si="145"/>
        <v>0</v>
      </c>
      <c r="W223" s="41">
        <f t="shared" si="145"/>
        <v>0</v>
      </c>
      <c r="X223" s="41">
        <f t="shared" si="145"/>
        <v>0</v>
      </c>
      <c r="Y223" s="41">
        <f t="shared" si="145"/>
        <v>0</v>
      </c>
      <c r="Z223" s="41">
        <f t="shared" si="145"/>
        <v>0</v>
      </c>
      <c r="AA223" s="41">
        <f t="shared" si="145"/>
        <v>0</v>
      </c>
      <c r="AB223" s="41">
        <f t="shared" si="145"/>
        <v>13712.961101495441</v>
      </c>
      <c r="AC223" s="41">
        <f t="shared" si="145"/>
        <v>3025.6654089667404</v>
      </c>
      <c r="AD223" s="41">
        <f t="shared" si="145"/>
        <v>3297.3260233593328</v>
      </c>
      <c r="AE223" s="41">
        <f t="shared" si="145"/>
        <v>3243.1966433956941</v>
      </c>
      <c r="AF223" s="41">
        <f t="shared" si="145"/>
        <v>3281.3032202293998</v>
      </c>
      <c r="AG223" s="41">
        <f t="shared" si="145"/>
        <v>3092.0313399948004</v>
      </c>
      <c r="AH223" s="41">
        <f t="shared" si="145"/>
        <v>2718.8332681594411</v>
      </c>
      <c r="AI223" s="41">
        <f t="shared" si="145"/>
        <v>2459.3147777540894</v>
      </c>
      <c r="AJ223" s="41">
        <f t="shared" si="145"/>
        <v>2007.5396740646702</v>
      </c>
      <c r="AK223" s="41">
        <f t="shared" si="145"/>
        <v>1686.0116612336656</v>
      </c>
      <c r="AL223" s="41">
        <f t="shared" si="145"/>
        <v>1314.6567046071505</v>
      </c>
      <c r="AM223" s="41">
        <f t="shared" si="145"/>
        <v>903.92551423250893</v>
      </c>
      <c r="AN223" s="41">
        <f t="shared" si="145"/>
        <v>22441.269216490218</v>
      </c>
      <c r="AO223" s="41">
        <f t="shared" si="145"/>
        <v>4951.5032894128108</v>
      </c>
      <c r="AP223" s="41">
        <f t="shared" si="145"/>
        <v>5396.0760507572932</v>
      </c>
      <c r="AQ223" s="41">
        <f t="shared" si="145"/>
        <v>5307.4932873924035</v>
      </c>
      <c r="AR223" s="41">
        <f t="shared" si="145"/>
        <v>5369.8547236507484</v>
      </c>
      <c r="AS223" s="41">
        <f t="shared" si="145"/>
        <v>5060.111176066941</v>
      </c>
      <c r="AT223" s="41">
        <f t="shared" si="145"/>
        <v>4449.3723036129795</v>
      </c>
      <c r="AU223" s="41">
        <f t="shared" si="145"/>
        <v>4024.6701355882701</v>
      </c>
      <c r="AV223" s="41">
        <f t="shared" si="145"/>
        <v>3285.3399025216559</v>
      </c>
      <c r="AW223" s="41">
        <f t="shared" si="145"/>
        <v>2759.1591131809187</v>
      </c>
      <c r="AX223" s="41">
        <f t="shared" si="145"/>
        <v>2151.436499891739</v>
      </c>
      <c r="AY223" s="41">
        <f t="shared" si="145"/>
        <v>1479.2746560284431</v>
      </c>
      <c r="AZ223" s="41">
        <f t="shared" si="145"/>
        <v>24687.951611002805</v>
      </c>
      <c r="BA223" s="41">
        <f t="shared" si="145"/>
        <v>5447.2174649069711</v>
      </c>
      <c r="BB223" s="41">
        <f t="shared" si="145"/>
        <v>5936.2981275807842</v>
      </c>
      <c r="BC223" s="41">
        <f t="shared" si="145"/>
        <v>5838.8470006224961</v>
      </c>
      <c r="BD223" s="41">
        <f t="shared" si="145"/>
        <v>5907.4516818411203</v>
      </c>
      <c r="BE223" s="41">
        <f t="shared" si="145"/>
        <v>5566.6985078205398</v>
      </c>
      <c r="BF223" s="41">
        <f t="shared" si="145"/>
        <v>4894.8162009578655</v>
      </c>
      <c r="BG223" s="41">
        <f t="shared" si="145"/>
        <v>4427.5954536760019</v>
      </c>
      <c r="BH223" s="41">
        <f t="shared" si="145"/>
        <v>3614.2480069510316</v>
      </c>
      <c r="BI223" s="41">
        <f t="shared" si="145"/>
        <v>3035.3892204641302</v>
      </c>
    </row>
    <row r="224" spans="5:61" x14ac:dyDescent="0.35">
      <c r="E224">
        <v>4</v>
      </c>
      <c r="J224" t="s">
        <v>50</v>
      </c>
      <c r="N224" s="41">
        <f t="shared" ref="N224:BI224" si="146">N144*N131*(1-$I$185)</f>
        <v>0</v>
      </c>
      <c r="O224" s="41">
        <f t="shared" si="146"/>
        <v>0</v>
      </c>
      <c r="P224" s="41">
        <f t="shared" si="146"/>
        <v>0</v>
      </c>
      <c r="Q224" s="41">
        <f t="shared" si="146"/>
        <v>218.98651793259407</v>
      </c>
      <c r="R224" s="41">
        <f t="shared" si="146"/>
        <v>50.219809942188171</v>
      </c>
      <c r="S224" s="41">
        <f t="shared" si="146"/>
        <v>51.295622271461298</v>
      </c>
      <c r="T224" s="41">
        <f t="shared" si="146"/>
        <v>53.895212137704426</v>
      </c>
      <c r="U224" s="41">
        <f t="shared" si="146"/>
        <v>52.773003209644095</v>
      </c>
      <c r="V224" s="41">
        <f t="shared" si="146"/>
        <v>48.189723160981714</v>
      </c>
      <c r="W224" s="41">
        <f t="shared" si="146"/>
        <v>45.266064382935774</v>
      </c>
      <c r="X224" s="41">
        <f t="shared" si="146"/>
        <v>38.373675904305024</v>
      </c>
      <c r="Y224" s="41">
        <f t="shared" si="146"/>
        <v>33.466476773314426</v>
      </c>
      <c r="Z224" s="41">
        <f t="shared" si="146"/>
        <v>27.116024590851801</v>
      </c>
      <c r="AA224" s="41">
        <f t="shared" si="146"/>
        <v>19.340929629798516</v>
      </c>
      <c r="AB224" s="41">
        <f t="shared" si="146"/>
        <v>16.340395349213747</v>
      </c>
      <c r="AC224" s="41">
        <f t="shared" si="146"/>
        <v>17269.771484452809</v>
      </c>
      <c r="AD224" s="41">
        <f t="shared" si="146"/>
        <v>3960.4476562397263</v>
      </c>
      <c r="AE224" s="41">
        <f t="shared" si="146"/>
        <v>4045.2886467358749</v>
      </c>
      <c r="AF224" s="41">
        <f t="shared" si="146"/>
        <v>4250.2981759395716</v>
      </c>
      <c r="AG224" s="41">
        <f t="shared" si="146"/>
        <v>4161.7982448553212</v>
      </c>
      <c r="AH224" s="41">
        <f t="shared" si="146"/>
        <v>3800.3504268028196</v>
      </c>
      <c r="AI224" s="41">
        <f t="shared" si="146"/>
        <v>3569.7840911578573</v>
      </c>
      <c r="AJ224" s="41">
        <f t="shared" si="146"/>
        <v>3026.2347661502481</v>
      </c>
      <c r="AK224" s="41">
        <f t="shared" si="146"/>
        <v>2639.2419575473054</v>
      </c>
      <c r="AL224" s="41">
        <f t="shared" si="146"/>
        <v>2138.4309530642272</v>
      </c>
      <c r="AM224" s="41">
        <f t="shared" si="146"/>
        <v>1525.2694008601713</v>
      </c>
      <c r="AN224" s="41">
        <f t="shared" si="146"/>
        <v>1288.6404894268371</v>
      </c>
      <c r="AO224" s="41">
        <f t="shared" si="146"/>
        <v>21882.717908344563</v>
      </c>
      <c r="AP224" s="41">
        <f t="shared" si="146"/>
        <v>5018.3269031833561</v>
      </c>
      <c r="AQ224" s="41">
        <f t="shared" si="146"/>
        <v>5125.8298579134253</v>
      </c>
      <c r="AR224" s="41">
        <f t="shared" si="146"/>
        <v>5385.5996933235647</v>
      </c>
      <c r="AS224" s="41">
        <f t="shared" si="146"/>
        <v>5273.4604546215332</v>
      </c>
      <c r="AT224" s="41">
        <f t="shared" si="146"/>
        <v>4815.4659381248866</v>
      </c>
      <c r="AU224" s="41">
        <f t="shared" si="146"/>
        <v>4523.3127914187153</v>
      </c>
      <c r="AV224" s="41">
        <f t="shared" si="146"/>
        <v>3834.5754471451937</v>
      </c>
      <c r="AW224" s="41">
        <f t="shared" si="146"/>
        <v>3344.2125913980908</v>
      </c>
      <c r="AX224" s="41">
        <f t="shared" si="146"/>
        <v>2709.6294444025521</v>
      </c>
      <c r="AY224" s="41">
        <f t="shared" si="146"/>
        <v>1932.6856793270647</v>
      </c>
      <c r="AZ224" s="41">
        <f t="shared" si="146"/>
        <v>1632.8505759780778</v>
      </c>
      <c r="BA224" s="41">
        <f t="shared" si="146"/>
        <v>24071.073335317047</v>
      </c>
      <c r="BB224" s="41">
        <f t="shared" si="146"/>
        <v>5520.1787736365959</v>
      </c>
      <c r="BC224" s="41">
        <f t="shared" si="146"/>
        <v>5638.4324347178808</v>
      </c>
      <c r="BD224" s="41">
        <f t="shared" si="146"/>
        <v>5924.1802465139772</v>
      </c>
      <c r="BE224" s="41">
        <f t="shared" si="146"/>
        <v>5800.8266553435733</v>
      </c>
      <c r="BF224" s="41">
        <f t="shared" si="146"/>
        <v>5297.0309367340533</v>
      </c>
      <c r="BG224" s="41">
        <f t="shared" si="146"/>
        <v>4975.6613587427291</v>
      </c>
      <c r="BH224" s="41">
        <f t="shared" si="146"/>
        <v>4218.0476476754448</v>
      </c>
      <c r="BI224" s="41">
        <f t="shared" si="146"/>
        <v>3678.6466321780536</v>
      </c>
    </row>
    <row r="225" spans="4:61" x14ac:dyDescent="0.35">
      <c r="E225">
        <v>5</v>
      </c>
      <c r="J225" t="s">
        <v>50</v>
      </c>
      <c r="N225" s="41">
        <f t="shared" ref="N225:BI225" si="147">N145*N132*(1-$I$185)</f>
        <v>0</v>
      </c>
      <c r="O225" s="41">
        <f t="shared" si="147"/>
        <v>0</v>
      </c>
      <c r="P225" s="41">
        <f t="shared" si="147"/>
        <v>0</v>
      </c>
      <c r="Q225" s="41">
        <f t="shared" si="147"/>
        <v>0</v>
      </c>
      <c r="R225" s="41">
        <f t="shared" si="147"/>
        <v>1460.2734546175004</v>
      </c>
      <c r="S225" s="41">
        <f t="shared" si="147"/>
        <v>322.19874661401218</v>
      </c>
      <c r="T225" s="41">
        <f t="shared" si="147"/>
        <v>351.12749372606532</v>
      </c>
      <c r="U225" s="41">
        <f t="shared" si="147"/>
        <v>356.82313650373203</v>
      </c>
      <c r="V225" s="41">
        <f t="shared" si="147"/>
        <v>337.96144612504952</v>
      </c>
      <c r="W225" s="41">
        <f t="shared" si="147"/>
        <v>329.26595891440166</v>
      </c>
      <c r="X225" s="41">
        <f t="shared" si="147"/>
        <v>289.52463436880959</v>
      </c>
      <c r="Y225" s="41">
        <f t="shared" si="147"/>
        <v>261.88888453210848</v>
      </c>
      <c r="Z225" s="41">
        <f t="shared" si="147"/>
        <v>220.2215081201926</v>
      </c>
      <c r="AA225" s="41">
        <f t="shared" si="147"/>
        <v>162.7491866815142</v>
      </c>
      <c r="AB225" s="41">
        <f t="shared" si="147"/>
        <v>142.42592067999172</v>
      </c>
      <c r="AC225" s="41">
        <f t="shared" si="147"/>
        <v>104.17796183695508</v>
      </c>
      <c r="AD225" s="41">
        <f t="shared" si="147"/>
        <v>16731.325371326831</v>
      </c>
      <c r="AE225" s="41">
        <f t="shared" si="147"/>
        <v>3691.6455933555121</v>
      </c>
      <c r="AF225" s="41">
        <f t="shared" si="147"/>
        <v>4023.1015127835444</v>
      </c>
      <c r="AG225" s="41">
        <f t="shared" si="147"/>
        <v>4088.3602848379546</v>
      </c>
      <c r="AH225" s="41">
        <f t="shared" si="147"/>
        <v>3872.2493380963915</v>
      </c>
      <c r="AI225" s="41">
        <f t="shared" si="147"/>
        <v>3772.6193507652383</v>
      </c>
      <c r="AJ225" s="41">
        <f t="shared" si="147"/>
        <v>3317.2765315437746</v>
      </c>
      <c r="AK225" s="41">
        <f t="shared" si="147"/>
        <v>3000.6353429113665</v>
      </c>
      <c r="AL225" s="41">
        <f t="shared" si="147"/>
        <v>2523.2244648920009</v>
      </c>
      <c r="AM225" s="41">
        <f t="shared" si="147"/>
        <v>1864.7258071266399</v>
      </c>
      <c r="AN225" s="41">
        <f t="shared" si="147"/>
        <v>1631.8686152053056</v>
      </c>
      <c r="AO225" s="41">
        <f t="shared" si="147"/>
        <v>1193.6362812760506</v>
      </c>
      <c r="AP225" s="41">
        <f t="shared" si="147"/>
        <v>22542.879545024291</v>
      </c>
      <c r="AQ225" s="41">
        <f t="shared" si="147"/>
        <v>4973.9228714391729</v>
      </c>
      <c r="AR225" s="41">
        <f t="shared" si="147"/>
        <v>5420.5085841859018</v>
      </c>
      <c r="AS225" s="41">
        <f t="shared" si="147"/>
        <v>5508.4347110783874</v>
      </c>
      <c r="AT225" s="41">
        <f t="shared" si="147"/>
        <v>5217.2585530254728</v>
      </c>
      <c r="AU225" s="41">
        <f t="shared" si="147"/>
        <v>5083.0225165111469</v>
      </c>
      <c r="AV225" s="41">
        <f t="shared" si="147"/>
        <v>4469.5183201853533</v>
      </c>
      <c r="AW225" s="41">
        <f t="shared" si="147"/>
        <v>4042.8931714947194</v>
      </c>
      <c r="AX225" s="41">
        <f t="shared" si="147"/>
        <v>3399.6556707096051</v>
      </c>
      <c r="AY225" s="41">
        <f t="shared" si="147"/>
        <v>2512.4303258481468</v>
      </c>
      <c r="AZ225" s="41">
        <f t="shared" si="147"/>
        <v>2198.6911861102312</v>
      </c>
      <c r="BA225" s="41">
        <f t="shared" si="147"/>
        <v>1608.2407288241552</v>
      </c>
      <c r="BB225" s="41">
        <f t="shared" si="147"/>
        <v>24797.168805421188</v>
      </c>
      <c r="BC225" s="41">
        <f t="shared" si="147"/>
        <v>5471.3154467192335</v>
      </c>
      <c r="BD225" s="41">
        <f t="shared" si="147"/>
        <v>5962.5597566110573</v>
      </c>
      <c r="BE225" s="41">
        <f t="shared" si="147"/>
        <v>6059.278501286296</v>
      </c>
      <c r="BF225" s="41">
        <f t="shared" si="147"/>
        <v>5738.9847105604422</v>
      </c>
      <c r="BG225" s="41">
        <f t="shared" si="147"/>
        <v>5591.3250626184772</v>
      </c>
      <c r="BH225" s="41">
        <f t="shared" si="147"/>
        <v>4916.4704111202018</v>
      </c>
      <c r="BI225" s="41">
        <f t="shared" si="147"/>
        <v>4447.1827228463844</v>
      </c>
    </row>
    <row r="226" spans="4:61" x14ac:dyDescent="0.35">
      <c r="E226">
        <v>6</v>
      </c>
      <c r="J226" t="s">
        <v>50</v>
      </c>
      <c r="N226" s="41">
        <f t="shared" ref="N226:BI226" si="148">N146*N133*(1-$I$185)</f>
        <v>0</v>
      </c>
      <c r="O226" s="41">
        <f t="shared" si="148"/>
        <v>0</v>
      </c>
      <c r="P226" s="41">
        <f t="shared" si="148"/>
        <v>0</v>
      </c>
      <c r="Q226" s="41">
        <f t="shared" si="148"/>
        <v>0</v>
      </c>
      <c r="R226" s="41">
        <f t="shared" si="148"/>
        <v>0</v>
      </c>
      <c r="S226" s="41">
        <f t="shared" si="148"/>
        <v>2145.2232996372027</v>
      </c>
      <c r="T226" s="41">
        <f t="shared" si="148"/>
        <v>491.96045221603612</v>
      </c>
      <c r="U226" s="41">
        <f t="shared" si="148"/>
        <v>519.49630442683099</v>
      </c>
      <c r="V226" s="41">
        <f t="shared" si="148"/>
        <v>510.96817810483105</v>
      </c>
      <c r="W226" s="41">
        <f t="shared" si="148"/>
        <v>516.97189921072834</v>
      </c>
      <c r="X226" s="41">
        <f t="shared" si="148"/>
        <v>472.07343129600821</v>
      </c>
      <c r="Y226" s="41">
        <f t="shared" si="148"/>
        <v>443.43285109013669</v>
      </c>
      <c r="Z226" s="41">
        <f t="shared" si="148"/>
        <v>387.46697457714902</v>
      </c>
      <c r="AA226" s="41">
        <f t="shared" si="148"/>
        <v>297.03351713150931</v>
      </c>
      <c r="AB226" s="41">
        <f t="shared" si="148"/>
        <v>269.57509144551142</v>
      </c>
      <c r="AC226" s="41">
        <f t="shared" si="148"/>
        <v>204.77982216331586</v>
      </c>
      <c r="AD226" s="41">
        <f t="shared" si="148"/>
        <v>160.07285361378536</v>
      </c>
      <c r="AE226" s="41">
        <f t="shared" si="148"/>
        <v>21431.11859381654</v>
      </c>
      <c r="AF226" s="41">
        <f t="shared" si="148"/>
        <v>4914.762391725164</v>
      </c>
      <c r="AG226" s="41">
        <f t="shared" si="148"/>
        <v>5189.8498916656827</v>
      </c>
      <c r="AH226" s="41">
        <f t="shared" si="148"/>
        <v>5104.6525666968846</v>
      </c>
      <c r="AI226" s="41">
        <f t="shared" si="148"/>
        <v>5164.6306860126906</v>
      </c>
      <c r="AJ226" s="41">
        <f t="shared" si="148"/>
        <v>4716.0879209197665</v>
      </c>
      <c r="AK226" s="41">
        <f t="shared" si="148"/>
        <v>4429.9640143355191</v>
      </c>
      <c r="AL226" s="41">
        <f t="shared" si="148"/>
        <v>3870.8560944469123</v>
      </c>
      <c r="AM226" s="41">
        <f t="shared" si="148"/>
        <v>2967.4116130756101</v>
      </c>
      <c r="AN226" s="41">
        <f t="shared" si="148"/>
        <v>2693.0976163109658</v>
      </c>
      <c r="AO226" s="41">
        <f t="shared" si="148"/>
        <v>2045.7826722024174</v>
      </c>
      <c r="AP226" s="41">
        <f t="shared" si="148"/>
        <v>1599.1530159251195</v>
      </c>
      <c r="AQ226" s="41">
        <f t="shared" si="148"/>
        <v>21077.397106344612</v>
      </c>
      <c r="AR226" s="41">
        <f t="shared" si="148"/>
        <v>4833.6440377688887</v>
      </c>
      <c r="AS226" s="41">
        <f t="shared" si="148"/>
        <v>5104.1912072904461</v>
      </c>
      <c r="AT226" s="41">
        <f t="shared" si="148"/>
        <v>5020.4000676490568</v>
      </c>
      <c r="AU226" s="41">
        <f t="shared" si="148"/>
        <v>5079.3882456565134</v>
      </c>
      <c r="AV226" s="41">
        <f t="shared" si="148"/>
        <v>4638.2486972164625</v>
      </c>
      <c r="AW226" s="41">
        <f t="shared" si="148"/>
        <v>4356.8472773934727</v>
      </c>
      <c r="AX226" s="41">
        <f t="shared" si="148"/>
        <v>3806.9674565522669</v>
      </c>
      <c r="AY226" s="41">
        <f t="shared" si="148"/>
        <v>2918.4343632356772</v>
      </c>
      <c r="AZ226" s="41">
        <f t="shared" si="148"/>
        <v>2648.6479301884938</v>
      </c>
      <c r="BA226" s="41">
        <f t="shared" si="148"/>
        <v>2012.0169456637886</v>
      </c>
      <c r="BB226" s="41">
        <f t="shared" si="148"/>
        <v>1572.7589301002449</v>
      </c>
      <c r="BC226" s="41">
        <f t="shared" si="148"/>
        <v>23185.136823629226</v>
      </c>
      <c r="BD226" s="41">
        <f t="shared" si="148"/>
        <v>5317.0084430708457</v>
      </c>
      <c r="BE226" s="41">
        <f t="shared" si="148"/>
        <v>5614.6103296299198</v>
      </c>
      <c r="BF226" s="41">
        <f t="shared" si="148"/>
        <v>5522.4400759979544</v>
      </c>
      <c r="BG226" s="41">
        <f t="shared" si="148"/>
        <v>5587.3270718247677</v>
      </c>
      <c r="BH226" s="41">
        <f t="shared" si="148"/>
        <v>5102.0735684015272</v>
      </c>
      <c r="BI226" s="41">
        <f t="shared" si="148"/>
        <v>4792.5320065074538</v>
      </c>
    </row>
    <row r="227" spans="4:61" x14ac:dyDescent="0.35">
      <c r="E227">
        <v>7</v>
      </c>
      <c r="J227" t="s">
        <v>50</v>
      </c>
      <c r="N227" s="41">
        <f t="shared" ref="N227:BI227" si="149">N147*N134*(1-$I$185)</f>
        <v>0</v>
      </c>
      <c r="O227" s="41">
        <f t="shared" si="149"/>
        <v>0</v>
      </c>
      <c r="P227" s="41">
        <f t="shared" si="149"/>
        <v>0</v>
      </c>
      <c r="Q227" s="41">
        <f t="shared" si="149"/>
        <v>0</v>
      </c>
      <c r="R227" s="41">
        <f t="shared" si="149"/>
        <v>0</v>
      </c>
      <c r="S227" s="41">
        <f t="shared" si="149"/>
        <v>0</v>
      </c>
      <c r="T227" s="41">
        <f t="shared" si="149"/>
        <v>5454.6848660519736</v>
      </c>
      <c r="U227" s="41">
        <f t="shared" si="149"/>
        <v>1245.0050786003235</v>
      </c>
      <c r="V227" s="41">
        <f t="shared" si="149"/>
        <v>1270.1282626824789</v>
      </c>
      <c r="W227" s="41">
        <f t="shared" si="149"/>
        <v>1332.872111308719</v>
      </c>
      <c r="X227" s="41">
        <f t="shared" si="149"/>
        <v>1262.4164191015998</v>
      </c>
      <c r="Y227" s="41">
        <f t="shared" si="149"/>
        <v>1229.9354188198452</v>
      </c>
      <c r="Z227" s="41">
        <f t="shared" si="149"/>
        <v>1115.3616728436696</v>
      </c>
      <c r="AA227" s="41">
        <f t="shared" si="149"/>
        <v>885.88121193253176</v>
      </c>
      <c r="AB227" s="41">
        <f t="shared" si="149"/>
        <v>832.82430725770564</v>
      </c>
      <c r="AC227" s="41">
        <f t="shared" si="149"/>
        <v>656.21842087317282</v>
      </c>
      <c r="AD227" s="41">
        <f t="shared" si="149"/>
        <v>532.0157752714648</v>
      </c>
      <c r="AE227" s="41">
        <f t="shared" si="149"/>
        <v>389.14488927488355</v>
      </c>
      <c r="AF227" s="41">
        <f t="shared" si="149"/>
        <v>18387.537327760074</v>
      </c>
      <c r="AG227" s="41">
        <f t="shared" si="149"/>
        <v>4196.8652485296834</v>
      </c>
      <c r="AH227" s="41">
        <f t="shared" si="149"/>
        <v>4281.55455624347</v>
      </c>
      <c r="AI227" s="41">
        <f t="shared" si="149"/>
        <v>4493.0617078082778</v>
      </c>
      <c r="AJ227" s="41">
        <f t="shared" si="149"/>
        <v>4255.5582218645977</v>
      </c>
      <c r="AK227" s="41">
        <f t="shared" si="149"/>
        <v>4146.0659927459574</v>
      </c>
      <c r="AL227" s="41">
        <f t="shared" si="149"/>
        <v>3759.8422084848776</v>
      </c>
      <c r="AM227" s="41">
        <f t="shared" si="149"/>
        <v>2986.2722141381273</v>
      </c>
      <c r="AN227" s="41">
        <f t="shared" si="149"/>
        <v>2807.41938594351</v>
      </c>
      <c r="AO227" s="41">
        <f t="shared" si="149"/>
        <v>2212.0875917260123</v>
      </c>
      <c r="AP227" s="41">
        <f t="shared" si="149"/>
        <v>1793.4051493320612</v>
      </c>
      <c r="AQ227" s="41">
        <f t="shared" si="149"/>
        <v>1311.7927713811221</v>
      </c>
      <c r="AR227" s="41">
        <f t="shared" si="149"/>
        <v>19343.827525763008</v>
      </c>
      <c r="AS227" s="41">
        <f t="shared" si="149"/>
        <v>4415.1337979263953</v>
      </c>
      <c r="AT227" s="41">
        <f t="shared" si="149"/>
        <v>4504.2275864251142</v>
      </c>
      <c r="AU227" s="41">
        <f t="shared" si="149"/>
        <v>4726.7347002058304</v>
      </c>
      <c r="AV227" s="41">
        <f t="shared" si="149"/>
        <v>4476.8792471905954</v>
      </c>
      <c r="AW227" s="41">
        <f t="shared" si="149"/>
        <v>4361.6925988793655</v>
      </c>
      <c r="AX227" s="41">
        <f t="shared" si="149"/>
        <v>3955.3822737976802</v>
      </c>
      <c r="AY227" s="41">
        <f t="shared" si="149"/>
        <v>3141.5808232272539</v>
      </c>
      <c r="AZ227" s="41">
        <f t="shared" si="149"/>
        <v>2953.4263031617297</v>
      </c>
      <c r="BA227" s="41">
        <f t="shared" si="149"/>
        <v>2327.1327793106398</v>
      </c>
      <c r="BB227" s="41">
        <f t="shared" si="149"/>
        <v>1886.6757018146409</v>
      </c>
      <c r="BC227" s="41">
        <f t="shared" si="149"/>
        <v>1380.0158589388557</v>
      </c>
      <c r="BD227" s="41">
        <f t="shared" si="149"/>
        <v>21278.210278354767</v>
      </c>
      <c r="BE227" s="41">
        <f t="shared" si="149"/>
        <v>4856.6471777225615</v>
      </c>
      <c r="BF227" s="41">
        <f t="shared" si="149"/>
        <v>4954.6503450712253</v>
      </c>
      <c r="BG227" s="41">
        <f t="shared" si="149"/>
        <v>5199.4081702301892</v>
      </c>
      <c r="BH227" s="41">
        <f t="shared" si="149"/>
        <v>4924.5671719132324</v>
      </c>
      <c r="BI227" s="41">
        <f t="shared" si="149"/>
        <v>4797.861858770787</v>
      </c>
    </row>
    <row r="228" spans="4:61" x14ac:dyDescent="0.35">
      <c r="E228">
        <v>8</v>
      </c>
      <c r="J228" t="s">
        <v>50</v>
      </c>
      <c r="N228" s="41">
        <f t="shared" ref="N228:BI228" si="150">N148*N135*(1-$I$185)</f>
        <v>0</v>
      </c>
      <c r="O228" s="41">
        <f t="shared" si="150"/>
        <v>0</v>
      </c>
      <c r="P228" s="41">
        <f t="shared" si="150"/>
        <v>0</v>
      </c>
      <c r="Q228" s="41">
        <f t="shared" si="150"/>
        <v>0</v>
      </c>
      <c r="R228" s="41">
        <f t="shared" si="150"/>
        <v>0</v>
      </c>
      <c r="S228" s="41">
        <f t="shared" si="150"/>
        <v>0</v>
      </c>
      <c r="T228" s="41">
        <f t="shared" si="150"/>
        <v>0</v>
      </c>
      <c r="U228" s="41">
        <f t="shared" si="150"/>
        <v>8442.3672929633776</v>
      </c>
      <c r="V228" s="41">
        <f t="shared" si="150"/>
        <v>1862.7471119513234</v>
      </c>
      <c r="W228" s="41">
        <f t="shared" si="150"/>
        <v>2029.9946282798171</v>
      </c>
      <c r="X228" s="41">
        <f t="shared" si="150"/>
        <v>1996.6699434352306</v>
      </c>
      <c r="Y228" s="41">
        <f t="shared" si="150"/>
        <v>2020.1302096407978</v>
      </c>
      <c r="Z228" s="41">
        <f t="shared" si="150"/>
        <v>1903.605214102379</v>
      </c>
      <c r="AA228" s="41">
        <f t="shared" si="150"/>
        <v>1568.2992507043605</v>
      </c>
      <c r="AB228" s="41">
        <f t="shared" si="150"/>
        <v>1529.0799546206231</v>
      </c>
      <c r="AC228" s="41">
        <f t="shared" si="150"/>
        <v>1251.2355269827433</v>
      </c>
      <c r="AD228" s="41">
        <f t="shared" si="150"/>
        <v>1053.3972674862498</v>
      </c>
      <c r="AE228" s="41">
        <f t="shared" si="150"/>
        <v>800.20191756759164</v>
      </c>
      <c r="AF228" s="41">
        <f t="shared" si="150"/>
        <v>625.50403188705127</v>
      </c>
      <c r="AG228" s="41">
        <f t="shared" si="150"/>
        <v>15711.837600639012</v>
      </c>
      <c r="AH228" s="41">
        <f t="shared" si="150"/>
        <v>3466.7030109472275</v>
      </c>
      <c r="AI228" s="41">
        <f t="shared" si="150"/>
        <v>3777.9623680062041</v>
      </c>
      <c r="AJ228" s="41">
        <f t="shared" si="150"/>
        <v>3715.9427924296915</v>
      </c>
      <c r="AK228" s="41">
        <f t="shared" si="150"/>
        <v>3759.6039931212158</v>
      </c>
      <c r="AL228" s="41">
        <f t="shared" si="150"/>
        <v>3542.7428044542894</v>
      </c>
      <c r="AM228" s="41">
        <f t="shared" si="150"/>
        <v>2918.7148913562032</v>
      </c>
      <c r="AN228" s="41">
        <f t="shared" si="150"/>
        <v>2845.7250308709022</v>
      </c>
      <c r="AO228" s="41">
        <f t="shared" si="150"/>
        <v>2328.6370656354384</v>
      </c>
      <c r="AP228" s="41">
        <f t="shared" si="150"/>
        <v>1960.4461901930958</v>
      </c>
      <c r="AQ228" s="41">
        <f t="shared" si="150"/>
        <v>1489.2318872481526</v>
      </c>
      <c r="AR228" s="41">
        <f t="shared" si="150"/>
        <v>1164.1068703260114</v>
      </c>
      <c r="AS228" s="41">
        <f t="shared" si="150"/>
        <v>15306.310477569037</v>
      </c>
      <c r="AT228" s="41">
        <f t="shared" si="150"/>
        <v>3377.2263924700687</v>
      </c>
      <c r="AU228" s="41">
        <f t="shared" si="150"/>
        <v>3680.45205450208</v>
      </c>
      <c r="AV228" s="41">
        <f t="shared" si="150"/>
        <v>3620.0332223075216</v>
      </c>
      <c r="AW228" s="41">
        <f t="shared" si="150"/>
        <v>3662.5675146413951</v>
      </c>
      <c r="AX228" s="41">
        <f t="shared" si="150"/>
        <v>3451.3035766704697</v>
      </c>
      <c r="AY228" s="41">
        <f t="shared" si="150"/>
        <v>2843.3820064933248</v>
      </c>
      <c r="AZ228" s="41">
        <f t="shared" si="150"/>
        <v>2772.2760356515037</v>
      </c>
      <c r="BA228" s="41">
        <f t="shared" si="150"/>
        <v>2268.5342620103015</v>
      </c>
      <c r="BB228" s="41">
        <f t="shared" si="150"/>
        <v>1909.8465007328275</v>
      </c>
      <c r="BC228" s="41">
        <f t="shared" si="150"/>
        <v>1450.7943767436363</v>
      </c>
      <c r="BD228" s="41">
        <f t="shared" si="150"/>
        <v>1134.0609315842498</v>
      </c>
      <c r="BE228" s="41">
        <f t="shared" si="150"/>
        <v>16836.941525325954</v>
      </c>
      <c r="BF228" s="41">
        <f t="shared" si="150"/>
        <v>3714.9490317170789</v>
      </c>
      <c r="BG228" s="41">
        <f t="shared" si="150"/>
        <v>4048.4972599522916</v>
      </c>
      <c r="BH228" s="41">
        <f t="shared" si="150"/>
        <v>3982.0365445382772</v>
      </c>
      <c r="BI228" s="41">
        <f t="shared" si="150"/>
        <v>4028.8242661055383</v>
      </c>
    </row>
    <row r="229" spans="4:61" x14ac:dyDescent="0.35">
      <c r="E229">
        <v>9</v>
      </c>
      <c r="J229" t="s">
        <v>50</v>
      </c>
      <c r="N229" s="41">
        <f t="shared" ref="N229:BI229" si="151">N149*N136*(1-$I$185)</f>
        <v>0</v>
      </c>
      <c r="O229" s="41">
        <f t="shared" si="151"/>
        <v>0</v>
      </c>
      <c r="P229" s="41">
        <f t="shared" si="151"/>
        <v>0</v>
      </c>
      <c r="Q229" s="41">
        <f t="shared" si="151"/>
        <v>0</v>
      </c>
      <c r="R229" s="41">
        <f t="shared" si="151"/>
        <v>0</v>
      </c>
      <c r="S229" s="41">
        <f t="shared" si="151"/>
        <v>0</v>
      </c>
      <c r="T229" s="41">
        <f t="shared" si="151"/>
        <v>0</v>
      </c>
      <c r="U229" s="41">
        <f t="shared" si="151"/>
        <v>0</v>
      </c>
      <c r="V229" s="41">
        <f t="shared" si="151"/>
        <v>4158.6324004637381</v>
      </c>
      <c r="W229" s="41">
        <f t="shared" si="151"/>
        <v>953.69217585805541</v>
      </c>
      <c r="X229" s="41">
        <f t="shared" si="151"/>
        <v>974.12223726809475</v>
      </c>
      <c r="Y229" s="41">
        <f t="shared" si="151"/>
        <v>1023.4893798106486</v>
      </c>
      <c r="Z229" s="41">
        <f t="shared" si="151"/>
        <v>1002.1782303737785</v>
      </c>
      <c r="AA229" s="41">
        <f t="shared" si="151"/>
        <v>856.40546043828556</v>
      </c>
      <c r="AB229" s="41">
        <f t="shared" si="151"/>
        <v>865.99196521356293</v>
      </c>
      <c r="AC229" s="41">
        <f t="shared" si="151"/>
        <v>735.92433369607784</v>
      </c>
      <c r="AD229" s="41">
        <f t="shared" si="151"/>
        <v>643.37866169327901</v>
      </c>
      <c r="AE229" s="41">
        <f t="shared" si="151"/>
        <v>507.56446651281607</v>
      </c>
      <c r="AF229" s="41">
        <f t="shared" si="151"/>
        <v>411.99841227302517</v>
      </c>
      <c r="AG229" s="41">
        <f t="shared" si="151"/>
        <v>310.30995961378778</v>
      </c>
      <c r="AH229" s="41">
        <f t="shared" si="151"/>
        <v>15429.500484581245</v>
      </c>
      <c r="AI229" s="41">
        <f t="shared" si="151"/>
        <v>3538.4214021663242</v>
      </c>
      <c r="AJ229" s="41">
        <f t="shared" si="151"/>
        <v>3614.2217163251507</v>
      </c>
      <c r="AK229" s="41">
        <f t="shared" si="151"/>
        <v>3797.3853808264389</v>
      </c>
      <c r="AL229" s="41">
        <f t="shared" si="151"/>
        <v>3718.31602366794</v>
      </c>
      <c r="AM229" s="41">
        <f t="shared" si="151"/>
        <v>3177.4648957568447</v>
      </c>
      <c r="AN229" s="41">
        <f t="shared" si="151"/>
        <v>3213.0330743866966</v>
      </c>
      <c r="AO229" s="41">
        <f t="shared" si="151"/>
        <v>2730.4516893853247</v>
      </c>
      <c r="AP229" s="41">
        <f t="shared" si="151"/>
        <v>2387.0855647781459</v>
      </c>
      <c r="AQ229" s="41">
        <f t="shared" si="151"/>
        <v>1883.1830822898439</v>
      </c>
      <c r="AR229" s="41">
        <f t="shared" si="151"/>
        <v>1528.6106319722967</v>
      </c>
      <c r="AS229" s="41">
        <f t="shared" si="151"/>
        <v>1151.3226491712546</v>
      </c>
      <c r="AT229" s="41">
        <f t="shared" si="151"/>
        <v>17562.510596665772</v>
      </c>
      <c r="AU229" s="41">
        <f t="shared" si="151"/>
        <v>4027.5810246167921</v>
      </c>
      <c r="AV229" s="41">
        <f t="shared" si="151"/>
        <v>4113.8601508902129</v>
      </c>
      <c r="AW229" s="41">
        <f t="shared" si="151"/>
        <v>4322.344787313963</v>
      </c>
      <c r="AX229" s="41">
        <f t="shared" si="151"/>
        <v>4232.3446979166838</v>
      </c>
      <c r="AY229" s="41">
        <f t="shared" si="151"/>
        <v>3616.7250493966731</v>
      </c>
      <c r="AZ229" s="41">
        <f t="shared" si="151"/>
        <v>3657.2102559472742</v>
      </c>
      <c r="BA229" s="41">
        <f t="shared" si="151"/>
        <v>3107.9156954195573</v>
      </c>
      <c r="BB229" s="41">
        <f t="shared" si="151"/>
        <v>2717.0818373840493</v>
      </c>
      <c r="BC229" s="41">
        <f t="shared" si="151"/>
        <v>2143.5187011548096</v>
      </c>
      <c r="BD229" s="41">
        <f t="shared" si="151"/>
        <v>1739.9293288215629</v>
      </c>
      <c r="BE229" s="41">
        <f t="shared" si="151"/>
        <v>1310.4841758459713</v>
      </c>
      <c r="BF229" s="41">
        <f t="shared" si="151"/>
        <v>19318.76165633235</v>
      </c>
      <c r="BG229" s="41">
        <f t="shared" si="151"/>
        <v>4430.3391270784723</v>
      </c>
      <c r="BH229" s="41">
        <f t="shared" si="151"/>
        <v>4525.2461659792343</v>
      </c>
      <c r="BI229" s="41">
        <f t="shared" si="151"/>
        <v>4754.5792660453599</v>
      </c>
    </row>
    <row r="230" spans="4:61" x14ac:dyDescent="0.35">
      <c r="E230">
        <v>10</v>
      </c>
      <c r="J230" t="s">
        <v>50</v>
      </c>
      <c r="N230" s="41">
        <f t="shared" ref="N230:BI230" si="152">N150*N137*(1-$I$185)</f>
        <v>0</v>
      </c>
      <c r="O230" s="41">
        <f t="shared" si="152"/>
        <v>0</v>
      </c>
      <c r="P230" s="41">
        <f t="shared" si="152"/>
        <v>0</v>
      </c>
      <c r="Q230" s="41">
        <f t="shared" si="152"/>
        <v>0</v>
      </c>
      <c r="R230" s="41">
        <f t="shared" si="152"/>
        <v>0</v>
      </c>
      <c r="S230" s="41">
        <f t="shared" si="152"/>
        <v>0</v>
      </c>
      <c r="T230" s="41">
        <f t="shared" si="152"/>
        <v>0</v>
      </c>
      <c r="U230" s="41">
        <f t="shared" si="152"/>
        <v>0</v>
      </c>
      <c r="V230" s="41">
        <f t="shared" si="152"/>
        <v>0</v>
      </c>
      <c r="W230" s="41">
        <f t="shared" si="152"/>
        <v>4493.5229749744267</v>
      </c>
      <c r="X230" s="41">
        <f t="shared" si="152"/>
        <v>991.4632535707234</v>
      </c>
      <c r="Y230" s="41">
        <f t="shared" si="152"/>
        <v>1080.4821899721153</v>
      </c>
      <c r="Z230" s="41">
        <f t="shared" si="152"/>
        <v>1098.0087029671738</v>
      </c>
      <c r="AA230" s="41">
        <f t="shared" si="152"/>
        <v>972.07759879655407</v>
      </c>
      <c r="AB230" s="41">
        <f t="shared" si="152"/>
        <v>1018.2798659145117</v>
      </c>
      <c r="AC230" s="41">
        <f t="shared" si="152"/>
        <v>897.56160418034449</v>
      </c>
      <c r="AD230" s="41">
        <f t="shared" si="152"/>
        <v>813.86602456724324</v>
      </c>
      <c r="AE230" s="41">
        <f t="shared" si="152"/>
        <v>665.98092602384736</v>
      </c>
      <c r="AF230" s="41">
        <f t="shared" si="152"/>
        <v>560.67980211782981</v>
      </c>
      <c r="AG230" s="41">
        <f t="shared" si="152"/>
        <v>438.27006837912154</v>
      </c>
      <c r="AH230" s="41">
        <f t="shared" si="152"/>
        <v>320.57424828213846</v>
      </c>
      <c r="AI230" s="41">
        <f t="shared" si="152"/>
        <v>19186.480366171563</v>
      </c>
      <c r="AJ230" s="41">
        <f t="shared" si="152"/>
        <v>4233.3577360920308</v>
      </c>
      <c r="AK230" s="41">
        <f t="shared" si="152"/>
        <v>4613.4515032753397</v>
      </c>
      <c r="AL230" s="41">
        <f t="shared" si="152"/>
        <v>4688.2863487495761</v>
      </c>
      <c r="AM230" s="41">
        <f t="shared" si="152"/>
        <v>4150.5847121681691</v>
      </c>
      <c r="AN230" s="41">
        <f t="shared" si="152"/>
        <v>4347.8595221264632</v>
      </c>
      <c r="AO230" s="41">
        <f t="shared" si="152"/>
        <v>3832.4157219055155</v>
      </c>
      <c r="AP230" s="41">
        <f t="shared" si="152"/>
        <v>3475.0516661467359</v>
      </c>
      <c r="AQ230" s="41">
        <f t="shared" si="152"/>
        <v>2843.6106886655066</v>
      </c>
      <c r="AR230" s="41">
        <f t="shared" si="152"/>
        <v>2393.9951069469989</v>
      </c>
      <c r="AS230" s="41">
        <f t="shared" si="152"/>
        <v>1871.3290460219673</v>
      </c>
      <c r="AT230" s="41">
        <f t="shared" si="152"/>
        <v>1368.7904912960778</v>
      </c>
      <c r="AU230" s="41">
        <f t="shared" si="152"/>
        <v>21144.45753571669</v>
      </c>
      <c r="AV230" s="41">
        <f t="shared" si="152"/>
        <v>4665.3711976334071</v>
      </c>
      <c r="AW230" s="41">
        <f t="shared" si="152"/>
        <v>5084.2534713185896</v>
      </c>
      <c r="AX230" s="41">
        <f t="shared" si="152"/>
        <v>5166.7252004801185</v>
      </c>
      <c r="AY230" s="41">
        <f t="shared" si="152"/>
        <v>4574.1512002154977</v>
      </c>
      <c r="AZ230" s="41">
        <f t="shared" si="152"/>
        <v>4791.5578721230904</v>
      </c>
      <c r="BA230" s="41">
        <f t="shared" si="152"/>
        <v>4223.5131167631462</v>
      </c>
      <c r="BB230" s="41">
        <f t="shared" si="152"/>
        <v>3829.6801178194869</v>
      </c>
      <c r="BC230" s="41">
        <f t="shared" si="152"/>
        <v>3133.8006923150674</v>
      </c>
      <c r="BD230" s="41">
        <f t="shared" si="152"/>
        <v>2638.3019143419333</v>
      </c>
      <c r="BE230" s="41">
        <f t="shared" si="152"/>
        <v>2062.2978677594783</v>
      </c>
      <c r="BF230" s="41">
        <f t="shared" si="152"/>
        <v>1508.4753360773798</v>
      </c>
      <c r="BG230" s="41">
        <f t="shared" si="152"/>
        <v>23258.903289288359</v>
      </c>
      <c r="BH230" s="41">
        <f t="shared" si="152"/>
        <v>5131.9083173967483</v>
      </c>
      <c r="BI230" s="41">
        <f t="shared" si="152"/>
        <v>5592.6788184504494</v>
      </c>
    </row>
    <row r="231" spans="4:61" x14ac:dyDescent="0.35">
      <c r="E231">
        <v>11</v>
      </c>
      <c r="J231" t="s">
        <v>50</v>
      </c>
      <c r="N231" s="41">
        <f t="shared" ref="N231:BI231" si="153">N151*N138*(1-$I$185)</f>
        <v>0</v>
      </c>
      <c r="O231" s="41">
        <f t="shared" si="153"/>
        <v>0</v>
      </c>
      <c r="P231" s="41">
        <f t="shared" si="153"/>
        <v>0</v>
      </c>
      <c r="Q231" s="41">
        <f t="shared" si="153"/>
        <v>0</v>
      </c>
      <c r="R231" s="41">
        <f t="shared" si="153"/>
        <v>0</v>
      </c>
      <c r="S231" s="41">
        <f t="shared" si="153"/>
        <v>0</v>
      </c>
      <c r="T231" s="41">
        <f t="shared" si="153"/>
        <v>0</v>
      </c>
      <c r="U231" s="41">
        <f t="shared" si="153"/>
        <v>0</v>
      </c>
      <c r="V231" s="41">
        <f t="shared" si="153"/>
        <v>0</v>
      </c>
      <c r="W231" s="41">
        <f t="shared" si="153"/>
        <v>0</v>
      </c>
      <c r="X231" s="41">
        <f t="shared" si="153"/>
        <v>6169.0251580680633</v>
      </c>
      <c r="Y231" s="41">
        <f t="shared" si="153"/>
        <v>1414.7321665807608</v>
      </c>
      <c r="Z231" s="41">
        <f t="shared" si="153"/>
        <v>1493.9171004130408</v>
      </c>
      <c r="AA231" s="41">
        <f t="shared" si="153"/>
        <v>1371.7806295035548</v>
      </c>
      <c r="AB231" s="41">
        <f t="shared" si="153"/>
        <v>1490.4019721508366</v>
      </c>
      <c r="AC231" s="41">
        <f t="shared" si="153"/>
        <v>1364.2822836424971</v>
      </c>
      <c r="AD231" s="41">
        <f t="shared" si="153"/>
        <v>1284.6353574053667</v>
      </c>
      <c r="AE231" s="41">
        <f t="shared" si="153"/>
        <v>1091.6895969211707</v>
      </c>
      <c r="AF231" s="41">
        <f t="shared" si="153"/>
        <v>954.4049023682411</v>
      </c>
      <c r="AG231" s="41">
        <f t="shared" si="153"/>
        <v>775.21790920185606</v>
      </c>
      <c r="AH231" s="41">
        <f t="shared" si="153"/>
        <v>588.88595653601465</v>
      </c>
      <c r="AI231" s="41">
        <f t="shared" si="153"/>
        <v>460.32199129768532</v>
      </c>
      <c r="AJ231" s="41">
        <f t="shared" si="153"/>
        <v>18831.332370591983</v>
      </c>
      <c r="AK231" s="41">
        <f t="shared" si="153"/>
        <v>4318.5577885685252</v>
      </c>
      <c r="AL231" s="41">
        <f t="shared" si="153"/>
        <v>4560.2747162080268</v>
      </c>
      <c r="AM231" s="41">
        <f t="shared" si="153"/>
        <v>4187.4455544952298</v>
      </c>
      <c r="AN231" s="41">
        <f t="shared" si="153"/>
        <v>4549.5445689100761</v>
      </c>
      <c r="AO231" s="41">
        <f t="shared" si="153"/>
        <v>4164.5563881324433</v>
      </c>
      <c r="AP231" s="41">
        <f t="shared" si="153"/>
        <v>3921.429199988971</v>
      </c>
      <c r="AQ231" s="41">
        <f t="shared" si="153"/>
        <v>3332.4502848320758</v>
      </c>
      <c r="AR231" s="41">
        <f t="shared" si="153"/>
        <v>2913.3802297942334</v>
      </c>
      <c r="AS231" s="41">
        <f t="shared" si="153"/>
        <v>2366.4008062478524</v>
      </c>
      <c r="AT231" s="41">
        <f t="shared" si="153"/>
        <v>1797.6109501515709</v>
      </c>
      <c r="AU231" s="41">
        <f t="shared" si="153"/>
        <v>1405.1614628743298</v>
      </c>
      <c r="AV231" s="41">
        <f t="shared" si="153"/>
        <v>21530.336556826456</v>
      </c>
      <c r="AW231" s="41">
        <f t="shared" si="153"/>
        <v>4937.5158803519971</v>
      </c>
      <c r="AX231" s="41">
        <f t="shared" si="153"/>
        <v>5213.8769312401309</v>
      </c>
      <c r="AY231" s="41">
        <f t="shared" si="153"/>
        <v>4787.6119611410631</v>
      </c>
      <c r="AZ231" s="41">
        <f t="shared" si="153"/>
        <v>5201.6088836010822</v>
      </c>
      <c r="BA231" s="41">
        <f t="shared" si="153"/>
        <v>4761.442200786476</v>
      </c>
      <c r="BB231" s="41">
        <f t="shared" si="153"/>
        <v>4483.4687635474584</v>
      </c>
      <c r="BC231" s="41">
        <f t="shared" si="153"/>
        <v>3810.0743367141413</v>
      </c>
      <c r="BD231" s="41">
        <f t="shared" si="153"/>
        <v>3330.9409887231673</v>
      </c>
      <c r="BE231" s="41">
        <f t="shared" si="153"/>
        <v>2705.5656383839869</v>
      </c>
      <c r="BF231" s="41">
        <f t="shared" si="153"/>
        <v>2055.2538712258543</v>
      </c>
      <c r="BG231" s="41">
        <f t="shared" si="153"/>
        <v>1606.5564887810363</v>
      </c>
      <c r="BH231" s="41">
        <f t="shared" si="153"/>
        <v>23683.370212509104</v>
      </c>
      <c r="BI231" s="41">
        <f t="shared" si="153"/>
        <v>5431.2674683871983</v>
      </c>
    </row>
    <row r="232" spans="4:61" x14ac:dyDescent="0.35">
      <c r="E232">
        <v>12</v>
      </c>
      <c r="J232" t="s">
        <v>50</v>
      </c>
      <c r="N232" s="41">
        <f t="shared" ref="N232:BI232" si="154">N152*N139*(1-$I$185)</f>
        <v>0</v>
      </c>
      <c r="O232" s="41">
        <f t="shared" si="154"/>
        <v>0</v>
      </c>
      <c r="P232" s="41">
        <f t="shared" si="154"/>
        <v>0</v>
      </c>
      <c r="Q232" s="41">
        <f t="shared" si="154"/>
        <v>0</v>
      </c>
      <c r="R232" s="41">
        <f t="shared" si="154"/>
        <v>0</v>
      </c>
      <c r="S232" s="41">
        <f t="shared" si="154"/>
        <v>0</v>
      </c>
      <c r="T232" s="41">
        <f t="shared" si="154"/>
        <v>0</v>
      </c>
      <c r="U232" s="41">
        <f t="shared" si="154"/>
        <v>0</v>
      </c>
      <c r="V232" s="41">
        <f t="shared" si="154"/>
        <v>0</v>
      </c>
      <c r="W232" s="41">
        <f t="shared" si="154"/>
        <v>0</v>
      </c>
      <c r="X232" s="41">
        <f t="shared" si="154"/>
        <v>0</v>
      </c>
      <c r="Y232" s="41">
        <f t="shared" si="154"/>
        <v>9509.2448408345354</v>
      </c>
      <c r="Z232" s="41">
        <f t="shared" si="154"/>
        <v>2170.4385150047851</v>
      </c>
      <c r="AA232" s="41">
        <f t="shared" si="154"/>
        <v>2064.6554191919035</v>
      </c>
      <c r="AB232" s="41">
        <f t="shared" si="154"/>
        <v>2323.8969533809291</v>
      </c>
      <c r="AC232" s="41">
        <f t="shared" si="154"/>
        <v>2206.4241829558759</v>
      </c>
      <c r="AD232" s="41">
        <f t="shared" si="154"/>
        <v>2154.8955274960763</v>
      </c>
      <c r="AE232" s="41">
        <f t="shared" si="154"/>
        <v>1899.4301579000355</v>
      </c>
      <c r="AF232" s="41">
        <f t="shared" si="154"/>
        <v>1722.3126126979728</v>
      </c>
      <c r="AG232" s="41">
        <f t="shared" si="154"/>
        <v>1451.8767704437491</v>
      </c>
      <c r="AH232" s="41">
        <f t="shared" si="154"/>
        <v>1143.9967269209696</v>
      </c>
      <c r="AI232" s="41">
        <f t="shared" si="154"/>
        <v>927.47214375822352</v>
      </c>
      <c r="AJ232" s="41">
        <f t="shared" si="154"/>
        <v>678.40289980907119</v>
      </c>
      <c r="AK232" s="41">
        <f t="shared" si="154"/>
        <v>21508.883228778344</v>
      </c>
      <c r="AL232" s="41">
        <f t="shared" si="154"/>
        <v>4909.2971477621577</v>
      </c>
      <c r="AM232" s="41">
        <f t="shared" si="154"/>
        <v>4670.0272274371</v>
      </c>
      <c r="AN232" s="41">
        <f t="shared" si="154"/>
        <v>5256.4035359928221</v>
      </c>
      <c r="AO232" s="41">
        <f t="shared" si="154"/>
        <v>4990.6928361501405</v>
      </c>
      <c r="AP232" s="41">
        <f t="shared" si="154"/>
        <v>4874.1405912798191</v>
      </c>
      <c r="AQ232" s="41">
        <f t="shared" si="154"/>
        <v>4296.3055585711954</v>
      </c>
      <c r="AR232" s="41">
        <f t="shared" si="154"/>
        <v>3895.6848298714904</v>
      </c>
      <c r="AS232" s="41">
        <f t="shared" si="154"/>
        <v>3283.9882073443187</v>
      </c>
      <c r="AT232" s="41">
        <f t="shared" si="154"/>
        <v>2587.5968518324862</v>
      </c>
      <c r="AU232" s="41">
        <f t="shared" si="154"/>
        <v>2097.8416658677206</v>
      </c>
      <c r="AV232" s="41">
        <f t="shared" si="154"/>
        <v>1534.4739775127455</v>
      </c>
      <c r="AW232" s="41">
        <f t="shared" si="154"/>
        <v>23923.68087584095</v>
      </c>
      <c r="AX232" s="41">
        <f t="shared" si="154"/>
        <v>5460.4628719446946</v>
      </c>
      <c r="AY232" s="41">
        <f t="shared" si="154"/>
        <v>5194.3301696486624</v>
      </c>
      <c r="AZ232" s="41">
        <f t="shared" si="154"/>
        <v>5846.5388189694813</v>
      </c>
      <c r="BA232" s="41">
        <f t="shared" si="154"/>
        <v>5550.9968365839213</v>
      </c>
      <c r="BB232" s="41">
        <f t="shared" si="154"/>
        <v>5421.3592965042171</v>
      </c>
      <c r="BC232" s="41">
        <f t="shared" si="154"/>
        <v>4778.6508502141669</v>
      </c>
      <c r="BD232" s="41">
        <f t="shared" si="154"/>
        <v>4333.0525193424364</v>
      </c>
      <c r="BE232" s="41">
        <f t="shared" si="154"/>
        <v>3652.6808499016993</v>
      </c>
      <c r="BF232" s="41">
        <f t="shared" si="154"/>
        <v>2878.1057882049399</v>
      </c>
      <c r="BG232" s="41">
        <f t="shared" si="154"/>
        <v>2333.3658939164034</v>
      </c>
      <c r="BH232" s="41">
        <f t="shared" si="154"/>
        <v>1706.7490375874027</v>
      </c>
      <c r="BI232" s="41">
        <f t="shared" si="154"/>
        <v>26316.048963425052</v>
      </c>
    </row>
    <row r="233" spans="4:61" x14ac:dyDescent="0.35"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</row>
    <row r="234" spans="4:61" x14ac:dyDescent="0.35">
      <c r="E234" t="s">
        <v>111</v>
      </c>
      <c r="J234" t="s">
        <v>51</v>
      </c>
      <c r="N234" s="41">
        <f>SUMPRODUCT(N207:N218,N221:N232)</f>
        <v>0</v>
      </c>
      <c r="O234" s="41">
        <f t="shared" ref="O234:BI234" si="155">SUMPRODUCT(O207:O218,O221:O232)</f>
        <v>0</v>
      </c>
      <c r="P234" s="41">
        <f t="shared" si="155"/>
        <v>0</v>
      </c>
      <c r="Q234" s="41">
        <f t="shared" si="155"/>
        <v>509742.94863539404</v>
      </c>
      <c r="R234" s="41">
        <f t="shared" si="155"/>
        <v>3403712.4742259425</v>
      </c>
      <c r="S234" s="41">
        <f t="shared" si="155"/>
        <v>7128197.207521935</v>
      </c>
      <c r="T234" s="41">
        <f t="shared" si="155"/>
        <v>28655264.391215116</v>
      </c>
      <c r="U234" s="41">
        <f t="shared" si="155"/>
        <v>60718539.554636896</v>
      </c>
      <c r="V234" s="41">
        <f t="shared" si="155"/>
        <v>37083407.428415075</v>
      </c>
      <c r="W234" s="41">
        <f t="shared" si="155"/>
        <v>40169345.325552151</v>
      </c>
      <c r="X234" s="41">
        <f t="shared" si="155"/>
        <v>46783519.968227252</v>
      </c>
      <c r="Y234" s="41">
        <f t="shared" si="155"/>
        <v>62654269.273193583</v>
      </c>
      <c r="Z234" s="41">
        <f t="shared" si="155"/>
        <v>68025582.200891197</v>
      </c>
      <c r="AA234" s="41">
        <f t="shared" si="155"/>
        <v>66019899.793438576</v>
      </c>
      <c r="AB234" s="41">
        <f t="shared" si="155"/>
        <v>85032527.550904647</v>
      </c>
      <c r="AC234" s="41">
        <f t="shared" si="155"/>
        <v>95364022.754400298</v>
      </c>
      <c r="AD234" s="41">
        <f t="shared" si="155"/>
        <v>108557463.510721</v>
      </c>
      <c r="AE234" s="41">
        <f t="shared" si="155"/>
        <v>130140290.41751076</v>
      </c>
      <c r="AF234" s="41">
        <f t="shared" si="155"/>
        <v>141251507.01747793</v>
      </c>
      <c r="AG234" s="41">
        <f t="shared" si="155"/>
        <v>139159577.6582123</v>
      </c>
      <c r="AH234" s="41">
        <f t="shared" si="155"/>
        <v>139587441.87555146</v>
      </c>
      <c r="AI234" s="41">
        <f t="shared" si="155"/>
        <v>156622740.31421933</v>
      </c>
      <c r="AJ234" s="41">
        <f t="shared" si="155"/>
        <v>165001856.44919685</v>
      </c>
      <c r="AK234" s="41">
        <f t="shared" si="155"/>
        <v>187541272.54311901</v>
      </c>
      <c r="AL234" s="41">
        <f t="shared" si="155"/>
        <v>184600654.41982979</v>
      </c>
      <c r="AM234" s="41">
        <f t="shared" si="155"/>
        <v>173130120.42007142</v>
      </c>
      <c r="AN234" s="41">
        <f t="shared" si="155"/>
        <v>198950266.41112623</v>
      </c>
      <c r="AO234" s="41">
        <f t="shared" si="155"/>
        <v>197101298.61384284</v>
      </c>
      <c r="AP234" s="41">
        <f t="shared" si="155"/>
        <v>206659028.58972105</v>
      </c>
      <c r="AQ234" s="41">
        <f t="shared" si="155"/>
        <v>199799305.46874478</v>
      </c>
      <c r="AR234" s="41">
        <f t="shared" si="155"/>
        <v>199778862.81600019</v>
      </c>
      <c r="AS234" s="41">
        <f t="shared" si="155"/>
        <v>186631202.46530092</v>
      </c>
      <c r="AT234" s="41">
        <f t="shared" si="155"/>
        <v>186365514.21371439</v>
      </c>
      <c r="AU234" s="41">
        <f t="shared" si="155"/>
        <v>199724391.75540212</v>
      </c>
      <c r="AV234" s="41">
        <f t="shared" si="155"/>
        <v>196315095.55029151</v>
      </c>
      <c r="AW234" s="41">
        <f t="shared" si="155"/>
        <v>207808643.41029739</v>
      </c>
      <c r="AX234" s="41">
        <f t="shared" si="155"/>
        <v>205081311.9846147</v>
      </c>
      <c r="AY234" s="41">
        <f t="shared" si="155"/>
        <v>191096920.49873343</v>
      </c>
      <c r="AZ234" s="41">
        <f t="shared" si="155"/>
        <v>218187492.36831683</v>
      </c>
      <c r="BA234" s="41">
        <f t="shared" si="155"/>
        <v>215539498.3780469</v>
      </c>
      <c r="BB234" s="41">
        <f t="shared" si="155"/>
        <v>226032637.73718202</v>
      </c>
      <c r="BC234" s="41">
        <f t="shared" si="155"/>
        <v>220058364.35968471</v>
      </c>
      <c r="BD234" s="41">
        <f t="shared" si="155"/>
        <v>221553160.58897379</v>
      </c>
      <c r="BE234" s="41">
        <f t="shared" si="155"/>
        <v>208257094.25626764</v>
      </c>
      <c r="BF234" s="41">
        <f t="shared" si="155"/>
        <v>208707034.64173955</v>
      </c>
      <c r="BG234" s="41">
        <f t="shared" si="155"/>
        <v>224251782.08309859</v>
      </c>
      <c r="BH234" s="41">
        <f t="shared" si="155"/>
        <v>221144430.68385324</v>
      </c>
      <c r="BI234" s="41">
        <f t="shared" si="155"/>
        <v>235077065.43479133</v>
      </c>
    </row>
    <row r="235" spans="4:61" x14ac:dyDescent="0.35"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</row>
    <row r="236" spans="4:61" x14ac:dyDescent="0.35">
      <c r="D236" s="1" t="s">
        <v>93</v>
      </c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</row>
    <row r="237" spans="4:61" x14ac:dyDescent="0.35"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</row>
    <row r="238" spans="4:61" s="4" customFormat="1" x14ac:dyDescent="0.35">
      <c r="E238" s="4" t="str">
        <f>Time!E$38</f>
        <v>Bool-Projeté</v>
      </c>
      <c r="J238" s="4" t="str">
        <f>Time!J$38</f>
        <v>booléen</v>
      </c>
      <c r="N238" s="83">
        <f>Time!N$38</f>
        <v>0</v>
      </c>
      <c r="O238" s="83">
        <f>Time!O$38</f>
        <v>0</v>
      </c>
      <c r="P238" s="83">
        <f>Time!P$38</f>
        <v>0</v>
      </c>
      <c r="Q238" s="83">
        <f>Time!Q$38</f>
        <v>0</v>
      </c>
      <c r="R238" s="83">
        <f>Time!R$38</f>
        <v>0</v>
      </c>
      <c r="S238" s="83">
        <f>Time!S$38</f>
        <v>0</v>
      </c>
      <c r="T238" s="83">
        <f>Time!T$38</f>
        <v>0</v>
      </c>
      <c r="U238" s="83">
        <f>Time!U$38</f>
        <v>0</v>
      </c>
      <c r="V238" s="83">
        <f>Time!V$38</f>
        <v>0</v>
      </c>
      <c r="W238" s="83">
        <f>Time!W$38</f>
        <v>0</v>
      </c>
      <c r="X238" s="83">
        <f>Time!X$38</f>
        <v>0</v>
      </c>
      <c r="Y238" s="83">
        <f>Time!Y$38</f>
        <v>0</v>
      </c>
      <c r="Z238" s="83">
        <f>Time!Z$38</f>
        <v>0</v>
      </c>
      <c r="AA238" s="83">
        <f>Time!AA$38</f>
        <v>0</v>
      </c>
      <c r="AB238" s="83">
        <f>Time!AB$38</f>
        <v>0</v>
      </c>
      <c r="AC238" s="83">
        <f>Time!AC$38</f>
        <v>0</v>
      </c>
      <c r="AD238" s="83">
        <f>Time!AD$38</f>
        <v>0</v>
      </c>
      <c r="AE238" s="83">
        <f>Time!AE$38</f>
        <v>0</v>
      </c>
      <c r="AF238" s="83">
        <f>Time!AF$38</f>
        <v>0</v>
      </c>
      <c r="AG238" s="83">
        <f>Time!AG$38</f>
        <v>0</v>
      </c>
      <c r="AH238" s="83">
        <f>Time!AH$38</f>
        <v>0</v>
      </c>
      <c r="AI238" s="83">
        <f>Time!AI$38</f>
        <v>0</v>
      </c>
      <c r="AJ238" s="83">
        <f>Time!AJ$38</f>
        <v>0</v>
      </c>
      <c r="AK238" s="83">
        <f>Time!AK$38</f>
        <v>0</v>
      </c>
      <c r="AL238" s="83">
        <f>Time!AL$38</f>
        <v>1</v>
      </c>
      <c r="AM238" s="83">
        <f>Time!AM$38</f>
        <v>1</v>
      </c>
      <c r="AN238" s="83">
        <f>Time!AN$38</f>
        <v>1</v>
      </c>
      <c r="AO238" s="83">
        <f>Time!AO$38</f>
        <v>1</v>
      </c>
      <c r="AP238" s="83">
        <f>Time!AP$38</f>
        <v>1</v>
      </c>
      <c r="AQ238" s="83">
        <f>Time!AQ$38</f>
        <v>1</v>
      </c>
      <c r="AR238" s="83">
        <f>Time!AR$38</f>
        <v>1</v>
      </c>
      <c r="AS238" s="83">
        <f>Time!AS$38</f>
        <v>1</v>
      </c>
      <c r="AT238" s="83">
        <f>Time!AT$38</f>
        <v>1</v>
      </c>
      <c r="AU238" s="83">
        <f>Time!AU$38</f>
        <v>1</v>
      </c>
      <c r="AV238" s="83">
        <f>Time!AV$38</f>
        <v>1</v>
      </c>
      <c r="AW238" s="83">
        <f>Time!AW$38</f>
        <v>1</v>
      </c>
      <c r="AX238" s="83">
        <f>Time!AX$38</f>
        <v>1</v>
      </c>
      <c r="AY238" s="83">
        <f>Time!AY$38</f>
        <v>1</v>
      </c>
      <c r="AZ238" s="83">
        <f>Time!AZ$38</f>
        <v>1</v>
      </c>
      <c r="BA238" s="83">
        <f>Time!BA$38</f>
        <v>1</v>
      </c>
      <c r="BB238" s="83">
        <f>Time!BB$38</f>
        <v>1</v>
      </c>
      <c r="BC238" s="83">
        <f>Time!BC$38</f>
        <v>1</v>
      </c>
      <c r="BD238" s="83">
        <f>Time!BD$38</f>
        <v>1</v>
      </c>
      <c r="BE238" s="83">
        <f>Time!BE$38</f>
        <v>1</v>
      </c>
      <c r="BF238" s="83">
        <f>Time!BF$38</f>
        <v>1</v>
      </c>
      <c r="BG238" s="83">
        <f>Time!BG$38</f>
        <v>1</v>
      </c>
      <c r="BH238" s="83">
        <f>Time!BH$38</f>
        <v>1</v>
      </c>
      <c r="BI238" s="83">
        <f>Time!BI$38</f>
        <v>1</v>
      </c>
    </row>
    <row r="239" spans="4:61" s="4" customFormat="1" x14ac:dyDescent="0.35">
      <c r="E239" s="4" t="str">
        <f>Données_historiques!E16</f>
        <v>Demande de solde-Exécution</v>
      </c>
      <c r="J239" s="4" t="str">
        <f>Données_historiques!J16</f>
        <v>Volume</v>
      </c>
      <c r="N239" s="85">
        <f>Données_historiques!N16</f>
        <v>0</v>
      </c>
      <c r="O239" s="85">
        <f>Données_historiques!O16</f>
        <v>0</v>
      </c>
      <c r="P239" s="85">
        <f>Données_historiques!P16</f>
        <v>0</v>
      </c>
      <c r="Q239" s="85">
        <f>Données_historiques!Q16</f>
        <v>87</v>
      </c>
      <c r="R239" s="85">
        <f>Données_historiques!R16</f>
        <v>636</v>
      </c>
      <c r="S239" s="85">
        <f>Données_historiques!S16</f>
        <v>2269</v>
      </c>
      <c r="T239" s="85">
        <f>Données_historiques!T16</f>
        <v>4269</v>
      </c>
      <c r="U239" s="85">
        <f>Données_historiques!U16</f>
        <v>6469</v>
      </c>
      <c r="V239" s="85">
        <f>Données_historiques!V16</f>
        <v>10749</v>
      </c>
      <c r="W239" s="85">
        <f>Données_historiques!W16</f>
        <v>14183</v>
      </c>
      <c r="X239" s="85">
        <f>Données_historiques!X16</f>
        <v>16574</v>
      </c>
      <c r="Y239" s="85">
        <f>Données_historiques!Y16</f>
        <v>19960</v>
      </c>
      <c r="Z239" s="85">
        <f>Données_historiques!Z16</f>
        <v>21697</v>
      </c>
      <c r="AA239" s="85">
        <f>Données_historiques!AA16</f>
        <v>27179</v>
      </c>
      <c r="AB239" s="85">
        <f>Données_historiques!AB16</f>
        <v>32553</v>
      </c>
      <c r="AC239" s="85">
        <f>Données_historiques!AC16</f>
        <v>34544</v>
      </c>
      <c r="AD239" s="85">
        <f>Données_historiques!AD16</f>
        <v>32781</v>
      </c>
      <c r="AE239" s="85">
        <f>Données_historiques!AE16</f>
        <v>38664</v>
      </c>
      <c r="AF239" s="85">
        <f>Données_historiques!AF16</f>
        <v>40773</v>
      </c>
      <c r="AG239" s="85">
        <f>Données_historiques!AG16</f>
        <v>27624</v>
      </c>
      <c r="AH239" s="85">
        <f>Données_historiques!AH16</f>
        <v>44997</v>
      </c>
      <c r="AI239" s="85">
        <f>Données_historiques!AI16</f>
        <v>51424</v>
      </c>
      <c r="AJ239" s="85">
        <f>Données_historiques!AJ16</f>
        <v>53131</v>
      </c>
      <c r="AK239" s="85">
        <f>Données_historiques!AK16</f>
        <v>56324</v>
      </c>
      <c r="AL239" s="85">
        <f>Données_historiques!AL16</f>
        <v>0</v>
      </c>
      <c r="AM239" s="85">
        <f>Données_historiques!AM16</f>
        <v>0</v>
      </c>
      <c r="AN239" s="85">
        <f>Données_historiques!AN16</f>
        <v>0</v>
      </c>
      <c r="AO239" s="85">
        <f>Données_historiques!AO16</f>
        <v>0</v>
      </c>
      <c r="AP239" s="85">
        <f>Données_historiques!AP16</f>
        <v>0</v>
      </c>
      <c r="AQ239" s="85">
        <f>Données_historiques!AQ16</f>
        <v>0</v>
      </c>
      <c r="AR239" s="85">
        <f>Données_historiques!AR16</f>
        <v>0</v>
      </c>
      <c r="AS239" s="85">
        <f>Données_historiques!AS16</f>
        <v>0</v>
      </c>
      <c r="AT239" s="85">
        <f>Données_historiques!AT16</f>
        <v>0</v>
      </c>
      <c r="AU239" s="85">
        <f>Données_historiques!AU16</f>
        <v>0</v>
      </c>
      <c r="AV239" s="85">
        <f>Données_historiques!AV16</f>
        <v>0</v>
      </c>
      <c r="AW239" s="85">
        <f>Données_historiques!AW16</f>
        <v>0</v>
      </c>
      <c r="AX239" s="85">
        <f>Données_historiques!AX16</f>
        <v>0</v>
      </c>
      <c r="AY239" s="85">
        <f>Données_historiques!AY16</f>
        <v>0</v>
      </c>
      <c r="AZ239" s="85">
        <f>Données_historiques!AZ16</f>
        <v>0</v>
      </c>
      <c r="BA239" s="85">
        <f>Données_historiques!BA16</f>
        <v>0</v>
      </c>
      <c r="BB239" s="85">
        <f>Données_historiques!BB16</f>
        <v>0</v>
      </c>
      <c r="BC239" s="85">
        <f>Données_historiques!BC16</f>
        <v>0</v>
      </c>
      <c r="BD239" s="85">
        <f>Données_historiques!BD16</f>
        <v>0</v>
      </c>
      <c r="BE239" s="85">
        <f>Données_historiques!BE16</f>
        <v>0</v>
      </c>
      <c r="BF239" s="85">
        <f>Données_historiques!BF16</f>
        <v>0</v>
      </c>
      <c r="BG239" s="85">
        <f>Données_historiques!BG16</f>
        <v>0</v>
      </c>
      <c r="BH239" s="85">
        <f>Données_historiques!BH16</f>
        <v>0</v>
      </c>
      <c r="BI239" s="85">
        <f>Données_historiques!BI16</f>
        <v>0</v>
      </c>
    </row>
    <row r="240" spans="4:61" s="4" customFormat="1" x14ac:dyDescent="0.35">
      <c r="E240" s="4" t="str">
        <f>Données_historiques!E27</f>
        <v>Demande de solde-Exécution</v>
      </c>
      <c r="J240" s="4" t="str">
        <f>Données_historiques!J27</f>
        <v>EUR</v>
      </c>
      <c r="N240" s="85">
        <f>Données_historiques!N27</f>
        <v>0</v>
      </c>
      <c r="O240" s="85">
        <f>Données_historiques!O27</f>
        <v>0</v>
      </c>
      <c r="P240" s="85">
        <f>Données_historiques!P27</f>
        <v>0</v>
      </c>
      <c r="Q240" s="85">
        <f>Données_historiques!Q27</f>
        <v>160504.63</v>
      </c>
      <c r="R240" s="85">
        <f>Données_historiques!R27</f>
        <v>1267129.6000000001</v>
      </c>
      <c r="S240" s="85">
        <f>Données_historiques!S27</f>
        <v>5261271.97</v>
      </c>
      <c r="T240" s="85">
        <f>Données_historiques!T27</f>
        <v>13023606.43</v>
      </c>
      <c r="U240" s="85">
        <f>Données_historiques!U27</f>
        <v>26368978.469999999</v>
      </c>
      <c r="V240" s="85">
        <f>Données_historiques!V27</f>
        <v>44193795.350000001</v>
      </c>
      <c r="W240" s="85">
        <f>Données_historiques!W27</f>
        <v>54588368.890000001</v>
      </c>
      <c r="X240" s="85">
        <f>Données_historiques!X27</f>
        <v>54663927.649999999</v>
      </c>
      <c r="Y240" s="85">
        <f>Données_historiques!Y27</f>
        <v>64527047.490000002</v>
      </c>
      <c r="Z240" s="85">
        <f>Données_historiques!Z27</f>
        <v>68603893.200000003</v>
      </c>
      <c r="AA240" s="85">
        <f>Données_historiques!AA27</f>
        <v>68891145.689999998</v>
      </c>
      <c r="AB240" s="85">
        <f>Données_historiques!AB27</f>
        <v>88522987.609999999</v>
      </c>
      <c r="AC240" s="85">
        <f>Données_historiques!AC27</f>
        <v>85918607.150000006</v>
      </c>
      <c r="AD240" s="85">
        <f>Données_historiques!AD27</f>
        <v>84705685.909999996</v>
      </c>
      <c r="AE240" s="85">
        <f>Données_historiques!AE27</f>
        <v>117137593.17</v>
      </c>
      <c r="AF240" s="85">
        <f>Données_historiques!AF27</f>
        <v>121435745.29000001</v>
      </c>
      <c r="AG240" s="85">
        <f>Données_historiques!AG27</f>
        <v>83392625.019999996</v>
      </c>
      <c r="AH240" s="85">
        <f>Données_historiques!AH27</f>
        <v>129732636.14</v>
      </c>
      <c r="AI240" s="85">
        <f>Données_historiques!AI27</f>
        <v>164989438.21000001</v>
      </c>
      <c r="AJ240" s="85">
        <f>Données_historiques!AJ27</f>
        <v>158424692.24000001</v>
      </c>
      <c r="AK240" s="85">
        <f>Données_historiques!AK27</f>
        <v>166312266.81999999</v>
      </c>
      <c r="AL240" s="85">
        <f>Données_historiques!AL27</f>
        <v>0</v>
      </c>
      <c r="AM240" s="85">
        <f>Données_historiques!AM27</f>
        <v>0</v>
      </c>
      <c r="AN240" s="85">
        <f>Données_historiques!AN27</f>
        <v>0</v>
      </c>
      <c r="AO240" s="85">
        <f>Données_historiques!AO27</f>
        <v>0</v>
      </c>
      <c r="AP240" s="85">
        <f>Données_historiques!AP27</f>
        <v>0</v>
      </c>
      <c r="AQ240" s="85">
        <f>Données_historiques!AQ27</f>
        <v>0</v>
      </c>
      <c r="AR240" s="85">
        <f>Données_historiques!AR27</f>
        <v>0</v>
      </c>
      <c r="AS240" s="85">
        <f>Données_historiques!AS27</f>
        <v>0</v>
      </c>
      <c r="AT240" s="85">
        <f>Données_historiques!AT27</f>
        <v>0</v>
      </c>
      <c r="AU240" s="85">
        <f>Données_historiques!AU27</f>
        <v>0</v>
      </c>
      <c r="AV240" s="85">
        <f>Données_historiques!AV27</f>
        <v>0</v>
      </c>
      <c r="AW240" s="85">
        <f>Données_historiques!AW27</f>
        <v>0</v>
      </c>
      <c r="AX240" s="85">
        <f>Données_historiques!AX27</f>
        <v>0</v>
      </c>
      <c r="AY240" s="85">
        <f>Données_historiques!AY27</f>
        <v>0</v>
      </c>
      <c r="AZ240" s="85">
        <f>Données_historiques!AZ27</f>
        <v>0</v>
      </c>
      <c r="BA240" s="85">
        <f>Données_historiques!BA27</f>
        <v>0</v>
      </c>
      <c r="BB240" s="85">
        <f>Données_historiques!BB27</f>
        <v>0</v>
      </c>
      <c r="BC240" s="85">
        <f>Données_historiques!BC27</f>
        <v>0</v>
      </c>
      <c r="BD240" s="85">
        <f>Données_historiques!BD27</f>
        <v>0</v>
      </c>
      <c r="BE240" s="85">
        <f>Données_historiques!BE27</f>
        <v>0</v>
      </c>
      <c r="BF240" s="85">
        <f>Données_historiques!BF27</f>
        <v>0</v>
      </c>
      <c r="BG240" s="85">
        <f>Données_historiques!BG27</f>
        <v>0</v>
      </c>
      <c r="BH240" s="85">
        <f>Données_historiques!BH27</f>
        <v>0</v>
      </c>
      <c r="BI240" s="85">
        <f>Données_historiques!BI27</f>
        <v>0</v>
      </c>
    </row>
    <row r="241" spans="4:61" x14ac:dyDescent="0.35"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</row>
    <row r="242" spans="4:61" x14ac:dyDescent="0.35">
      <c r="E242" t="str">
        <f>E180</f>
        <v>Volumes-Demande de solde-Trajectoire</v>
      </c>
      <c r="J242" t="str">
        <f>J180</f>
        <v>Volume</v>
      </c>
      <c r="N242" s="41">
        <f t="shared" ref="N242:BI242" si="156">N180</f>
        <v>0</v>
      </c>
      <c r="O242" s="41">
        <f t="shared" si="156"/>
        <v>0</v>
      </c>
      <c r="P242" s="41">
        <f t="shared" si="156"/>
        <v>0</v>
      </c>
      <c r="Q242" s="41">
        <f t="shared" si="156"/>
        <v>218.98651793259407</v>
      </c>
      <c r="R242" s="41">
        <f t="shared" si="156"/>
        <v>1510.4932645596884</v>
      </c>
      <c r="S242" s="41">
        <f t="shared" si="156"/>
        <v>2518.7176685226759</v>
      </c>
      <c r="T242" s="41">
        <f t="shared" si="156"/>
        <v>6351.668024131779</v>
      </c>
      <c r="U242" s="41">
        <f t="shared" si="156"/>
        <v>10616.464815703908</v>
      </c>
      <c r="V242" s="41">
        <f t="shared" si="156"/>
        <v>8188.6271224884022</v>
      </c>
      <c r="W242" s="41">
        <f t="shared" si="156"/>
        <v>9701.5858129290846</v>
      </c>
      <c r="X242" s="41">
        <f t="shared" si="156"/>
        <v>12193.668753012833</v>
      </c>
      <c r="Y242" s="41">
        <f t="shared" si="156"/>
        <v>17016.802418054263</v>
      </c>
      <c r="Z242" s="41">
        <f t="shared" si="156"/>
        <v>19600.432863706432</v>
      </c>
      <c r="AA242" s="41">
        <f t="shared" si="156"/>
        <v>22111.722830214228</v>
      </c>
      <c r="AB242" s="41">
        <f t="shared" si="156"/>
        <v>27381.00183415016</v>
      </c>
      <c r="AC242" s="41">
        <f t="shared" si="156"/>
        <v>32926.466520797221</v>
      </c>
      <c r="AD242" s="41">
        <f t="shared" si="156"/>
        <v>36025.212262874767</v>
      </c>
      <c r="AE242" s="41">
        <f t="shared" si="156"/>
        <v>42806.648225194258</v>
      </c>
      <c r="AF242" s="41">
        <f t="shared" si="156"/>
        <v>43980.577174296675</v>
      </c>
      <c r="AG242" s="41">
        <f t="shared" si="156"/>
        <v>43757.637427074391</v>
      </c>
      <c r="AH242" s="41">
        <f t="shared" si="156"/>
        <v>44358.377445870865</v>
      </c>
      <c r="AI242" s="41">
        <f t="shared" si="156"/>
        <v>50475.688206694307</v>
      </c>
      <c r="AJ242" s="41">
        <f t="shared" si="156"/>
        <v>50824.589437961389</v>
      </c>
      <c r="AK242" s="41">
        <f t="shared" si="156"/>
        <v>55842.178038061655</v>
      </c>
      <c r="AL242" s="41">
        <f t="shared" si="156"/>
        <v>55779.354484422802</v>
      </c>
      <c r="AM242" s="41">
        <f t="shared" si="156"/>
        <v>52425.82824647989</v>
      </c>
      <c r="AN242" s="41">
        <f t="shared" si="156"/>
        <v>60235.743482396771</v>
      </c>
      <c r="AO242" s="41">
        <f t="shared" si="156"/>
        <v>59531.72975090504</v>
      </c>
      <c r="AP242" s="41">
        <f t="shared" si="156"/>
        <v>62473.721581154561</v>
      </c>
      <c r="AQ242" s="41">
        <f t="shared" si="156"/>
        <v>60509.608006077935</v>
      </c>
      <c r="AR242" s="41">
        <f t="shared" si="156"/>
        <v>60763.115116330067</v>
      </c>
      <c r="AS242" s="41">
        <f t="shared" si="156"/>
        <v>56949.508506996957</v>
      </c>
      <c r="AT242" s="41">
        <f t="shared" si="156"/>
        <v>57053.136182929935</v>
      </c>
      <c r="AU242" s="41">
        <f t="shared" si="156"/>
        <v>61251.178951307833</v>
      </c>
      <c r="AV242" s="41">
        <f t="shared" si="156"/>
        <v>60402.402042979265</v>
      </c>
      <c r="AW242" s="41">
        <f t="shared" si="156"/>
        <v>64175.252174882356</v>
      </c>
      <c r="AX242" s="41">
        <f t="shared" si="156"/>
        <v>63005.515505017313</v>
      </c>
      <c r="AY242" s="41">
        <f t="shared" si="156"/>
        <v>58444.060974671265</v>
      </c>
      <c r="AZ242" s="41">
        <f t="shared" si="156"/>
        <v>66515.865208060728</v>
      </c>
      <c r="BA242" s="41">
        <f t="shared" si="156"/>
        <v>65544.945076049407</v>
      </c>
      <c r="BB242" s="41">
        <f t="shared" si="156"/>
        <v>68579.424332022172</v>
      </c>
      <c r="BC242" s="41">
        <f t="shared" si="156"/>
        <v>66630.538624534631</v>
      </c>
      <c r="BD242" s="41">
        <f t="shared" si="156"/>
        <v>66973.324207001657</v>
      </c>
      <c r="BE242" s="41">
        <f t="shared" si="156"/>
        <v>62873.030008606853</v>
      </c>
      <c r="BF242" s="41">
        <f t="shared" si="156"/>
        <v>62902.09938989528</v>
      </c>
      <c r="BG242" s="41">
        <f t="shared" si="156"/>
        <v>67489.377899406871</v>
      </c>
      <c r="BH242" s="41">
        <f t="shared" si="156"/>
        <v>66481.718475194008</v>
      </c>
      <c r="BI242" s="41">
        <f t="shared" si="156"/>
        <v>70608.725113188964</v>
      </c>
    </row>
    <row r="243" spans="4:61" x14ac:dyDescent="0.35">
      <c r="E243" t="str">
        <f>E234</f>
        <v>Montant demande de solde - Trajectoire</v>
      </c>
      <c r="J243" t="str">
        <f>J234</f>
        <v>EUR</v>
      </c>
      <c r="N243" s="41">
        <f t="shared" ref="N243:BI243" si="157">N234</f>
        <v>0</v>
      </c>
      <c r="O243" s="41">
        <f t="shared" si="157"/>
        <v>0</v>
      </c>
      <c r="P243" s="41">
        <f t="shared" si="157"/>
        <v>0</v>
      </c>
      <c r="Q243" s="41">
        <f t="shared" si="157"/>
        <v>509742.94863539404</v>
      </c>
      <c r="R243" s="41">
        <f t="shared" si="157"/>
        <v>3403712.4742259425</v>
      </c>
      <c r="S243" s="41">
        <f t="shared" si="157"/>
        <v>7128197.207521935</v>
      </c>
      <c r="T243" s="41">
        <f t="shared" si="157"/>
        <v>28655264.391215116</v>
      </c>
      <c r="U243" s="41">
        <f t="shared" si="157"/>
        <v>60718539.554636896</v>
      </c>
      <c r="V243" s="41">
        <f t="shared" si="157"/>
        <v>37083407.428415075</v>
      </c>
      <c r="W243" s="41">
        <f t="shared" si="157"/>
        <v>40169345.325552151</v>
      </c>
      <c r="X243" s="41">
        <f t="shared" si="157"/>
        <v>46783519.968227252</v>
      </c>
      <c r="Y243" s="41">
        <f t="shared" si="157"/>
        <v>62654269.273193583</v>
      </c>
      <c r="Z243" s="41">
        <f t="shared" si="157"/>
        <v>68025582.200891197</v>
      </c>
      <c r="AA243" s="41">
        <f t="shared" si="157"/>
        <v>66019899.793438576</v>
      </c>
      <c r="AB243" s="41">
        <f t="shared" si="157"/>
        <v>85032527.550904647</v>
      </c>
      <c r="AC243" s="41">
        <f t="shared" si="157"/>
        <v>95364022.754400298</v>
      </c>
      <c r="AD243" s="41">
        <f t="shared" si="157"/>
        <v>108557463.510721</v>
      </c>
      <c r="AE243" s="41">
        <f t="shared" si="157"/>
        <v>130140290.41751076</v>
      </c>
      <c r="AF243" s="41">
        <f t="shared" si="157"/>
        <v>141251507.01747793</v>
      </c>
      <c r="AG243" s="41">
        <f t="shared" si="157"/>
        <v>139159577.6582123</v>
      </c>
      <c r="AH243" s="41">
        <f t="shared" si="157"/>
        <v>139587441.87555146</v>
      </c>
      <c r="AI243" s="41">
        <f t="shared" si="157"/>
        <v>156622740.31421933</v>
      </c>
      <c r="AJ243" s="41">
        <f t="shared" si="157"/>
        <v>165001856.44919685</v>
      </c>
      <c r="AK243" s="41">
        <f t="shared" si="157"/>
        <v>187541272.54311901</v>
      </c>
      <c r="AL243" s="41">
        <f t="shared" si="157"/>
        <v>184600654.41982979</v>
      </c>
      <c r="AM243" s="41">
        <f t="shared" si="157"/>
        <v>173130120.42007142</v>
      </c>
      <c r="AN243" s="41">
        <f t="shared" si="157"/>
        <v>198950266.41112623</v>
      </c>
      <c r="AO243" s="41">
        <f t="shared" si="157"/>
        <v>197101298.61384284</v>
      </c>
      <c r="AP243" s="41">
        <f t="shared" si="157"/>
        <v>206659028.58972105</v>
      </c>
      <c r="AQ243" s="41">
        <f t="shared" si="157"/>
        <v>199799305.46874478</v>
      </c>
      <c r="AR243" s="41">
        <f t="shared" si="157"/>
        <v>199778862.81600019</v>
      </c>
      <c r="AS243" s="41">
        <f t="shared" si="157"/>
        <v>186631202.46530092</v>
      </c>
      <c r="AT243" s="41">
        <f t="shared" si="157"/>
        <v>186365514.21371439</v>
      </c>
      <c r="AU243" s="41">
        <f t="shared" si="157"/>
        <v>199724391.75540212</v>
      </c>
      <c r="AV243" s="41">
        <f t="shared" si="157"/>
        <v>196315095.55029151</v>
      </c>
      <c r="AW243" s="41">
        <f t="shared" si="157"/>
        <v>207808643.41029739</v>
      </c>
      <c r="AX243" s="41">
        <f t="shared" si="157"/>
        <v>205081311.9846147</v>
      </c>
      <c r="AY243" s="41">
        <f t="shared" si="157"/>
        <v>191096920.49873343</v>
      </c>
      <c r="AZ243" s="41">
        <f t="shared" si="157"/>
        <v>218187492.36831683</v>
      </c>
      <c r="BA243" s="41">
        <f t="shared" si="157"/>
        <v>215539498.3780469</v>
      </c>
      <c r="BB243" s="41">
        <f t="shared" si="157"/>
        <v>226032637.73718202</v>
      </c>
      <c r="BC243" s="41">
        <f t="shared" si="157"/>
        <v>220058364.35968471</v>
      </c>
      <c r="BD243" s="41">
        <f t="shared" si="157"/>
        <v>221553160.58897379</v>
      </c>
      <c r="BE243" s="41">
        <f t="shared" si="157"/>
        <v>208257094.25626764</v>
      </c>
      <c r="BF243" s="41">
        <f t="shared" si="157"/>
        <v>208707034.64173955</v>
      </c>
      <c r="BG243" s="41">
        <f t="shared" si="157"/>
        <v>224251782.08309859</v>
      </c>
      <c r="BH243" s="41">
        <f t="shared" si="157"/>
        <v>221144430.68385324</v>
      </c>
      <c r="BI243" s="41">
        <f t="shared" si="157"/>
        <v>235077065.43479133</v>
      </c>
    </row>
    <row r="244" spans="4:61" x14ac:dyDescent="0.35"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</row>
    <row r="245" spans="4:61" s="8" customFormat="1" x14ac:dyDescent="0.35">
      <c r="E245" s="28" t="str">
        <f>"Volumes-"&amp;Paramétrage_général!I31&amp;"-Projection"</f>
        <v>Volumes-Demande de solde-Projection</v>
      </c>
      <c r="F245" s="28"/>
      <c r="G245" s="28"/>
      <c r="H245" s="28"/>
      <c r="I245" s="28"/>
      <c r="J245" s="28" t="s">
        <v>50</v>
      </c>
      <c r="K245" s="28"/>
      <c r="L245" s="28"/>
      <c r="M245" s="28"/>
      <c r="N245" s="88">
        <f t="shared" ref="N245:BI245" si="158">(1-N$238)*N239+N$238*N242</f>
        <v>0</v>
      </c>
      <c r="O245" s="88">
        <f t="shared" si="158"/>
        <v>0</v>
      </c>
      <c r="P245" s="88">
        <f t="shared" si="158"/>
        <v>0</v>
      </c>
      <c r="Q245" s="88">
        <f t="shared" si="158"/>
        <v>87</v>
      </c>
      <c r="R245" s="88">
        <f t="shared" si="158"/>
        <v>636</v>
      </c>
      <c r="S245" s="88">
        <f t="shared" si="158"/>
        <v>2269</v>
      </c>
      <c r="T245" s="88">
        <f t="shared" si="158"/>
        <v>4269</v>
      </c>
      <c r="U245" s="88">
        <f t="shared" si="158"/>
        <v>6469</v>
      </c>
      <c r="V245" s="88">
        <f t="shared" si="158"/>
        <v>10749</v>
      </c>
      <c r="W245" s="88">
        <f t="shared" si="158"/>
        <v>14183</v>
      </c>
      <c r="X245" s="88">
        <f t="shared" si="158"/>
        <v>16574</v>
      </c>
      <c r="Y245" s="88">
        <f t="shared" si="158"/>
        <v>19960</v>
      </c>
      <c r="Z245" s="88">
        <f t="shared" si="158"/>
        <v>21697</v>
      </c>
      <c r="AA245" s="88">
        <f t="shared" si="158"/>
        <v>27179</v>
      </c>
      <c r="AB245" s="88">
        <f t="shared" si="158"/>
        <v>32553</v>
      </c>
      <c r="AC245" s="88">
        <f t="shared" si="158"/>
        <v>34544</v>
      </c>
      <c r="AD245" s="88">
        <f t="shared" si="158"/>
        <v>32781</v>
      </c>
      <c r="AE245" s="88">
        <f t="shared" si="158"/>
        <v>38664</v>
      </c>
      <c r="AF245" s="88">
        <f t="shared" si="158"/>
        <v>40773</v>
      </c>
      <c r="AG245" s="88">
        <f t="shared" si="158"/>
        <v>27624</v>
      </c>
      <c r="AH245" s="88">
        <f t="shared" si="158"/>
        <v>44997</v>
      </c>
      <c r="AI245" s="88">
        <f t="shared" si="158"/>
        <v>51424</v>
      </c>
      <c r="AJ245" s="88">
        <f t="shared" si="158"/>
        <v>53131</v>
      </c>
      <c r="AK245" s="88">
        <f t="shared" si="158"/>
        <v>56324</v>
      </c>
      <c r="AL245" s="88">
        <f t="shared" si="158"/>
        <v>55779.354484422802</v>
      </c>
      <c r="AM245" s="88">
        <f t="shared" si="158"/>
        <v>52425.82824647989</v>
      </c>
      <c r="AN245" s="88">
        <f t="shared" si="158"/>
        <v>60235.743482396771</v>
      </c>
      <c r="AO245" s="88">
        <f t="shared" si="158"/>
        <v>59531.72975090504</v>
      </c>
      <c r="AP245" s="88">
        <f t="shared" si="158"/>
        <v>62473.721581154561</v>
      </c>
      <c r="AQ245" s="88">
        <f t="shared" si="158"/>
        <v>60509.608006077935</v>
      </c>
      <c r="AR245" s="88">
        <f t="shared" si="158"/>
        <v>60763.115116330067</v>
      </c>
      <c r="AS245" s="88">
        <f t="shared" si="158"/>
        <v>56949.508506996957</v>
      </c>
      <c r="AT245" s="88">
        <f t="shared" si="158"/>
        <v>57053.136182929935</v>
      </c>
      <c r="AU245" s="88">
        <f t="shared" si="158"/>
        <v>61251.178951307833</v>
      </c>
      <c r="AV245" s="88">
        <f t="shared" si="158"/>
        <v>60402.402042979265</v>
      </c>
      <c r="AW245" s="88">
        <f t="shared" si="158"/>
        <v>64175.252174882356</v>
      </c>
      <c r="AX245" s="88">
        <f t="shared" si="158"/>
        <v>63005.515505017313</v>
      </c>
      <c r="AY245" s="88">
        <f t="shared" si="158"/>
        <v>58444.060974671265</v>
      </c>
      <c r="AZ245" s="88">
        <f t="shared" si="158"/>
        <v>66515.865208060728</v>
      </c>
      <c r="BA245" s="88">
        <f t="shared" si="158"/>
        <v>65544.945076049407</v>
      </c>
      <c r="BB245" s="88">
        <f t="shared" si="158"/>
        <v>68579.424332022172</v>
      </c>
      <c r="BC245" s="88">
        <f t="shared" si="158"/>
        <v>66630.538624534631</v>
      </c>
      <c r="BD245" s="88">
        <f t="shared" si="158"/>
        <v>66973.324207001657</v>
      </c>
      <c r="BE245" s="88">
        <f t="shared" si="158"/>
        <v>62873.030008606853</v>
      </c>
      <c r="BF245" s="88">
        <f t="shared" si="158"/>
        <v>62902.09938989528</v>
      </c>
      <c r="BG245" s="88">
        <f t="shared" si="158"/>
        <v>67489.377899406871</v>
      </c>
      <c r="BH245" s="88">
        <f t="shared" si="158"/>
        <v>66481.718475194008</v>
      </c>
      <c r="BI245" s="88">
        <f t="shared" si="158"/>
        <v>70608.725113188964</v>
      </c>
    </row>
    <row r="246" spans="4:61" s="8" customFormat="1" x14ac:dyDescent="0.35">
      <c r="E246" s="18" t="str">
        <f>"Montant-"&amp;Paramétrage_général!I$31&amp;"-Projection"</f>
        <v>Montant-Demande de solde-Projection</v>
      </c>
      <c r="F246" s="18"/>
      <c r="G246" s="18"/>
      <c r="H246" s="18"/>
      <c r="I246" s="18"/>
      <c r="J246" s="18" t="s">
        <v>51</v>
      </c>
      <c r="K246" s="18"/>
      <c r="L246" s="18"/>
      <c r="M246" s="18"/>
      <c r="N246" s="90">
        <f t="shared" ref="N246:BI246" si="159">(1-N$238)*N240+N$238*N243</f>
        <v>0</v>
      </c>
      <c r="O246" s="90">
        <f t="shared" si="159"/>
        <v>0</v>
      </c>
      <c r="P246" s="90">
        <f t="shared" si="159"/>
        <v>0</v>
      </c>
      <c r="Q246" s="90">
        <f t="shared" si="159"/>
        <v>160504.63</v>
      </c>
      <c r="R246" s="90">
        <f t="shared" si="159"/>
        <v>1267129.6000000001</v>
      </c>
      <c r="S246" s="90">
        <f t="shared" si="159"/>
        <v>5261271.97</v>
      </c>
      <c r="T246" s="90">
        <f t="shared" si="159"/>
        <v>13023606.43</v>
      </c>
      <c r="U246" s="90">
        <f t="shared" si="159"/>
        <v>26368978.469999999</v>
      </c>
      <c r="V246" s="90">
        <f t="shared" si="159"/>
        <v>44193795.350000001</v>
      </c>
      <c r="W246" s="90">
        <f t="shared" si="159"/>
        <v>54588368.890000001</v>
      </c>
      <c r="X246" s="90">
        <f t="shared" si="159"/>
        <v>54663927.649999999</v>
      </c>
      <c r="Y246" s="90">
        <f t="shared" si="159"/>
        <v>64527047.490000002</v>
      </c>
      <c r="Z246" s="90">
        <f t="shared" si="159"/>
        <v>68603893.200000003</v>
      </c>
      <c r="AA246" s="90">
        <f t="shared" si="159"/>
        <v>68891145.689999998</v>
      </c>
      <c r="AB246" s="90">
        <f t="shared" si="159"/>
        <v>88522987.609999999</v>
      </c>
      <c r="AC246" s="90">
        <f t="shared" si="159"/>
        <v>85918607.150000006</v>
      </c>
      <c r="AD246" s="90">
        <f t="shared" si="159"/>
        <v>84705685.909999996</v>
      </c>
      <c r="AE246" s="90">
        <f t="shared" si="159"/>
        <v>117137593.17</v>
      </c>
      <c r="AF246" s="90">
        <f t="shared" si="159"/>
        <v>121435745.29000001</v>
      </c>
      <c r="AG246" s="90">
        <f t="shared" si="159"/>
        <v>83392625.019999996</v>
      </c>
      <c r="AH246" s="90">
        <f t="shared" si="159"/>
        <v>129732636.14</v>
      </c>
      <c r="AI246" s="90">
        <f t="shared" si="159"/>
        <v>164989438.21000001</v>
      </c>
      <c r="AJ246" s="90">
        <f t="shared" si="159"/>
        <v>158424692.24000001</v>
      </c>
      <c r="AK246" s="90">
        <f t="shared" si="159"/>
        <v>166312266.81999999</v>
      </c>
      <c r="AL246" s="90">
        <f t="shared" si="159"/>
        <v>184600654.41982979</v>
      </c>
      <c r="AM246" s="90">
        <f t="shared" si="159"/>
        <v>173130120.42007142</v>
      </c>
      <c r="AN246" s="90">
        <f t="shared" si="159"/>
        <v>198950266.41112623</v>
      </c>
      <c r="AO246" s="90">
        <f t="shared" si="159"/>
        <v>197101298.61384284</v>
      </c>
      <c r="AP246" s="90">
        <f t="shared" si="159"/>
        <v>206659028.58972105</v>
      </c>
      <c r="AQ246" s="90">
        <f t="shared" si="159"/>
        <v>199799305.46874478</v>
      </c>
      <c r="AR246" s="90">
        <f t="shared" si="159"/>
        <v>199778862.81600019</v>
      </c>
      <c r="AS246" s="90">
        <f t="shared" si="159"/>
        <v>186631202.46530092</v>
      </c>
      <c r="AT246" s="90">
        <f t="shared" si="159"/>
        <v>186365514.21371439</v>
      </c>
      <c r="AU246" s="90">
        <f t="shared" si="159"/>
        <v>199724391.75540212</v>
      </c>
      <c r="AV246" s="90">
        <f t="shared" si="159"/>
        <v>196315095.55029151</v>
      </c>
      <c r="AW246" s="90">
        <f t="shared" si="159"/>
        <v>207808643.41029739</v>
      </c>
      <c r="AX246" s="90">
        <f t="shared" si="159"/>
        <v>205081311.9846147</v>
      </c>
      <c r="AY246" s="90">
        <f t="shared" si="159"/>
        <v>191096920.49873343</v>
      </c>
      <c r="AZ246" s="90">
        <f t="shared" si="159"/>
        <v>218187492.36831683</v>
      </c>
      <c r="BA246" s="90">
        <f t="shared" si="159"/>
        <v>215539498.3780469</v>
      </c>
      <c r="BB246" s="90">
        <f t="shared" si="159"/>
        <v>226032637.73718202</v>
      </c>
      <c r="BC246" s="90">
        <f t="shared" si="159"/>
        <v>220058364.35968471</v>
      </c>
      <c r="BD246" s="90">
        <f t="shared" si="159"/>
        <v>221553160.58897379</v>
      </c>
      <c r="BE246" s="90">
        <f t="shared" si="159"/>
        <v>208257094.25626764</v>
      </c>
      <c r="BF246" s="90">
        <f t="shared" si="159"/>
        <v>208707034.64173955</v>
      </c>
      <c r="BG246" s="90">
        <f t="shared" si="159"/>
        <v>224251782.08309859</v>
      </c>
      <c r="BH246" s="90">
        <f t="shared" si="159"/>
        <v>221144430.68385324</v>
      </c>
      <c r="BI246" s="90">
        <f t="shared" si="159"/>
        <v>235077065.43479133</v>
      </c>
    </row>
    <row r="248" spans="4:61" x14ac:dyDescent="0.35">
      <c r="D248" s="1" t="s">
        <v>25</v>
      </c>
    </row>
    <row r="249" spans="4:61" x14ac:dyDescent="0.35"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</row>
    <row r="250" spans="4:61" x14ac:dyDescent="0.35"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</row>
  </sheetData>
  <sheetProtection algorithmName="SHA-512" hashValue="Lja2Qz03KBRTA4s5GzzVYBY+wG0fONmBSQrAtXHnR6rSnekqRuuCzCYQSwYgLjLnnPoUk7E13/vKmIZTi+v8pA==" saltValue="cUyChxaR4tY9M0TjS9FR5A==" spinCount="100000" sheet="1" objects="1" scenarios="1"/>
  <conditionalFormatting sqref="G2">
    <cfRule type="cellIs" dxfId="35" priority="4" operator="greaterThan">
      <formula>0</formula>
    </cfRule>
    <cfRule type="cellIs" dxfId="34" priority="5" operator="equal">
      <formula>0</formula>
    </cfRule>
  </conditionalFormatting>
  <conditionalFormatting sqref="G1">
    <cfRule type="cellIs" dxfId="33" priority="2" operator="greaterThan">
      <formula>0</formula>
    </cfRule>
    <cfRule type="cellIs" dxfId="32" priority="3" operator="equal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66822970-D902-4329-BD34-6FD53FBC6A19}">
            <xm:f>Paramétrage_général!$I$20</xm:f>
            <x14:dxf>
              <font>
                <b/>
                <i val="0"/>
                <color theme="0"/>
              </font>
              <fill>
                <patternFill>
                  <bgColor rgb="FF002060"/>
                </patternFill>
              </fill>
            </x14:dxf>
          </x14:cfRule>
          <xm:sqref>N4:BI4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BFBFBF"/>
  </sheetPr>
  <dimension ref="B1:BJ331"/>
  <sheetViews>
    <sheetView zoomScale="70" zoomScaleNormal="70" workbookViewId="0">
      <pane xSplit="10" ySplit="6" topLeftCell="N7" activePane="bottomRight" state="frozen"/>
      <selection activeCell="I37" sqref="I37"/>
      <selection pane="topRight" activeCell="I37" sqref="I37"/>
      <selection pane="bottomLeft" activeCell="I37" sqref="I37"/>
      <selection pane="bottomRight" activeCell="N4" sqref="N4:BI4"/>
    </sheetView>
  </sheetViews>
  <sheetFormatPr baseColWidth="10" defaultRowHeight="14.5" x14ac:dyDescent="0.35"/>
  <cols>
    <col min="1" max="4" width="2.6328125" customWidth="1"/>
    <col min="14" max="17" width="10.54296875" bestFit="1" customWidth="1"/>
    <col min="18" max="19" width="11.26953125" bestFit="1" customWidth="1"/>
    <col min="20" max="22" width="12.26953125" bestFit="1" customWidth="1"/>
    <col min="23" max="34" width="13.26953125" bestFit="1" customWidth="1"/>
    <col min="35" max="61" width="14.81640625" bestFit="1" customWidth="1"/>
  </cols>
  <sheetData>
    <row r="1" spans="2:61" s="6" customFormat="1" x14ac:dyDescent="0.35">
      <c r="B1" s="9" t="str">
        <f ca="1">RIGHT(CELL("nomfichier",A1),LEN(CELL("nomfichier",A1))-FIND("]",CELL("nomfichier",A1),1))</f>
        <v>Paiements Solde et retraits</v>
      </c>
      <c r="F1" s="54" t="str">
        <f>Controles!F1</f>
        <v>Erreurs</v>
      </c>
      <c r="G1">
        <f>Controles!G1</f>
        <v>0</v>
      </c>
    </row>
    <row r="2" spans="2:61" x14ac:dyDescent="0.35">
      <c r="F2" s="55" t="str">
        <f>Controles!F2</f>
        <v>Alertes</v>
      </c>
      <c r="G2">
        <f>Controles!G2</f>
        <v>0</v>
      </c>
    </row>
    <row r="3" spans="2:61" x14ac:dyDescent="0.35">
      <c r="N3" s="3">
        <f>Time!N20</f>
        <v>43861</v>
      </c>
      <c r="O3" s="3">
        <f>Time!O20</f>
        <v>43890</v>
      </c>
      <c r="P3" s="3">
        <f>Time!P20</f>
        <v>43921</v>
      </c>
      <c r="Q3" s="3">
        <f>Time!Q20</f>
        <v>43951</v>
      </c>
      <c r="R3" s="3">
        <f>Time!R20</f>
        <v>43982</v>
      </c>
      <c r="S3" s="3">
        <f>Time!S20</f>
        <v>44012</v>
      </c>
      <c r="T3" s="3">
        <f>Time!T20</f>
        <v>44043</v>
      </c>
      <c r="U3" s="3">
        <f>Time!U20</f>
        <v>44074</v>
      </c>
      <c r="V3" s="3">
        <f>Time!V20</f>
        <v>44104</v>
      </c>
      <c r="W3" s="3">
        <f>Time!W20</f>
        <v>44135</v>
      </c>
      <c r="X3" s="3">
        <f>Time!X20</f>
        <v>44165</v>
      </c>
      <c r="Y3" s="3">
        <f>Time!Y20</f>
        <v>44196</v>
      </c>
      <c r="Z3" s="3">
        <f>Time!Z20</f>
        <v>44227</v>
      </c>
      <c r="AA3" s="3">
        <f>Time!AA20</f>
        <v>44255</v>
      </c>
      <c r="AB3" s="3">
        <f>Time!AB20</f>
        <v>44286</v>
      </c>
      <c r="AC3" s="3">
        <f>Time!AC20</f>
        <v>44316</v>
      </c>
      <c r="AD3" s="3">
        <f>Time!AD20</f>
        <v>44347</v>
      </c>
      <c r="AE3" s="3">
        <f>Time!AE20</f>
        <v>44377</v>
      </c>
      <c r="AF3" s="3">
        <f>Time!AF20</f>
        <v>44408</v>
      </c>
      <c r="AG3" s="3">
        <f>Time!AG20</f>
        <v>44439</v>
      </c>
      <c r="AH3" s="3">
        <f>Time!AH20</f>
        <v>44469</v>
      </c>
      <c r="AI3" s="3">
        <f>Time!AI20</f>
        <v>44500</v>
      </c>
      <c r="AJ3" s="3">
        <f>Time!AJ20</f>
        <v>44530</v>
      </c>
      <c r="AK3" s="3">
        <f>Time!AK20</f>
        <v>44561</v>
      </c>
      <c r="AL3" s="3">
        <f>Time!AL20</f>
        <v>44592</v>
      </c>
      <c r="AM3" s="3">
        <f>Time!AM20</f>
        <v>44620</v>
      </c>
      <c r="AN3" s="3">
        <f>Time!AN20</f>
        <v>44651</v>
      </c>
      <c r="AO3" s="3">
        <f>Time!AO20</f>
        <v>44681</v>
      </c>
      <c r="AP3" s="3">
        <f>Time!AP20</f>
        <v>44712</v>
      </c>
      <c r="AQ3" s="3">
        <f>Time!AQ20</f>
        <v>44742</v>
      </c>
      <c r="AR3" s="3">
        <f>Time!AR20</f>
        <v>44773</v>
      </c>
      <c r="AS3" s="3">
        <f>Time!AS20</f>
        <v>44804</v>
      </c>
      <c r="AT3" s="3">
        <f>Time!AT20</f>
        <v>44834</v>
      </c>
      <c r="AU3" s="3">
        <f>Time!AU20</f>
        <v>44865</v>
      </c>
      <c r="AV3" s="3">
        <f>Time!AV20</f>
        <v>44895</v>
      </c>
      <c r="AW3" s="3">
        <f>Time!AW20</f>
        <v>44926</v>
      </c>
      <c r="AX3" s="3">
        <f>Time!AX20</f>
        <v>44957</v>
      </c>
      <c r="AY3" s="3">
        <f>Time!AY20</f>
        <v>44985</v>
      </c>
      <c r="AZ3" s="3">
        <f>Time!AZ20</f>
        <v>45016</v>
      </c>
      <c r="BA3" s="3">
        <f>Time!BA20</f>
        <v>45046</v>
      </c>
      <c r="BB3" s="3">
        <f>Time!BB20</f>
        <v>45077</v>
      </c>
      <c r="BC3" s="3">
        <f>Time!BC20</f>
        <v>45107</v>
      </c>
      <c r="BD3" s="3">
        <f>Time!BD20</f>
        <v>45138</v>
      </c>
      <c r="BE3" s="3">
        <f>Time!BE20</f>
        <v>45169</v>
      </c>
      <c r="BF3" s="3">
        <f>Time!BF20</f>
        <v>45199</v>
      </c>
      <c r="BG3" s="3">
        <f>Time!BG20</f>
        <v>45230</v>
      </c>
      <c r="BH3" s="3">
        <f>Time!BH20</f>
        <v>45260</v>
      </c>
      <c r="BI3" s="3">
        <f>Time!BI20</f>
        <v>45291</v>
      </c>
    </row>
    <row r="4" spans="2:61" x14ac:dyDescent="0.35">
      <c r="N4" t="str">
        <f>Time!N41</f>
        <v>Exécution</v>
      </c>
      <c r="O4" t="str">
        <f>Time!O41</f>
        <v>Exécution</v>
      </c>
      <c r="P4" t="str">
        <f>Time!P41</f>
        <v>Exécution</v>
      </c>
      <c r="Q4" t="str">
        <f>Time!Q41</f>
        <v>Exécution</v>
      </c>
      <c r="R4" t="str">
        <f>Time!R41</f>
        <v>Exécution</v>
      </c>
      <c r="S4" s="11" t="str">
        <f>Time!S41</f>
        <v>Exécution</v>
      </c>
      <c r="T4" s="11" t="str">
        <f>Time!T41</f>
        <v>Exécution</v>
      </c>
      <c r="U4" s="11" t="str">
        <f>Time!U41</f>
        <v>Exécution</v>
      </c>
      <c r="V4" s="11" t="str">
        <f>Time!V41</f>
        <v>Exécution</v>
      </c>
      <c r="W4" s="11" t="str">
        <f>Time!W41</f>
        <v>Exécution</v>
      </c>
      <c r="X4" s="11" t="str">
        <f>Time!X41</f>
        <v>Exécution</v>
      </c>
      <c r="Y4" s="11" t="str">
        <f>Time!Y41</f>
        <v>Exécution</v>
      </c>
      <c r="Z4" s="11" t="str">
        <f>Time!Z41</f>
        <v>Exécution</v>
      </c>
      <c r="AA4" s="11" t="str">
        <f>Time!AA41</f>
        <v>Exécution</v>
      </c>
      <c r="AB4" s="11" t="str">
        <f>Time!AB41</f>
        <v>Exécution</v>
      </c>
      <c r="AC4" s="11" t="str">
        <f>Time!AC41</f>
        <v>Exécution</v>
      </c>
      <c r="AD4" s="11" t="str">
        <f>Time!AD41</f>
        <v>Exécution</v>
      </c>
      <c r="AE4" s="11" t="str">
        <f>Time!AE41</f>
        <v>Exécution</v>
      </c>
      <c r="AF4" s="11" t="str">
        <f>Time!AF41</f>
        <v>Exécution</v>
      </c>
      <c r="AG4" s="11" t="str">
        <f>Time!AG41</f>
        <v>Exécution</v>
      </c>
      <c r="AH4" s="11" t="str">
        <f>Time!AH41</f>
        <v>Exécution</v>
      </c>
      <c r="AI4" s="11" t="str">
        <f>Time!AI41</f>
        <v>Exécution</v>
      </c>
      <c r="AJ4" s="11" t="str">
        <f>Time!AJ41</f>
        <v>Exécution</v>
      </c>
      <c r="AK4" s="11" t="str">
        <f>Time!AK41</f>
        <v>Exécution</v>
      </c>
      <c r="AL4" s="11" t="str">
        <f>Time!AL41</f>
        <v>Trajectoire</v>
      </c>
      <c r="AM4" s="11" t="str">
        <f>Time!AM41</f>
        <v>Trajectoire</v>
      </c>
      <c r="AN4" s="11" t="str">
        <f>Time!AN41</f>
        <v>Trajectoire</v>
      </c>
      <c r="AO4" s="11" t="str">
        <f>Time!AO41</f>
        <v>Trajectoire</v>
      </c>
      <c r="AP4" s="11" t="str">
        <f>Time!AP41</f>
        <v>Trajectoire</v>
      </c>
      <c r="AQ4" s="11" t="str">
        <f>Time!AQ41</f>
        <v>Trajectoire</v>
      </c>
      <c r="AR4" s="11" t="str">
        <f>Time!AR41</f>
        <v>Trajectoire</v>
      </c>
      <c r="AS4" s="11" t="str">
        <f>Time!AS41</f>
        <v>Trajectoire</v>
      </c>
      <c r="AT4" s="11" t="str">
        <f>Time!AT41</f>
        <v>Trajectoire</v>
      </c>
      <c r="AU4" s="11" t="str">
        <f>Time!AU41</f>
        <v>Trajectoire</v>
      </c>
      <c r="AV4" s="11" t="str">
        <f>Time!AV41</f>
        <v>Trajectoire</v>
      </c>
      <c r="AW4" s="11" t="str">
        <f>Time!AW41</f>
        <v>Trajectoire</v>
      </c>
      <c r="AX4" s="11" t="str">
        <f>Time!AX41</f>
        <v>Trajectoire</v>
      </c>
      <c r="AY4" s="11" t="str">
        <f>Time!AY41</f>
        <v>Trajectoire</v>
      </c>
      <c r="AZ4" s="11" t="str">
        <f>Time!AZ41</f>
        <v>Trajectoire</v>
      </c>
      <c r="BA4" s="11" t="str">
        <f>Time!BA41</f>
        <v>Trajectoire</v>
      </c>
      <c r="BB4" s="11" t="str">
        <f>Time!BB41</f>
        <v>Trajectoire</v>
      </c>
      <c r="BC4" s="11" t="str">
        <f>Time!BC41</f>
        <v>Trajectoire</v>
      </c>
      <c r="BD4" s="11" t="str">
        <f>Time!BD41</f>
        <v>Trajectoire</v>
      </c>
      <c r="BE4" s="11" t="str">
        <f>Time!BE41</f>
        <v>Trajectoire</v>
      </c>
      <c r="BF4" s="11" t="str">
        <f>Time!BF41</f>
        <v>Trajectoire</v>
      </c>
      <c r="BG4" s="11" t="str">
        <f>Time!BG41</f>
        <v>Trajectoire</v>
      </c>
      <c r="BH4" s="11" t="str">
        <f>Time!BH41</f>
        <v>Trajectoire</v>
      </c>
      <c r="BI4" s="11" t="str">
        <f>Time!BI41</f>
        <v>Trajectoire</v>
      </c>
    </row>
    <row r="5" spans="2:61" x14ac:dyDescent="0.35">
      <c r="N5" s="3">
        <f>Time!N54</f>
        <v>44196</v>
      </c>
      <c r="O5" s="3">
        <f>Time!O54</f>
        <v>44196</v>
      </c>
      <c r="P5" s="3">
        <f>Time!P54</f>
        <v>44196</v>
      </c>
      <c r="Q5" s="3">
        <f>Time!Q54</f>
        <v>44196</v>
      </c>
      <c r="R5" s="3">
        <f>Time!R54</f>
        <v>44196</v>
      </c>
      <c r="S5" s="3">
        <f>Time!S54</f>
        <v>44196</v>
      </c>
      <c r="T5" s="3">
        <f>Time!T54</f>
        <v>44196</v>
      </c>
      <c r="U5" s="3">
        <f>Time!U54</f>
        <v>44196</v>
      </c>
      <c r="V5" s="3">
        <f>Time!V54</f>
        <v>44196</v>
      </c>
      <c r="W5" s="3">
        <f>Time!W54</f>
        <v>44196</v>
      </c>
      <c r="X5" s="3">
        <f>Time!X54</f>
        <v>44196</v>
      </c>
      <c r="Y5" s="3">
        <f>Time!Y54</f>
        <v>44196</v>
      </c>
      <c r="Z5" s="3">
        <f>Time!Z54</f>
        <v>44561</v>
      </c>
      <c r="AA5" s="3">
        <f>Time!AA54</f>
        <v>44561</v>
      </c>
      <c r="AB5" s="3">
        <f>Time!AB54</f>
        <v>44561</v>
      </c>
      <c r="AC5" s="3">
        <f>Time!AC54</f>
        <v>44561</v>
      </c>
      <c r="AD5" s="3">
        <f>Time!AD54</f>
        <v>44561</v>
      </c>
      <c r="AE5" s="3">
        <f>Time!AE54</f>
        <v>44561</v>
      </c>
      <c r="AF5" s="3">
        <f>Time!AF54</f>
        <v>44561</v>
      </c>
      <c r="AG5" s="3">
        <f>Time!AG54</f>
        <v>44561</v>
      </c>
      <c r="AH5" s="3">
        <f>Time!AH54</f>
        <v>44561</v>
      </c>
      <c r="AI5" s="3">
        <f>Time!AI54</f>
        <v>44561</v>
      </c>
      <c r="AJ5" s="3">
        <f>Time!AJ54</f>
        <v>44561</v>
      </c>
      <c r="AK5" s="3">
        <f>Time!AK54</f>
        <v>44561</v>
      </c>
      <c r="AL5" s="3">
        <f>Time!AL54</f>
        <v>44926</v>
      </c>
      <c r="AM5" s="3">
        <f>Time!AM54</f>
        <v>44926</v>
      </c>
      <c r="AN5" s="3">
        <f>Time!AN54</f>
        <v>44926</v>
      </c>
      <c r="AO5" s="3">
        <f>Time!AO54</f>
        <v>44926</v>
      </c>
      <c r="AP5" s="3">
        <f>Time!AP54</f>
        <v>44926</v>
      </c>
      <c r="AQ5" s="3">
        <f>Time!AQ54</f>
        <v>44926</v>
      </c>
      <c r="AR5" s="3">
        <f>Time!AR54</f>
        <v>44926</v>
      </c>
      <c r="AS5" s="3">
        <f>Time!AS54</f>
        <v>44926</v>
      </c>
      <c r="AT5" s="3">
        <f>Time!AT54</f>
        <v>44926</v>
      </c>
      <c r="AU5" s="3">
        <f>Time!AU54</f>
        <v>44926</v>
      </c>
      <c r="AV5" s="3">
        <f>Time!AV54</f>
        <v>44926</v>
      </c>
      <c r="AW5" s="3">
        <f>Time!AW54</f>
        <v>44926</v>
      </c>
      <c r="AX5" s="3">
        <f>Time!AX54</f>
        <v>45291</v>
      </c>
      <c r="AY5" s="3">
        <f>Time!AY54</f>
        <v>45291</v>
      </c>
      <c r="AZ5" s="3">
        <f>Time!AZ54</f>
        <v>45291</v>
      </c>
      <c r="BA5" s="3">
        <f>Time!BA54</f>
        <v>45291</v>
      </c>
      <c r="BB5" s="3">
        <f>Time!BB54</f>
        <v>45291</v>
      </c>
      <c r="BC5" s="3">
        <f>Time!BC54</f>
        <v>45291</v>
      </c>
      <c r="BD5" s="3">
        <f>Time!BD54</f>
        <v>45291</v>
      </c>
      <c r="BE5" s="3">
        <f>Time!BE54</f>
        <v>45291</v>
      </c>
      <c r="BF5" s="3">
        <f>Time!BF54</f>
        <v>45291</v>
      </c>
      <c r="BG5" s="3">
        <f>Time!BG54</f>
        <v>45291</v>
      </c>
      <c r="BH5" s="3">
        <f>Time!BH54</f>
        <v>45291</v>
      </c>
      <c r="BI5" s="3">
        <f>Time!BI54</f>
        <v>45291</v>
      </c>
    </row>
    <row r="6" spans="2:61" s="2" customFormat="1" x14ac:dyDescent="0.35">
      <c r="I6" s="2" t="s">
        <v>0</v>
      </c>
      <c r="J6" s="2" t="s">
        <v>1</v>
      </c>
      <c r="K6" s="2" t="s">
        <v>2</v>
      </c>
    </row>
    <row r="8" spans="2:61" x14ac:dyDescent="0.35">
      <c r="D8" s="1" t="s">
        <v>81</v>
      </c>
    </row>
    <row r="9" spans="2:61" s="4" customFormat="1" x14ac:dyDescent="0.35"/>
    <row r="10" spans="2:61" s="4" customFormat="1" x14ac:dyDescent="0.35">
      <c r="E10" s="4" t="str">
        <f>Time!E19</f>
        <v>Frise mensuelle-début de période</v>
      </c>
      <c r="I10" s="14"/>
      <c r="J10" s="4" t="str">
        <f>Time!J19</f>
        <v>date</v>
      </c>
      <c r="M10" s="78"/>
      <c r="N10" s="5">
        <f>Time!N19</f>
        <v>43831</v>
      </c>
      <c r="O10" s="5">
        <f>Time!O19</f>
        <v>43862</v>
      </c>
      <c r="P10" s="5">
        <f>Time!P19</f>
        <v>43891</v>
      </c>
      <c r="Q10" s="5">
        <f>Time!Q19</f>
        <v>43922</v>
      </c>
      <c r="R10" s="5">
        <f>Time!R19</f>
        <v>43952</v>
      </c>
      <c r="S10" s="5">
        <f>Time!S19</f>
        <v>43983</v>
      </c>
      <c r="T10" s="5">
        <f>Time!T19</f>
        <v>44013</v>
      </c>
      <c r="U10" s="5">
        <f>Time!U19</f>
        <v>44044</v>
      </c>
      <c r="V10" s="5">
        <f>Time!V19</f>
        <v>44075</v>
      </c>
      <c r="W10" s="5">
        <f>Time!W19</f>
        <v>44105</v>
      </c>
      <c r="X10" s="5">
        <f>Time!X19</f>
        <v>44136</v>
      </c>
      <c r="Y10" s="5">
        <f>Time!Y19</f>
        <v>44166</v>
      </c>
      <c r="Z10" s="5">
        <f>Time!Z19</f>
        <v>44197</v>
      </c>
      <c r="AA10" s="5">
        <f>Time!AA19</f>
        <v>44228</v>
      </c>
      <c r="AB10" s="5">
        <f>Time!AB19</f>
        <v>44256</v>
      </c>
      <c r="AC10" s="5">
        <f>Time!AC19</f>
        <v>44287</v>
      </c>
      <c r="AD10" s="5">
        <f>Time!AD19</f>
        <v>44317</v>
      </c>
      <c r="AE10" s="5">
        <f>Time!AE19</f>
        <v>44348</v>
      </c>
      <c r="AF10" s="5">
        <f>Time!AF19</f>
        <v>44378</v>
      </c>
      <c r="AG10" s="5">
        <f>Time!AG19</f>
        <v>44409</v>
      </c>
      <c r="AH10" s="5">
        <f>Time!AH19</f>
        <v>44440</v>
      </c>
      <c r="AI10" s="5">
        <f>Time!AI19</f>
        <v>44470</v>
      </c>
      <c r="AJ10" s="5">
        <f>Time!AJ19</f>
        <v>44501</v>
      </c>
      <c r="AK10" s="5">
        <f>Time!AK19</f>
        <v>44531</v>
      </c>
      <c r="AL10" s="5">
        <f>Time!AL19</f>
        <v>44562</v>
      </c>
      <c r="AM10" s="5">
        <f>Time!AM19</f>
        <v>44593</v>
      </c>
      <c r="AN10" s="5">
        <f>Time!AN19</f>
        <v>44621</v>
      </c>
      <c r="AO10" s="5">
        <f>Time!AO19</f>
        <v>44652</v>
      </c>
      <c r="AP10" s="5">
        <f>Time!AP19</f>
        <v>44682</v>
      </c>
      <c r="AQ10" s="5">
        <f>Time!AQ19</f>
        <v>44713</v>
      </c>
      <c r="AR10" s="5">
        <f>Time!AR19</f>
        <v>44743</v>
      </c>
      <c r="AS10" s="5">
        <f>Time!AS19</f>
        <v>44774</v>
      </c>
      <c r="AT10" s="5">
        <f>Time!AT19</f>
        <v>44805</v>
      </c>
      <c r="AU10" s="5">
        <f>Time!AU19</f>
        <v>44835</v>
      </c>
      <c r="AV10" s="5">
        <f>Time!AV19</f>
        <v>44866</v>
      </c>
      <c r="AW10" s="5">
        <f>Time!AW19</f>
        <v>44896</v>
      </c>
      <c r="AX10" s="5">
        <f>Time!AX19</f>
        <v>44927</v>
      </c>
      <c r="AY10" s="5">
        <f>Time!AY19</f>
        <v>44958</v>
      </c>
      <c r="AZ10" s="5">
        <f>Time!AZ19</f>
        <v>44986</v>
      </c>
      <c r="BA10" s="5">
        <f>Time!BA19</f>
        <v>45017</v>
      </c>
      <c r="BB10" s="5">
        <f>Time!BB19</f>
        <v>45047</v>
      </c>
      <c r="BC10" s="5">
        <f>Time!BC19</f>
        <v>45078</v>
      </c>
      <c r="BD10" s="5">
        <f>Time!BD19</f>
        <v>45108</v>
      </c>
      <c r="BE10" s="5">
        <f>Time!BE19</f>
        <v>45139</v>
      </c>
      <c r="BF10" s="5">
        <f>Time!BF19</f>
        <v>45170</v>
      </c>
      <c r="BG10" s="5">
        <f>Time!BG19</f>
        <v>45200</v>
      </c>
      <c r="BH10" s="5">
        <f>Time!BH19</f>
        <v>45231</v>
      </c>
      <c r="BI10" s="5">
        <f>Time!BI19</f>
        <v>45261</v>
      </c>
    </row>
    <row r="11" spans="2:61" s="4" customFormat="1" x14ac:dyDescent="0.35">
      <c r="E11" s="4" t="str">
        <f>Time!E21</f>
        <v>N° de mois</v>
      </c>
      <c r="J11" s="4" t="str">
        <f>Time!J21</f>
        <v>N° mois</v>
      </c>
      <c r="N11" s="4">
        <f>Time!N21</f>
        <v>1</v>
      </c>
      <c r="O11" s="4">
        <f>Time!O21</f>
        <v>2</v>
      </c>
      <c r="P11" s="4">
        <f>Time!P21</f>
        <v>3</v>
      </c>
      <c r="Q11" s="4">
        <f>Time!Q21</f>
        <v>4</v>
      </c>
      <c r="R11" s="4">
        <f>Time!R21</f>
        <v>5</v>
      </c>
      <c r="S11" s="4">
        <f>Time!S21</f>
        <v>6</v>
      </c>
      <c r="T11" s="4">
        <f>Time!T21</f>
        <v>7</v>
      </c>
      <c r="U11" s="4">
        <f>Time!U21</f>
        <v>8</v>
      </c>
      <c r="V11" s="4">
        <f>Time!V21</f>
        <v>9</v>
      </c>
      <c r="W11" s="4">
        <f>Time!W21</f>
        <v>10</v>
      </c>
      <c r="X11" s="4">
        <f>Time!X21</f>
        <v>11</v>
      </c>
      <c r="Y11" s="4">
        <f>Time!Y21</f>
        <v>12</v>
      </c>
      <c r="Z11" s="4">
        <f>Time!Z21</f>
        <v>1</v>
      </c>
      <c r="AA11" s="4">
        <f>Time!AA21</f>
        <v>2</v>
      </c>
      <c r="AB11" s="4">
        <f>Time!AB21</f>
        <v>3</v>
      </c>
      <c r="AC11" s="4">
        <f>Time!AC21</f>
        <v>4</v>
      </c>
      <c r="AD11" s="4">
        <f>Time!AD21</f>
        <v>5</v>
      </c>
      <c r="AE11" s="4">
        <f>Time!AE21</f>
        <v>6</v>
      </c>
      <c r="AF11" s="4">
        <f>Time!AF21</f>
        <v>7</v>
      </c>
      <c r="AG11" s="4">
        <f>Time!AG21</f>
        <v>8</v>
      </c>
      <c r="AH11" s="4">
        <f>Time!AH21</f>
        <v>9</v>
      </c>
      <c r="AI11" s="4">
        <f>Time!AI21</f>
        <v>10</v>
      </c>
      <c r="AJ11" s="4">
        <f>Time!AJ21</f>
        <v>11</v>
      </c>
      <c r="AK11" s="4">
        <f>Time!AK21</f>
        <v>12</v>
      </c>
      <c r="AL11" s="4">
        <f>Time!AL21</f>
        <v>1</v>
      </c>
      <c r="AM11" s="4">
        <f>Time!AM21</f>
        <v>2</v>
      </c>
      <c r="AN11" s="4">
        <f>Time!AN21</f>
        <v>3</v>
      </c>
      <c r="AO11" s="4">
        <f>Time!AO21</f>
        <v>4</v>
      </c>
      <c r="AP11" s="4">
        <f>Time!AP21</f>
        <v>5</v>
      </c>
      <c r="AQ11" s="4">
        <f>Time!AQ21</f>
        <v>6</v>
      </c>
      <c r="AR11" s="4">
        <f>Time!AR21</f>
        <v>7</v>
      </c>
      <c r="AS11" s="4">
        <f>Time!AS21</f>
        <v>8</v>
      </c>
      <c r="AT11" s="4">
        <f>Time!AT21</f>
        <v>9</v>
      </c>
      <c r="AU11" s="4">
        <f>Time!AU21</f>
        <v>10</v>
      </c>
      <c r="AV11" s="4">
        <f>Time!AV21</f>
        <v>11</v>
      </c>
      <c r="AW11" s="4">
        <f>Time!AW21</f>
        <v>12</v>
      </c>
      <c r="AX11" s="4">
        <f>Time!AX21</f>
        <v>1</v>
      </c>
      <c r="AY11" s="4">
        <f>Time!AY21</f>
        <v>2</v>
      </c>
      <c r="AZ11" s="4">
        <f>Time!AZ21</f>
        <v>3</v>
      </c>
      <c r="BA11" s="4">
        <f>Time!BA21</f>
        <v>4</v>
      </c>
      <c r="BB11" s="4">
        <f>Time!BB21</f>
        <v>5</v>
      </c>
      <c r="BC11" s="4">
        <f>Time!BC21</f>
        <v>6</v>
      </c>
      <c r="BD11" s="4">
        <f>Time!BD21</f>
        <v>7</v>
      </c>
      <c r="BE11" s="4">
        <f>Time!BE21</f>
        <v>8</v>
      </c>
      <c r="BF11" s="4">
        <f>Time!BF21</f>
        <v>9</v>
      </c>
      <c r="BG11" s="4">
        <f>Time!BG21</f>
        <v>10</v>
      </c>
      <c r="BH11" s="4">
        <f>Time!BH21</f>
        <v>11</v>
      </c>
      <c r="BI11" s="4">
        <f>Time!BI21</f>
        <v>12</v>
      </c>
    </row>
    <row r="12" spans="2:61" s="4" customFormat="1" x14ac:dyDescent="0.35"/>
    <row r="13" spans="2:61" s="6" customFormat="1" x14ac:dyDescent="0.35">
      <c r="E13" s="6">
        <v>1</v>
      </c>
      <c r="J13" s="6" t="s">
        <v>6</v>
      </c>
      <c r="N13" s="7">
        <f>IF(N$11=$E13,N$10,M13)</f>
        <v>43831</v>
      </c>
      <c r="O13" s="7">
        <f t="shared" ref="O13:BI18" si="0">IF(O$11=$E13,O$10,N13)</f>
        <v>43831</v>
      </c>
      <c r="P13" s="7">
        <f t="shared" si="0"/>
        <v>43831</v>
      </c>
      <c r="Q13" s="7">
        <f t="shared" si="0"/>
        <v>43831</v>
      </c>
      <c r="R13" s="7">
        <f t="shared" si="0"/>
        <v>43831</v>
      </c>
      <c r="S13" s="7">
        <f t="shared" si="0"/>
        <v>43831</v>
      </c>
      <c r="T13" s="7">
        <f t="shared" si="0"/>
        <v>43831</v>
      </c>
      <c r="U13" s="7">
        <f t="shared" si="0"/>
        <v>43831</v>
      </c>
      <c r="V13" s="7">
        <f t="shared" si="0"/>
        <v>43831</v>
      </c>
      <c r="W13" s="7">
        <f t="shared" si="0"/>
        <v>43831</v>
      </c>
      <c r="X13" s="7">
        <f t="shared" si="0"/>
        <v>43831</v>
      </c>
      <c r="Y13" s="7">
        <f t="shared" si="0"/>
        <v>43831</v>
      </c>
      <c r="Z13" s="7">
        <f t="shared" si="0"/>
        <v>44197</v>
      </c>
      <c r="AA13" s="7">
        <f t="shared" si="0"/>
        <v>44197</v>
      </c>
      <c r="AB13" s="7">
        <f t="shared" si="0"/>
        <v>44197</v>
      </c>
      <c r="AC13" s="7">
        <f t="shared" si="0"/>
        <v>44197</v>
      </c>
      <c r="AD13" s="7">
        <f t="shared" si="0"/>
        <v>44197</v>
      </c>
      <c r="AE13" s="7">
        <f t="shared" si="0"/>
        <v>44197</v>
      </c>
      <c r="AF13" s="7">
        <f t="shared" si="0"/>
        <v>44197</v>
      </c>
      <c r="AG13" s="7">
        <f t="shared" si="0"/>
        <v>44197</v>
      </c>
      <c r="AH13" s="7">
        <f t="shared" si="0"/>
        <v>44197</v>
      </c>
      <c r="AI13" s="7">
        <f t="shared" si="0"/>
        <v>44197</v>
      </c>
      <c r="AJ13" s="7">
        <f t="shared" si="0"/>
        <v>44197</v>
      </c>
      <c r="AK13" s="7">
        <f t="shared" si="0"/>
        <v>44197</v>
      </c>
      <c r="AL13" s="7">
        <f t="shared" si="0"/>
        <v>44562</v>
      </c>
      <c r="AM13" s="7">
        <f t="shared" si="0"/>
        <v>44562</v>
      </c>
      <c r="AN13" s="7">
        <f t="shared" si="0"/>
        <v>44562</v>
      </c>
      <c r="AO13" s="7">
        <f t="shared" si="0"/>
        <v>44562</v>
      </c>
      <c r="AP13" s="7">
        <f t="shared" si="0"/>
        <v>44562</v>
      </c>
      <c r="AQ13" s="7">
        <f t="shared" si="0"/>
        <v>44562</v>
      </c>
      <c r="AR13" s="7">
        <f t="shared" si="0"/>
        <v>44562</v>
      </c>
      <c r="AS13" s="7">
        <f t="shared" si="0"/>
        <v>44562</v>
      </c>
      <c r="AT13" s="7">
        <f t="shared" si="0"/>
        <v>44562</v>
      </c>
      <c r="AU13" s="7">
        <f t="shared" si="0"/>
        <v>44562</v>
      </c>
      <c r="AV13" s="7">
        <f t="shared" si="0"/>
        <v>44562</v>
      </c>
      <c r="AW13" s="7">
        <f t="shared" si="0"/>
        <v>44562</v>
      </c>
      <c r="AX13" s="7">
        <f t="shared" si="0"/>
        <v>44927</v>
      </c>
      <c r="AY13" s="7">
        <f t="shared" si="0"/>
        <v>44927</v>
      </c>
      <c r="AZ13" s="7">
        <f t="shared" si="0"/>
        <v>44927</v>
      </c>
      <c r="BA13" s="7">
        <f t="shared" si="0"/>
        <v>44927</v>
      </c>
      <c r="BB13" s="7">
        <f t="shared" si="0"/>
        <v>44927</v>
      </c>
      <c r="BC13" s="7">
        <f t="shared" si="0"/>
        <v>44927</v>
      </c>
      <c r="BD13" s="7">
        <f t="shared" si="0"/>
        <v>44927</v>
      </c>
      <c r="BE13" s="7">
        <f t="shared" si="0"/>
        <v>44927</v>
      </c>
      <c r="BF13" s="7">
        <f t="shared" si="0"/>
        <v>44927</v>
      </c>
      <c r="BG13" s="7">
        <f t="shared" si="0"/>
        <v>44927</v>
      </c>
      <c r="BH13" s="7">
        <f t="shared" si="0"/>
        <v>44927</v>
      </c>
      <c r="BI13" s="7">
        <f t="shared" si="0"/>
        <v>44927</v>
      </c>
    </row>
    <row r="14" spans="2:61" s="6" customFormat="1" x14ac:dyDescent="0.35">
      <c r="E14" s="6">
        <v>2</v>
      </c>
      <c r="J14" s="6" t="s">
        <v>6</v>
      </c>
      <c r="M14" s="26"/>
      <c r="N14" s="78"/>
      <c r="O14" s="7">
        <f t="shared" si="0"/>
        <v>43862</v>
      </c>
      <c r="P14" s="7">
        <f t="shared" si="0"/>
        <v>43862</v>
      </c>
      <c r="Q14" s="7">
        <f t="shared" si="0"/>
        <v>43862</v>
      </c>
      <c r="R14" s="7">
        <f t="shared" si="0"/>
        <v>43862</v>
      </c>
      <c r="S14" s="7">
        <f t="shared" si="0"/>
        <v>43862</v>
      </c>
      <c r="T14" s="7">
        <f t="shared" si="0"/>
        <v>43862</v>
      </c>
      <c r="U14" s="7">
        <f t="shared" si="0"/>
        <v>43862</v>
      </c>
      <c r="V14" s="7">
        <f t="shared" si="0"/>
        <v>43862</v>
      </c>
      <c r="W14" s="7">
        <f t="shared" si="0"/>
        <v>43862</v>
      </c>
      <c r="X14" s="7">
        <f t="shared" si="0"/>
        <v>43862</v>
      </c>
      <c r="Y14" s="7">
        <f t="shared" si="0"/>
        <v>43862</v>
      </c>
      <c r="Z14" s="7">
        <f t="shared" si="0"/>
        <v>43862</v>
      </c>
      <c r="AA14" s="7">
        <f t="shared" si="0"/>
        <v>44228</v>
      </c>
      <c r="AB14" s="7">
        <f t="shared" si="0"/>
        <v>44228</v>
      </c>
      <c r="AC14" s="7">
        <f t="shared" si="0"/>
        <v>44228</v>
      </c>
      <c r="AD14" s="7">
        <f t="shared" si="0"/>
        <v>44228</v>
      </c>
      <c r="AE14" s="7">
        <f t="shared" si="0"/>
        <v>44228</v>
      </c>
      <c r="AF14" s="7">
        <f t="shared" si="0"/>
        <v>44228</v>
      </c>
      <c r="AG14" s="7">
        <f t="shared" si="0"/>
        <v>44228</v>
      </c>
      <c r="AH14" s="7">
        <f t="shared" si="0"/>
        <v>44228</v>
      </c>
      <c r="AI14" s="7">
        <f t="shared" si="0"/>
        <v>44228</v>
      </c>
      <c r="AJ14" s="7">
        <f t="shared" si="0"/>
        <v>44228</v>
      </c>
      <c r="AK14" s="7">
        <f t="shared" si="0"/>
        <v>44228</v>
      </c>
      <c r="AL14" s="7">
        <f t="shared" si="0"/>
        <v>44228</v>
      </c>
      <c r="AM14" s="7">
        <f t="shared" si="0"/>
        <v>44593</v>
      </c>
      <c r="AN14" s="7">
        <f t="shared" si="0"/>
        <v>44593</v>
      </c>
      <c r="AO14" s="7">
        <f t="shared" si="0"/>
        <v>44593</v>
      </c>
      <c r="AP14" s="7">
        <f t="shared" si="0"/>
        <v>44593</v>
      </c>
      <c r="AQ14" s="7">
        <f t="shared" si="0"/>
        <v>44593</v>
      </c>
      <c r="AR14" s="7">
        <f t="shared" si="0"/>
        <v>44593</v>
      </c>
      <c r="AS14" s="7">
        <f t="shared" si="0"/>
        <v>44593</v>
      </c>
      <c r="AT14" s="7">
        <f t="shared" si="0"/>
        <v>44593</v>
      </c>
      <c r="AU14" s="7">
        <f t="shared" si="0"/>
        <v>44593</v>
      </c>
      <c r="AV14" s="7">
        <f t="shared" si="0"/>
        <v>44593</v>
      </c>
      <c r="AW14" s="7">
        <f t="shared" si="0"/>
        <v>44593</v>
      </c>
      <c r="AX14" s="7">
        <f t="shared" si="0"/>
        <v>44593</v>
      </c>
      <c r="AY14" s="7">
        <f t="shared" si="0"/>
        <v>44958</v>
      </c>
      <c r="AZ14" s="7">
        <f t="shared" si="0"/>
        <v>44958</v>
      </c>
      <c r="BA14" s="7">
        <f t="shared" si="0"/>
        <v>44958</v>
      </c>
      <c r="BB14" s="7">
        <f t="shared" si="0"/>
        <v>44958</v>
      </c>
      <c r="BC14" s="7">
        <f t="shared" si="0"/>
        <v>44958</v>
      </c>
      <c r="BD14" s="7">
        <f t="shared" si="0"/>
        <v>44958</v>
      </c>
      <c r="BE14" s="7">
        <f t="shared" si="0"/>
        <v>44958</v>
      </c>
      <c r="BF14" s="7">
        <f t="shared" si="0"/>
        <v>44958</v>
      </c>
      <c r="BG14" s="7">
        <f t="shared" si="0"/>
        <v>44958</v>
      </c>
      <c r="BH14" s="7">
        <f t="shared" si="0"/>
        <v>44958</v>
      </c>
      <c r="BI14" s="7">
        <f t="shared" si="0"/>
        <v>44958</v>
      </c>
    </row>
    <row r="15" spans="2:61" s="6" customFormat="1" x14ac:dyDescent="0.35">
      <c r="E15" s="6">
        <v>3</v>
      </c>
      <c r="J15" s="6" t="s">
        <v>6</v>
      </c>
      <c r="M15" s="26"/>
      <c r="N15" s="78"/>
      <c r="O15" s="78"/>
      <c r="P15" s="7">
        <f t="shared" si="0"/>
        <v>43891</v>
      </c>
      <c r="Q15" s="7">
        <f t="shared" si="0"/>
        <v>43891</v>
      </c>
      <c r="R15" s="7">
        <f t="shared" si="0"/>
        <v>43891</v>
      </c>
      <c r="S15" s="7">
        <f t="shared" si="0"/>
        <v>43891</v>
      </c>
      <c r="T15" s="7">
        <f t="shared" si="0"/>
        <v>43891</v>
      </c>
      <c r="U15" s="7">
        <f t="shared" si="0"/>
        <v>43891</v>
      </c>
      <c r="V15" s="7">
        <f t="shared" si="0"/>
        <v>43891</v>
      </c>
      <c r="W15" s="7">
        <f t="shared" si="0"/>
        <v>43891</v>
      </c>
      <c r="X15" s="7">
        <f t="shared" si="0"/>
        <v>43891</v>
      </c>
      <c r="Y15" s="7">
        <f t="shared" si="0"/>
        <v>43891</v>
      </c>
      <c r="Z15" s="7">
        <f t="shared" si="0"/>
        <v>43891</v>
      </c>
      <c r="AA15" s="7">
        <f t="shared" si="0"/>
        <v>43891</v>
      </c>
      <c r="AB15" s="7">
        <f t="shared" si="0"/>
        <v>44256</v>
      </c>
      <c r="AC15" s="7">
        <f t="shared" si="0"/>
        <v>44256</v>
      </c>
      <c r="AD15" s="7">
        <f t="shared" si="0"/>
        <v>44256</v>
      </c>
      <c r="AE15" s="7">
        <f t="shared" si="0"/>
        <v>44256</v>
      </c>
      <c r="AF15" s="7">
        <f t="shared" si="0"/>
        <v>44256</v>
      </c>
      <c r="AG15" s="7">
        <f t="shared" si="0"/>
        <v>44256</v>
      </c>
      <c r="AH15" s="7">
        <f t="shared" si="0"/>
        <v>44256</v>
      </c>
      <c r="AI15" s="7">
        <f t="shared" si="0"/>
        <v>44256</v>
      </c>
      <c r="AJ15" s="7">
        <f t="shared" si="0"/>
        <v>44256</v>
      </c>
      <c r="AK15" s="7">
        <f t="shared" si="0"/>
        <v>44256</v>
      </c>
      <c r="AL15" s="7">
        <f t="shared" si="0"/>
        <v>44256</v>
      </c>
      <c r="AM15" s="7">
        <f t="shared" si="0"/>
        <v>44256</v>
      </c>
      <c r="AN15" s="7">
        <f t="shared" si="0"/>
        <v>44621</v>
      </c>
      <c r="AO15" s="7">
        <f t="shared" si="0"/>
        <v>44621</v>
      </c>
      <c r="AP15" s="7">
        <f t="shared" si="0"/>
        <v>44621</v>
      </c>
      <c r="AQ15" s="7">
        <f t="shared" si="0"/>
        <v>44621</v>
      </c>
      <c r="AR15" s="7">
        <f t="shared" si="0"/>
        <v>44621</v>
      </c>
      <c r="AS15" s="7">
        <f t="shared" si="0"/>
        <v>44621</v>
      </c>
      <c r="AT15" s="7">
        <f t="shared" si="0"/>
        <v>44621</v>
      </c>
      <c r="AU15" s="7">
        <f t="shared" si="0"/>
        <v>44621</v>
      </c>
      <c r="AV15" s="7">
        <f t="shared" si="0"/>
        <v>44621</v>
      </c>
      <c r="AW15" s="7">
        <f t="shared" si="0"/>
        <v>44621</v>
      </c>
      <c r="AX15" s="7">
        <f t="shared" si="0"/>
        <v>44621</v>
      </c>
      <c r="AY15" s="7">
        <f t="shared" si="0"/>
        <v>44621</v>
      </c>
      <c r="AZ15" s="7">
        <f t="shared" si="0"/>
        <v>44986</v>
      </c>
      <c r="BA15" s="7">
        <f t="shared" si="0"/>
        <v>44986</v>
      </c>
      <c r="BB15" s="7">
        <f t="shared" si="0"/>
        <v>44986</v>
      </c>
      <c r="BC15" s="7">
        <f t="shared" si="0"/>
        <v>44986</v>
      </c>
      <c r="BD15" s="7">
        <f t="shared" si="0"/>
        <v>44986</v>
      </c>
      <c r="BE15" s="7">
        <f t="shared" si="0"/>
        <v>44986</v>
      </c>
      <c r="BF15" s="7">
        <f t="shared" si="0"/>
        <v>44986</v>
      </c>
      <c r="BG15" s="7">
        <f t="shared" si="0"/>
        <v>44986</v>
      </c>
      <c r="BH15" s="7">
        <f t="shared" si="0"/>
        <v>44986</v>
      </c>
      <c r="BI15" s="7">
        <f t="shared" si="0"/>
        <v>44986</v>
      </c>
    </row>
    <row r="16" spans="2:61" s="6" customFormat="1" x14ac:dyDescent="0.35">
      <c r="E16" s="6">
        <v>4</v>
      </c>
      <c r="J16" s="6" t="s">
        <v>6</v>
      </c>
      <c r="M16" s="26"/>
      <c r="N16" s="78"/>
      <c r="O16" s="78"/>
      <c r="P16" s="78"/>
      <c r="Q16" s="7">
        <f t="shared" si="0"/>
        <v>43922</v>
      </c>
      <c r="R16" s="7">
        <f t="shared" si="0"/>
        <v>43922</v>
      </c>
      <c r="S16" s="7">
        <f t="shared" si="0"/>
        <v>43922</v>
      </c>
      <c r="T16" s="7">
        <f t="shared" si="0"/>
        <v>43922</v>
      </c>
      <c r="U16" s="7">
        <f t="shared" si="0"/>
        <v>43922</v>
      </c>
      <c r="V16" s="7">
        <f t="shared" si="0"/>
        <v>43922</v>
      </c>
      <c r="W16" s="7">
        <f t="shared" si="0"/>
        <v>43922</v>
      </c>
      <c r="X16" s="7">
        <f t="shared" si="0"/>
        <v>43922</v>
      </c>
      <c r="Y16" s="7">
        <f t="shared" si="0"/>
        <v>43922</v>
      </c>
      <c r="Z16" s="7">
        <f t="shared" si="0"/>
        <v>43922</v>
      </c>
      <c r="AA16" s="7">
        <f t="shared" si="0"/>
        <v>43922</v>
      </c>
      <c r="AB16" s="7">
        <f t="shared" si="0"/>
        <v>43922</v>
      </c>
      <c r="AC16" s="7">
        <f t="shared" si="0"/>
        <v>44287</v>
      </c>
      <c r="AD16" s="7">
        <f t="shared" si="0"/>
        <v>44287</v>
      </c>
      <c r="AE16" s="7">
        <f t="shared" si="0"/>
        <v>44287</v>
      </c>
      <c r="AF16" s="7">
        <f t="shared" si="0"/>
        <v>44287</v>
      </c>
      <c r="AG16" s="7">
        <f t="shared" si="0"/>
        <v>44287</v>
      </c>
      <c r="AH16" s="7">
        <f t="shared" si="0"/>
        <v>44287</v>
      </c>
      <c r="AI16" s="7">
        <f t="shared" si="0"/>
        <v>44287</v>
      </c>
      <c r="AJ16" s="7">
        <f t="shared" si="0"/>
        <v>44287</v>
      </c>
      <c r="AK16" s="7">
        <f t="shared" si="0"/>
        <v>44287</v>
      </c>
      <c r="AL16" s="7">
        <f t="shared" si="0"/>
        <v>44287</v>
      </c>
      <c r="AM16" s="7">
        <f t="shared" si="0"/>
        <v>44287</v>
      </c>
      <c r="AN16" s="7">
        <f t="shared" si="0"/>
        <v>44287</v>
      </c>
      <c r="AO16" s="7">
        <f t="shared" si="0"/>
        <v>44652</v>
      </c>
      <c r="AP16" s="7">
        <f t="shared" si="0"/>
        <v>44652</v>
      </c>
      <c r="AQ16" s="7">
        <f t="shared" si="0"/>
        <v>44652</v>
      </c>
      <c r="AR16" s="7">
        <f t="shared" si="0"/>
        <v>44652</v>
      </c>
      <c r="AS16" s="7">
        <f t="shared" si="0"/>
        <v>44652</v>
      </c>
      <c r="AT16" s="7">
        <f t="shared" si="0"/>
        <v>44652</v>
      </c>
      <c r="AU16" s="7">
        <f t="shared" si="0"/>
        <v>44652</v>
      </c>
      <c r="AV16" s="7">
        <f t="shared" si="0"/>
        <v>44652</v>
      </c>
      <c r="AW16" s="7">
        <f t="shared" si="0"/>
        <v>44652</v>
      </c>
      <c r="AX16" s="7">
        <f t="shared" si="0"/>
        <v>44652</v>
      </c>
      <c r="AY16" s="7">
        <f t="shared" si="0"/>
        <v>44652</v>
      </c>
      <c r="AZ16" s="7">
        <f t="shared" si="0"/>
        <v>44652</v>
      </c>
      <c r="BA16" s="7">
        <f t="shared" si="0"/>
        <v>45017</v>
      </c>
      <c r="BB16" s="7">
        <f t="shared" si="0"/>
        <v>45017</v>
      </c>
      <c r="BC16" s="7">
        <f t="shared" si="0"/>
        <v>45017</v>
      </c>
      <c r="BD16" s="7">
        <f t="shared" si="0"/>
        <v>45017</v>
      </c>
      <c r="BE16" s="7">
        <f t="shared" si="0"/>
        <v>45017</v>
      </c>
      <c r="BF16" s="7">
        <f t="shared" si="0"/>
        <v>45017</v>
      </c>
      <c r="BG16" s="7">
        <f t="shared" si="0"/>
        <v>45017</v>
      </c>
      <c r="BH16" s="7">
        <f t="shared" si="0"/>
        <v>45017</v>
      </c>
      <c r="BI16" s="7">
        <f t="shared" si="0"/>
        <v>45017</v>
      </c>
    </row>
    <row r="17" spans="4:61" s="6" customFormat="1" x14ac:dyDescent="0.35">
      <c r="E17" s="6">
        <v>5</v>
      </c>
      <c r="J17" s="6" t="s">
        <v>6</v>
      </c>
      <c r="M17" s="26"/>
      <c r="N17" s="78"/>
      <c r="O17" s="78"/>
      <c r="P17" s="78"/>
      <c r="Q17" s="78"/>
      <c r="R17" s="7">
        <f t="shared" si="0"/>
        <v>43952</v>
      </c>
      <c r="S17" s="7">
        <f t="shared" si="0"/>
        <v>43952</v>
      </c>
      <c r="T17" s="7">
        <f t="shared" si="0"/>
        <v>43952</v>
      </c>
      <c r="U17" s="7">
        <f t="shared" si="0"/>
        <v>43952</v>
      </c>
      <c r="V17" s="7">
        <f t="shared" si="0"/>
        <v>43952</v>
      </c>
      <c r="W17" s="7">
        <f t="shared" si="0"/>
        <v>43952</v>
      </c>
      <c r="X17" s="7">
        <f t="shared" si="0"/>
        <v>43952</v>
      </c>
      <c r="Y17" s="7">
        <f t="shared" si="0"/>
        <v>43952</v>
      </c>
      <c r="Z17" s="7">
        <f t="shared" si="0"/>
        <v>43952</v>
      </c>
      <c r="AA17" s="7">
        <f t="shared" si="0"/>
        <v>43952</v>
      </c>
      <c r="AB17" s="7">
        <f t="shared" si="0"/>
        <v>43952</v>
      </c>
      <c r="AC17" s="7">
        <f t="shared" si="0"/>
        <v>43952</v>
      </c>
      <c r="AD17" s="7">
        <f t="shared" si="0"/>
        <v>44317</v>
      </c>
      <c r="AE17" s="7">
        <f t="shared" si="0"/>
        <v>44317</v>
      </c>
      <c r="AF17" s="7">
        <f t="shared" si="0"/>
        <v>44317</v>
      </c>
      <c r="AG17" s="7">
        <f t="shared" si="0"/>
        <v>44317</v>
      </c>
      <c r="AH17" s="7">
        <f t="shared" si="0"/>
        <v>44317</v>
      </c>
      <c r="AI17" s="7">
        <f t="shared" si="0"/>
        <v>44317</v>
      </c>
      <c r="AJ17" s="7">
        <f t="shared" si="0"/>
        <v>44317</v>
      </c>
      <c r="AK17" s="7">
        <f t="shared" si="0"/>
        <v>44317</v>
      </c>
      <c r="AL17" s="7">
        <f t="shared" si="0"/>
        <v>44317</v>
      </c>
      <c r="AM17" s="7">
        <f t="shared" si="0"/>
        <v>44317</v>
      </c>
      <c r="AN17" s="7">
        <f t="shared" si="0"/>
        <v>44317</v>
      </c>
      <c r="AO17" s="7">
        <f t="shared" si="0"/>
        <v>44317</v>
      </c>
      <c r="AP17" s="7">
        <f t="shared" si="0"/>
        <v>44682</v>
      </c>
      <c r="AQ17" s="7">
        <f t="shared" si="0"/>
        <v>44682</v>
      </c>
      <c r="AR17" s="7">
        <f t="shared" si="0"/>
        <v>44682</v>
      </c>
      <c r="AS17" s="7">
        <f t="shared" si="0"/>
        <v>44682</v>
      </c>
      <c r="AT17" s="7">
        <f t="shared" si="0"/>
        <v>44682</v>
      </c>
      <c r="AU17" s="7">
        <f t="shared" si="0"/>
        <v>44682</v>
      </c>
      <c r="AV17" s="7">
        <f t="shared" si="0"/>
        <v>44682</v>
      </c>
      <c r="AW17" s="7">
        <f t="shared" si="0"/>
        <v>44682</v>
      </c>
      <c r="AX17" s="7">
        <f t="shared" si="0"/>
        <v>44682</v>
      </c>
      <c r="AY17" s="7">
        <f t="shared" si="0"/>
        <v>44682</v>
      </c>
      <c r="AZ17" s="7">
        <f t="shared" si="0"/>
        <v>44682</v>
      </c>
      <c r="BA17" s="7">
        <f t="shared" si="0"/>
        <v>44682</v>
      </c>
      <c r="BB17" s="7">
        <f t="shared" si="0"/>
        <v>45047</v>
      </c>
      <c r="BC17" s="7">
        <f t="shared" si="0"/>
        <v>45047</v>
      </c>
      <c r="BD17" s="7">
        <f t="shared" si="0"/>
        <v>45047</v>
      </c>
      <c r="BE17" s="7">
        <f t="shared" si="0"/>
        <v>45047</v>
      </c>
      <c r="BF17" s="7">
        <f t="shared" si="0"/>
        <v>45047</v>
      </c>
      <c r="BG17" s="7">
        <f t="shared" si="0"/>
        <v>45047</v>
      </c>
      <c r="BH17" s="7">
        <f t="shared" si="0"/>
        <v>45047</v>
      </c>
      <c r="BI17" s="7">
        <f t="shared" si="0"/>
        <v>45047</v>
      </c>
    </row>
    <row r="18" spans="4:61" s="6" customFormat="1" x14ac:dyDescent="0.35">
      <c r="E18" s="6">
        <v>6</v>
      </c>
      <c r="J18" s="6" t="s">
        <v>6</v>
      </c>
      <c r="M18" s="26"/>
      <c r="N18" s="78"/>
      <c r="O18" s="78"/>
      <c r="P18" s="78"/>
      <c r="Q18" s="78"/>
      <c r="R18" s="78"/>
      <c r="S18" s="7">
        <f t="shared" si="0"/>
        <v>43983</v>
      </c>
      <c r="T18" s="7">
        <f t="shared" si="0"/>
        <v>43983</v>
      </c>
      <c r="U18" s="7">
        <f t="shared" si="0"/>
        <v>43983</v>
      </c>
      <c r="V18" s="7">
        <f t="shared" si="0"/>
        <v>43983</v>
      </c>
      <c r="W18" s="7">
        <f t="shared" si="0"/>
        <v>43983</v>
      </c>
      <c r="X18" s="7">
        <f t="shared" si="0"/>
        <v>43983</v>
      </c>
      <c r="Y18" s="7">
        <f t="shared" si="0"/>
        <v>43983</v>
      </c>
      <c r="Z18" s="7">
        <f t="shared" si="0"/>
        <v>43983</v>
      </c>
      <c r="AA18" s="7">
        <f t="shared" si="0"/>
        <v>43983</v>
      </c>
      <c r="AB18" s="7">
        <f t="shared" si="0"/>
        <v>43983</v>
      </c>
      <c r="AC18" s="7">
        <f t="shared" si="0"/>
        <v>43983</v>
      </c>
      <c r="AD18" s="7">
        <f t="shared" si="0"/>
        <v>43983</v>
      </c>
      <c r="AE18" s="7">
        <f t="shared" si="0"/>
        <v>44348</v>
      </c>
      <c r="AF18" s="7">
        <f t="shared" si="0"/>
        <v>44348</v>
      </c>
      <c r="AG18" s="7">
        <f t="shared" si="0"/>
        <v>44348</v>
      </c>
      <c r="AH18" s="7">
        <f t="shared" si="0"/>
        <v>44348</v>
      </c>
      <c r="AI18" s="7">
        <f t="shared" si="0"/>
        <v>44348</v>
      </c>
      <c r="AJ18" s="7">
        <f t="shared" si="0"/>
        <v>44348</v>
      </c>
      <c r="AK18" s="7">
        <f t="shared" si="0"/>
        <v>44348</v>
      </c>
      <c r="AL18" s="7">
        <f t="shared" si="0"/>
        <v>44348</v>
      </c>
      <c r="AM18" s="7">
        <f t="shared" si="0"/>
        <v>44348</v>
      </c>
      <c r="AN18" s="7">
        <f t="shared" si="0"/>
        <v>44348</v>
      </c>
      <c r="AO18" s="7">
        <f t="shared" si="0"/>
        <v>44348</v>
      </c>
      <c r="AP18" s="7">
        <f t="shared" si="0"/>
        <v>44348</v>
      </c>
      <c r="AQ18" s="7">
        <f t="shared" si="0"/>
        <v>44713</v>
      </c>
      <c r="AR18" s="7">
        <f t="shared" si="0"/>
        <v>44713</v>
      </c>
      <c r="AS18" s="7">
        <f t="shared" ref="AS18:BI18" si="1">IF(AS$11=$E18,AS$10,AR18)</f>
        <v>44713</v>
      </c>
      <c r="AT18" s="7">
        <f t="shared" si="1"/>
        <v>44713</v>
      </c>
      <c r="AU18" s="7">
        <f t="shared" si="1"/>
        <v>44713</v>
      </c>
      <c r="AV18" s="7">
        <f t="shared" si="1"/>
        <v>44713</v>
      </c>
      <c r="AW18" s="7">
        <f t="shared" si="1"/>
        <v>44713</v>
      </c>
      <c r="AX18" s="7">
        <f t="shared" si="1"/>
        <v>44713</v>
      </c>
      <c r="AY18" s="7">
        <f t="shared" si="1"/>
        <v>44713</v>
      </c>
      <c r="AZ18" s="7">
        <f t="shared" si="1"/>
        <v>44713</v>
      </c>
      <c r="BA18" s="7">
        <f t="shared" si="1"/>
        <v>44713</v>
      </c>
      <c r="BB18" s="7">
        <f t="shared" si="1"/>
        <v>44713</v>
      </c>
      <c r="BC18" s="7">
        <f t="shared" si="1"/>
        <v>45078</v>
      </c>
      <c r="BD18" s="7">
        <f t="shared" si="1"/>
        <v>45078</v>
      </c>
      <c r="BE18" s="7">
        <f t="shared" si="1"/>
        <v>45078</v>
      </c>
      <c r="BF18" s="7">
        <f t="shared" si="1"/>
        <v>45078</v>
      </c>
      <c r="BG18" s="7">
        <f t="shared" si="1"/>
        <v>45078</v>
      </c>
      <c r="BH18" s="7">
        <f t="shared" si="1"/>
        <v>45078</v>
      </c>
      <c r="BI18" s="7">
        <f t="shared" si="1"/>
        <v>45078</v>
      </c>
    </row>
    <row r="19" spans="4:61" s="6" customFormat="1" x14ac:dyDescent="0.35">
      <c r="E19" s="6">
        <v>7</v>
      </c>
      <c r="J19" s="6" t="s">
        <v>6</v>
      </c>
      <c r="M19" s="26"/>
      <c r="N19" s="78"/>
      <c r="O19" s="78"/>
      <c r="P19" s="78"/>
      <c r="Q19" s="78"/>
      <c r="R19" s="78"/>
      <c r="S19" s="78"/>
      <c r="T19" s="7">
        <f t="shared" ref="T19:BI24" si="2">IF(T$11=$E19,T$10,S19)</f>
        <v>44013</v>
      </c>
      <c r="U19" s="7">
        <f t="shared" si="2"/>
        <v>44013</v>
      </c>
      <c r="V19" s="7">
        <f t="shared" si="2"/>
        <v>44013</v>
      </c>
      <c r="W19" s="7">
        <f t="shared" si="2"/>
        <v>44013</v>
      </c>
      <c r="X19" s="7">
        <f t="shared" si="2"/>
        <v>44013</v>
      </c>
      <c r="Y19" s="7">
        <f t="shared" si="2"/>
        <v>44013</v>
      </c>
      <c r="Z19" s="7">
        <f t="shared" si="2"/>
        <v>44013</v>
      </c>
      <c r="AA19" s="7">
        <f t="shared" si="2"/>
        <v>44013</v>
      </c>
      <c r="AB19" s="7">
        <f t="shared" si="2"/>
        <v>44013</v>
      </c>
      <c r="AC19" s="7">
        <f t="shared" si="2"/>
        <v>44013</v>
      </c>
      <c r="AD19" s="7">
        <f t="shared" si="2"/>
        <v>44013</v>
      </c>
      <c r="AE19" s="7">
        <f t="shared" si="2"/>
        <v>44013</v>
      </c>
      <c r="AF19" s="7">
        <f t="shared" si="2"/>
        <v>44378</v>
      </c>
      <c r="AG19" s="7">
        <f t="shared" si="2"/>
        <v>44378</v>
      </c>
      <c r="AH19" s="7">
        <f t="shared" si="2"/>
        <v>44378</v>
      </c>
      <c r="AI19" s="7">
        <f t="shared" si="2"/>
        <v>44378</v>
      </c>
      <c r="AJ19" s="7">
        <f t="shared" si="2"/>
        <v>44378</v>
      </c>
      <c r="AK19" s="7">
        <f t="shared" si="2"/>
        <v>44378</v>
      </c>
      <c r="AL19" s="7">
        <f t="shared" si="2"/>
        <v>44378</v>
      </c>
      <c r="AM19" s="7">
        <f t="shared" si="2"/>
        <v>44378</v>
      </c>
      <c r="AN19" s="7">
        <f t="shared" si="2"/>
        <v>44378</v>
      </c>
      <c r="AO19" s="7">
        <f t="shared" si="2"/>
        <v>44378</v>
      </c>
      <c r="AP19" s="7">
        <f t="shared" si="2"/>
        <v>44378</v>
      </c>
      <c r="AQ19" s="7">
        <f t="shared" si="2"/>
        <v>44378</v>
      </c>
      <c r="AR19" s="7">
        <f t="shared" si="2"/>
        <v>44743</v>
      </c>
      <c r="AS19" s="7">
        <f t="shared" si="2"/>
        <v>44743</v>
      </c>
      <c r="AT19" s="7">
        <f t="shared" si="2"/>
        <v>44743</v>
      </c>
      <c r="AU19" s="7">
        <f t="shared" si="2"/>
        <v>44743</v>
      </c>
      <c r="AV19" s="7">
        <f t="shared" si="2"/>
        <v>44743</v>
      </c>
      <c r="AW19" s="7">
        <f t="shared" si="2"/>
        <v>44743</v>
      </c>
      <c r="AX19" s="7">
        <f t="shared" si="2"/>
        <v>44743</v>
      </c>
      <c r="AY19" s="7">
        <f t="shared" si="2"/>
        <v>44743</v>
      </c>
      <c r="AZ19" s="7">
        <f t="shared" si="2"/>
        <v>44743</v>
      </c>
      <c r="BA19" s="7">
        <f t="shared" si="2"/>
        <v>44743</v>
      </c>
      <c r="BB19" s="7">
        <f t="shared" si="2"/>
        <v>44743</v>
      </c>
      <c r="BC19" s="7">
        <f t="shared" si="2"/>
        <v>44743</v>
      </c>
      <c r="BD19" s="7">
        <f t="shared" si="2"/>
        <v>45108</v>
      </c>
      <c r="BE19" s="7">
        <f t="shared" si="2"/>
        <v>45108</v>
      </c>
      <c r="BF19" s="7">
        <f t="shared" si="2"/>
        <v>45108</v>
      </c>
      <c r="BG19" s="7">
        <f t="shared" si="2"/>
        <v>45108</v>
      </c>
      <c r="BH19" s="7">
        <f t="shared" si="2"/>
        <v>45108</v>
      </c>
      <c r="BI19" s="7">
        <f t="shared" si="2"/>
        <v>45108</v>
      </c>
    </row>
    <row r="20" spans="4:61" s="6" customFormat="1" x14ac:dyDescent="0.35">
      <c r="E20" s="6">
        <v>8</v>
      </c>
      <c r="J20" s="6" t="s">
        <v>6</v>
      </c>
      <c r="M20" s="26"/>
      <c r="N20" s="78"/>
      <c r="O20" s="78"/>
      <c r="P20" s="78"/>
      <c r="Q20" s="78"/>
      <c r="R20" s="78"/>
      <c r="S20" s="78"/>
      <c r="T20" s="78"/>
      <c r="U20" s="7">
        <f t="shared" si="2"/>
        <v>44044</v>
      </c>
      <c r="V20" s="7">
        <f t="shared" si="2"/>
        <v>44044</v>
      </c>
      <c r="W20" s="7">
        <f t="shared" si="2"/>
        <v>44044</v>
      </c>
      <c r="X20" s="7">
        <f t="shared" si="2"/>
        <v>44044</v>
      </c>
      <c r="Y20" s="7">
        <f t="shared" si="2"/>
        <v>44044</v>
      </c>
      <c r="Z20" s="7">
        <f t="shared" si="2"/>
        <v>44044</v>
      </c>
      <c r="AA20" s="7">
        <f t="shared" si="2"/>
        <v>44044</v>
      </c>
      <c r="AB20" s="7">
        <f t="shared" si="2"/>
        <v>44044</v>
      </c>
      <c r="AC20" s="7">
        <f t="shared" si="2"/>
        <v>44044</v>
      </c>
      <c r="AD20" s="7">
        <f t="shared" si="2"/>
        <v>44044</v>
      </c>
      <c r="AE20" s="7">
        <f t="shared" si="2"/>
        <v>44044</v>
      </c>
      <c r="AF20" s="7">
        <f t="shared" si="2"/>
        <v>44044</v>
      </c>
      <c r="AG20" s="7">
        <f t="shared" si="2"/>
        <v>44409</v>
      </c>
      <c r="AH20" s="7">
        <f t="shared" si="2"/>
        <v>44409</v>
      </c>
      <c r="AI20" s="7">
        <f t="shared" si="2"/>
        <v>44409</v>
      </c>
      <c r="AJ20" s="7">
        <f t="shared" si="2"/>
        <v>44409</v>
      </c>
      <c r="AK20" s="7">
        <f t="shared" si="2"/>
        <v>44409</v>
      </c>
      <c r="AL20" s="7">
        <f t="shared" si="2"/>
        <v>44409</v>
      </c>
      <c r="AM20" s="7">
        <f t="shared" si="2"/>
        <v>44409</v>
      </c>
      <c r="AN20" s="7">
        <f t="shared" si="2"/>
        <v>44409</v>
      </c>
      <c r="AO20" s="7">
        <f t="shared" si="2"/>
        <v>44409</v>
      </c>
      <c r="AP20" s="7">
        <f t="shared" si="2"/>
        <v>44409</v>
      </c>
      <c r="AQ20" s="7">
        <f t="shared" si="2"/>
        <v>44409</v>
      </c>
      <c r="AR20" s="7">
        <f t="shared" si="2"/>
        <v>44409</v>
      </c>
      <c r="AS20" s="7">
        <f t="shared" si="2"/>
        <v>44774</v>
      </c>
      <c r="AT20" s="7">
        <f t="shared" si="2"/>
        <v>44774</v>
      </c>
      <c r="AU20" s="7">
        <f t="shared" si="2"/>
        <v>44774</v>
      </c>
      <c r="AV20" s="7">
        <f t="shared" si="2"/>
        <v>44774</v>
      </c>
      <c r="AW20" s="7">
        <f t="shared" si="2"/>
        <v>44774</v>
      </c>
      <c r="AX20" s="7">
        <f t="shared" si="2"/>
        <v>44774</v>
      </c>
      <c r="AY20" s="7">
        <f t="shared" si="2"/>
        <v>44774</v>
      </c>
      <c r="AZ20" s="7">
        <f t="shared" si="2"/>
        <v>44774</v>
      </c>
      <c r="BA20" s="7">
        <f t="shared" si="2"/>
        <v>44774</v>
      </c>
      <c r="BB20" s="7">
        <f t="shared" si="2"/>
        <v>44774</v>
      </c>
      <c r="BC20" s="7">
        <f t="shared" si="2"/>
        <v>44774</v>
      </c>
      <c r="BD20" s="7">
        <f t="shared" si="2"/>
        <v>44774</v>
      </c>
      <c r="BE20" s="7">
        <f t="shared" si="2"/>
        <v>45139</v>
      </c>
      <c r="BF20" s="7">
        <f t="shared" si="2"/>
        <v>45139</v>
      </c>
      <c r="BG20" s="7">
        <f t="shared" si="2"/>
        <v>45139</v>
      </c>
      <c r="BH20" s="7">
        <f t="shared" si="2"/>
        <v>45139</v>
      </c>
      <c r="BI20" s="7">
        <f t="shared" si="2"/>
        <v>45139</v>
      </c>
    </row>
    <row r="21" spans="4:61" s="6" customFormat="1" x14ac:dyDescent="0.35">
      <c r="E21" s="6">
        <v>9</v>
      </c>
      <c r="J21" s="6" t="s">
        <v>6</v>
      </c>
      <c r="M21" s="26"/>
      <c r="N21" s="78"/>
      <c r="O21" s="78"/>
      <c r="P21" s="78"/>
      <c r="Q21" s="78"/>
      <c r="R21" s="78"/>
      <c r="S21" s="78"/>
      <c r="T21" s="78"/>
      <c r="U21" s="78"/>
      <c r="V21" s="7">
        <f t="shared" si="2"/>
        <v>44075</v>
      </c>
      <c r="W21" s="7">
        <f t="shared" si="2"/>
        <v>44075</v>
      </c>
      <c r="X21" s="7">
        <f t="shared" si="2"/>
        <v>44075</v>
      </c>
      <c r="Y21" s="7">
        <f t="shared" si="2"/>
        <v>44075</v>
      </c>
      <c r="Z21" s="7">
        <f t="shared" si="2"/>
        <v>44075</v>
      </c>
      <c r="AA21" s="7">
        <f t="shared" si="2"/>
        <v>44075</v>
      </c>
      <c r="AB21" s="7">
        <f t="shared" si="2"/>
        <v>44075</v>
      </c>
      <c r="AC21" s="7">
        <f t="shared" si="2"/>
        <v>44075</v>
      </c>
      <c r="AD21" s="7">
        <f t="shared" si="2"/>
        <v>44075</v>
      </c>
      <c r="AE21" s="7">
        <f t="shared" si="2"/>
        <v>44075</v>
      </c>
      <c r="AF21" s="7">
        <f t="shared" si="2"/>
        <v>44075</v>
      </c>
      <c r="AG21" s="7">
        <f t="shared" si="2"/>
        <v>44075</v>
      </c>
      <c r="AH21" s="7">
        <f t="shared" si="2"/>
        <v>44440</v>
      </c>
      <c r="AI21" s="7">
        <f t="shared" si="2"/>
        <v>44440</v>
      </c>
      <c r="AJ21" s="7">
        <f t="shared" si="2"/>
        <v>44440</v>
      </c>
      <c r="AK21" s="7">
        <f t="shared" si="2"/>
        <v>44440</v>
      </c>
      <c r="AL21" s="7">
        <f t="shared" si="2"/>
        <v>44440</v>
      </c>
      <c r="AM21" s="7">
        <f t="shared" si="2"/>
        <v>44440</v>
      </c>
      <c r="AN21" s="7">
        <f t="shared" si="2"/>
        <v>44440</v>
      </c>
      <c r="AO21" s="7">
        <f t="shared" si="2"/>
        <v>44440</v>
      </c>
      <c r="AP21" s="7">
        <f t="shared" si="2"/>
        <v>44440</v>
      </c>
      <c r="AQ21" s="7">
        <f t="shared" si="2"/>
        <v>44440</v>
      </c>
      <c r="AR21" s="7">
        <f t="shared" si="2"/>
        <v>44440</v>
      </c>
      <c r="AS21" s="7">
        <f t="shared" si="2"/>
        <v>44440</v>
      </c>
      <c r="AT21" s="7">
        <f t="shared" si="2"/>
        <v>44805</v>
      </c>
      <c r="AU21" s="7">
        <f t="shared" si="2"/>
        <v>44805</v>
      </c>
      <c r="AV21" s="7">
        <f t="shared" si="2"/>
        <v>44805</v>
      </c>
      <c r="AW21" s="7">
        <f t="shared" si="2"/>
        <v>44805</v>
      </c>
      <c r="AX21" s="7">
        <f t="shared" si="2"/>
        <v>44805</v>
      </c>
      <c r="AY21" s="7">
        <f t="shared" si="2"/>
        <v>44805</v>
      </c>
      <c r="AZ21" s="7">
        <f t="shared" si="2"/>
        <v>44805</v>
      </c>
      <c r="BA21" s="7">
        <f t="shared" si="2"/>
        <v>44805</v>
      </c>
      <c r="BB21" s="7">
        <f t="shared" si="2"/>
        <v>44805</v>
      </c>
      <c r="BC21" s="7">
        <f t="shared" si="2"/>
        <v>44805</v>
      </c>
      <c r="BD21" s="7">
        <f t="shared" si="2"/>
        <v>44805</v>
      </c>
      <c r="BE21" s="7">
        <f t="shared" si="2"/>
        <v>44805</v>
      </c>
      <c r="BF21" s="7">
        <f t="shared" si="2"/>
        <v>45170</v>
      </c>
      <c r="BG21" s="7">
        <f t="shared" si="2"/>
        <v>45170</v>
      </c>
      <c r="BH21" s="7">
        <f t="shared" si="2"/>
        <v>45170</v>
      </c>
      <c r="BI21" s="7">
        <f t="shared" si="2"/>
        <v>45170</v>
      </c>
    </row>
    <row r="22" spans="4:61" s="6" customFormat="1" x14ac:dyDescent="0.35">
      <c r="E22" s="6">
        <v>10</v>
      </c>
      <c r="J22" s="6" t="s">
        <v>6</v>
      </c>
      <c r="M22" s="26"/>
      <c r="N22" s="78"/>
      <c r="O22" s="78"/>
      <c r="P22" s="78"/>
      <c r="Q22" s="78"/>
      <c r="R22" s="78"/>
      <c r="S22" s="78"/>
      <c r="T22" s="78"/>
      <c r="U22" s="78"/>
      <c r="V22" s="78"/>
      <c r="W22" s="7">
        <f t="shared" si="2"/>
        <v>44105</v>
      </c>
      <c r="X22" s="7">
        <f t="shared" si="2"/>
        <v>44105</v>
      </c>
      <c r="Y22" s="7">
        <f t="shared" si="2"/>
        <v>44105</v>
      </c>
      <c r="Z22" s="7">
        <f t="shared" si="2"/>
        <v>44105</v>
      </c>
      <c r="AA22" s="7">
        <f t="shared" si="2"/>
        <v>44105</v>
      </c>
      <c r="AB22" s="7">
        <f t="shared" si="2"/>
        <v>44105</v>
      </c>
      <c r="AC22" s="7">
        <f t="shared" si="2"/>
        <v>44105</v>
      </c>
      <c r="AD22" s="7">
        <f t="shared" si="2"/>
        <v>44105</v>
      </c>
      <c r="AE22" s="7">
        <f t="shared" si="2"/>
        <v>44105</v>
      </c>
      <c r="AF22" s="7">
        <f t="shared" si="2"/>
        <v>44105</v>
      </c>
      <c r="AG22" s="7">
        <f t="shared" si="2"/>
        <v>44105</v>
      </c>
      <c r="AH22" s="7">
        <f t="shared" si="2"/>
        <v>44105</v>
      </c>
      <c r="AI22" s="7">
        <f t="shared" si="2"/>
        <v>44470</v>
      </c>
      <c r="AJ22" s="7">
        <f t="shared" si="2"/>
        <v>44470</v>
      </c>
      <c r="AK22" s="7">
        <f t="shared" si="2"/>
        <v>44470</v>
      </c>
      <c r="AL22" s="7">
        <f t="shared" si="2"/>
        <v>44470</v>
      </c>
      <c r="AM22" s="7">
        <f t="shared" si="2"/>
        <v>44470</v>
      </c>
      <c r="AN22" s="7">
        <f t="shared" si="2"/>
        <v>44470</v>
      </c>
      <c r="AO22" s="7">
        <f t="shared" si="2"/>
        <v>44470</v>
      </c>
      <c r="AP22" s="7">
        <f t="shared" si="2"/>
        <v>44470</v>
      </c>
      <c r="AQ22" s="7">
        <f t="shared" si="2"/>
        <v>44470</v>
      </c>
      <c r="AR22" s="7">
        <f t="shared" si="2"/>
        <v>44470</v>
      </c>
      <c r="AS22" s="7">
        <f t="shared" si="2"/>
        <v>44470</v>
      </c>
      <c r="AT22" s="7">
        <f t="shared" si="2"/>
        <v>44470</v>
      </c>
      <c r="AU22" s="7">
        <f t="shared" si="2"/>
        <v>44835</v>
      </c>
      <c r="AV22" s="7">
        <f t="shared" si="2"/>
        <v>44835</v>
      </c>
      <c r="AW22" s="7">
        <f t="shared" si="2"/>
        <v>44835</v>
      </c>
      <c r="AX22" s="7">
        <f t="shared" si="2"/>
        <v>44835</v>
      </c>
      <c r="AY22" s="7">
        <f t="shared" si="2"/>
        <v>44835</v>
      </c>
      <c r="AZ22" s="7">
        <f t="shared" si="2"/>
        <v>44835</v>
      </c>
      <c r="BA22" s="7">
        <f t="shared" si="2"/>
        <v>44835</v>
      </c>
      <c r="BB22" s="7">
        <f t="shared" si="2"/>
        <v>44835</v>
      </c>
      <c r="BC22" s="7">
        <f t="shared" si="2"/>
        <v>44835</v>
      </c>
      <c r="BD22" s="7">
        <f t="shared" si="2"/>
        <v>44835</v>
      </c>
      <c r="BE22" s="7">
        <f t="shared" si="2"/>
        <v>44835</v>
      </c>
      <c r="BF22" s="7">
        <f t="shared" si="2"/>
        <v>44835</v>
      </c>
      <c r="BG22" s="7">
        <f t="shared" si="2"/>
        <v>45200</v>
      </c>
      <c r="BH22" s="7">
        <f t="shared" si="2"/>
        <v>45200</v>
      </c>
      <c r="BI22" s="7">
        <f t="shared" si="2"/>
        <v>45200</v>
      </c>
    </row>
    <row r="23" spans="4:61" s="6" customFormat="1" x14ac:dyDescent="0.35">
      <c r="E23" s="6">
        <v>11</v>
      </c>
      <c r="J23" s="6" t="s">
        <v>6</v>
      </c>
      <c r="M23" s="26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">
        <f t="shared" si="2"/>
        <v>44136</v>
      </c>
      <c r="Y23" s="7">
        <f t="shared" si="2"/>
        <v>44136</v>
      </c>
      <c r="Z23" s="7">
        <f t="shared" si="2"/>
        <v>44136</v>
      </c>
      <c r="AA23" s="7">
        <f t="shared" si="2"/>
        <v>44136</v>
      </c>
      <c r="AB23" s="7">
        <f t="shared" si="2"/>
        <v>44136</v>
      </c>
      <c r="AC23" s="7">
        <f t="shared" si="2"/>
        <v>44136</v>
      </c>
      <c r="AD23" s="7">
        <f t="shared" si="2"/>
        <v>44136</v>
      </c>
      <c r="AE23" s="7">
        <f t="shared" si="2"/>
        <v>44136</v>
      </c>
      <c r="AF23" s="7">
        <f t="shared" si="2"/>
        <v>44136</v>
      </c>
      <c r="AG23" s="7">
        <f t="shared" si="2"/>
        <v>44136</v>
      </c>
      <c r="AH23" s="7">
        <f t="shared" si="2"/>
        <v>44136</v>
      </c>
      <c r="AI23" s="7">
        <f t="shared" si="2"/>
        <v>44136</v>
      </c>
      <c r="AJ23" s="7">
        <f t="shared" si="2"/>
        <v>44501</v>
      </c>
      <c r="AK23" s="7">
        <f t="shared" si="2"/>
        <v>44501</v>
      </c>
      <c r="AL23" s="7">
        <f t="shared" si="2"/>
        <v>44501</v>
      </c>
      <c r="AM23" s="7">
        <f t="shared" si="2"/>
        <v>44501</v>
      </c>
      <c r="AN23" s="7">
        <f t="shared" si="2"/>
        <v>44501</v>
      </c>
      <c r="AO23" s="7">
        <f t="shared" si="2"/>
        <v>44501</v>
      </c>
      <c r="AP23" s="7">
        <f t="shared" si="2"/>
        <v>44501</v>
      </c>
      <c r="AQ23" s="7">
        <f t="shared" si="2"/>
        <v>44501</v>
      </c>
      <c r="AR23" s="7">
        <f t="shared" si="2"/>
        <v>44501</v>
      </c>
      <c r="AS23" s="7">
        <f t="shared" si="2"/>
        <v>44501</v>
      </c>
      <c r="AT23" s="7">
        <f t="shared" si="2"/>
        <v>44501</v>
      </c>
      <c r="AU23" s="7">
        <f t="shared" si="2"/>
        <v>44501</v>
      </c>
      <c r="AV23" s="7">
        <f t="shared" si="2"/>
        <v>44866</v>
      </c>
      <c r="AW23" s="7">
        <f t="shared" si="2"/>
        <v>44866</v>
      </c>
      <c r="AX23" s="7">
        <f t="shared" si="2"/>
        <v>44866</v>
      </c>
      <c r="AY23" s="7">
        <f t="shared" si="2"/>
        <v>44866</v>
      </c>
      <c r="AZ23" s="7">
        <f t="shared" si="2"/>
        <v>44866</v>
      </c>
      <c r="BA23" s="7">
        <f t="shared" si="2"/>
        <v>44866</v>
      </c>
      <c r="BB23" s="7">
        <f t="shared" si="2"/>
        <v>44866</v>
      </c>
      <c r="BC23" s="7">
        <f t="shared" si="2"/>
        <v>44866</v>
      </c>
      <c r="BD23" s="7">
        <f t="shared" si="2"/>
        <v>44866</v>
      </c>
      <c r="BE23" s="7">
        <f t="shared" si="2"/>
        <v>44866</v>
      </c>
      <c r="BF23" s="7">
        <f t="shared" si="2"/>
        <v>44866</v>
      </c>
      <c r="BG23" s="7">
        <f t="shared" si="2"/>
        <v>44866</v>
      </c>
      <c r="BH23" s="7">
        <f t="shared" si="2"/>
        <v>45231</v>
      </c>
      <c r="BI23" s="7">
        <f t="shared" si="2"/>
        <v>45231</v>
      </c>
    </row>
    <row r="24" spans="4:61" s="6" customFormat="1" x14ac:dyDescent="0.35">
      <c r="E24" s="6">
        <v>12</v>
      </c>
      <c r="J24" s="6" t="s">
        <v>6</v>
      </c>
      <c r="M24" s="26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">
        <f t="shared" si="2"/>
        <v>44166</v>
      </c>
      <c r="Z24" s="7">
        <f t="shared" si="2"/>
        <v>44166</v>
      </c>
      <c r="AA24" s="7">
        <f t="shared" si="2"/>
        <v>44166</v>
      </c>
      <c r="AB24" s="7">
        <f t="shared" si="2"/>
        <v>44166</v>
      </c>
      <c r="AC24" s="7">
        <f t="shared" si="2"/>
        <v>44166</v>
      </c>
      <c r="AD24" s="7">
        <f t="shared" si="2"/>
        <v>44166</v>
      </c>
      <c r="AE24" s="7">
        <f t="shared" si="2"/>
        <v>44166</v>
      </c>
      <c r="AF24" s="7">
        <f t="shared" si="2"/>
        <v>44166</v>
      </c>
      <c r="AG24" s="7">
        <f t="shared" si="2"/>
        <v>44166</v>
      </c>
      <c r="AH24" s="7">
        <f t="shared" si="2"/>
        <v>44166</v>
      </c>
      <c r="AI24" s="7">
        <f t="shared" si="2"/>
        <v>44166</v>
      </c>
      <c r="AJ24" s="7">
        <f t="shared" si="2"/>
        <v>44166</v>
      </c>
      <c r="AK24" s="7">
        <f t="shared" si="2"/>
        <v>44531</v>
      </c>
      <c r="AL24" s="7">
        <f t="shared" si="2"/>
        <v>44531</v>
      </c>
      <c r="AM24" s="7">
        <f t="shared" si="2"/>
        <v>44531</v>
      </c>
      <c r="AN24" s="7">
        <f t="shared" si="2"/>
        <v>44531</v>
      </c>
      <c r="AO24" s="7">
        <f t="shared" si="2"/>
        <v>44531</v>
      </c>
      <c r="AP24" s="7">
        <f t="shared" si="2"/>
        <v>44531</v>
      </c>
      <c r="AQ24" s="7">
        <f t="shared" si="2"/>
        <v>44531</v>
      </c>
      <c r="AR24" s="7">
        <f t="shared" si="2"/>
        <v>44531</v>
      </c>
      <c r="AS24" s="7">
        <f t="shared" si="2"/>
        <v>44531</v>
      </c>
      <c r="AT24" s="7">
        <f t="shared" si="2"/>
        <v>44531</v>
      </c>
      <c r="AU24" s="7">
        <f t="shared" si="2"/>
        <v>44531</v>
      </c>
      <c r="AV24" s="7">
        <f t="shared" si="2"/>
        <v>44531</v>
      </c>
      <c r="AW24" s="7">
        <f t="shared" si="2"/>
        <v>44896</v>
      </c>
      <c r="AX24" s="7">
        <f t="shared" si="2"/>
        <v>44896</v>
      </c>
      <c r="AY24" s="7">
        <f t="shared" si="2"/>
        <v>44896</v>
      </c>
      <c r="AZ24" s="7">
        <f t="shared" si="2"/>
        <v>44896</v>
      </c>
      <c r="BA24" s="7">
        <f t="shared" si="2"/>
        <v>44896</v>
      </c>
      <c r="BB24" s="7">
        <f t="shared" si="2"/>
        <v>44896</v>
      </c>
      <c r="BC24" s="7">
        <f t="shared" si="2"/>
        <v>44896</v>
      </c>
      <c r="BD24" s="7">
        <f t="shared" si="2"/>
        <v>44896</v>
      </c>
      <c r="BE24" s="7">
        <f t="shared" si="2"/>
        <v>44896</v>
      </c>
      <c r="BF24" s="7">
        <f t="shared" si="2"/>
        <v>44896</v>
      </c>
      <c r="BG24" s="7">
        <f t="shared" si="2"/>
        <v>44896</v>
      </c>
      <c r="BH24" s="7">
        <f t="shared" si="2"/>
        <v>44896</v>
      </c>
      <c r="BI24" s="7">
        <f t="shared" si="2"/>
        <v>45261</v>
      </c>
    </row>
    <row r="25" spans="4:61" s="4" customFormat="1" x14ac:dyDescent="0.35"/>
    <row r="26" spans="4:61" x14ac:dyDescent="0.35">
      <c r="D26" s="1" t="s">
        <v>82</v>
      </c>
    </row>
    <row r="28" spans="4:61" s="4" customFormat="1" x14ac:dyDescent="0.35">
      <c r="E28" s="4">
        <f>Hypothèses_trajectoire!E128</f>
        <v>1</v>
      </c>
      <c r="I28" s="4">
        <f>Hypothèses_trajectoire!I128</f>
        <v>50</v>
      </c>
      <c r="J28" s="4" t="str">
        <f>Hypothèses_trajectoire!J128</f>
        <v>jours calendaires</v>
      </c>
    </row>
    <row r="29" spans="4:61" s="4" customFormat="1" x14ac:dyDescent="0.35">
      <c r="E29" s="4">
        <f>Hypothèses_trajectoire!E129</f>
        <v>2</v>
      </c>
      <c r="I29" s="4">
        <f>Hypothèses_trajectoire!I129</f>
        <v>50</v>
      </c>
      <c r="J29" s="4" t="str">
        <f>Hypothèses_trajectoire!J129</f>
        <v>jours calendaires</v>
      </c>
    </row>
    <row r="30" spans="4:61" s="4" customFormat="1" x14ac:dyDescent="0.35">
      <c r="E30" s="4">
        <f>Hypothèses_trajectoire!E130</f>
        <v>3</v>
      </c>
      <c r="I30" s="4">
        <f>Hypothèses_trajectoire!I130</f>
        <v>50</v>
      </c>
      <c r="J30" s="4" t="str">
        <f>Hypothèses_trajectoire!J130</f>
        <v>jours calendaires</v>
      </c>
    </row>
    <row r="31" spans="4:61" s="4" customFormat="1" x14ac:dyDescent="0.35">
      <c r="E31" s="4">
        <f>Hypothèses_trajectoire!E131</f>
        <v>4</v>
      </c>
      <c r="I31" s="4">
        <f>Hypothèses_trajectoire!I131</f>
        <v>50</v>
      </c>
      <c r="J31" s="4" t="str">
        <f>Hypothèses_trajectoire!J131</f>
        <v>jours calendaires</v>
      </c>
    </row>
    <row r="32" spans="4:61" s="4" customFormat="1" x14ac:dyDescent="0.35">
      <c r="E32" s="4">
        <f>Hypothèses_trajectoire!E132</f>
        <v>5</v>
      </c>
      <c r="I32" s="4">
        <f>Hypothèses_trajectoire!I132</f>
        <v>50</v>
      </c>
      <c r="J32" s="4" t="str">
        <f>Hypothèses_trajectoire!J132</f>
        <v>jours calendaires</v>
      </c>
    </row>
    <row r="33" spans="5:62" s="4" customFormat="1" x14ac:dyDescent="0.35">
      <c r="E33" s="4">
        <f>Hypothèses_trajectoire!E133</f>
        <v>6</v>
      </c>
      <c r="I33" s="4">
        <f>Hypothèses_trajectoire!I133</f>
        <v>50</v>
      </c>
      <c r="J33" s="4" t="str">
        <f>Hypothèses_trajectoire!J133</f>
        <v>jours calendaires</v>
      </c>
    </row>
    <row r="34" spans="5:62" s="4" customFormat="1" x14ac:dyDescent="0.35">
      <c r="E34" s="4">
        <f>Hypothèses_trajectoire!E134</f>
        <v>7</v>
      </c>
      <c r="I34" s="4">
        <f>Hypothèses_trajectoire!I134</f>
        <v>50</v>
      </c>
      <c r="J34" s="4" t="str">
        <f>Hypothèses_trajectoire!J134</f>
        <v>jours calendaires</v>
      </c>
    </row>
    <row r="35" spans="5:62" s="4" customFormat="1" x14ac:dyDescent="0.35">
      <c r="E35" s="4">
        <f>Hypothèses_trajectoire!E135</f>
        <v>8</v>
      </c>
      <c r="I35" s="4">
        <f>Hypothèses_trajectoire!I135</f>
        <v>50</v>
      </c>
      <c r="J35" s="4" t="str">
        <f>Hypothèses_trajectoire!J135</f>
        <v>jours calendaires</v>
      </c>
    </row>
    <row r="36" spans="5:62" s="4" customFormat="1" x14ac:dyDescent="0.35">
      <c r="E36" s="4">
        <f>Hypothèses_trajectoire!E136</f>
        <v>9</v>
      </c>
      <c r="I36" s="4">
        <f>Hypothèses_trajectoire!I136</f>
        <v>50</v>
      </c>
      <c r="J36" s="4" t="str">
        <f>Hypothèses_trajectoire!J136</f>
        <v>jours calendaires</v>
      </c>
    </row>
    <row r="37" spans="5:62" s="4" customFormat="1" x14ac:dyDescent="0.35">
      <c r="E37" s="4">
        <f>Hypothèses_trajectoire!E137</f>
        <v>10</v>
      </c>
      <c r="I37" s="4">
        <f>Hypothèses_trajectoire!I137</f>
        <v>50</v>
      </c>
      <c r="J37" s="4" t="str">
        <f>Hypothèses_trajectoire!J137</f>
        <v>jours calendaires</v>
      </c>
    </row>
    <row r="38" spans="5:62" s="4" customFormat="1" x14ac:dyDescent="0.35">
      <c r="E38" s="4">
        <f>Hypothèses_trajectoire!E138</f>
        <v>11</v>
      </c>
      <c r="I38" s="4">
        <f>Hypothèses_trajectoire!I138</f>
        <v>50</v>
      </c>
      <c r="J38" s="4" t="str">
        <f>Hypothèses_trajectoire!J138</f>
        <v>jours calendaires</v>
      </c>
    </row>
    <row r="39" spans="5:62" s="4" customFormat="1" x14ac:dyDescent="0.35">
      <c r="E39" s="4">
        <f>Hypothèses_trajectoire!E139</f>
        <v>12</v>
      </c>
      <c r="I39" s="4">
        <f>Hypothèses_trajectoire!I139</f>
        <v>50</v>
      </c>
      <c r="J39" s="4" t="str">
        <f>Hypothèses_trajectoire!J139</f>
        <v>jours calendaires</v>
      </c>
    </row>
    <row r="40" spans="5:62" s="4" customFormat="1" x14ac:dyDescent="0.35"/>
    <row r="41" spans="5:62" s="4" customFormat="1" x14ac:dyDescent="0.35">
      <c r="E41" s="4" t="str">
        <f>Hypothèses_trajectoire!E141</f>
        <v>Etalements autour de la moyenne</v>
      </c>
      <c r="I41" s="4">
        <f>Hypothèses_trajectoire!I141</f>
        <v>60</v>
      </c>
      <c r="J41" s="4" t="str">
        <f>Hypothèses_trajectoire!J141</f>
        <v>jours calendaires</v>
      </c>
    </row>
    <row r="43" spans="5:62" x14ac:dyDescent="0.35">
      <c r="E43">
        <f t="shared" ref="E43:E54" si="3">E13</f>
        <v>1</v>
      </c>
      <c r="J43" t="str">
        <f t="shared" ref="J43:J54" si="4">J13</f>
        <v>date</v>
      </c>
      <c r="N43" s="7">
        <f t="shared" ref="N43:BI48" si="5">N13</f>
        <v>43831</v>
      </c>
      <c r="O43" s="7">
        <f t="shared" si="5"/>
        <v>43831</v>
      </c>
      <c r="P43" s="7">
        <f t="shared" si="5"/>
        <v>43831</v>
      </c>
      <c r="Q43" s="7">
        <f t="shared" si="5"/>
        <v>43831</v>
      </c>
      <c r="R43" s="7">
        <f t="shared" si="5"/>
        <v>43831</v>
      </c>
      <c r="S43" s="7">
        <f t="shared" si="5"/>
        <v>43831</v>
      </c>
      <c r="T43" s="7">
        <f t="shared" si="5"/>
        <v>43831</v>
      </c>
      <c r="U43" s="7">
        <f t="shared" si="5"/>
        <v>43831</v>
      </c>
      <c r="V43" s="7">
        <f t="shared" si="5"/>
        <v>43831</v>
      </c>
      <c r="W43" s="7">
        <f t="shared" si="5"/>
        <v>43831</v>
      </c>
      <c r="X43" s="7">
        <f t="shared" si="5"/>
        <v>43831</v>
      </c>
      <c r="Y43" s="7">
        <f t="shared" si="5"/>
        <v>43831</v>
      </c>
      <c r="Z43" s="7">
        <f t="shared" si="5"/>
        <v>44197</v>
      </c>
      <c r="AA43" s="7">
        <f t="shared" si="5"/>
        <v>44197</v>
      </c>
      <c r="AB43" s="7">
        <f t="shared" si="5"/>
        <v>44197</v>
      </c>
      <c r="AC43" s="7">
        <f t="shared" si="5"/>
        <v>44197</v>
      </c>
      <c r="AD43" s="7">
        <f t="shared" si="5"/>
        <v>44197</v>
      </c>
      <c r="AE43" s="7">
        <f t="shared" si="5"/>
        <v>44197</v>
      </c>
      <c r="AF43" s="7">
        <f t="shared" si="5"/>
        <v>44197</v>
      </c>
      <c r="AG43" s="7">
        <f t="shared" si="5"/>
        <v>44197</v>
      </c>
      <c r="AH43" s="7">
        <f t="shared" si="5"/>
        <v>44197</v>
      </c>
      <c r="AI43" s="7">
        <f t="shared" si="5"/>
        <v>44197</v>
      </c>
      <c r="AJ43" s="7">
        <f t="shared" si="5"/>
        <v>44197</v>
      </c>
      <c r="AK43" s="7">
        <f t="shared" si="5"/>
        <v>44197</v>
      </c>
      <c r="AL43" s="7">
        <f t="shared" si="5"/>
        <v>44562</v>
      </c>
      <c r="AM43" s="7">
        <f t="shared" si="5"/>
        <v>44562</v>
      </c>
      <c r="AN43" s="7">
        <f t="shared" si="5"/>
        <v>44562</v>
      </c>
      <c r="AO43" s="7">
        <f t="shared" si="5"/>
        <v>44562</v>
      </c>
      <c r="AP43" s="7">
        <f t="shared" si="5"/>
        <v>44562</v>
      </c>
      <c r="AQ43" s="7">
        <f t="shared" si="5"/>
        <v>44562</v>
      </c>
      <c r="AR43" s="7">
        <f t="shared" si="5"/>
        <v>44562</v>
      </c>
      <c r="AS43" s="7">
        <f t="shared" si="5"/>
        <v>44562</v>
      </c>
      <c r="AT43" s="7">
        <f t="shared" si="5"/>
        <v>44562</v>
      </c>
      <c r="AU43" s="7">
        <f t="shared" si="5"/>
        <v>44562</v>
      </c>
      <c r="AV43" s="7">
        <f t="shared" si="5"/>
        <v>44562</v>
      </c>
      <c r="AW43" s="7">
        <f t="shared" si="5"/>
        <v>44562</v>
      </c>
      <c r="AX43" s="7">
        <f t="shared" si="5"/>
        <v>44927</v>
      </c>
      <c r="AY43" s="7">
        <f t="shared" si="5"/>
        <v>44927</v>
      </c>
      <c r="AZ43" s="7">
        <f t="shared" si="5"/>
        <v>44927</v>
      </c>
      <c r="BA43" s="7">
        <f t="shared" si="5"/>
        <v>44927</v>
      </c>
      <c r="BB43" s="7">
        <f t="shared" si="5"/>
        <v>44927</v>
      </c>
      <c r="BC43" s="7">
        <f t="shared" si="5"/>
        <v>44927</v>
      </c>
      <c r="BD43" s="7">
        <f t="shared" si="5"/>
        <v>44927</v>
      </c>
      <c r="BE43" s="7">
        <f t="shared" si="5"/>
        <v>44927</v>
      </c>
      <c r="BF43" s="7">
        <f t="shared" si="5"/>
        <v>44927</v>
      </c>
      <c r="BG43" s="7">
        <f t="shared" si="5"/>
        <v>44927</v>
      </c>
      <c r="BH43" s="7">
        <f t="shared" si="5"/>
        <v>44927</v>
      </c>
      <c r="BI43" s="7">
        <f t="shared" si="5"/>
        <v>44927</v>
      </c>
      <c r="BJ43" s="3"/>
    </row>
    <row r="44" spans="5:62" x14ac:dyDescent="0.35">
      <c r="E44">
        <f t="shared" si="3"/>
        <v>2</v>
      </c>
      <c r="J44" t="str">
        <f t="shared" si="4"/>
        <v>date</v>
      </c>
      <c r="N44" s="78"/>
      <c r="O44" s="7">
        <f t="shared" si="5"/>
        <v>43862</v>
      </c>
      <c r="P44" s="7">
        <f t="shared" si="5"/>
        <v>43862</v>
      </c>
      <c r="Q44" s="7">
        <f t="shared" si="5"/>
        <v>43862</v>
      </c>
      <c r="R44" s="7">
        <f t="shared" si="5"/>
        <v>43862</v>
      </c>
      <c r="S44" s="7">
        <f t="shared" si="5"/>
        <v>43862</v>
      </c>
      <c r="T44" s="7">
        <f t="shared" si="5"/>
        <v>43862</v>
      </c>
      <c r="U44" s="7">
        <f t="shared" si="5"/>
        <v>43862</v>
      </c>
      <c r="V44" s="7">
        <f t="shared" si="5"/>
        <v>43862</v>
      </c>
      <c r="W44" s="7">
        <f t="shared" si="5"/>
        <v>43862</v>
      </c>
      <c r="X44" s="7">
        <f t="shared" si="5"/>
        <v>43862</v>
      </c>
      <c r="Y44" s="7">
        <f t="shared" si="5"/>
        <v>43862</v>
      </c>
      <c r="Z44" s="7">
        <f t="shared" si="5"/>
        <v>43862</v>
      </c>
      <c r="AA44" s="7">
        <f t="shared" si="5"/>
        <v>44228</v>
      </c>
      <c r="AB44" s="7">
        <f t="shared" si="5"/>
        <v>44228</v>
      </c>
      <c r="AC44" s="7">
        <f t="shared" si="5"/>
        <v>44228</v>
      </c>
      <c r="AD44" s="7">
        <f t="shared" si="5"/>
        <v>44228</v>
      </c>
      <c r="AE44" s="7">
        <f t="shared" si="5"/>
        <v>44228</v>
      </c>
      <c r="AF44" s="7">
        <f t="shared" si="5"/>
        <v>44228</v>
      </c>
      <c r="AG44" s="7">
        <f t="shared" si="5"/>
        <v>44228</v>
      </c>
      <c r="AH44" s="7">
        <f t="shared" si="5"/>
        <v>44228</v>
      </c>
      <c r="AI44" s="7">
        <f t="shared" si="5"/>
        <v>44228</v>
      </c>
      <c r="AJ44" s="7">
        <f t="shared" si="5"/>
        <v>44228</v>
      </c>
      <c r="AK44" s="7">
        <f t="shared" si="5"/>
        <v>44228</v>
      </c>
      <c r="AL44" s="7">
        <f t="shared" si="5"/>
        <v>44228</v>
      </c>
      <c r="AM44" s="7">
        <f t="shared" si="5"/>
        <v>44593</v>
      </c>
      <c r="AN44" s="7">
        <f t="shared" si="5"/>
        <v>44593</v>
      </c>
      <c r="AO44" s="7">
        <f t="shared" si="5"/>
        <v>44593</v>
      </c>
      <c r="AP44" s="7">
        <f t="shared" si="5"/>
        <v>44593</v>
      </c>
      <c r="AQ44" s="7">
        <f t="shared" si="5"/>
        <v>44593</v>
      </c>
      <c r="AR44" s="7">
        <f t="shared" si="5"/>
        <v>44593</v>
      </c>
      <c r="AS44" s="7">
        <f t="shared" si="5"/>
        <v>44593</v>
      </c>
      <c r="AT44" s="7">
        <f t="shared" si="5"/>
        <v>44593</v>
      </c>
      <c r="AU44" s="7">
        <f t="shared" si="5"/>
        <v>44593</v>
      </c>
      <c r="AV44" s="7">
        <f t="shared" si="5"/>
        <v>44593</v>
      </c>
      <c r="AW44" s="7">
        <f t="shared" si="5"/>
        <v>44593</v>
      </c>
      <c r="AX44" s="7">
        <f t="shared" si="5"/>
        <v>44593</v>
      </c>
      <c r="AY44" s="7">
        <f t="shared" si="5"/>
        <v>44958</v>
      </c>
      <c r="AZ44" s="7">
        <f t="shared" si="5"/>
        <v>44958</v>
      </c>
      <c r="BA44" s="7">
        <f t="shared" si="5"/>
        <v>44958</v>
      </c>
      <c r="BB44" s="7">
        <f t="shared" si="5"/>
        <v>44958</v>
      </c>
      <c r="BC44" s="7">
        <f t="shared" si="5"/>
        <v>44958</v>
      </c>
      <c r="BD44" s="7">
        <f t="shared" si="5"/>
        <v>44958</v>
      </c>
      <c r="BE44" s="7">
        <f t="shared" si="5"/>
        <v>44958</v>
      </c>
      <c r="BF44" s="7">
        <f t="shared" si="5"/>
        <v>44958</v>
      </c>
      <c r="BG44" s="7">
        <f t="shared" si="5"/>
        <v>44958</v>
      </c>
      <c r="BH44" s="7">
        <f t="shared" si="5"/>
        <v>44958</v>
      </c>
      <c r="BI44" s="7">
        <f t="shared" si="5"/>
        <v>44958</v>
      </c>
      <c r="BJ44" s="3"/>
    </row>
    <row r="45" spans="5:62" x14ac:dyDescent="0.35">
      <c r="E45">
        <f t="shared" si="3"/>
        <v>3</v>
      </c>
      <c r="J45" t="str">
        <f t="shared" si="4"/>
        <v>date</v>
      </c>
      <c r="N45" s="78"/>
      <c r="O45" s="78"/>
      <c r="P45" s="7">
        <f t="shared" si="5"/>
        <v>43891</v>
      </c>
      <c r="Q45" s="7">
        <f t="shared" si="5"/>
        <v>43891</v>
      </c>
      <c r="R45" s="7">
        <f t="shared" si="5"/>
        <v>43891</v>
      </c>
      <c r="S45" s="7">
        <f t="shared" si="5"/>
        <v>43891</v>
      </c>
      <c r="T45" s="7">
        <f t="shared" si="5"/>
        <v>43891</v>
      </c>
      <c r="U45" s="7">
        <f t="shared" si="5"/>
        <v>43891</v>
      </c>
      <c r="V45" s="7">
        <f t="shared" si="5"/>
        <v>43891</v>
      </c>
      <c r="W45" s="7">
        <f t="shared" si="5"/>
        <v>43891</v>
      </c>
      <c r="X45" s="7">
        <f t="shared" si="5"/>
        <v>43891</v>
      </c>
      <c r="Y45" s="7">
        <f t="shared" si="5"/>
        <v>43891</v>
      </c>
      <c r="Z45" s="7">
        <f t="shared" si="5"/>
        <v>43891</v>
      </c>
      <c r="AA45" s="7">
        <f t="shared" si="5"/>
        <v>43891</v>
      </c>
      <c r="AB45" s="7">
        <f t="shared" si="5"/>
        <v>44256</v>
      </c>
      <c r="AC45" s="7">
        <f t="shared" si="5"/>
        <v>44256</v>
      </c>
      <c r="AD45" s="7">
        <f t="shared" si="5"/>
        <v>44256</v>
      </c>
      <c r="AE45" s="7">
        <f t="shared" si="5"/>
        <v>44256</v>
      </c>
      <c r="AF45" s="7">
        <f t="shared" si="5"/>
        <v>44256</v>
      </c>
      <c r="AG45" s="7">
        <f t="shared" si="5"/>
        <v>44256</v>
      </c>
      <c r="AH45" s="7">
        <f t="shared" si="5"/>
        <v>44256</v>
      </c>
      <c r="AI45" s="7">
        <f t="shared" si="5"/>
        <v>44256</v>
      </c>
      <c r="AJ45" s="7">
        <f t="shared" si="5"/>
        <v>44256</v>
      </c>
      <c r="AK45" s="7">
        <f t="shared" si="5"/>
        <v>44256</v>
      </c>
      <c r="AL45" s="7">
        <f t="shared" si="5"/>
        <v>44256</v>
      </c>
      <c r="AM45" s="7">
        <f t="shared" si="5"/>
        <v>44256</v>
      </c>
      <c r="AN45" s="7">
        <f t="shared" si="5"/>
        <v>44621</v>
      </c>
      <c r="AO45" s="7">
        <f t="shared" si="5"/>
        <v>44621</v>
      </c>
      <c r="AP45" s="7">
        <f t="shared" si="5"/>
        <v>44621</v>
      </c>
      <c r="AQ45" s="7">
        <f t="shared" si="5"/>
        <v>44621</v>
      </c>
      <c r="AR45" s="7">
        <f t="shared" si="5"/>
        <v>44621</v>
      </c>
      <c r="AS45" s="7">
        <f t="shared" si="5"/>
        <v>44621</v>
      </c>
      <c r="AT45" s="7">
        <f t="shared" si="5"/>
        <v>44621</v>
      </c>
      <c r="AU45" s="7">
        <f t="shared" si="5"/>
        <v>44621</v>
      </c>
      <c r="AV45" s="7">
        <f t="shared" si="5"/>
        <v>44621</v>
      </c>
      <c r="AW45" s="7">
        <f t="shared" si="5"/>
        <v>44621</v>
      </c>
      <c r="AX45" s="7">
        <f t="shared" si="5"/>
        <v>44621</v>
      </c>
      <c r="AY45" s="7">
        <f t="shared" si="5"/>
        <v>44621</v>
      </c>
      <c r="AZ45" s="7">
        <f t="shared" si="5"/>
        <v>44986</v>
      </c>
      <c r="BA45" s="7">
        <f t="shared" si="5"/>
        <v>44986</v>
      </c>
      <c r="BB45" s="7">
        <f t="shared" si="5"/>
        <v>44986</v>
      </c>
      <c r="BC45" s="7">
        <f t="shared" si="5"/>
        <v>44986</v>
      </c>
      <c r="BD45" s="7">
        <f t="shared" si="5"/>
        <v>44986</v>
      </c>
      <c r="BE45" s="7">
        <f t="shared" si="5"/>
        <v>44986</v>
      </c>
      <c r="BF45" s="7">
        <f t="shared" si="5"/>
        <v>44986</v>
      </c>
      <c r="BG45" s="7">
        <f t="shared" si="5"/>
        <v>44986</v>
      </c>
      <c r="BH45" s="7">
        <f t="shared" si="5"/>
        <v>44986</v>
      </c>
      <c r="BI45" s="7">
        <f t="shared" si="5"/>
        <v>44986</v>
      </c>
      <c r="BJ45" s="3"/>
    </row>
    <row r="46" spans="5:62" x14ac:dyDescent="0.35">
      <c r="E46">
        <f t="shared" si="3"/>
        <v>4</v>
      </c>
      <c r="J46" t="str">
        <f t="shared" si="4"/>
        <v>date</v>
      </c>
      <c r="N46" s="78"/>
      <c r="O46" s="78"/>
      <c r="P46" s="78"/>
      <c r="Q46" s="7">
        <f t="shared" si="5"/>
        <v>43922</v>
      </c>
      <c r="R46" s="7">
        <f t="shared" si="5"/>
        <v>43922</v>
      </c>
      <c r="S46" s="7">
        <f t="shared" si="5"/>
        <v>43922</v>
      </c>
      <c r="T46" s="7">
        <f t="shared" si="5"/>
        <v>43922</v>
      </c>
      <c r="U46" s="7">
        <f t="shared" si="5"/>
        <v>43922</v>
      </c>
      <c r="V46" s="7">
        <f t="shared" si="5"/>
        <v>43922</v>
      </c>
      <c r="W46" s="7">
        <f t="shared" si="5"/>
        <v>43922</v>
      </c>
      <c r="X46" s="7">
        <f t="shared" si="5"/>
        <v>43922</v>
      </c>
      <c r="Y46" s="7">
        <f t="shared" si="5"/>
        <v>43922</v>
      </c>
      <c r="Z46" s="7">
        <f t="shared" si="5"/>
        <v>43922</v>
      </c>
      <c r="AA46" s="7">
        <f t="shared" si="5"/>
        <v>43922</v>
      </c>
      <c r="AB46" s="7">
        <f t="shared" si="5"/>
        <v>43922</v>
      </c>
      <c r="AC46" s="7">
        <f t="shared" si="5"/>
        <v>44287</v>
      </c>
      <c r="AD46" s="7">
        <f t="shared" si="5"/>
        <v>44287</v>
      </c>
      <c r="AE46" s="7">
        <f t="shared" si="5"/>
        <v>44287</v>
      </c>
      <c r="AF46" s="7">
        <f t="shared" si="5"/>
        <v>44287</v>
      </c>
      <c r="AG46" s="7">
        <f t="shared" si="5"/>
        <v>44287</v>
      </c>
      <c r="AH46" s="7">
        <f t="shared" si="5"/>
        <v>44287</v>
      </c>
      <c r="AI46" s="7">
        <f t="shared" si="5"/>
        <v>44287</v>
      </c>
      <c r="AJ46" s="7">
        <f t="shared" si="5"/>
        <v>44287</v>
      </c>
      <c r="AK46" s="7">
        <f t="shared" si="5"/>
        <v>44287</v>
      </c>
      <c r="AL46" s="7">
        <f t="shared" si="5"/>
        <v>44287</v>
      </c>
      <c r="AM46" s="7">
        <f t="shared" si="5"/>
        <v>44287</v>
      </c>
      <c r="AN46" s="7">
        <f t="shared" si="5"/>
        <v>44287</v>
      </c>
      <c r="AO46" s="7">
        <f t="shared" si="5"/>
        <v>44652</v>
      </c>
      <c r="AP46" s="7">
        <f t="shared" si="5"/>
        <v>44652</v>
      </c>
      <c r="AQ46" s="7">
        <f t="shared" si="5"/>
        <v>44652</v>
      </c>
      <c r="AR46" s="7">
        <f t="shared" si="5"/>
        <v>44652</v>
      </c>
      <c r="AS46" s="7">
        <f t="shared" si="5"/>
        <v>44652</v>
      </c>
      <c r="AT46" s="7">
        <f t="shared" si="5"/>
        <v>44652</v>
      </c>
      <c r="AU46" s="7">
        <f t="shared" si="5"/>
        <v>44652</v>
      </c>
      <c r="AV46" s="7">
        <f t="shared" si="5"/>
        <v>44652</v>
      </c>
      <c r="AW46" s="7">
        <f t="shared" si="5"/>
        <v>44652</v>
      </c>
      <c r="AX46" s="7">
        <f t="shared" si="5"/>
        <v>44652</v>
      </c>
      <c r="AY46" s="7">
        <f t="shared" si="5"/>
        <v>44652</v>
      </c>
      <c r="AZ46" s="7">
        <f t="shared" si="5"/>
        <v>44652</v>
      </c>
      <c r="BA46" s="7">
        <f t="shared" si="5"/>
        <v>45017</v>
      </c>
      <c r="BB46" s="7">
        <f t="shared" si="5"/>
        <v>45017</v>
      </c>
      <c r="BC46" s="7">
        <f t="shared" si="5"/>
        <v>45017</v>
      </c>
      <c r="BD46" s="7">
        <f t="shared" si="5"/>
        <v>45017</v>
      </c>
      <c r="BE46" s="7">
        <f t="shared" si="5"/>
        <v>45017</v>
      </c>
      <c r="BF46" s="7">
        <f t="shared" si="5"/>
        <v>45017</v>
      </c>
      <c r="BG46" s="7">
        <f t="shared" si="5"/>
        <v>45017</v>
      </c>
      <c r="BH46" s="7">
        <f t="shared" si="5"/>
        <v>45017</v>
      </c>
      <c r="BI46" s="7">
        <f t="shared" si="5"/>
        <v>45017</v>
      </c>
      <c r="BJ46" s="3"/>
    </row>
    <row r="47" spans="5:62" x14ac:dyDescent="0.35">
      <c r="E47">
        <f t="shared" si="3"/>
        <v>5</v>
      </c>
      <c r="J47" t="str">
        <f t="shared" si="4"/>
        <v>date</v>
      </c>
      <c r="N47" s="78"/>
      <c r="O47" s="78"/>
      <c r="P47" s="78"/>
      <c r="Q47" s="78"/>
      <c r="R47" s="7">
        <f t="shared" si="5"/>
        <v>43952</v>
      </c>
      <c r="S47" s="7">
        <f t="shared" si="5"/>
        <v>43952</v>
      </c>
      <c r="T47" s="7">
        <f t="shared" si="5"/>
        <v>43952</v>
      </c>
      <c r="U47" s="7">
        <f t="shared" si="5"/>
        <v>43952</v>
      </c>
      <c r="V47" s="7">
        <f t="shared" si="5"/>
        <v>43952</v>
      </c>
      <c r="W47" s="7">
        <f t="shared" si="5"/>
        <v>43952</v>
      </c>
      <c r="X47" s="7">
        <f t="shared" si="5"/>
        <v>43952</v>
      </c>
      <c r="Y47" s="7">
        <f t="shared" si="5"/>
        <v>43952</v>
      </c>
      <c r="Z47" s="7">
        <f t="shared" si="5"/>
        <v>43952</v>
      </c>
      <c r="AA47" s="7">
        <f t="shared" si="5"/>
        <v>43952</v>
      </c>
      <c r="AB47" s="7">
        <f t="shared" si="5"/>
        <v>43952</v>
      </c>
      <c r="AC47" s="7">
        <f t="shared" si="5"/>
        <v>43952</v>
      </c>
      <c r="AD47" s="7">
        <f t="shared" si="5"/>
        <v>44317</v>
      </c>
      <c r="AE47" s="7">
        <f t="shared" si="5"/>
        <v>44317</v>
      </c>
      <c r="AF47" s="7">
        <f t="shared" si="5"/>
        <v>44317</v>
      </c>
      <c r="AG47" s="7">
        <f t="shared" si="5"/>
        <v>44317</v>
      </c>
      <c r="AH47" s="7">
        <f t="shared" si="5"/>
        <v>44317</v>
      </c>
      <c r="AI47" s="7">
        <f t="shared" si="5"/>
        <v>44317</v>
      </c>
      <c r="AJ47" s="7">
        <f t="shared" si="5"/>
        <v>44317</v>
      </c>
      <c r="AK47" s="7">
        <f t="shared" si="5"/>
        <v>44317</v>
      </c>
      <c r="AL47" s="7">
        <f t="shared" si="5"/>
        <v>44317</v>
      </c>
      <c r="AM47" s="7">
        <f t="shared" si="5"/>
        <v>44317</v>
      </c>
      <c r="AN47" s="7">
        <f t="shared" si="5"/>
        <v>44317</v>
      </c>
      <c r="AO47" s="7">
        <f t="shared" si="5"/>
        <v>44317</v>
      </c>
      <c r="AP47" s="7">
        <f t="shared" si="5"/>
        <v>44682</v>
      </c>
      <c r="AQ47" s="7">
        <f t="shared" si="5"/>
        <v>44682</v>
      </c>
      <c r="AR47" s="7">
        <f t="shared" si="5"/>
        <v>44682</v>
      </c>
      <c r="AS47" s="7">
        <f t="shared" si="5"/>
        <v>44682</v>
      </c>
      <c r="AT47" s="7">
        <f t="shared" si="5"/>
        <v>44682</v>
      </c>
      <c r="AU47" s="7">
        <f t="shared" si="5"/>
        <v>44682</v>
      </c>
      <c r="AV47" s="7">
        <f t="shared" si="5"/>
        <v>44682</v>
      </c>
      <c r="AW47" s="7">
        <f t="shared" si="5"/>
        <v>44682</v>
      </c>
      <c r="AX47" s="7">
        <f t="shared" si="5"/>
        <v>44682</v>
      </c>
      <c r="AY47" s="7">
        <f t="shared" si="5"/>
        <v>44682</v>
      </c>
      <c r="AZ47" s="7">
        <f t="shared" si="5"/>
        <v>44682</v>
      </c>
      <c r="BA47" s="7">
        <f t="shared" si="5"/>
        <v>44682</v>
      </c>
      <c r="BB47" s="7">
        <f t="shared" si="5"/>
        <v>45047</v>
      </c>
      <c r="BC47" s="7">
        <f t="shared" si="5"/>
        <v>45047</v>
      </c>
      <c r="BD47" s="7">
        <f t="shared" si="5"/>
        <v>45047</v>
      </c>
      <c r="BE47" s="7">
        <f t="shared" si="5"/>
        <v>45047</v>
      </c>
      <c r="BF47" s="7">
        <f t="shared" si="5"/>
        <v>45047</v>
      </c>
      <c r="BG47" s="7">
        <f t="shared" si="5"/>
        <v>45047</v>
      </c>
      <c r="BH47" s="7">
        <f t="shared" si="5"/>
        <v>45047</v>
      </c>
      <c r="BI47" s="7">
        <f t="shared" si="5"/>
        <v>45047</v>
      </c>
      <c r="BJ47" s="3"/>
    </row>
    <row r="48" spans="5:62" x14ac:dyDescent="0.35">
      <c r="E48">
        <f t="shared" si="3"/>
        <v>6</v>
      </c>
      <c r="J48" t="str">
        <f t="shared" si="4"/>
        <v>date</v>
      </c>
      <c r="N48" s="78"/>
      <c r="O48" s="78"/>
      <c r="P48" s="78"/>
      <c r="Q48" s="78"/>
      <c r="R48" s="78"/>
      <c r="S48" s="7">
        <f t="shared" si="5"/>
        <v>43983</v>
      </c>
      <c r="T48" s="7">
        <f t="shared" si="5"/>
        <v>43983</v>
      </c>
      <c r="U48" s="7">
        <f t="shared" si="5"/>
        <v>43983</v>
      </c>
      <c r="V48" s="7">
        <f t="shared" si="5"/>
        <v>43983</v>
      </c>
      <c r="W48" s="7">
        <f t="shared" si="5"/>
        <v>43983</v>
      </c>
      <c r="X48" s="7">
        <f t="shared" si="5"/>
        <v>43983</v>
      </c>
      <c r="Y48" s="7">
        <f t="shared" si="5"/>
        <v>43983</v>
      </c>
      <c r="Z48" s="7">
        <f t="shared" si="5"/>
        <v>43983</v>
      </c>
      <c r="AA48" s="7">
        <f t="shared" si="5"/>
        <v>43983</v>
      </c>
      <c r="AB48" s="7">
        <f t="shared" si="5"/>
        <v>43983</v>
      </c>
      <c r="AC48" s="7">
        <f t="shared" si="5"/>
        <v>43983</v>
      </c>
      <c r="AD48" s="7">
        <f t="shared" si="5"/>
        <v>43983</v>
      </c>
      <c r="AE48" s="7">
        <f t="shared" si="5"/>
        <v>44348</v>
      </c>
      <c r="AF48" s="7">
        <f t="shared" si="5"/>
        <v>44348</v>
      </c>
      <c r="AG48" s="7">
        <f t="shared" si="5"/>
        <v>44348</v>
      </c>
      <c r="AH48" s="7">
        <f t="shared" si="5"/>
        <v>44348</v>
      </c>
      <c r="AI48" s="7">
        <f t="shared" si="5"/>
        <v>44348</v>
      </c>
      <c r="AJ48" s="7">
        <f t="shared" si="5"/>
        <v>44348</v>
      </c>
      <c r="AK48" s="7">
        <f t="shared" si="5"/>
        <v>44348</v>
      </c>
      <c r="AL48" s="7">
        <f t="shared" si="5"/>
        <v>44348</v>
      </c>
      <c r="AM48" s="7">
        <f t="shared" si="5"/>
        <v>44348</v>
      </c>
      <c r="AN48" s="7">
        <f t="shared" si="5"/>
        <v>44348</v>
      </c>
      <c r="AO48" s="7">
        <f t="shared" si="5"/>
        <v>44348</v>
      </c>
      <c r="AP48" s="7">
        <f t="shared" si="5"/>
        <v>44348</v>
      </c>
      <c r="AQ48" s="7">
        <f t="shared" si="5"/>
        <v>44713</v>
      </c>
      <c r="AR48" s="7">
        <f t="shared" ref="AR48:BI48" si="6">AR18</f>
        <v>44713</v>
      </c>
      <c r="AS48" s="7">
        <f t="shared" si="6"/>
        <v>44713</v>
      </c>
      <c r="AT48" s="7">
        <f t="shared" si="6"/>
        <v>44713</v>
      </c>
      <c r="AU48" s="7">
        <f t="shared" si="6"/>
        <v>44713</v>
      </c>
      <c r="AV48" s="7">
        <f t="shared" si="6"/>
        <v>44713</v>
      </c>
      <c r="AW48" s="7">
        <f t="shared" si="6"/>
        <v>44713</v>
      </c>
      <c r="AX48" s="7">
        <f t="shared" si="6"/>
        <v>44713</v>
      </c>
      <c r="AY48" s="7">
        <f t="shared" si="6"/>
        <v>44713</v>
      </c>
      <c r="AZ48" s="7">
        <f t="shared" si="6"/>
        <v>44713</v>
      </c>
      <c r="BA48" s="7">
        <f t="shared" si="6"/>
        <v>44713</v>
      </c>
      <c r="BB48" s="7">
        <f t="shared" si="6"/>
        <v>44713</v>
      </c>
      <c r="BC48" s="7">
        <f t="shared" si="6"/>
        <v>45078</v>
      </c>
      <c r="BD48" s="7">
        <f t="shared" si="6"/>
        <v>45078</v>
      </c>
      <c r="BE48" s="7">
        <f t="shared" si="6"/>
        <v>45078</v>
      </c>
      <c r="BF48" s="7">
        <f t="shared" si="6"/>
        <v>45078</v>
      </c>
      <c r="BG48" s="7">
        <f t="shared" si="6"/>
        <v>45078</v>
      </c>
      <c r="BH48" s="7">
        <f t="shared" si="6"/>
        <v>45078</v>
      </c>
      <c r="BI48" s="7">
        <f t="shared" si="6"/>
        <v>45078</v>
      </c>
      <c r="BJ48" s="3"/>
    </row>
    <row r="49" spans="5:62" x14ac:dyDescent="0.35">
      <c r="E49">
        <f t="shared" si="3"/>
        <v>7</v>
      </c>
      <c r="J49" t="str">
        <f t="shared" si="4"/>
        <v>date</v>
      </c>
      <c r="N49" s="78"/>
      <c r="O49" s="78"/>
      <c r="P49" s="78"/>
      <c r="Q49" s="78"/>
      <c r="R49" s="78"/>
      <c r="S49" s="78"/>
      <c r="T49" s="7">
        <f t="shared" ref="T49:BI54" si="7">T19</f>
        <v>44013</v>
      </c>
      <c r="U49" s="7">
        <f t="shared" si="7"/>
        <v>44013</v>
      </c>
      <c r="V49" s="7">
        <f t="shared" si="7"/>
        <v>44013</v>
      </c>
      <c r="W49" s="7">
        <f t="shared" si="7"/>
        <v>44013</v>
      </c>
      <c r="X49" s="7">
        <f t="shared" si="7"/>
        <v>44013</v>
      </c>
      <c r="Y49" s="7">
        <f t="shared" si="7"/>
        <v>44013</v>
      </c>
      <c r="Z49" s="7">
        <f t="shared" si="7"/>
        <v>44013</v>
      </c>
      <c r="AA49" s="7">
        <f t="shared" si="7"/>
        <v>44013</v>
      </c>
      <c r="AB49" s="7">
        <f t="shared" si="7"/>
        <v>44013</v>
      </c>
      <c r="AC49" s="7">
        <f t="shared" si="7"/>
        <v>44013</v>
      </c>
      <c r="AD49" s="7">
        <f t="shared" si="7"/>
        <v>44013</v>
      </c>
      <c r="AE49" s="7">
        <f t="shared" si="7"/>
        <v>44013</v>
      </c>
      <c r="AF49" s="7">
        <f t="shared" si="7"/>
        <v>44378</v>
      </c>
      <c r="AG49" s="7">
        <f t="shared" si="7"/>
        <v>44378</v>
      </c>
      <c r="AH49" s="7">
        <f t="shared" si="7"/>
        <v>44378</v>
      </c>
      <c r="AI49" s="7">
        <f t="shared" si="7"/>
        <v>44378</v>
      </c>
      <c r="AJ49" s="7">
        <f t="shared" si="7"/>
        <v>44378</v>
      </c>
      <c r="AK49" s="7">
        <f t="shared" si="7"/>
        <v>44378</v>
      </c>
      <c r="AL49" s="7">
        <f t="shared" si="7"/>
        <v>44378</v>
      </c>
      <c r="AM49" s="7">
        <f t="shared" si="7"/>
        <v>44378</v>
      </c>
      <c r="AN49" s="7">
        <f t="shared" si="7"/>
        <v>44378</v>
      </c>
      <c r="AO49" s="7">
        <f t="shared" si="7"/>
        <v>44378</v>
      </c>
      <c r="AP49" s="7">
        <f t="shared" si="7"/>
        <v>44378</v>
      </c>
      <c r="AQ49" s="7">
        <f t="shared" si="7"/>
        <v>44378</v>
      </c>
      <c r="AR49" s="7">
        <f t="shared" si="7"/>
        <v>44743</v>
      </c>
      <c r="AS49" s="7">
        <f t="shared" si="7"/>
        <v>44743</v>
      </c>
      <c r="AT49" s="7">
        <f t="shared" si="7"/>
        <v>44743</v>
      </c>
      <c r="AU49" s="7">
        <f t="shared" si="7"/>
        <v>44743</v>
      </c>
      <c r="AV49" s="7">
        <f t="shared" si="7"/>
        <v>44743</v>
      </c>
      <c r="AW49" s="7">
        <f t="shared" si="7"/>
        <v>44743</v>
      </c>
      <c r="AX49" s="7">
        <f t="shared" si="7"/>
        <v>44743</v>
      </c>
      <c r="AY49" s="7">
        <f t="shared" si="7"/>
        <v>44743</v>
      </c>
      <c r="AZ49" s="7">
        <f t="shared" si="7"/>
        <v>44743</v>
      </c>
      <c r="BA49" s="7">
        <f t="shared" si="7"/>
        <v>44743</v>
      </c>
      <c r="BB49" s="7">
        <f t="shared" si="7"/>
        <v>44743</v>
      </c>
      <c r="BC49" s="7">
        <f t="shared" si="7"/>
        <v>44743</v>
      </c>
      <c r="BD49" s="7">
        <f t="shared" si="7"/>
        <v>45108</v>
      </c>
      <c r="BE49" s="7">
        <f t="shared" si="7"/>
        <v>45108</v>
      </c>
      <c r="BF49" s="7">
        <f t="shared" si="7"/>
        <v>45108</v>
      </c>
      <c r="BG49" s="7">
        <f t="shared" si="7"/>
        <v>45108</v>
      </c>
      <c r="BH49" s="7">
        <f t="shared" si="7"/>
        <v>45108</v>
      </c>
      <c r="BI49" s="7">
        <f t="shared" si="7"/>
        <v>45108</v>
      </c>
      <c r="BJ49" s="3"/>
    </row>
    <row r="50" spans="5:62" x14ac:dyDescent="0.35">
      <c r="E50">
        <f t="shared" si="3"/>
        <v>8</v>
      </c>
      <c r="J50" t="str">
        <f t="shared" si="4"/>
        <v>date</v>
      </c>
      <c r="N50" s="78"/>
      <c r="O50" s="78"/>
      <c r="P50" s="78"/>
      <c r="Q50" s="78"/>
      <c r="R50" s="78"/>
      <c r="S50" s="78"/>
      <c r="T50" s="78"/>
      <c r="U50" s="7">
        <f t="shared" si="7"/>
        <v>44044</v>
      </c>
      <c r="V50" s="7">
        <f t="shared" si="7"/>
        <v>44044</v>
      </c>
      <c r="W50" s="7">
        <f t="shared" si="7"/>
        <v>44044</v>
      </c>
      <c r="X50" s="7">
        <f t="shared" si="7"/>
        <v>44044</v>
      </c>
      <c r="Y50" s="7">
        <f t="shared" si="7"/>
        <v>44044</v>
      </c>
      <c r="Z50" s="7">
        <f t="shared" si="7"/>
        <v>44044</v>
      </c>
      <c r="AA50" s="7">
        <f t="shared" si="7"/>
        <v>44044</v>
      </c>
      <c r="AB50" s="7">
        <f t="shared" si="7"/>
        <v>44044</v>
      </c>
      <c r="AC50" s="7">
        <f t="shared" si="7"/>
        <v>44044</v>
      </c>
      <c r="AD50" s="7">
        <f t="shared" si="7"/>
        <v>44044</v>
      </c>
      <c r="AE50" s="7">
        <f t="shared" si="7"/>
        <v>44044</v>
      </c>
      <c r="AF50" s="7">
        <f t="shared" si="7"/>
        <v>44044</v>
      </c>
      <c r="AG50" s="7">
        <f t="shared" si="7"/>
        <v>44409</v>
      </c>
      <c r="AH50" s="7">
        <f t="shared" si="7"/>
        <v>44409</v>
      </c>
      <c r="AI50" s="7">
        <f t="shared" si="7"/>
        <v>44409</v>
      </c>
      <c r="AJ50" s="7">
        <f t="shared" si="7"/>
        <v>44409</v>
      </c>
      <c r="AK50" s="7">
        <f t="shared" si="7"/>
        <v>44409</v>
      </c>
      <c r="AL50" s="7">
        <f t="shared" si="7"/>
        <v>44409</v>
      </c>
      <c r="AM50" s="7">
        <f t="shared" si="7"/>
        <v>44409</v>
      </c>
      <c r="AN50" s="7">
        <f t="shared" si="7"/>
        <v>44409</v>
      </c>
      <c r="AO50" s="7">
        <f t="shared" si="7"/>
        <v>44409</v>
      </c>
      <c r="AP50" s="7">
        <f t="shared" si="7"/>
        <v>44409</v>
      </c>
      <c r="AQ50" s="7">
        <f t="shared" si="7"/>
        <v>44409</v>
      </c>
      <c r="AR50" s="7">
        <f t="shared" si="7"/>
        <v>44409</v>
      </c>
      <c r="AS50" s="7">
        <f t="shared" si="7"/>
        <v>44774</v>
      </c>
      <c r="AT50" s="7">
        <f t="shared" si="7"/>
        <v>44774</v>
      </c>
      <c r="AU50" s="7">
        <f t="shared" si="7"/>
        <v>44774</v>
      </c>
      <c r="AV50" s="7">
        <f t="shared" si="7"/>
        <v>44774</v>
      </c>
      <c r="AW50" s="7">
        <f t="shared" si="7"/>
        <v>44774</v>
      </c>
      <c r="AX50" s="7">
        <f t="shared" si="7"/>
        <v>44774</v>
      </c>
      <c r="AY50" s="7">
        <f t="shared" si="7"/>
        <v>44774</v>
      </c>
      <c r="AZ50" s="7">
        <f t="shared" si="7"/>
        <v>44774</v>
      </c>
      <c r="BA50" s="7">
        <f t="shared" si="7"/>
        <v>44774</v>
      </c>
      <c r="BB50" s="7">
        <f t="shared" si="7"/>
        <v>44774</v>
      </c>
      <c r="BC50" s="7">
        <f t="shared" si="7"/>
        <v>44774</v>
      </c>
      <c r="BD50" s="7">
        <f t="shared" si="7"/>
        <v>44774</v>
      </c>
      <c r="BE50" s="7">
        <f t="shared" si="7"/>
        <v>45139</v>
      </c>
      <c r="BF50" s="7">
        <f t="shared" si="7"/>
        <v>45139</v>
      </c>
      <c r="BG50" s="7">
        <f t="shared" si="7"/>
        <v>45139</v>
      </c>
      <c r="BH50" s="7">
        <f t="shared" si="7"/>
        <v>45139</v>
      </c>
      <c r="BI50" s="7">
        <f t="shared" si="7"/>
        <v>45139</v>
      </c>
      <c r="BJ50" s="3"/>
    </row>
    <row r="51" spans="5:62" x14ac:dyDescent="0.35">
      <c r="E51">
        <f t="shared" si="3"/>
        <v>9</v>
      </c>
      <c r="J51" t="str">
        <f t="shared" si="4"/>
        <v>date</v>
      </c>
      <c r="N51" s="78"/>
      <c r="O51" s="78"/>
      <c r="P51" s="78"/>
      <c r="Q51" s="78"/>
      <c r="R51" s="78"/>
      <c r="S51" s="78"/>
      <c r="T51" s="78"/>
      <c r="U51" s="78"/>
      <c r="V51" s="7">
        <f t="shared" si="7"/>
        <v>44075</v>
      </c>
      <c r="W51" s="7">
        <f t="shared" si="7"/>
        <v>44075</v>
      </c>
      <c r="X51" s="7">
        <f t="shared" si="7"/>
        <v>44075</v>
      </c>
      <c r="Y51" s="7">
        <f t="shared" si="7"/>
        <v>44075</v>
      </c>
      <c r="Z51" s="7">
        <f t="shared" si="7"/>
        <v>44075</v>
      </c>
      <c r="AA51" s="7">
        <f t="shared" si="7"/>
        <v>44075</v>
      </c>
      <c r="AB51" s="7">
        <f t="shared" si="7"/>
        <v>44075</v>
      </c>
      <c r="AC51" s="7">
        <f t="shared" si="7"/>
        <v>44075</v>
      </c>
      <c r="AD51" s="7">
        <f t="shared" si="7"/>
        <v>44075</v>
      </c>
      <c r="AE51" s="7">
        <f t="shared" si="7"/>
        <v>44075</v>
      </c>
      <c r="AF51" s="7">
        <f t="shared" si="7"/>
        <v>44075</v>
      </c>
      <c r="AG51" s="7">
        <f t="shared" si="7"/>
        <v>44075</v>
      </c>
      <c r="AH51" s="7">
        <f t="shared" si="7"/>
        <v>44440</v>
      </c>
      <c r="AI51" s="7">
        <f t="shared" si="7"/>
        <v>44440</v>
      </c>
      <c r="AJ51" s="7">
        <f t="shared" si="7"/>
        <v>44440</v>
      </c>
      <c r="AK51" s="7">
        <f t="shared" si="7"/>
        <v>44440</v>
      </c>
      <c r="AL51" s="7">
        <f t="shared" si="7"/>
        <v>44440</v>
      </c>
      <c r="AM51" s="7">
        <f t="shared" si="7"/>
        <v>44440</v>
      </c>
      <c r="AN51" s="7">
        <f t="shared" si="7"/>
        <v>44440</v>
      </c>
      <c r="AO51" s="7">
        <f t="shared" si="7"/>
        <v>44440</v>
      </c>
      <c r="AP51" s="7">
        <f t="shared" si="7"/>
        <v>44440</v>
      </c>
      <c r="AQ51" s="7">
        <f t="shared" si="7"/>
        <v>44440</v>
      </c>
      <c r="AR51" s="7">
        <f t="shared" si="7"/>
        <v>44440</v>
      </c>
      <c r="AS51" s="7">
        <f t="shared" si="7"/>
        <v>44440</v>
      </c>
      <c r="AT51" s="7">
        <f t="shared" si="7"/>
        <v>44805</v>
      </c>
      <c r="AU51" s="7">
        <f t="shared" si="7"/>
        <v>44805</v>
      </c>
      <c r="AV51" s="7">
        <f t="shared" si="7"/>
        <v>44805</v>
      </c>
      <c r="AW51" s="7">
        <f t="shared" si="7"/>
        <v>44805</v>
      </c>
      <c r="AX51" s="7">
        <f t="shared" si="7"/>
        <v>44805</v>
      </c>
      <c r="AY51" s="7">
        <f t="shared" si="7"/>
        <v>44805</v>
      </c>
      <c r="AZ51" s="7">
        <f t="shared" si="7"/>
        <v>44805</v>
      </c>
      <c r="BA51" s="7">
        <f t="shared" si="7"/>
        <v>44805</v>
      </c>
      <c r="BB51" s="7">
        <f t="shared" si="7"/>
        <v>44805</v>
      </c>
      <c r="BC51" s="7">
        <f t="shared" si="7"/>
        <v>44805</v>
      </c>
      <c r="BD51" s="7">
        <f t="shared" si="7"/>
        <v>44805</v>
      </c>
      <c r="BE51" s="7">
        <f t="shared" si="7"/>
        <v>44805</v>
      </c>
      <c r="BF51" s="7">
        <f t="shared" si="7"/>
        <v>45170</v>
      </c>
      <c r="BG51" s="7">
        <f t="shared" si="7"/>
        <v>45170</v>
      </c>
      <c r="BH51" s="7">
        <f t="shared" si="7"/>
        <v>45170</v>
      </c>
      <c r="BI51" s="7">
        <f t="shared" si="7"/>
        <v>45170</v>
      </c>
      <c r="BJ51" s="3"/>
    </row>
    <row r="52" spans="5:62" x14ac:dyDescent="0.35">
      <c r="E52">
        <f t="shared" si="3"/>
        <v>10</v>
      </c>
      <c r="J52" t="str">
        <f t="shared" si="4"/>
        <v>date</v>
      </c>
      <c r="N52" s="78"/>
      <c r="O52" s="78"/>
      <c r="P52" s="78"/>
      <c r="Q52" s="78"/>
      <c r="R52" s="78"/>
      <c r="S52" s="78"/>
      <c r="T52" s="78"/>
      <c r="U52" s="78"/>
      <c r="V52" s="78"/>
      <c r="W52" s="7">
        <f t="shared" si="7"/>
        <v>44105</v>
      </c>
      <c r="X52" s="7">
        <f t="shared" si="7"/>
        <v>44105</v>
      </c>
      <c r="Y52" s="7">
        <f t="shared" si="7"/>
        <v>44105</v>
      </c>
      <c r="Z52" s="7">
        <f t="shared" si="7"/>
        <v>44105</v>
      </c>
      <c r="AA52" s="7">
        <f t="shared" si="7"/>
        <v>44105</v>
      </c>
      <c r="AB52" s="7">
        <f t="shared" si="7"/>
        <v>44105</v>
      </c>
      <c r="AC52" s="7">
        <f t="shared" si="7"/>
        <v>44105</v>
      </c>
      <c r="AD52" s="7">
        <f t="shared" si="7"/>
        <v>44105</v>
      </c>
      <c r="AE52" s="7">
        <f t="shared" si="7"/>
        <v>44105</v>
      </c>
      <c r="AF52" s="7">
        <f t="shared" si="7"/>
        <v>44105</v>
      </c>
      <c r="AG52" s="7">
        <f t="shared" si="7"/>
        <v>44105</v>
      </c>
      <c r="AH52" s="7">
        <f t="shared" si="7"/>
        <v>44105</v>
      </c>
      <c r="AI52" s="7">
        <f t="shared" si="7"/>
        <v>44470</v>
      </c>
      <c r="AJ52" s="7">
        <f t="shared" si="7"/>
        <v>44470</v>
      </c>
      <c r="AK52" s="7">
        <f t="shared" si="7"/>
        <v>44470</v>
      </c>
      <c r="AL52" s="7">
        <f t="shared" si="7"/>
        <v>44470</v>
      </c>
      <c r="AM52" s="7">
        <f t="shared" si="7"/>
        <v>44470</v>
      </c>
      <c r="AN52" s="7">
        <f t="shared" si="7"/>
        <v>44470</v>
      </c>
      <c r="AO52" s="7">
        <f t="shared" si="7"/>
        <v>44470</v>
      </c>
      <c r="AP52" s="7">
        <f t="shared" si="7"/>
        <v>44470</v>
      </c>
      <c r="AQ52" s="7">
        <f t="shared" si="7"/>
        <v>44470</v>
      </c>
      <c r="AR52" s="7">
        <f t="shared" si="7"/>
        <v>44470</v>
      </c>
      <c r="AS52" s="7">
        <f t="shared" si="7"/>
        <v>44470</v>
      </c>
      <c r="AT52" s="7">
        <f t="shared" si="7"/>
        <v>44470</v>
      </c>
      <c r="AU52" s="7">
        <f t="shared" si="7"/>
        <v>44835</v>
      </c>
      <c r="AV52" s="7">
        <f t="shared" si="7"/>
        <v>44835</v>
      </c>
      <c r="AW52" s="7">
        <f t="shared" si="7"/>
        <v>44835</v>
      </c>
      <c r="AX52" s="7">
        <f t="shared" si="7"/>
        <v>44835</v>
      </c>
      <c r="AY52" s="7">
        <f t="shared" si="7"/>
        <v>44835</v>
      </c>
      <c r="AZ52" s="7">
        <f t="shared" si="7"/>
        <v>44835</v>
      </c>
      <c r="BA52" s="7">
        <f t="shared" si="7"/>
        <v>44835</v>
      </c>
      <c r="BB52" s="7">
        <f t="shared" si="7"/>
        <v>44835</v>
      </c>
      <c r="BC52" s="7">
        <f t="shared" si="7"/>
        <v>44835</v>
      </c>
      <c r="BD52" s="7">
        <f t="shared" si="7"/>
        <v>44835</v>
      </c>
      <c r="BE52" s="7">
        <f t="shared" si="7"/>
        <v>44835</v>
      </c>
      <c r="BF52" s="7">
        <f t="shared" si="7"/>
        <v>44835</v>
      </c>
      <c r="BG52" s="7">
        <f t="shared" si="7"/>
        <v>45200</v>
      </c>
      <c r="BH52" s="7">
        <f t="shared" si="7"/>
        <v>45200</v>
      </c>
      <c r="BI52" s="7">
        <f t="shared" si="7"/>
        <v>45200</v>
      </c>
      <c r="BJ52" s="3"/>
    </row>
    <row r="53" spans="5:62" x14ac:dyDescent="0.35">
      <c r="E53">
        <f t="shared" si="3"/>
        <v>11</v>
      </c>
      <c r="J53" t="str">
        <f t="shared" si="4"/>
        <v>date</v>
      </c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">
        <f t="shared" si="7"/>
        <v>44136</v>
      </c>
      <c r="Y53" s="7">
        <f t="shared" si="7"/>
        <v>44136</v>
      </c>
      <c r="Z53" s="7">
        <f t="shared" si="7"/>
        <v>44136</v>
      </c>
      <c r="AA53" s="7">
        <f t="shared" si="7"/>
        <v>44136</v>
      </c>
      <c r="AB53" s="7">
        <f t="shared" si="7"/>
        <v>44136</v>
      </c>
      <c r="AC53" s="7">
        <f t="shared" si="7"/>
        <v>44136</v>
      </c>
      <c r="AD53" s="7">
        <f t="shared" si="7"/>
        <v>44136</v>
      </c>
      <c r="AE53" s="7">
        <f t="shared" si="7"/>
        <v>44136</v>
      </c>
      <c r="AF53" s="7">
        <f t="shared" si="7"/>
        <v>44136</v>
      </c>
      <c r="AG53" s="7">
        <f t="shared" si="7"/>
        <v>44136</v>
      </c>
      <c r="AH53" s="7">
        <f t="shared" si="7"/>
        <v>44136</v>
      </c>
      <c r="AI53" s="7">
        <f t="shared" si="7"/>
        <v>44136</v>
      </c>
      <c r="AJ53" s="7">
        <f t="shared" si="7"/>
        <v>44501</v>
      </c>
      <c r="AK53" s="7">
        <f t="shared" si="7"/>
        <v>44501</v>
      </c>
      <c r="AL53" s="7">
        <f t="shared" si="7"/>
        <v>44501</v>
      </c>
      <c r="AM53" s="7">
        <f t="shared" si="7"/>
        <v>44501</v>
      </c>
      <c r="AN53" s="7">
        <f t="shared" si="7"/>
        <v>44501</v>
      </c>
      <c r="AO53" s="7">
        <f t="shared" si="7"/>
        <v>44501</v>
      </c>
      <c r="AP53" s="7">
        <f t="shared" si="7"/>
        <v>44501</v>
      </c>
      <c r="AQ53" s="7">
        <f t="shared" si="7"/>
        <v>44501</v>
      </c>
      <c r="AR53" s="7">
        <f t="shared" si="7"/>
        <v>44501</v>
      </c>
      <c r="AS53" s="7">
        <f t="shared" si="7"/>
        <v>44501</v>
      </c>
      <c r="AT53" s="7">
        <f t="shared" si="7"/>
        <v>44501</v>
      </c>
      <c r="AU53" s="7">
        <f t="shared" si="7"/>
        <v>44501</v>
      </c>
      <c r="AV53" s="7">
        <f t="shared" si="7"/>
        <v>44866</v>
      </c>
      <c r="AW53" s="7">
        <f t="shared" si="7"/>
        <v>44866</v>
      </c>
      <c r="AX53" s="7">
        <f t="shared" si="7"/>
        <v>44866</v>
      </c>
      <c r="AY53" s="7">
        <f t="shared" si="7"/>
        <v>44866</v>
      </c>
      <c r="AZ53" s="7">
        <f t="shared" si="7"/>
        <v>44866</v>
      </c>
      <c r="BA53" s="7">
        <f t="shared" si="7"/>
        <v>44866</v>
      </c>
      <c r="BB53" s="7">
        <f t="shared" si="7"/>
        <v>44866</v>
      </c>
      <c r="BC53" s="7">
        <f t="shared" si="7"/>
        <v>44866</v>
      </c>
      <c r="BD53" s="7">
        <f t="shared" si="7"/>
        <v>44866</v>
      </c>
      <c r="BE53" s="7">
        <f t="shared" si="7"/>
        <v>44866</v>
      </c>
      <c r="BF53" s="7">
        <f t="shared" si="7"/>
        <v>44866</v>
      </c>
      <c r="BG53" s="7">
        <f t="shared" si="7"/>
        <v>44866</v>
      </c>
      <c r="BH53" s="7">
        <f t="shared" si="7"/>
        <v>45231</v>
      </c>
      <c r="BI53" s="7">
        <f t="shared" si="7"/>
        <v>45231</v>
      </c>
      <c r="BJ53" s="3"/>
    </row>
    <row r="54" spans="5:62" x14ac:dyDescent="0.35">
      <c r="E54">
        <f t="shared" si="3"/>
        <v>12</v>
      </c>
      <c r="J54" t="str">
        <f t="shared" si="4"/>
        <v>date</v>
      </c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">
        <f t="shared" si="7"/>
        <v>44166</v>
      </c>
      <c r="Z54" s="7">
        <f t="shared" si="7"/>
        <v>44166</v>
      </c>
      <c r="AA54" s="7">
        <f t="shared" si="7"/>
        <v>44166</v>
      </c>
      <c r="AB54" s="7">
        <f t="shared" si="7"/>
        <v>44166</v>
      </c>
      <c r="AC54" s="7">
        <f t="shared" si="7"/>
        <v>44166</v>
      </c>
      <c r="AD54" s="7">
        <f t="shared" si="7"/>
        <v>44166</v>
      </c>
      <c r="AE54" s="7">
        <f t="shared" si="7"/>
        <v>44166</v>
      </c>
      <c r="AF54" s="7">
        <f t="shared" si="7"/>
        <v>44166</v>
      </c>
      <c r="AG54" s="7">
        <f t="shared" si="7"/>
        <v>44166</v>
      </c>
      <c r="AH54" s="7">
        <f t="shared" si="7"/>
        <v>44166</v>
      </c>
      <c r="AI54" s="7">
        <f t="shared" si="7"/>
        <v>44166</v>
      </c>
      <c r="AJ54" s="7">
        <f t="shared" si="7"/>
        <v>44166</v>
      </c>
      <c r="AK54" s="7">
        <f t="shared" si="7"/>
        <v>44531</v>
      </c>
      <c r="AL54" s="7">
        <f t="shared" si="7"/>
        <v>44531</v>
      </c>
      <c r="AM54" s="7">
        <f t="shared" si="7"/>
        <v>44531</v>
      </c>
      <c r="AN54" s="7">
        <f t="shared" si="7"/>
        <v>44531</v>
      </c>
      <c r="AO54" s="7">
        <f t="shared" si="7"/>
        <v>44531</v>
      </c>
      <c r="AP54" s="7">
        <f t="shared" si="7"/>
        <v>44531</v>
      </c>
      <c r="AQ54" s="7">
        <f t="shared" si="7"/>
        <v>44531</v>
      </c>
      <c r="AR54" s="7">
        <f t="shared" si="7"/>
        <v>44531</v>
      </c>
      <c r="AS54" s="7">
        <f t="shared" si="7"/>
        <v>44531</v>
      </c>
      <c r="AT54" s="7">
        <f t="shared" si="7"/>
        <v>44531</v>
      </c>
      <c r="AU54" s="7">
        <f t="shared" si="7"/>
        <v>44531</v>
      </c>
      <c r="AV54" s="7">
        <f t="shared" si="7"/>
        <v>44531</v>
      </c>
      <c r="AW54" s="7">
        <f t="shared" si="7"/>
        <v>44896</v>
      </c>
      <c r="AX54" s="7">
        <f t="shared" si="7"/>
        <v>44896</v>
      </c>
      <c r="AY54" s="7">
        <f t="shared" si="7"/>
        <v>44896</v>
      </c>
      <c r="AZ54" s="7">
        <f t="shared" si="7"/>
        <v>44896</v>
      </c>
      <c r="BA54" s="7">
        <f t="shared" si="7"/>
        <v>44896</v>
      </c>
      <c r="BB54" s="7">
        <f t="shared" si="7"/>
        <v>44896</v>
      </c>
      <c r="BC54" s="7">
        <f t="shared" si="7"/>
        <v>44896</v>
      </c>
      <c r="BD54" s="7">
        <f t="shared" si="7"/>
        <v>44896</v>
      </c>
      <c r="BE54" s="7">
        <f t="shared" si="7"/>
        <v>44896</v>
      </c>
      <c r="BF54" s="7">
        <f t="shared" si="7"/>
        <v>44896</v>
      </c>
      <c r="BG54" s="7">
        <f t="shared" si="7"/>
        <v>44896</v>
      </c>
      <c r="BH54" s="7">
        <f t="shared" si="7"/>
        <v>44896</v>
      </c>
      <c r="BI54" s="7">
        <f t="shared" si="7"/>
        <v>45261</v>
      </c>
      <c r="BJ54" s="3"/>
    </row>
    <row r="56" spans="5:62" x14ac:dyDescent="0.35">
      <c r="E56">
        <v>1</v>
      </c>
      <c r="J56" t="s">
        <v>64</v>
      </c>
      <c r="N56" s="41">
        <f>N$3-N43+1</f>
        <v>31</v>
      </c>
      <c r="O56" s="41">
        <f t="shared" ref="O56:BI61" si="8">O$3-O43+1</f>
        <v>60</v>
      </c>
      <c r="P56" s="41">
        <f t="shared" si="8"/>
        <v>91</v>
      </c>
      <c r="Q56" s="41">
        <f t="shared" si="8"/>
        <v>121</v>
      </c>
      <c r="R56" s="41">
        <f t="shared" si="8"/>
        <v>152</v>
      </c>
      <c r="S56" s="41">
        <f t="shared" si="8"/>
        <v>182</v>
      </c>
      <c r="T56" s="41">
        <f t="shared" si="8"/>
        <v>213</v>
      </c>
      <c r="U56" s="41">
        <f t="shared" si="8"/>
        <v>244</v>
      </c>
      <c r="V56" s="41">
        <f t="shared" si="8"/>
        <v>274</v>
      </c>
      <c r="W56" s="41">
        <f t="shared" si="8"/>
        <v>305</v>
      </c>
      <c r="X56" s="41">
        <f t="shared" si="8"/>
        <v>335</v>
      </c>
      <c r="Y56" s="41">
        <f t="shared" si="8"/>
        <v>366</v>
      </c>
      <c r="Z56" s="41">
        <f t="shared" si="8"/>
        <v>31</v>
      </c>
      <c r="AA56" s="41">
        <f t="shared" si="8"/>
        <v>59</v>
      </c>
      <c r="AB56" s="41">
        <f t="shared" si="8"/>
        <v>90</v>
      </c>
      <c r="AC56" s="41">
        <f t="shared" si="8"/>
        <v>120</v>
      </c>
      <c r="AD56" s="41">
        <f t="shared" si="8"/>
        <v>151</v>
      </c>
      <c r="AE56" s="41">
        <f t="shared" si="8"/>
        <v>181</v>
      </c>
      <c r="AF56" s="41">
        <f t="shared" si="8"/>
        <v>212</v>
      </c>
      <c r="AG56" s="41">
        <f t="shared" si="8"/>
        <v>243</v>
      </c>
      <c r="AH56" s="41">
        <f t="shared" si="8"/>
        <v>273</v>
      </c>
      <c r="AI56" s="41">
        <f t="shared" si="8"/>
        <v>304</v>
      </c>
      <c r="AJ56" s="41">
        <f t="shared" si="8"/>
        <v>334</v>
      </c>
      <c r="AK56" s="41">
        <f t="shared" si="8"/>
        <v>365</v>
      </c>
      <c r="AL56" s="41">
        <f t="shared" si="8"/>
        <v>31</v>
      </c>
      <c r="AM56" s="41">
        <f t="shared" si="8"/>
        <v>59</v>
      </c>
      <c r="AN56" s="41">
        <f t="shared" si="8"/>
        <v>90</v>
      </c>
      <c r="AO56" s="41">
        <f t="shared" si="8"/>
        <v>120</v>
      </c>
      <c r="AP56" s="41">
        <f t="shared" si="8"/>
        <v>151</v>
      </c>
      <c r="AQ56" s="41">
        <f t="shared" si="8"/>
        <v>181</v>
      </c>
      <c r="AR56" s="41">
        <f t="shared" si="8"/>
        <v>212</v>
      </c>
      <c r="AS56" s="41">
        <f t="shared" si="8"/>
        <v>243</v>
      </c>
      <c r="AT56" s="41">
        <f t="shared" si="8"/>
        <v>273</v>
      </c>
      <c r="AU56" s="41">
        <f t="shared" si="8"/>
        <v>304</v>
      </c>
      <c r="AV56" s="41">
        <f t="shared" si="8"/>
        <v>334</v>
      </c>
      <c r="AW56" s="41">
        <f t="shared" si="8"/>
        <v>365</v>
      </c>
      <c r="AX56" s="41">
        <f t="shared" si="8"/>
        <v>31</v>
      </c>
      <c r="AY56" s="41">
        <f t="shared" si="8"/>
        <v>59</v>
      </c>
      <c r="AZ56" s="41">
        <f t="shared" si="8"/>
        <v>90</v>
      </c>
      <c r="BA56" s="41">
        <f t="shared" si="8"/>
        <v>120</v>
      </c>
      <c r="BB56" s="41">
        <f t="shared" si="8"/>
        <v>151</v>
      </c>
      <c r="BC56" s="41">
        <f t="shared" si="8"/>
        <v>181</v>
      </c>
      <c r="BD56" s="41">
        <f t="shared" si="8"/>
        <v>212</v>
      </c>
      <c r="BE56" s="41">
        <f t="shared" si="8"/>
        <v>243</v>
      </c>
      <c r="BF56" s="41">
        <f t="shared" si="8"/>
        <v>273</v>
      </c>
      <c r="BG56" s="41">
        <f t="shared" si="8"/>
        <v>304</v>
      </c>
      <c r="BH56" s="41">
        <f t="shared" si="8"/>
        <v>334</v>
      </c>
      <c r="BI56" s="41">
        <f t="shared" si="8"/>
        <v>365</v>
      </c>
    </row>
    <row r="57" spans="5:62" x14ac:dyDescent="0.35">
      <c r="E57">
        <v>2</v>
      </c>
      <c r="J57" t="s">
        <v>64</v>
      </c>
      <c r="N57" s="92"/>
      <c r="O57" s="41">
        <f t="shared" si="8"/>
        <v>29</v>
      </c>
      <c r="P57" s="41">
        <f t="shared" si="8"/>
        <v>60</v>
      </c>
      <c r="Q57" s="41">
        <f t="shared" si="8"/>
        <v>90</v>
      </c>
      <c r="R57" s="41">
        <f t="shared" si="8"/>
        <v>121</v>
      </c>
      <c r="S57" s="41">
        <f t="shared" si="8"/>
        <v>151</v>
      </c>
      <c r="T57" s="41">
        <f t="shared" si="8"/>
        <v>182</v>
      </c>
      <c r="U57" s="41">
        <f t="shared" si="8"/>
        <v>213</v>
      </c>
      <c r="V57" s="41">
        <f t="shared" si="8"/>
        <v>243</v>
      </c>
      <c r="W57" s="41">
        <f t="shared" si="8"/>
        <v>274</v>
      </c>
      <c r="X57" s="41">
        <f t="shared" si="8"/>
        <v>304</v>
      </c>
      <c r="Y57" s="41">
        <f t="shared" si="8"/>
        <v>335</v>
      </c>
      <c r="Z57" s="41">
        <f t="shared" si="8"/>
        <v>366</v>
      </c>
      <c r="AA57" s="41">
        <f t="shared" si="8"/>
        <v>28</v>
      </c>
      <c r="AB57" s="41">
        <f t="shared" si="8"/>
        <v>59</v>
      </c>
      <c r="AC57" s="41">
        <f t="shared" si="8"/>
        <v>89</v>
      </c>
      <c r="AD57" s="41">
        <f t="shared" si="8"/>
        <v>120</v>
      </c>
      <c r="AE57" s="41">
        <f t="shared" si="8"/>
        <v>150</v>
      </c>
      <c r="AF57" s="41">
        <f t="shared" si="8"/>
        <v>181</v>
      </c>
      <c r="AG57" s="41">
        <f t="shared" si="8"/>
        <v>212</v>
      </c>
      <c r="AH57" s="41">
        <f t="shared" si="8"/>
        <v>242</v>
      </c>
      <c r="AI57" s="41">
        <f t="shared" si="8"/>
        <v>273</v>
      </c>
      <c r="AJ57" s="41">
        <f t="shared" si="8"/>
        <v>303</v>
      </c>
      <c r="AK57" s="41">
        <f t="shared" si="8"/>
        <v>334</v>
      </c>
      <c r="AL57" s="41">
        <f t="shared" si="8"/>
        <v>365</v>
      </c>
      <c r="AM57" s="41">
        <f t="shared" si="8"/>
        <v>28</v>
      </c>
      <c r="AN57" s="41">
        <f t="shared" si="8"/>
        <v>59</v>
      </c>
      <c r="AO57" s="41">
        <f t="shared" si="8"/>
        <v>89</v>
      </c>
      <c r="AP57" s="41">
        <f t="shared" si="8"/>
        <v>120</v>
      </c>
      <c r="AQ57" s="41">
        <f t="shared" si="8"/>
        <v>150</v>
      </c>
      <c r="AR57" s="41">
        <f t="shared" si="8"/>
        <v>181</v>
      </c>
      <c r="AS57" s="41">
        <f t="shared" si="8"/>
        <v>212</v>
      </c>
      <c r="AT57" s="41">
        <f t="shared" si="8"/>
        <v>242</v>
      </c>
      <c r="AU57" s="41">
        <f t="shared" si="8"/>
        <v>273</v>
      </c>
      <c r="AV57" s="41">
        <f t="shared" si="8"/>
        <v>303</v>
      </c>
      <c r="AW57" s="41">
        <f t="shared" si="8"/>
        <v>334</v>
      </c>
      <c r="AX57" s="41">
        <f t="shared" si="8"/>
        <v>365</v>
      </c>
      <c r="AY57" s="41">
        <f t="shared" si="8"/>
        <v>28</v>
      </c>
      <c r="AZ57" s="41">
        <f t="shared" si="8"/>
        <v>59</v>
      </c>
      <c r="BA57" s="41">
        <f t="shared" si="8"/>
        <v>89</v>
      </c>
      <c r="BB57" s="41">
        <f t="shared" si="8"/>
        <v>120</v>
      </c>
      <c r="BC57" s="41">
        <f t="shared" si="8"/>
        <v>150</v>
      </c>
      <c r="BD57" s="41">
        <f t="shared" si="8"/>
        <v>181</v>
      </c>
      <c r="BE57" s="41">
        <f t="shared" si="8"/>
        <v>212</v>
      </c>
      <c r="BF57" s="41">
        <f t="shared" si="8"/>
        <v>242</v>
      </c>
      <c r="BG57" s="41">
        <f t="shared" si="8"/>
        <v>273</v>
      </c>
      <c r="BH57" s="41">
        <f t="shared" si="8"/>
        <v>303</v>
      </c>
      <c r="BI57" s="41">
        <f t="shared" si="8"/>
        <v>334</v>
      </c>
    </row>
    <row r="58" spans="5:62" x14ac:dyDescent="0.35">
      <c r="E58">
        <v>3</v>
      </c>
      <c r="J58" t="s">
        <v>64</v>
      </c>
      <c r="N58" s="92"/>
      <c r="O58" s="92"/>
      <c r="P58" s="41">
        <f t="shared" si="8"/>
        <v>31</v>
      </c>
      <c r="Q58" s="41">
        <f t="shared" si="8"/>
        <v>61</v>
      </c>
      <c r="R58" s="41">
        <f t="shared" si="8"/>
        <v>92</v>
      </c>
      <c r="S58" s="41">
        <f t="shared" si="8"/>
        <v>122</v>
      </c>
      <c r="T58" s="41">
        <f t="shared" si="8"/>
        <v>153</v>
      </c>
      <c r="U58" s="41">
        <f t="shared" si="8"/>
        <v>184</v>
      </c>
      <c r="V58" s="41">
        <f t="shared" si="8"/>
        <v>214</v>
      </c>
      <c r="W58" s="41">
        <f t="shared" si="8"/>
        <v>245</v>
      </c>
      <c r="X58" s="41">
        <f t="shared" si="8"/>
        <v>275</v>
      </c>
      <c r="Y58" s="41">
        <f t="shared" si="8"/>
        <v>306</v>
      </c>
      <c r="Z58" s="41">
        <f t="shared" si="8"/>
        <v>337</v>
      </c>
      <c r="AA58" s="41">
        <f t="shared" si="8"/>
        <v>365</v>
      </c>
      <c r="AB58" s="41">
        <f t="shared" si="8"/>
        <v>31</v>
      </c>
      <c r="AC58" s="41">
        <f t="shared" si="8"/>
        <v>61</v>
      </c>
      <c r="AD58" s="41">
        <f t="shared" si="8"/>
        <v>92</v>
      </c>
      <c r="AE58" s="41">
        <f t="shared" si="8"/>
        <v>122</v>
      </c>
      <c r="AF58" s="41">
        <f t="shared" si="8"/>
        <v>153</v>
      </c>
      <c r="AG58" s="41">
        <f t="shared" si="8"/>
        <v>184</v>
      </c>
      <c r="AH58" s="41">
        <f t="shared" si="8"/>
        <v>214</v>
      </c>
      <c r="AI58" s="41">
        <f t="shared" si="8"/>
        <v>245</v>
      </c>
      <c r="AJ58" s="41">
        <f t="shared" si="8"/>
        <v>275</v>
      </c>
      <c r="AK58" s="41">
        <f t="shared" si="8"/>
        <v>306</v>
      </c>
      <c r="AL58" s="41">
        <f t="shared" si="8"/>
        <v>337</v>
      </c>
      <c r="AM58" s="41">
        <f t="shared" si="8"/>
        <v>365</v>
      </c>
      <c r="AN58" s="41">
        <f t="shared" si="8"/>
        <v>31</v>
      </c>
      <c r="AO58" s="41">
        <f t="shared" si="8"/>
        <v>61</v>
      </c>
      <c r="AP58" s="41">
        <f t="shared" si="8"/>
        <v>92</v>
      </c>
      <c r="AQ58" s="41">
        <f t="shared" si="8"/>
        <v>122</v>
      </c>
      <c r="AR58" s="41">
        <f t="shared" si="8"/>
        <v>153</v>
      </c>
      <c r="AS58" s="41">
        <f t="shared" si="8"/>
        <v>184</v>
      </c>
      <c r="AT58" s="41">
        <f t="shared" si="8"/>
        <v>214</v>
      </c>
      <c r="AU58" s="41">
        <f t="shared" si="8"/>
        <v>245</v>
      </c>
      <c r="AV58" s="41">
        <f t="shared" si="8"/>
        <v>275</v>
      </c>
      <c r="AW58" s="41">
        <f t="shared" si="8"/>
        <v>306</v>
      </c>
      <c r="AX58" s="41">
        <f t="shared" si="8"/>
        <v>337</v>
      </c>
      <c r="AY58" s="41">
        <f t="shared" si="8"/>
        <v>365</v>
      </c>
      <c r="AZ58" s="41">
        <f t="shared" si="8"/>
        <v>31</v>
      </c>
      <c r="BA58" s="41">
        <f t="shared" si="8"/>
        <v>61</v>
      </c>
      <c r="BB58" s="41">
        <f t="shared" si="8"/>
        <v>92</v>
      </c>
      <c r="BC58" s="41">
        <f t="shared" si="8"/>
        <v>122</v>
      </c>
      <c r="BD58" s="41">
        <f t="shared" si="8"/>
        <v>153</v>
      </c>
      <c r="BE58" s="41">
        <f t="shared" si="8"/>
        <v>184</v>
      </c>
      <c r="BF58" s="41">
        <f t="shared" si="8"/>
        <v>214</v>
      </c>
      <c r="BG58" s="41">
        <f t="shared" si="8"/>
        <v>245</v>
      </c>
      <c r="BH58" s="41">
        <f t="shared" si="8"/>
        <v>275</v>
      </c>
      <c r="BI58" s="41">
        <f t="shared" si="8"/>
        <v>306</v>
      </c>
    </row>
    <row r="59" spans="5:62" x14ac:dyDescent="0.35">
      <c r="E59">
        <v>4</v>
      </c>
      <c r="J59" t="s">
        <v>64</v>
      </c>
      <c r="N59" s="92"/>
      <c r="O59" s="92"/>
      <c r="P59" s="92"/>
      <c r="Q59" s="41">
        <f t="shared" si="8"/>
        <v>30</v>
      </c>
      <c r="R59" s="41">
        <f t="shared" si="8"/>
        <v>61</v>
      </c>
      <c r="S59" s="41">
        <f t="shared" si="8"/>
        <v>91</v>
      </c>
      <c r="T59" s="41">
        <f t="shared" si="8"/>
        <v>122</v>
      </c>
      <c r="U59" s="41">
        <f t="shared" si="8"/>
        <v>153</v>
      </c>
      <c r="V59" s="41">
        <f t="shared" si="8"/>
        <v>183</v>
      </c>
      <c r="W59" s="41">
        <f t="shared" si="8"/>
        <v>214</v>
      </c>
      <c r="X59" s="41">
        <f t="shared" si="8"/>
        <v>244</v>
      </c>
      <c r="Y59" s="41">
        <f t="shared" si="8"/>
        <v>275</v>
      </c>
      <c r="Z59" s="41">
        <f t="shared" si="8"/>
        <v>306</v>
      </c>
      <c r="AA59" s="41">
        <f t="shared" si="8"/>
        <v>334</v>
      </c>
      <c r="AB59" s="41">
        <f t="shared" si="8"/>
        <v>365</v>
      </c>
      <c r="AC59" s="41">
        <f t="shared" si="8"/>
        <v>30</v>
      </c>
      <c r="AD59" s="41">
        <f t="shared" si="8"/>
        <v>61</v>
      </c>
      <c r="AE59" s="41">
        <f t="shared" si="8"/>
        <v>91</v>
      </c>
      <c r="AF59" s="41">
        <f t="shared" si="8"/>
        <v>122</v>
      </c>
      <c r="AG59" s="41">
        <f t="shared" si="8"/>
        <v>153</v>
      </c>
      <c r="AH59" s="41">
        <f t="shared" si="8"/>
        <v>183</v>
      </c>
      <c r="AI59" s="41">
        <f t="shared" si="8"/>
        <v>214</v>
      </c>
      <c r="AJ59" s="41">
        <f t="shared" si="8"/>
        <v>244</v>
      </c>
      <c r="AK59" s="41">
        <f t="shared" si="8"/>
        <v>275</v>
      </c>
      <c r="AL59" s="41">
        <f t="shared" si="8"/>
        <v>306</v>
      </c>
      <c r="AM59" s="41">
        <f t="shared" si="8"/>
        <v>334</v>
      </c>
      <c r="AN59" s="41">
        <f t="shared" si="8"/>
        <v>365</v>
      </c>
      <c r="AO59" s="41">
        <f t="shared" si="8"/>
        <v>30</v>
      </c>
      <c r="AP59" s="41">
        <f t="shared" si="8"/>
        <v>61</v>
      </c>
      <c r="AQ59" s="41">
        <f t="shared" si="8"/>
        <v>91</v>
      </c>
      <c r="AR59" s="41">
        <f t="shared" si="8"/>
        <v>122</v>
      </c>
      <c r="AS59" s="41">
        <f t="shared" si="8"/>
        <v>153</v>
      </c>
      <c r="AT59" s="41">
        <f t="shared" si="8"/>
        <v>183</v>
      </c>
      <c r="AU59" s="41">
        <f t="shared" si="8"/>
        <v>214</v>
      </c>
      <c r="AV59" s="41">
        <f t="shared" si="8"/>
        <v>244</v>
      </c>
      <c r="AW59" s="41">
        <f t="shared" si="8"/>
        <v>275</v>
      </c>
      <c r="AX59" s="41">
        <f t="shared" si="8"/>
        <v>306</v>
      </c>
      <c r="AY59" s="41">
        <f t="shared" si="8"/>
        <v>334</v>
      </c>
      <c r="AZ59" s="41">
        <f t="shared" si="8"/>
        <v>365</v>
      </c>
      <c r="BA59" s="41">
        <f t="shared" si="8"/>
        <v>30</v>
      </c>
      <c r="BB59" s="41">
        <f t="shared" si="8"/>
        <v>61</v>
      </c>
      <c r="BC59" s="41">
        <f t="shared" si="8"/>
        <v>91</v>
      </c>
      <c r="BD59" s="41">
        <f t="shared" si="8"/>
        <v>122</v>
      </c>
      <c r="BE59" s="41">
        <f t="shared" si="8"/>
        <v>153</v>
      </c>
      <c r="BF59" s="41">
        <f t="shared" si="8"/>
        <v>183</v>
      </c>
      <c r="BG59" s="41">
        <f t="shared" si="8"/>
        <v>214</v>
      </c>
      <c r="BH59" s="41">
        <f t="shared" si="8"/>
        <v>244</v>
      </c>
      <c r="BI59" s="41">
        <f t="shared" si="8"/>
        <v>275</v>
      </c>
    </row>
    <row r="60" spans="5:62" x14ac:dyDescent="0.35">
      <c r="E60">
        <v>5</v>
      </c>
      <c r="J60" t="s">
        <v>64</v>
      </c>
      <c r="N60" s="92"/>
      <c r="O60" s="92"/>
      <c r="P60" s="92"/>
      <c r="Q60" s="92"/>
      <c r="R60" s="41">
        <f t="shared" si="8"/>
        <v>31</v>
      </c>
      <c r="S60" s="41">
        <f t="shared" si="8"/>
        <v>61</v>
      </c>
      <c r="T60" s="41">
        <f t="shared" si="8"/>
        <v>92</v>
      </c>
      <c r="U60" s="41">
        <f t="shared" si="8"/>
        <v>123</v>
      </c>
      <c r="V60" s="41">
        <f t="shared" si="8"/>
        <v>153</v>
      </c>
      <c r="W60" s="41">
        <f t="shared" si="8"/>
        <v>184</v>
      </c>
      <c r="X60" s="41">
        <f t="shared" si="8"/>
        <v>214</v>
      </c>
      <c r="Y60" s="41">
        <f t="shared" si="8"/>
        <v>245</v>
      </c>
      <c r="Z60" s="41">
        <f t="shared" si="8"/>
        <v>276</v>
      </c>
      <c r="AA60" s="41">
        <f t="shared" si="8"/>
        <v>304</v>
      </c>
      <c r="AB60" s="41">
        <f t="shared" si="8"/>
        <v>335</v>
      </c>
      <c r="AC60" s="41">
        <f t="shared" si="8"/>
        <v>365</v>
      </c>
      <c r="AD60" s="41">
        <f t="shared" si="8"/>
        <v>31</v>
      </c>
      <c r="AE60" s="41">
        <f t="shared" si="8"/>
        <v>61</v>
      </c>
      <c r="AF60" s="41">
        <f t="shared" si="8"/>
        <v>92</v>
      </c>
      <c r="AG60" s="41">
        <f t="shared" si="8"/>
        <v>123</v>
      </c>
      <c r="AH60" s="41">
        <f t="shared" si="8"/>
        <v>153</v>
      </c>
      <c r="AI60" s="41">
        <f t="shared" si="8"/>
        <v>184</v>
      </c>
      <c r="AJ60" s="41">
        <f t="shared" si="8"/>
        <v>214</v>
      </c>
      <c r="AK60" s="41">
        <f t="shared" si="8"/>
        <v>245</v>
      </c>
      <c r="AL60" s="41">
        <f t="shared" si="8"/>
        <v>276</v>
      </c>
      <c r="AM60" s="41">
        <f t="shared" si="8"/>
        <v>304</v>
      </c>
      <c r="AN60" s="41">
        <f t="shared" si="8"/>
        <v>335</v>
      </c>
      <c r="AO60" s="41">
        <f t="shared" si="8"/>
        <v>365</v>
      </c>
      <c r="AP60" s="41">
        <f t="shared" si="8"/>
        <v>31</v>
      </c>
      <c r="AQ60" s="41">
        <f t="shared" si="8"/>
        <v>61</v>
      </c>
      <c r="AR60" s="41">
        <f t="shared" si="8"/>
        <v>92</v>
      </c>
      <c r="AS60" s="41">
        <f t="shared" si="8"/>
        <v>123</v>
      </c>
      <c r="AT60" s="41">
        <f t="shared" si="8"/>
        <v>153</v>
      </c>
      <c r="AU60" s="41">
        <f t="shared" si="8"/>
        <v>184</v>
      </c>
      <c r="AV60" s="41">
        <f t="shared" si="8"/>
        <v>214</v>
      </c>
      <c r="AW60" s="41">
        <f t="shared" si="8"/>
        <v>245</v>
      </c>
      <c r="AX60" s="41">
        <f t="shared" si="8"/>
        <v>276</v>
      </c>
      <c r="AY60" s="41">
        <f t="shared" si="8"/>
        <v>304</v>
      </c>
      <c r="AZ60" s="41">
        <f t="shared" si="8"/>
        <v>335</v>
      </c>
      <c r="BA60" s="41">
        <f t="shared" si="8"/>
        <v>365</v>
      </c>
      <c r="BB60" s="41">
        <f t="shared" si="8"/>
        <v>31</v>
      </c>
      <c r="BC60" s="41">
        <f t="shared" si="8"/>
        <v>61</v>
      </c>
      <c r="BD60" s="41">
        <f t="shared" si="8"/>
        <v>92</v>
      </c>
      <c r="BE60" s="41">
        <f t="shared" si="8"/>
        <v>123</v>
      </c>
      <c r="BF60" s="41">
        <f t="shared" si="8"/>
        <v>153</v>
      </c>
      <c r="BG60" s="41">
        <f t="shared" si="8"/>
        <v>184</v>
      </c>
      <c r="BH60" s="41">
        <f t="shared" si="8"/>
        <v>214</v>
      </c>
      <c r="BI60" s="41">
        <f t="shared" si="8"/>
        <v>245</v>
      </c>
    </row>
    <row r="61" spans="5:62" x14ac:dyDescent="0.35">
      <c r="E61">
        <v>6</v>
      </c>
      <c r="J61" t="s">
        <v>64</v>
      </c>
      <c r="N61" s="92"/>
      <c r="O61" s="92"/>
      <c r="P61" s="92"/>
      <c r="Q61" s="92"/>
      <c r="R61" s="92"/>
      <c r="S61" s="41">
        <f t="shared" si="8"/>
        <v>30</v>
      </c>
      <c r="T61" s="41">
        <f t="shared" si="8"/>
        <v>61</v>
      </c>
      <c r="U61" s="41">
        <f t="shared" si="8"/>
        <v>92</v>
      </c>
      <c r="V61" s="41">
        <f t="shared" si="8"/>
        <v>122</v>
      </c>
      <c r="W61" s="41">
        <f t="shared" si="8"/>
        <v>153</v>
      </c>
      <c r="X61" s="41">
        <f t="shared" si="8"/>
        <v>183</v>
      </c>
      <c r="Y61" s="41">
        <f t="shared" si="8"/>
        <v>214</v>
      </c>
      <c r="Z61" s="41">
        <f t="shared" si="8"/>
        <v>245</v>
      </c>
      <c r="AA61" s="41">
        <f t="shared" si="8"/>
        <v>273</v>
      </c>
      <c r="AB61" s="41">
        <f t="shared" si="8"/>
        <v>304</v>
      </c>
      <c r="AC61" s="41">
        <f t="shared" si="8"/>
        <v>334</v>
      </c>
      <c r="AD61" s="41">
        <f t="shared" si="8"/>
        <v>365</v>
      </c>
      <c r="AE61" s="41">
        <f t="shared" si="8"/>
        <v>30</v>
      </c>
      <c r="AF61" s="41">
        <f t="shared" si="8"/>
        <v>61</v>
      </c>
      <c r="AG61" s="41">
        <f t="shared" si="8"/>
        <v>92</v>
      </c>
      <c r="AH61" s="41">
        <f t="shared" si="8"/>
        <v>122</v>
      </c>
      <c r="AI61" s="41">
        <f t="shared" si="8"/>
        <v>153</v>
      </c>
      <c r="AJ61" s="41">
        <f t="shared" si="8"/>
        <v>183</v>
      </c>
      <c r="AK61" s="41">
        <f t="shared" si="8"/>
        <v>214</v>
      </c>
      <c r="AL61" s="41">
        <f t="shared" si="8"/>
        <v>245</v>
      </c>
      <c r="AM61" s="41">
        <f t="shared" si="8"/>
        <v>273</v>
      </c>
      <c r="AN61" s="41">
        <f t="shared" si="8"/>
        <v>304</v>
      </c>
      <c r="AO61" s="41">
        <f t="shared" si="8"/>
        <v>334</v>
      </c>
      <c r="AP61" s="41">
        <f t="shared" si="8"/>
        <v>365</v>
      </c>
      <c r="AQ61" s="41">
        <f t="shared" si="8"/>
        <v>30</v>
      </c>
      <c r="AR61" s="41">
        <f t="shared" si="8"/>
        <v>61</v>
      </c>
      <c r="AS61" s="41">
        <f t="shared" ref="AS61:BI61" si="9">AS$3-AS48+1</f>
        <v>92</v>
      </c>
      <c r="AT61" s="41">
        <f t="shared" si="9"/>
        <v>122</v>
      </c>
      <c r="AU61" s="41">
        <f t="shared" si="9"/>
        <v>153</v>
      </c>
      <c r="AV61" s="41">
        <f t="shared" si="9"/>
        <v>183</v>
      </c>
      <c r="AW61" s="41">
        <f t="shared" si="9"/>
        <v>214</v>
      </c>
      <c r="AX61" s="41">
        <f t="shared" si="9"/>
        <v>245</v>
      </c>
      <c r="AY61" s="41">
        <f t="shared" si="9"/>
        <v>273</v>
      </c>
      <c r="AZ61" s="41">
        <f t="shared" si="9"/>
        <v>304</v>
      </c>
      <c r="BA61" s="41">
        <f t="shared" si="9"/>
        <v>334</v>
      </c>
      <c r="BB61" s="41">
        <f t="shared" si="9"/>
        <v>365</v>
      </c>
      <c r="BC61" s="41">
        <f t="shared" si="9"/>
        <v>30</v>
      </c>
      <c r="BD61" s="41">
        <f t="shared" si="9"/>
        <v>61</v>
      </c>
      <c r="BE61" s="41">
        <f t="shared" si="9"/>
        <v>92</v>
      </c>
      <c r="BF61" s="41">
        <f t="shared" si="9"/>
        <v>122</v>
      </c>
      <c r="BG61" s="41">
        <f t="shared" si="9"/>
        <v>153</v>
      </c>
      <c r="BH61" s="41">
        <f t="shared" si="9"/>
        <v>183</v>
      </c>
      <c r="BI61" s="41">
        <f t="shared" si="9"/>
        <v>214</v>
      </c>
    </row>
    <row r="62" spans="5:62" x14ac:dyDescent="0.35">
      <c r="E62">
        <v>7</v>
      </c>
      <c r="J62" t="s">
        <v>64</v>
      </c>
      <c r="N62" s="92"/>
      <c r="O62" s="92"/>
      <c r="P62" s="92"/>
      <c r="Q62" s="92"/>
      <c r="R62" s="92"/>
      <c r="S62" s="92"/>
      <c r="T62" s="41">
        <f t="shared" ref="T62:BI67" si="10">T$3-T49+1</f>
        <v>31</v>
      </c>
      <c r="U62" s="41">
        <f t="shared" si="10"/>
        <v>62</v>
      </c>
      <c r="V62" s="41">
        <f t="shared" si="10"/>
        <v>92</v>
      </c>
      <c r="W62" s="41">
        <f t="shared" si="10"/>
        <v>123</v>
      </c>
      <c r="X62" s="41">
        <f t="shared" si="10"/>
        <v>153</v>
      </c>
      <c r="Y62" s="41">
        <f t="shared" si="10"/>
        <v>184</v>
      </c>
      <c r="Z62" s="41">
        <f t="shared" si="10"/>
        <v>215</v>
      </c>
      <c r="AA62" s="41">
        <f t="shared" si="10"/>
        <v>243</v>
      </c>
      <c r="AB62" s="41">
        <f t="shared" si="10"/>
        <v>274</v>
      </c>
      <c r="AC62" s="41">
        <f t="shared" si="10"/>
        <v>304</v>
      </c>
      <c r="AD62" s="41">
        <f t="shared" si="10"/>
        <v>335</v>
      </c>
      <c r="AE62" s="41">
        <f t="shared" si="10"/>
        <v>365</v>
      </c>
      <c r="AF62" s="41">
        <f t="shared" si="10"/>
        <v>31</v>
      </c>
      <c r="AG62" s="41">
        <f t="shared" si="10"/>
        <v>62</v>
      </c>
      <c r="AH62" s="41">
        <f t="shared" si="10"/>
        <v>92</v>
      </c>
      <c r="AI62" s="41">
        <f t="shared" si="10"/>
        <v>123</v>
      </c>
      <c r="AJ62" s="41">
        <f t="shared" si="10"/>
        <v>153</v>
      </c>
      <c r="AK62" s="41">
        <f t="shared" si="10"/>
        <v>184</v>
      </c>
      <c r="AL62" s="41">
        <f t="shared" si="10"/>
        <v>215</v>
      </c>
      <c r="AM62" s="41">
        <f t="shared" si="10"/>
        <v>243</v>
      </c>
      <c r="AN62" s="41">
        <f t="shared" si="10"/>
        <v>274</v>
      </c>
      <c r="AO62" s="41">
        <f t="shared" si="10"/>
        <v>304</v>
      </c>
      <c r="AP62" s="41">
        <f t="shared" si="10"/>
        <v>335</v>
      </c>
      <c r="AQ62" s="41">
        <f t="shared" si="10"/>
        <v>365</v>
      </c>
      <c r="AR62" s="41">
        <f t="shared" si="10"/>
        <v>31</v>
      </c>
      <c r="AS62" s="41">
        <f t="shared" si="10"/>
        <v>62</v>
      </c>
      <c r="AT62" s="41">
        <f t="shared" si="10"/>
        <v>92</v>
      </c>
      <c r="AU62" s="41">
        <f t="shared" si="10"/>
        <v>123</v>
      </c>
      <c r="AV62" s="41">
        <f t="shared" si="10"/>
        <v>153</v>
      </c>
      <c r="AW62" s="41">
        <f t="shared" si="10"/>
        <v>184</v>
      </c>
      <c r="AX62" s="41">
        <f t="shared" si="10"/>
        <v>215</v>
      </c>
      <c r="AY62" s="41">
        <f t="shared" si="10"/>
        <v>243</v>
      </c>
      <c r="AZ62" s="41">
        <f t="shared" si="10"/>
        <v>274</v>
      </c>
      <c r="BA62" s="41">
        <f t="shared" si="10"/>
        <v>304</v>
      </c>
      <c r="BB62" s="41">
        <f t="shared" si="10"/>
        <v>335</v>
      </c>
      <c r="BC62" s="41">
        <f t="shared" si="10"/>
        <v>365</v>
      </c>
      <c r="BD62" s="41">
        <f t="shared" si="10"/>
        <v>31</v>
      </c>
      <c r="BE62" s="41">
        <f t="shared" si="10"/>
        <v>62</v>
      </c>
      <c r="BF62" s="41">
        <f t="shared" si="10"/>
        <v>92</v>
      </c>
      <c r="BG62" s="41">
        <f t="shared" si="10"/>
        <v>123</v>
      </c>
      <c r="BH62" s="41">
        <f t="shared" si="10"/>
        <v>153</v>
      </c>
      <c r="BI62" s="41">
        <f t="shared" si="10"/>
        <v>184</v>
      </c>
    </row>
    <row r="63" spans="5:62" x14ac:dyDescent="0.35">
      <c r="E63">
        <v>8</v>
      </c>
      <c r="J63" t="s">
        <v>64</v>
      </c>
      <c r="N63" s="92"/>
      <c r="O63" s="92"/>
      <c r="P63" s="92"/>
      <c r="Q63" s="92"/>
      <c r="R63" s="92"/>
      <c r="S63" s="92"/>
      <c r="T63" s="92"/>
      <c r="U63" s="41">
        <f t="shared" si="10"/>
        <v>31</v>
      </c>
      <c r="V63" s="41">
        <f t="shared" si="10"/>
        <v>61</v>
      </c>
      <c r="W63" s="41">
        <f t="shared" si="10"/>
        <v>92</v>
      </c>
      <c r="X63" s="41">
        <f t="shared" si="10"/>
        <v>122</v>
      </c>
      <c r="Y63" s="41">
        <f t="shared" si="10"/>
        <v>153</v>
      </c>
      <c r="Z63" s="41">
        <f t="shared" si="10"/>
        <v>184</v>
      </c>
      <c r="AA63" s="41">
        <f t="shared" si="10"/>
        <v>212</v>
      </c>
      <c r="AB63" s="41">
        <f t="shared" si="10"/>
        <v>243</v>
      </c>
      <c r="AC63" s="41">
        <f t="shared" si="10"/>
        <v>273</v>
      </c>
      <c r="AD63" s="41">
        <f t="shared" si="10"/>
        <v>304</v>
      </c>
      <c r="AE63" s="41">
        <f t="shared" si="10"/>
        <v>334</v>
      </c>
      <c r="AF63" s="41">
        <f t="shared" si="10"/>
        <v>365</v>
      </c>
      <c r="AG63" s="41">
        <f t="shared" si="10"/>
        <v>31</v>
      </c>
      <c r="AH63" s="41">
        <f t="shared" si="10"/>
        <v>61</v>
      </c>
      <c r="AI63" s="41">
        <f t="shared" si="10"/>
        <v>92</v>
      </c>
      <c r="AJ63" s="41">
        <f t="shared" si="10"/>
        <v>122</v>
      </c>
      <c r="AK63" s="41">
        <f t="shared" si="10"/>
        <v>153</v>
      </c>
      <c r="AL63" s="41">
        <f t="shared" si="10"/>
        <v>184</v>
      </c>
      <c r="AM63" s="41">
        <f t="shared" si="10"/>
        <v>212</v>
      </c>
      <c r="AN63" s="41">
        <f t="shared" si="10"/>
        <v>243</v>
      </c>
      <c r="AO63" s="41">
        <f t="shared" si="10"/>
        <v>273</v>
      </c>
      <c r="AP63" s="41">
        <f t="shared" si="10"/>
        <v>304</v>
      </c>
      <c r="AQ63" s="41">
        <f t="shared" si="10"/>
        <v>334</v>
      </c>
      <c r="AR63" s="41">
        <f t="shared" si="10"/>
        <v>365</v>
      </c>
      <c r="AS63" s="41">
        <f t="shared" si="10"/>
        <v>31</v>
      </c>
      <c r="AT63" s="41">
        <f t="shared" si="10"/>
        <v>61</v>
      </c>
      <c r="AU63" s="41">
        <f t="shared" si="10"/>
        <v>92</v>
      </c>
      <c r="AV63" s="41">
        <f t="shared" si="10"/>
        <v>122</v>
      </c>
      <c r="AW63" s="41">
        <f t="shared" si="10"/>
        <v>153</v>
      </c>
      <c r="AX63" s="41">
        <f t="shared" si="10"/>
        <v>184</v>
      </c>
      <c r="AY63" s="41">
        <f t="shared" si="10"/>
        <v>212</v>
      </c>
      <c r="AZ63" s="41">
        <f t="shared" si="10"/>
        <v>243</v>
      </c>
      <c r="BA63" s="41">
        <f t="shared" si="10"/>
        <v>273</v>
      </c>
      <c r="BB63" s="41">
        <f t="shared" si="10"/>
        <v>304</v>
      </c>
      <c r="BC63" s="41">
        <f t="shared" si="10"/>
        <v>334</v>
      </c>
      <c r="BD63" s="41">
        <f t="shared" si="10"/>
        <v>365</v>
      </c>
      <c r="BE63" s="41">
        <f t="shared" si="10"/>
        <v>31</v>
      </c>
      <c r="BF63" s="41">
        <f t="shared" si="10"/>
        <v>61</v>
      </c>
      <c r="BG63" s="41">
        <f t="shared" si="10"/>
        <v>92</v>
      </c>
      <c r="BH63" s="41">
        <f t="shared" si="10"/>
        <v>122</v>
      </c>
      <c r="BI63" s="41">
        <f t="shared" si="10"/>
        <v>153</v>
      </c>
    </row>
    <row r="64" spans="5:62" x14ac:dyDescent="0.35">
      <c r="E64">
        <v>9</v>
      </c>
      <c r="J64" t="s">
        <v>64</v>
      </c>
      <c r="N64" s="92"/>
      <c r="O64" s="92"/>
      <c r="P64" s="92"/>
      <c r="Q64" s="92"/>
      <c r="R64" s="92"/>
      <c r="S64" s="92"/>
      <c r="T64" s="92"/>
      <c r="U64" s="92"/>
      <c r="V64" s="41">
        <f t="shared" si="10"/>
        <v>30</v>
      </c>
      <c r="W64" s="41">
        <f t="shared" si="10"/>
        <v>61</v>
      </c>
      <c r="X64" s="41">
        <f t="shared" si="10"/>
        <v>91</v>
      </c>
      <c r="Y64" s="41">
        <f t="shared" si="10"/>
        <v>122</v>
      </c>
      <c r="Z64" s="41">
        <f t="shared" si="10"/>
        <v>153</v>
      </c>
      <c r="AA64" s="41">
        <f t="shared" si="10"/>
        <v>181</v>
      </c>
      <c r="AB64" s="41">
        <f t="shared" si="10"/>
        <v>212</v>
      </c>
      <c r="AC64" s="41">
        <f t="shared" si="10"/>
        <v>242</v>
      </c>
      <c r="AD64" s="41">
        <f t="shared" si="10"/>
        <v>273</v>
      </c>
      <c r="AE64" s="41">
        <f t="shared" si="10"/>
        <v>303</v>
      </c>
      <c r="AF64" s="41">
        <f t="shared" si="10"/>
        <v>334</v>
      </c>
      <c r="AG64" s="41">
        <f t="shared" si="10"/>
        <v>365</v>
      </c>
      <c r="AH64" s="41">
        <f t="shared" si="10"/>
        <v>30</v>
      </c>
      <c r="AI64" s="41">
        <f t="shared" si="10"/>
        <v>61</v>
      </c>
      <c r="AJ64" s="41">
        <f t="shared" si="10"/>
        <v>91</v>
      </c>
      <c r="AK64" s="41">
        <f t="shared" si="10"/>
        <v>122</v>
      </c>
      <c r="AL64" s="41">
        <f t="shared" si="10"/>
        <v>153</v>
      </c>
      <c r="AM64" s="41">
        <f t="shared" si="10"/>
        <v>181</v>
      </c>
      <c r="AN64" s="41">
        <f t="shared" si="10"/>
        <v>212</v>
      </c>
      <c r="AO64" s="41">
        <f t="shared" si="10"/>
        <v>242</v>
      </c>
      <c r="AP64" s="41">
        <f t="shared" si="10"/>
        <v>273</v>
      </c>
      <c r="AQ64" s="41">
        <f t="shared" si="10"/>
        <v>303</v>
      </c>
      <c r="AR64" s="41">
        <f t="shared" si="10"/>
        <v>334</v>
      </c>
      <c r="AS64" s="41">
        <f t="shared" si="10"/>
        <v>365</v>
      </c>
      <c r="AT64" s="41">
        <f t="shared" si="10"/>
        <v>30</v>
      </c>
      <c r="AU64" s="41">
        <f t="shared" si="10"/>
        <v>61</v>
      </c>
      <c r="AV64" s="41">
        <f t="shared" si="10"/>
        <v>91</v>
      </c>
      <c r="AW64" s="41">
        <f t="shared" si="10"/>
        <v>122</v>
      </c>
      <c r="AX64" s="41">
        <f t="shared" si="10"/>
        <v>153</v>
      </c>
      <c r="AY64" s="41">
        <f t="shared" si="10"/>
        <v>181</v>
      </c>
      <c r="AZ64" s="41">
        <f t="shared" si="10"/>
        <v>212</v>
      </c>
      <c r="BA64" s="41">
        <f t="shared" si="10"/>
        <v>242</v>
      </c>
      <c r="BB64" s="41">
        <f t="shared" si="10"/>
        <v>273</v>
      </c>
      <c r="BC64" s="41">
        <f t="shared" si="10"/>
        <v>303</v>
      </c>
      <c r="BD64" s="41">
        <f t="shared" si="10"/>
        <v>334</v>
      </c>
      <c r="BE64" s="41">
        <f t="shared" si="10"/>
        <v>365</v>
      </c>
      <c r="BF64" s="41">
        <f t="shared" si="10"/>
        <v>30</v>
      </c>
      <c r="BG64" s="41">
        <f t="shared" si="10"/>
        <v>61</v>
      </c>
      <c r="BH64" s="41">
        <f t="shared" si="10"/>
        <v>91</v>
      </c>
      <c r="BI64" s="41">
        <f t="shared" si="10"/>
        <v>122</v>
      </c>
    </row>
    <row r="65" spans="5:61" x14ac:dyDescent="0.35">
      <c r="E65">
        <v>10</v>
      </c>
      <c r="J65" t="s">
        <v>64</v>
      </c>
      <c r="N65" s="92"/>
      <c r="O65" s="92"/>
      <c r="P65" s="92"/>
      <c r="Q65" s="92"/>
      <c r="R65" s="92"/>
      <c r="S65" s="92"/>
      <c r="T65" s="92"/>
      <c r="U65" s="92"/>
      <c r="V65" s="92"/>
      <c r="W65" s="41">
        <f t="shared" si="10"/>
        <v>31</v>
      </c>
      <c r="X65" s="41">
        <f t="shared" si="10"/>
        <v>61</v>
      </c>
      <c r="Y65" s="41">
        <f t="shared" si="10"/>
        <v>92</v>
      </c>
      <c r="Z65" s="41">
        <f t="shared" si="10"/>
        <v>123</v>
      </c>
      <c r="AA65" s="41">
        <f t="shared" si="10"/>
        <v>151</v>
      </c>
      <c r="AB65" s="41">
        <f t="shared" si="10"/>
        <v>182</v>
      </c>
      <c r="AC65" s="41">
        <f t="shared" si="10"/>
        <v>212</v>
      </c>
      <c r="AD65" s="41">
        <f t="shared" si="10"/>
        <v>243</v>
      </c>
      <c r="AE65" s="41">
        <f t="shared" si="10"/>
        <v>273</v>
      </c>
      <c r="AF65" s="41">
        <f t="shared" si="10"/>
        <v>304</v>
      </c>
      <c r="AG65" s="41">
        <f t="shared" si="10"/>
        <v>335</v>
      </c>
      <c r="AH65" s="41">
        <f t="shared" si="10"/>
        <v>365</v>
      </c>
      <c r="AI65" s="41">
        <f t="shared" si="10"/>
        <v>31</v>
      </c>
      <c r="AJ65" s="41">
        <f t="shared" si="10"/>
        <v>61</v>
      </c>
      <c r="AK65" s="41">
        <f t="shared" si="10"/>
        <v>92</v>
      </c>
      <c r="AL65" s="41">
        <f t="shared" si="10"/>
        <v>123</v>
      </c>
      <c r="AM65" s="41">
        <f t="shared" si="10"/>
        <v>151</v>
      </c>
      <c r="AN65" s="41">
        <f t="shared" si="10"/>
        <v>182</v>
      </c>
      <c r="AO65" s="41">
        <f t="shared" si="10"/>
        <v>212</v>
      </c>
      <c r="AP65" s="41">
        <f t="shared" si="10"/>
        <v>243</v>
      </c>
      <c r="AQ65" s="41">
        <f t="shared" si="10"/>
        <v>273</v>
      </c>
      <c r="AR65" s="41">
        <f t="shared" si="10"/>
        <v>304</v>
      </c>
      <c r="AS65" s="41">
        <f t="shared" si="10"/>
        <v>335</v>
      </c>
      <c r="AT65" s="41">
        <f t="shared" si="10"/>
        <v>365</v>
      </c>
      <c r="AU65" s="41">
        <f t="shared" si="10"/>
        <v>31</v>
      </c>
      <c r="AV65" s="41">
        <f t="shared" si="10"/>
        <v>61</v>
      </c>
      <c r="AW65" s="41">
        <f t="shared" si="10"/>
        <v>92</v>
      </c>
      <c r="AX65" s="41">
        <f t="shared" si="10"/>
        <v>123</v>
      </c>
      <c r="AY65" s="41">
        <f t="shared" si="10"/>
        <v>151</v>
      </c>
      <c r="AZ65" s="41">
        <f t="shared" si="10"/>
        <v>182</v>
      </c>
      <c r="BA65" s="41">
        <f t="shared" si="10"/>
        <v>212</v>
      </c>
      <c r="BB65" s="41">
        <f t="shared" si="10"/>
        <v>243</v>
      </c>
      <c r="BC65" s="41">
        <f t="shared" si="10"/>
        <v>273</v>
      </c>
      <c r="BD65" s="41">
        <f t="shared" si="10"/>
        <v>304</v>
      </c>
      <c r="BE65" s="41">
        <f t="shared" si="10"/>
        <v>335</v>
      </c>
      <c r="BF65" s="41">
        <f t="shared" si="10"/>
        <v>365</v>
      </c>
      <c r="BG65" s="41">
        <f t="shared" si="10"/>
        <v>31</v>
      </c>
      <c r="BH65" s="41">
        <f t="shared" si="10"/>
        <v>61</v>
      </c>
      <c r="BI65" s="41">
        <f t="shared" si="10"/>
        <v>92</v>
      </c>
    </row>
    <row r="66" spans="5:61" x14ac:dyDescent="0.35">
      <c r="E66">
        <v>11</v>
      </c>
      <c r="J66" t="s">
        <v>64</v>
      </c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41">
        <f t="shared" si="10"/>
        <v>30</v>
      </c>
      <c r="Y66" s="41">
        <f t="shared" si="10"/>
        <v>61</v>
      </c>
      <c r="Z66" s="41">
        <f t="shared" si="10"/>
        <v>92</v>
      </c>
      <c r="AA66" s="41">
        <f t="shared" si="10"/>
        <v>120</v>
      </c>
      <c r="AB66" s="41">
        <f t="shared" si="10"/>
        <v>151</v>
      </c>
      <c r="AC66" s="41">
        <f t="shared" si="10"/>
        <v>181</v>
      </c>
      <c r="AD66" s="41">
        <f t="shared" si="10"/>
        <v>212</v>
      </c>
      <c r="AE66" s="41">
        <f t="shared" si="10"/>
        <v>242</v>
      </c>
      <c r="AF66" s="41">
        <f t="shared" si="10"/>
        <v>273</v>
      </c>
      <c r="AG66" s="41">
        <f t="shared" si="10"/>
        <v>304</v>
      </c>
      <c r="AH66" s="41">
        <f t="shared" si="10"/>
        <v>334</v>
      </c>
      <c r="AI66" s="41">
        <f t="shared" si="10"/>
        <v>365</v>
      </c>
      <c r="AJ66" s="41">
        <f t="shared" si="10"/>
        <v>30</v>
      </c>
      <c r="AK66" s="41">
        <f t="shared" si="10"/>
        <v>61</v>
      </c>
      <c r="AL66" s="41">
        <f t="shared" si="10"/>
        <v>92</v>
      </c>
      <c r="AM66" s="41">
        <f t="shared" si="10"/>
        <v>120</v>
      </c>
      <c r="AN66" s="41">
        <f t="shared" si="10"/>
        <v>151</v>
      </c>
      <c r="AO66" s="41">
        <f t="shared" si="10"/>
        <v>181</v>
      </c>
      <c r="AP66" s="41">
        <f t="shared" si="10"/>
        <v>212</v>
      </c>
      <c r="AQ66" s="41">
        <f t="shared" si="10"/>
        <v>242</v>
      </c>
      <c r="AR66" s="41">
        <f t="shared" si="10"/>
        <v>273</v>
      </c>
      <c r="AS66" s="41">
        <f t="shared" si="10"/>
        <v>304</v>
      </c>
      <c r="AT66" s="41">
        <f t="shared" si="10"/>
        <v>334</v>
      </c>
      <c r="AU66" s="41">
        <f t="shared" si="10"/>
        <v>365</v>
      </c>
      <c r="AV66" s="41">
        <f t="shared" si="10"/>
        <v>30</v>
      </c>
      <c r="AW66" s="41">
        <f t="shared" si="10"/>
        <v>61</v>
      </c>
      <c r="AX66" s="41">
        <f t="shared" si="10"/>
        <v>92</v>
      </c>
      <c r="AY66" s="41">
        <f t="shared" si="10"/>
        <v>120</v>
      </c>
      <c r="AZ66" s="41">
        <f t="shared" si="10"/>
        <v>151</v>
      </c>
      <c r="BA66" s="41">
        <f t="shared" si="10"/>
        <v>181</v>
      </c>
      <c r="BB66" s="41">
        <f t="shared" si="10"/>
        <v>212</v>
      </c>
      <c r="BC66" s="41">
        <f t="shared" si="10"/>
        <v>242</v>
      </c>
      <c r="BD66" s="41">
        <f t="shared" si="10"/>
        <v>273</v>
      </c>
      <c r="BE66" s="41">
        <f t="shared" si="10"/>
        <v>304</v>
      </c>
      <c r="BF66" s="41">
        <f t="shared" si="10"/>
        <v>334</v>
      </c>
      <c r="BG66" s="41">
        <f t="shared" si="10"/>
        <v>365</v>
      </c>
      <c r="BH66" s="41">
        <f t="shared" si="10"/>
        <v>30</v>
      </c>
      <c r="BI66" s="41">
        <f t="shared" si="10"/>
        <v>61</v>
      </c>
    </row>
    <row r="67" spans="5:61" x14ac:dyDescent="0.35">
      <c r="E67">
        <v>12</v>
      </c>
      <c r="J67" t="s">
        <v>64</v>
      </c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41">
        <f t="shared" si="10"/>
        <v>31</v>
      </c>
      <c r="Z67" s="41">
        <f t="shared" si="10"/>
        <v>62</v>
      </c>
      <c r="AA67" s="41">
        <f t="shared" si="10"/>
        <v>90</v>
      </c>
      <c r="AB67" s="41">
        <f t="shared" si="10"/>
        <v>121</v>
      </c>
      <c r="AC67" s="41">
        <f t="shared" si="10"/>
        <v>151</v>
      </c>
      <c r="AD67" s="41">
        <f t="shared" si="10"/>
        <v>182</v>
      </c>
      <c r="AE67" s="41">
        <f t="shared" si="10"/>
        <v>212</v>
      </c>
      <c r="AF67" s="41">
        <f t="shared" si="10"/>
        <v>243</v>
      </c>
      <c r="AG67" s="41">
        <f t="shared" si="10"/>
        <v>274</v>
      </c>
      <c r="AH67" s="41">
        <f t="shared" si="10"/>
        <v>304</v>
      </c>
      <c r="AI67" s="41">
        <f t="shared" si="10"/>
        <v>335</v>
      </c>
      <c r="AJ67" s="41">
        <f t="shared" si="10"/>
        <v>365</v>
      </c>
      <c r="AK67" s="41">
        <f t="shared" si="10"/>
        <v>31</v>
      </c>
      <c r="AL67" s="41">
        <f t="shared" si="10"/>
        <v>62</v>
      </c>
      <c r="AM67" s="41">
        <f t="shared" si="10"/>
        <v>90</v>
      </c>
      <c r="AN67" s="41">
        <f t="shared" si="10"/>
        <v>121</v>
      </c>
      <c r="AO67" s="41">
        <f t="shared" si="10"/>
        <v>151</v>
      </c>
      <c r="AP67" s="41">
        <f t="shared" si="10"/>
        <v>182</v>
      </c>
      <c r="AQ67" s="41">
        <f t="shared" si="10"/>
        <v>212</v>
      </c>
      <c r="AR67" s="41">
        <f t="shared" si="10"/>
        <v>243</v>
      </c>
      <c r="AS67" s="41">
        <f t="shared" si="10"/>
        <v>274</v>
      </c>
      <c r="AT67" s="41">
        <f t="shared" si="10"/>
        <v>304</v>
      </c>
      <c r="AU67" s="41">
        <f t="shared" si="10"/>
        <v>335</v>
      </c>
      <c r="AV67" s="41">
        <f t="shared" si="10"/>
        <v>365</v>
      </c>
      <c r="AW67" s="41">
        <f t="shared" si="10"/>
        <v>31</v>
      </c>
      <c r="AX67" s="41">
        <f t="shared" si="10"/>
        <v>62</v>
      </c>
      <c r="AY67" s="41">
        <f t="shared" si="10"/>
        <v>90</v>
      </c>
      <c r="AZ67" s="41">
        <f t="shared" si="10"/>
        <v>121</v>
      </c>
      <c r="BA67" s="41">
        <f t="shared" si="10"/>
        <v>151</v>
      </c>
      <c r="BB67" s="41">
        <f t="shared" si="10"/>
        <v>182</v>
      </c>
      <c r="BC67" s="41">
        <f t="shared" si="10"/>
        <v>212</v>
      </c>
      <c r="BD67" s="41">
        <f t="shared" si="10"/>
        <v>243</v>
      </c>
      <c r="BE67" s="41">
        <f t="shared" si="10"/>
        <v>274</v>
      </c>
      <c r="BF67" s="41">
        <f t="shared" si="10"/>
        <v>304</v>
      </c>
      <c r="BG67" s="41">
        <f t="shared" si="10"/>
        <v>335</v>
      </c>
      <c r="BH67" s="41">
        <f t="shared" si="10"/>
        <v>365</v>
      </c>
      <c r="BI67" s="41">
        <f t="shared" si="10"/>
        <v>31</v>
      </c>
    </row>
    <row r="69" spans="5:61" x14ac:dyDescent="0.35">
      <c r="E69">
        <v>1</v>
      </c>
      <c r="J69" t="s">
        <v>80</v>
      </c>
      <c r="N69" s="13">
        <f>_xlfn.NORM.DIST(N56,$I28,$I$41,TRUE)</f>
        <v>0.37574827209398748</v>
      </c>
      <c r="O69" s="13">
        <f t="shared" ref="O69:BI74" si="11">_xlfn.NORM.DIST(O56,$I28,$I$41,TRUE)</f>
        <v>0.56618383261090366</v>
      </c>
      <c r="P69" s="13">
        <f t="shared" si="11"/>
        <v>0.7528018821733391</v>
      </c>
      <c r="Q69" s="13">
        <f t="shared" si="11"/>
        <v>0.88166146643482535</v>
      </c>
      <c r="R69" s="13">
        <f t="shared" si="11"/>
        <v>0.95543453724145699</v>
      </c>
      <c r="S69" s="13">
        <f t="shared" si="11"/>
        <v>0.98609655248650141</v>
      </c>
      <c r="T69" s="13">
        <f t="shared" si="11"/>
        <v>0.99670285078354248</v>
      </c>
      <c r="U69" s="13">
        <f t="shared" si="11"/>
        <v>0.9993882264675138</v>
      </c>
      <c r="V69" s="13">
        <f t="shared" si="11"/>
        <v>0.99990551887519563</v>
      </c>
      <c r="W69" s="13">
        <f t="shared" si="11"/>
        <v>0.9999893114742251</v>
      </c>
      <c r="X69" s="13">
        <f t="shared" si="11"/>
        <v>0.99999898291675748</v>
      </c>
      <c r="Y69" s="13">
        <f t="shared" si="11"/>
        <v>0.9999999305384385</v>
      </c>
      <c r="Z69" s="13">
        <f t="shared" si="11"/>
        <v>0.37574827209398748</v>
      </c>
      <c r="AA69" s="13">
        <f t="shared" si="11"/>
        <v>0.5596176923702425</v>
      </c>
      <c r="AB69" s="13">
        <f t="shared" si="11"/>
        <v>0.74750746245307709</v>
      </c>
      <c r="AC69" s="13">
        <f t="shared" si="11"/>
        <v>0.87832749542561872</v>
      </c>
      <c r="AD69" s="13">
        <f t="shared" si="11"/>
        <v>0.95384470949405054</v>
      </c>
      <c r="AE69" s="13">
        <f t="shared" si="11"/>
        <v>0.98549436424290404</v>
      </c>
      <c r="AF69" s="13">
        <f t="shared" si="11"/>
        <v>0.99653302619695938</v>
      </c>
      <c r="AG69" s="13">
        <f t="shared" si="11"/>
        <v>0.99935155409195331</v>
      </c>
      <c r="AH69" s="13">
        <f t="shared" si="11"/>
        <v>0.9998990657536172</v>
      </c>
      <c r="AI69" s="13">
        <f t="shared" si="11"/>
        <v>0.99998848735819013</v>
      </c>
      <c r="AJ69" s="13">
        <f t="shared" si="11"/>
        <v>0.99999889568835554</v>
      </c>
      <c r="AK69" s="13">
        <f t="shared" si="11"/>
        <v>0.99999992395039483</v>
      </c>
      <c r="AL69" s="13">
        <f t="shared" si="11"/>
        <v>0.37574827209398748</v>
      </c>
      <c r="AM69" s="13">
        <f t="shared" si="11"/>
        <v>0.5596176923702425</v>
      </c>
      <c r="AN69" s="13">
        <f t="shared" si="11"/>
        <v>0.74750746245307709</v>
      </c>
      <c r="AO69" s="13">
        <f t="shared" si="11"/>
        <v>0.87832749542561872</v>
      </c>
      <c r="AP69" s="13">
        <f t="shared" si="11"/>
        <v>0.95384470949405054</v>
      </c>
      <c r="AQ69" s="13">
        <f t="shared" si="11"/>
        <v>0.98549436424290404</v>
      </c>
      <c r="AR69" s="13">
        <f t="shared" si="11"/>
        <v>0.99653302619695938</v>
      </c>
      <c r="AS69" s="13">
        <f t="shared" si="11"/>
        <v>0.99935155409195331</v>
      </c>
      <c r="AT69" s="13">
        <f t="shared" si="11"/>
        <v>0.9998990657536172</v>
      </c>
      <c r="AU69" s="13">
        <f t="shared" si="11"/>
        <v>0.99998848735819013</v>
      </c>
      <c r="AV69" s="13">
        <f t="shared" si="11"/>
        <v>0.99999889568835554</v>
      </c>
      <c r="AW69" s="13">
        <f t="shared" si="11"/>
        <v>0.99999992395039483</v>
      </c>
      <c r="AX69" s="13">
        <f t="shared" si="11"/>
        <v>0.37574827209398748</v>
      </c>
      <c r="AY69" s="13">
        <f t="shared" si="11"/>
        <v>0.5596176923702425</v>
      </c>
      <c r="AZ69" s="13">
        <f t="shared" si="11"/>
        <v>0.74750746245307709</v>
      </c>
      <c r="BA69" s="13">
        <f t="shared" si="11"/>
        <v>0.87832749542561872</v>
      </c>
      <c r="BB69" s="13">
        <f t="shared" si="11"/>
        <v>0.95384470949405054</v>
      </c>
      <c r="BC69" s="13">
        <f t="shared" si="11"/>
        <v>0.98549436424290404</v>
      </c>
      <c r="BD69" s="13">
        <f t="shared" si="11"/>
        <v>0.99653302619695938</v>
      </c>
      <c r="BE69" s="13">
        <f t="shared" si="11"/>
        <v>0.99935155409195331</v>
      </c>
      <c r="BF69" s="13">
        <f t="shared" si="11"/>
        <v>0.9998990657536172</v>
      </c>
      <c r="BG69" s="13">
        <f t="shared" si="11"/>
        <v>0.99998848735819013</v>
      </c>
      <c r="BH69" s="13">
        <f t="shared" si="11"/>
        <v>0.99999889568835554</v>
      </c>
      <c r="BI69" s="13">
        <f t="shared" si="11"/>
        <v>0.99999992395039483</v>
      </c>
    </row>
    <row r="70" spans="5:61" x14ac:dyDescent="0.35">
      <c r="E70">
        <v>2</v>
      </c>
      <c r="J70" t="s">
        <v>80</v>
      </c>
      <c r="N70" s="78"/>
      <c r="O70" s="13">
        <f t="shared" si="11"/>
        <v>0.3631693488243809</v>
      </c>
      <c r="P70" s="13">
        <f t="shared" si="11"/>
        <v>0.56618383261090366</v>
      </c>
      <c r="Q70" s="13">
        <f t="shared" si="11"/>
        <v>0.74750746245307709</v>
      </c>
      <c r="R70" s="13">
        <f t="shared" si="11"/>
        <v>0.88166146643482535</v>
      </c>
      <c r="S70" s="13">
        <f t="shared" si="11"/>
        <v>0.95384470949405054</v>
      </c>
      <c r="T70" s="13">
        <f t="shared" si="11"/>
        <v>0.98609655248650141</v>
      </c>
      <c r="U70" s="13">
        <f t="shared" si="11"/>
        <v>0.99670285078354248</v>
      </c>
      <c r="V70" s="13">
        <f t="shared" si="11"/>
        <v>0.99935155409195331</v>
      </c>
      <c r="W70" s="13">
        <f t="shared" si="11"/>
        <v>0.99990551887519563</v>
      </c>
      <c r="X70" s="13">
        <f t="shared" si="11"/>
        <v>0.99998848735819013</v>
      </c>
      <c r="Y70" s="13">
        <f t="shared" si="11"/>
        <v>0.99999898291675748</v>
      </c>
      <c r="Z70" s="13">
        <f t="shared" si="11"/>
        <v>0.9999999305384385</v>
      </c>
      <c r="AA70" s="13">
        <f t="shared" si="11"/>
        <v>0.35693383673749857</v>
      </c>
      <c r="AB70" s="13">
        <f t="shared" si="11"/>
        <v>0.5596176923702425</v>
      </c>
      <c r="AC70" s="13">
        <f t="shared" si="11"/>
        <v>0.74215388919413527</v>
      </c>
      <c r="AD70" s="13">
        <f t="shared" si="11"/>
        <v>0.87832749542561872</v>
      </c>
      <c r="AE70" s="13">
        <f t="shared" si="11"/>
        <v>0.9522096477271853</v>
      </c>
      <c r="AF70" s="13">
        <f t="shared" si="11"/>
        <v>0.98549436424290404</v>
      </c>
      <c r="AG70" s="13">
        <f t="shared" si="11"/>
        <v>0.99653302619695938</v>
      </c>
      <c r="AH70" s="13">
        <f t="shared" si="11"/>
        <v>0.99931286206208414</v>
      </c>
      <c r="AI70" s="13">
        <f t="shared" si="11"/>
        <v>0.9998990657536172</v>
      </c>
      <c r="AJ70" s="13">
        <f t="shared" si="11"/>
        <v>0.99998760299726874</v>
      </c>
      <c r="AK70" s="13">
        <f t="shared" si="11"/>
        <v>0.99999889568835554</v>
      </c>
      <c r="AL70" s="13">
        <f t="shared" si="11"/>
        <v>0.99999992395039483</v>
      </c>
      <c r="AM70" s="13">
        <f t="shared" si="11"/>
        <v>0.35693383673749857</v>
      </c>
      <c r="AN70" s="13">
        <f t="shared" si="11"/>
        <v>0.5596176923702425</v>
      </c>
      <c r="AO70" s="13">
        <f t="shared" si="11"/>
        <v>0.74215388919413527</v>
      </c>
      <c r="AP70" s="13">
        <f t="shared" si="11"/>
        <v>0.87832749542561872</v>
      </c>
      <c r="AQ70" s="13">
        <f t="shared" si="11"/>
        <v>0.9522096477271853</v>
      </c>
      <c r="AR70" s="13">
        <f t="shared" si="11"/>
        <v>0.98549436424290404</v>
      </c>
      <c r="AS70" s="13">
        <f t="shared" si="11"/>
        <v>0.99653302619695938</v>
      </c>
      <c r="AT70" s="13">
        <f t="shared" si="11"/>
        <v>0.99931286206208414</v>
      </c>
      <c r="AU70" s="13">
        <f t="shared" si="11"/>
        <v>0.9998990657536172</v>
      </c>
      <c r="AV70" s="13">
        <f t="shared" si="11"/>
        <v>0.99998760299726874</v>
      </c>
      <c r="AW70" s="13">
        <f t="shared" si="11"/>
        <v>0.99999889568835554</v>
      </c>
      <c r="AX70" s="13">
        <f t="shared" si="11"/>
        <v>0.99999992395039483</v>
      </c>
      <c r="AY70" s="13">
        <f t="shared" si="11"/>
        <v>0.35693383673749857</v>
      </c>
      <c r="AZ70" s="13">
        <f t="shared" si="11"/>
        <v>0.5596176923702425</v>
      </c>
      <c r="BA70" s="13">
        <f t="shared" si="11"/>
        <v>0.74215388919413527</v>
      </c>
      <c r="BB70" s="13">
        <f t="shared" si="11"/>
        <v>0.87832749542561872</v>
      </c>
      <c r="BC70" s="13">
        <f t="shared" si="11"/>
        <v>0.9522096477271853</v>
      </c>
      <c r="BD70" s="13">
        <f t="shared" si="11"/>
        <v>0.98549436424290404</v>
      </c>
      <c r="BE70" s="13">
        <f t="shared" si="11"/>
        <v>0.99653302619695938</v>
      </c>
      <c r="BF70" s="13">
        <f t="shared" si="11"/>
        <v>0.99931286206208414</v>
      </c>
      <c r="BG70" s="13">
        <f t="shared" si="11"/>
        <v>0.9998990657536172</v>
      </c>
      <c r="BH70" s="13">
        <f t="shared" si="11"/>
        <v>0.99998760299726874</v>
      </c>
      <c r="BI70" s="13">
        <f t="shared" si="11"/>
        <v>0.99999889568835554</v>
      </c>
    </row>
    <row r="71" spans="5:61" x14ac:dyDescent="0.35">
      <c r="E71">
        <v>3</v>
      </c>
      <c r="J71" t="s">
        <v>80</v>
      </c>
      <c r="N71" s="78"/>
      <c r="O71" s="78"/>
      <c r="P71" s="13">
        <f t="shared" si="11"/>
        <v>0.37574827209398748</v>
      </c>
      <c r="Q71" s="13">
        <f t="shared" si="11"/>
        <v>0.57273175930304054</v>
      </c>
      <c r="R71" s="13">
        <f t="shared" si="11"/>
        <v>0.75803634777692697</v>
      </c>
      <c r="S71" s="13">
        <f t="shared" si="11"/>
        <v>0.88493032977829178</v>
      </c>
      <c r="T71" s="13">
        <f t="shared" si="11"/>
        <v>0.95697995303768557</v>
      </c>
      <c r="U71" s="13">
        <f t="shared" si="11"/>
        <v>0.98723651454102168</v>
      </c>
      <c r="V71" s="13">
        <f t="shared" si="11"/>
        <v>0.99686515773929452</v>
      </c>
      <c r="W71" s="13">
        <f t="shared" si="11"/>
        <v>0.99942297495760923</v>
      </c>
      <c r="X71" s="13">
        <f t="shared" si="11"/>
        <v>0.99991158271479919</v>
      </c>
      <c r="Y71" s="13">
        <f t="shared" si="11"/>
        <v>0.99999007923611449</v>
      </c>
      <c r="Z71" s="13">
        <f t="shared" si="11"/>
        <v>0.99999913794072182</v>
      </c>
      <c r="AA71" s="13">
        <f t="shared" si="11"/>
        <v>0.99999992395039483</v>
      </c>
      <c r="AB71" s="13">
        <f t="shared" si="11"/>
        <v>0.37574827209398748</v>
      </c>
      <c r="AC71" s="13">
        <f t="shared" si="11"/>
        <v>0.57273175930304054</v>
      </c>
      <c r="AD71" s="13">
        <f t="shared" si="11"/>
        <v>0.75803634777692697</v>
      </c>
      <c r="AE71" s="13">
        <f t="shared" si="11"/>
        <v>0.88493032977829178</v>
      </c>
      <c r="AF71" s="13">
        <f t="shared" si="11"/>
        <v>0.95697995303768557</v>
      </c>
      <c r="AG71" s="13">
        <f t="shared" si="11"/>
        <v>0.98723651454102168</v>
      </c>
      <c r="AH71" s="13">
        <f t="shared" si="11"/>
        <v>0.99686515773929452</v>
      </c>
      <c r="AI71" s="13">
        <f t="shared" si="11"/>
        <v>0.99942297495760923</v>
      </c>
      <c r="AJ71" s="13">
        <f t="shared" si="11"/>
        <v>0.99991158271479919</v>
      </c>
      <c r="AK71" s="13">
        <f t="shared" si="11"/>
        <v>0.99999007923611449</v>
      </c>
      <c r="AL71" s="13">
        <f t="shared" si="11"/>
        <v>0.99999913794072182</v>
      </c>
      <c r="AM71" s="13">
        <f t="shared" si="11"/>
        <v>0.99999992395039483</v>
      </c>
      <c r="AN71" s="13">
        <f t="shared" si="11"/>
        <v>0.37574827209398748</v>
      </c>
      <c r="AO71" s="13">
        <f t="shared" si="11"/>
        <v>0.57273175930304054</v>
      </c>
      <c r="AP71" s="13">
        <f t="shared" si="11"/>
        <v>0.75803634777692697</v>
      </c>
      <c r="AQ71" s="13">
        <f t="shared" si="11"/>
        <v>0.88493032977829178</v>
      </c>
      <c r="AR71" s="13">
        <f t="shared" si="11"/>
        <v>0.95697995303768557</v>
      </c>
      <c r="AS71" s="13">
        <f t="shared" si="11"/>
        <v>0.98723651454102168</v>
      </c>
      <c r="AT71" s="13">
        <f t="shared" si="11"/>
        <v>0.99686515773929452</v>
      </c>
      <c r="AU71" s="13">
        <f t="shared" si="11"/>
        <v>0.99942297495760923</v>
      </c>
      <c r="AV71" s="13">
        <f t="shared" si="11"/>
        <v>0.99991158271479919</v>
      </c>
      <c r="AW71" s="13">
        <f t="shared" si="11"/>
        <v>0.99999007923611449</v>
      </c>
      <c r="AX71" s="13">
        <f t="shared" si="11"/>
        <v>0.99999913794072182</v>
      </c>
      <c r="AY71" s="13">
        <f t="shared" si="11"/>
        <v>0.99999992395039483</v>
      </c>
      <c r="AZ71" s="13">
        <f t="shared" si="11"/>
        <v>0.37574827209398748</v>
      </c>
      <c r="BA71" s="13">
        <f t="shared" si="11"/>
        <v>0.57273175930304054</v>
      </c>
      <c r="BB71" s="13">
        <f t="shared" si="11"/>
        <v>0.75803634777692697</v>
      </c>
      <c r="BC71" s="13">
        <f t="shared" si="11"/>
        <v>0.88493032977829178</v>
      </c>
      <c r="BD71" s="13">
        <f t="shared" si="11"/>
        <v>0.95697995303768557</v>
      </c>
      <c r="BE71" s="13">
        <f t="shared" si="11"/>
        <v>0.98723651454102168</v>
      </c>
      <c r="BF71" s="13">
        <f t="shared" si="11"/>
        <v>0.99686515773929452</v>
      </c>
      <c r="BG71" s="13">
        <f t="shared" si="11"/>
        <v>0.99942297495760923</v>
      </c>
      <c r="BH71" s="13">
        <f t="shared" si="11"/>
        <v>0.99991158271479919</v>
      </c>
      <c r="BI71" s="13">
        <f t="shared" si="11"/>
        <v>0.99999007923611449</v>
      </c>
    </row>
    <row r="72" spans="5:61" x14ac:dyDescent="0.35">
      <c r="E72">
        <v>4</v>
      </c>
      <c r="J72" t="s">
        <v>80</v>
      </c>
      <c r="N72" s="78"/>
      <c r="O72" s="78"/>
      <c r="P72" s="78"/>
      <c r="Q72" s="13">
        <f t="shared" si="11"/>
        <v>0.36944134018176361</v>
      </c>
      <c r="R72" s="13">
        <f t="shared" si="11"/>
        <v>0.57273175930304054</v>
      </c>
      <c r="S72" s="13">
        <f t="shared" si="11"/>
        <v>0.7528018821733391</v>
      </c>
      <c r="T72" s="13">
        <f t="shared" si="11"/>
        <v>0.88493032977829178</v>
      </c>
      <c r="U72" s="13">
        <f t="shared" si="11"/>
        <v>0.95697995303768557</v>
      </c>
      <c r="V72" s="13">
        <f t="shared" si="11"/>
        <v>0.98667706088893326</v>
      </c>
      <c r="W72" s="13">
        <f t="shared" si="11"/>
        <v>0.99686515773929452</v>
      </c>
      <c r="X72" s="13">
        <f t="shared" si="11"/>
        <v>0.9993882264675138</v>
      </c>
      <c r="Y72" s="13">
        <f t="shared" si="11"/>
        <v>0.99991158271479919</v>
      </c>
      <c r="Z72" s="13">
        <f t="shared" si="11"/>
        <v>0.99999007923611449</v>
      </c>
      <c r="AA72" s="13">
        <f t="shared" si="11"/>
        <v>0.99999889568835554</v>
      </c>
      <c r="AB72" s="13">
        <f t="shared" si="11"/>
        <v>0.99999992395039483</v>
      </c>
      <c r="AC72" s="13">
        <f t="shared" si="11"/>
        <v>0.36944134018176361</v>
      </c>
      <c r="AD72" s="13">
        <f t="shared" si="11"/>
        <v>0.57273175930304054</v>
      </c>
      <c r="AE72" s="13">
        <f t="shared" si="11"/>
        <v>0.7528018821733391</v>
      </c>
      <c r="AF72" s="13">
        <f t="shared" si="11"/>
        <v>0.88493032977829178</v>
      </c>
      <c r="AG72" s="13">
        <f t="shared" si="11"/>
        <v>0.95697995303768557</v>
      </c>
      <c r="AH72" s="13">
        <f t="shared" si="11"/>
        <v>0.98667706088893326</v>
      </c>
      <c r="AI72" s="13">
        <f t="shared" si="11"/>
        <v>0.99686515773929452</v>
      </c>
      <c r="AJ72" s="13">
        <f t="shared" si="11"/>
        <v>0.9993882264675138</v>
      </c>
      <c r="AK72" s="13">
        <f t="shared" si="11"/>
        <v>0.99991158271479919</v>
      </c>
      <c r="AL72" s="13">
        <f t="shared" si="11"/>
        <v>0.99999007923611449</v>
      </c>
      <c r="AM72" s="13">
        <f t="shared" si="11"/>
        <v>0.99999889568835554</v>
      </c>
      <c r="AN72" s="13">
        <f t="shared" si="11"/>
        <v>0.99999992395039483</v>
      </c>
      <c r="AO72" s="13">
        <f t="shared" si="11"/>
        <v>0.36944134018176361</v>
      </c>
      <c r="AP72" s="13">
        <f t="shared" si="11"/>
        <v>0.57273175930304054</v>
      </c>
      <c r="AQ72" s="13">
        <f t="shared" si="11"/>
        <v>0.7528018821733391</v>
      </c>
      <c r="AR72" s="13">
        <f t="shared" si="11"/>
        <v>0.88493032977829178</v>
      </c>
      <c r="AS72" s="13">
        <f t="shared" si="11"/>
        <v>0.95697995303768557</v>
      </c>
      <c r="AT72" s="13">
        <f t="shared" si="11"/>
        <v>0.98667706088893326</v>
      </c>
      <c r="AU72" s="13">
        <f t="shared" si="11"/>
        <v>0.99686515773929452</v>
      </c>
      <c r="AV72" s="13">
        <f t="shared" si="11"/>
        <v>0.9993882264675138</v>
      </c>
      <c r="AW72" s="13">
        <f t="shared" si="11"/>
        <v>0.99991158271479919</v>
      </c>
      <c r="AX72" s="13">
        <f t="shared" si="11"/>
        <v>0.99999007923611449</v>
      </c>
      <c r="AY72" s="13">
        <f t="shared" si="11"/>
        <v>0.99999889568835554</v>
      </c>
      <c r="AZ72" s="13">
        <f t="shared" si="11"/>
        <v>0.99999992395039483</v>
      </c>
      <c r="BA72" s="13">
        <f t="shared" si="11"/>
        <v>0.36944134018176361</v>
      </c>
      <c r="BB72" s="13">
        <f t="shared" si="11"/>
        <v>0.57273175930304054</v>
      </c>
      <c r="BC72" s="13">
        <f t="shared" si="11"/>
        <v>0.7528018821733391</v>
      </c>
      <c r="BD72" s="13">
        <f t="shared" si="11"/>
        <v>0.88493032977829178</v>
      </c>
      <c r="BE72" s="13">
        <f t="shared" si="11"/>
        <v>0.95697995303768557</v>
      </c>
      <c r="BF72" s="13">
        <f t="shared" si="11"/>
        <v>0.98667706088893326</v>
      </c>
      <c r="BG72" s="13">
        <f t="shared" si="11"/>
        <v>0.99686515773929452</v>
      </c>
      <c r="BH72" s="13">
        <f t="shared" si="11"/>
        <v>0.9993882264675138</v>
      </c>
      <c r="BI72" s="13">
        <f t="shared" si="11"/>
        <v>0.99991158271479919</v>
      </c>
    </row>
    <row r="73" spans="5:61" x14ac:dyDescent="0.35">
      <c r="E73">
        <v>5</v>
      </c>
      <c r="J73" t="s">
        <v>80</v>
      </c>
      <c r="N73" s="78"/>
      <c r="O73" s="78"/>
      <c r="P73" s="78"/>
      <c r="Q73" s="78"/>
      <c r="R73" s="13">
        <f t="shared" si="11"/>
        <v>0.37574827209398748</v>
      </c>
      <c r="S73" s="13">
        <f t="shared" si="11"/>
        <v>0.57273175930304054</v>
      </c>
      <c r="T73" s="13">
        <f t="shared" si="11"/>
        <v>0.75803634777692697</v>
      </c>
      <c r="U73" s="13">
        <f t="shared" si="11"/>
        <v>0.88813446677415142</v>
      </c>
      <c r="V73" s="13">
        <f t="shared" si="11"/>
        <v>0.95697995303768557</v>
      </c>
      <c r="W73" s="13">
        <f t="shared" si="11"/>
        <v>0.98723651454102168</v>
      </c>
      <c r="X73" s="13">
        <f t="shared" si="11"/>
        <v>0.99686515773929452</v>
      </c>
      <c r="Y73" s="13">
        <f t="shared" si="11"/>
        <v>0.99942297495760923</v>
      </c>
      <c r="Z73" s="13">
        <f t="shared" si="11"/>
        <v>0.9999172791731743</v>
      </c>
      <c r="AA73" s="13">
        <f t="shared" si="11"/>
        <v>0.99998848735819013</v>
      </c>
      <c r="AB73" s="13">
        <f t="shared" si="11"/>
        <v>0.99999898291675748</v>
      </c>
      <c r="AC73" s="13">
        <f t="shared" si="11"/>
        <v>0.99999992395039483</v>
      </c>
      <c r="AD73" s="13">
        <f t="shared" si="11"/>
        <v>0.37574827209398748</v>
      </c>
      <c r="AE73" s="13">
        <f t="shared" si="11"/>
        <v>0.57273175930304054</v>
      </c>
      <c r="AF73" s="13">
        <f t="shared" si="11"/>
        <v>0.75803634777692697</v>
      </c>
      <c r="AG73" s="13">
        <f t="shared" si="11"/>
        <v>0.88813446677415142</v>
      </c>
      <c r="AH73" s="13">
        <f t="shared" si="11"/>
        <v>0.95697995303768557</v>
      </c>
      <c r="AI73" s="13">
        <f t="shared" si="11"/>
        <v>0.98723651454102168</v>
      </c>
      <c r="AJ73" s="13">
        <f t="shared" si="11"/>
        <v>0.99686515773929452</v>
      </c>
      <c r="AK73" s="13">
        <f t="shared" si="11"/>
        <v>0.99942297495760923</v>
      </c>
      <c r="AL73" s="13">
        <f t="shared" si="11"/>
        <v>0.9999172791731743</v>
      </c>
      <c r="AM73" s="13">
        <f t="shared" si="11"/>
        <v>0.99998848735819013</v>
      </c>
      <c r="AN73" s="13">
        <f t="shared" si="11"/>
        <v>0.99999898291675748</v>
      </c>
      <c r="AO73" s="13">
        <f t="shared" si="11"/>
        <v>0.99999992395039483</v>
      </c>
      <c r="AP73" s="13">
        <f t="shared" si="11"/>
        <v>0.37574827209398748</v>
      </c>
      <c r="AQ73" s="13">
        <f t="shared" si="11"/>
        <v>0.57273175930304054</v>
      </c>
      <c r="AR73" s="13">
        <f t="shared" si="11"/>
        <v>0.75803634777692697</v>
      </c>
      <c r="AS73" s="13">
        <f t="shared" si="11"/>
        <v>0.88813446677415142</v>
      </c>
      <c r="AT73" s="13">
        <f t="shared" si="11"/>
        <v>0.95697995303768557</v>
      </c>
      <c r="AU73" s="13">
        <f t="shared" si="11"/>
        <v>0.98723651454102168</v>
      </c>
      <c r="AV73" s="13">
        <f t="shared" si="11"/>
        <v>0.99686515773929452</v>
      </c>
      <c r="AW73" s="13">
        <f t="shared" si="11"/>
        <v>0.99942297495760923</v>
      </c>
      <c r="AX73" s="13">
        <f t="shared" si="11"/>
        <v>0.9999172791731743</v>
      </c>
      <c r="AY73" s="13">
        <f t="shared" si="11"/>
        <v>0.99998848735819013</v>
      </c>
      <c r="AZ73" s="13">
        <f t="shared" si="11"/>
        <v>0.99999898291675748</v>
      </c>
      <c r="BA73" s="13">
        <f t="shared" si="11"/>
        <v>0.99999992395039483</v>
      </c>
      <c r="BB73" s="13">
        <f t="shared" si="11"/>
        <v>0.37574827209398748</v>
      </c>
      <c r="BC73" s="13">
        <f t="shared" si="11"/>
        <v>0.57273175930304054</v>
      </c>
      <c r="BD73" s="13">
        <f t="shared" si="11"/>
        <v>0.75803634777692697</v>
      </c>
      <c r="BE73" s="13">
        <f t="shared" si="11"/>
        <v>0.88813446677415142</v>
      </c>
      <c r="BF73" s="13">
        <f t="shared" si="11"/>
        <v>0.95697995303768557</v>
      </c>
      <c r="BG73" s="13">
        <f t="shared" si="11"/>
        <v>0.98723651454102168</v>
      </c>
      <c r="BH73" s="13">
        <f t="shared" si="11"/>
        <v>0.99686515773929452</v>
      </c>
      <c r="BI73" s="13">
        <f t="shared" si="11"/>
        <v>0.99942297495760923</v>
      </c>
    </row>
    <row r="74" spans="5:61" x14ac:dyDescent="0.35">
      <c r="E74">
        <v>6</v>
      </c>
      <c r="J74" t="s">
        <v>80</v>
      </c>
      <c r="N74" s="78"/>
      <c r="O74" s="78"/>
      <c r="P74" s="78"/>
      <c r="Q74" s="78"/>
      <c r="R74" s="78"/>
      <c r="S74" s="13">
        <f t="shared" si="11"/>
        <v>0.36944134018176361</v>
      </c>
      <c r="T74" s="13">
        <f t="shared" si="11"/>
        <v>0.57273175930304054</v>
      </c>
      <c r="U74" s="13">
        <f t="shared" si="11"/>
        <v>0.75803634777692697</v>
      </c>
      <c r="V74" s="13">
        <f t="shared" si="11"/>
        <v>0.88493032977829178</v>
      </c>
      <c r="W74" s="13">
        <f t="shared" si="11"/>
        <v>0.95697995303768557</v>
      </c>
      <c r="X74" s="13">
        <f t="shared" si="11"/>
        <v>0.98667706088893326</v>
      </c>
      <c r="Y74" s="13">
        <f t="shared" si="11"/>
        <v>0.99686515773929452</v>
      </c>
      <c r="Z74" s="13">
        <f t="shared" si="11"/>
        <v>0.99942297495760923</v>
      </c>
      <c r="AA74" s="13">
        <f t="shared" si="11"/>
        <v>0.9998990657536172</v>
      </c>
      <c r="AB74" s="13">
        <f t="shared" si="11"/>
        <v>0.99998848735819013</v>
      </c>
      <c r="AC74" s="13">
        <f t="shared" si="11"/>
        <v>0.99999889568835554</v>
      </c>
      <c r="AD74" s="13">
        <f t="shared" si="11"/>
        <v>0.99999992395039483</v>
      </c>
      <c r="AE74" s="13">
        <f t="shared" si="11"/>
        <v>0.36944134018176361</v>
      </c>
      <c r="AF74" s="13">
        <f t="shared" si="11"/>
        <v>0.57273175930304054</v>
      </c>
      <c r="AG74" s="13">
        <f t="shared" si="11"/>
        <v>0.75803634777692697</v>
      </c>
      <c r="AH74" s="13">
        <f t="shared" si="11"/>
        <v>0.88493032977829178</v>
      </c>
      <c r="AI74" s="13">
        <f t="shared" si="11"/>
        <v>0.95697995303768557</v>
      </c>
      <c r="AJ74" s="13">
        <f t="shared" si="11"/>
        <v>0.98667706088893326</v>
      </c>
      <c r="AK74" s="13">
        <f t="shared" si="11"/>
        <v>0.99686515773929452</v>
      </c>
      <c r="AL74" s="13">
        <f t="shared" si="11"/>
        <v>0.99942297495760923</v>
      </c>
      <c r="AM74" s="13">
        <f t="shared" si="11"/>
        <v>0.9998990657536172</v>
      </c>
      <c r="AN74" s="13">
        <f t="shared" si="11"/>
        <v>0.99998848735819013</v>
      </c>
      <c r="AO74" s="13">
        <f t="shared" si="11"/>
        <v>0.99999889568835554</v>
      </c>
      <c r="AP74" s="13">
        <f t="shared" si="11"/>
        <v>0.99999992395039483</v>
      </c>
      <c r="AQ74" s="13">
        <f t="shared" si="11"/>
        <v>0.36944134018176361</v>
      </c>
      <c r="AR74" s="13">
        <f t="shared" si="11"/>
        <v>0.57273175930304054</v>
      </c>
      <c r="AS74" s="13">
        <f t="shared" ref="AS74:BI74" si="12">_xlfn.NORM.DIST(AS61,$I33,$I$41,TRUE)</f>
        <v>0.75803634777692697</v>
      </c>
      <c r="AT74" s="13">
        <f t="shared" si="12"/>
        <v>0.88493032977829178</v>
      </c>
      <c r="AU74" s="13">
        <f t="shared" si="12"/>
        <v>0.95697995303768557</v>
      </c>
      <c r="AV74" s="13">
        <f t="shared" si="12"/>
        <v>0.98667706088893326</v>
      </c>
      <c r="AW74" s="13">
        <f t="shared" si="12"/>
        <v>0.99686515773929452</v>
      </c>
      <c r="AX74" s="13">
        <f t="shared" si="12"/>
        <v>0.99942297495760923</v>
      </c>
      <c r="AY74" s="13">
        <f t="shared" si="12"/>
        <v>0.9998990657536172</v>
      </c>
      <c r="AZ74" s="13">
        <f t="shared" si="12"/>
        <v>0.99998848735819013</v>
      </c>
      <c r="BA74" s="13">
        <f t="shared" si="12"/>
        <v>0.99999889568835554</v>
      </c>
      <c r="BB74" s="13">
        <f t="shared" si="12"/>
        <v>0.99999992395039483</v>
      </c>
      <c r="BC74" s="13">
        <f t="shared" si="12"/>
        <v>0.36944134018176361</v>
      </c>
      <c r="BD74" s="13">
        <f t="shared" si="12"/>
        <v>0.57273175930304054</v>
      </c>
      <c r="BE74" s="13">
        <f t="shared" si="12"/>
        <v>0.75803634777692697</v>
      </c>
      <c r="BF74" s="13">
        <f t="shared" si="12"/>
        <v>0.88493032977829178</v>
      </c>
      <c r="BG74" s="13">
        <f t="shared" si="12"/>
        <v>0.95697995303768557</v>
      </c>
      <c r="BH74" s="13">
        <f t="shared" si="12"/>
        <v>0.98667706088893326</v>
      </c>
      <c r="BI74" s="13">
        <f t="shared" si="12"/>
        <v>0.99686515773929452</v>
      </c>
    </row>
    <row r="75" spans="5:61" x14ac:dyDescent="0.35">
      <c r="E75">
        <v>7</v>
      </c>
      <c r="J75" t="s">
        <v>80</v>
      </c>
      <c r="N75" s="78"/>
      <c r="O75" s="78"/>
      <c r="P75" s="78"/>
      <c r="Q75" s="78"/>
      <c r="R75" s="78"/>
      <c r="S75" s="78"/>
      <c r="T75" s="13">
        <f t="shared" ref="T75:BI80" si="13">_xlfn.NORM.DIST(T62,$I34,$I$41,TRUE)</f>
        <v>0.37574827209398748</v>
      </c>
      <c r="U75" s="13">
        <f t="shared" si="13"/>
        <v>0.57925970943910299</v>
      </c>
      <c r="V75" s="13">
        <f t="shared" si="13"/>
        <v>0.75803634777692697</v>
      </c>
      <c r="W75" s="13">
        <f t="shared" si="13"/>
        <v>0.88813446677415142</v>
      </c>
      <c r="X75" s="13">
        <f t="shared" si="13"/>
        <v>0.95697995303768557</v>
      </c>
      <c r="Y75" s="13">
        <f t="shared" si="13"/>
        <v>0.98723651454102168</v>
      </c>
      <c r="Z75" s="13">
        <f t="shared" si="13"/>
        <v>0.99702023676494544</v>
      </c>
      <c r="AA75" s="13">
        <f t="shared" si="13"/>
        <v>0.99935155409195331</v>
      </c>
      <c r="AB75" s="13">
        <f t="shared" si="13"/>
        <v>0.99990551887519563</v>
      </c>
      <c r="AC75" s="13">
        <f t="shared" si="13"/>
        <v>0.99998848735819013</v>
      </c>
      <c r="AD75" s="13">
        <f t="shared" si="13"/>
        <v>0.99999898291675748</v>
      </c>
      <c r="AE75" s="13">
        <f t="shared" si="13"/>
        <v>0.99999992395039483</v>
      </c>
      <c r="AF75" s="13">
        <f t="shared" si="13"/>
        <v>0.37574827209398748</v>
      </c>
      <c r="AG75" s="13">
        <f t="shared" si="13"/>
        <v>0.57925970943910299</v>
      </c>
      <c r="AH75" s="13">
        <f t="shared" si="13"/>
        <v>0.75803634777692697</v>
      </c>
      <c r="AI75" s="13">
        <f t="shared" si="13"/>
        <v>0.88813446677415142</v>
      </c>
      <c r="AJ75" s="13">
        <f t="shared" si="13"/>
        <v>0.95697995303768557</v>
      </c>
      <c r="AK75" s="13">
        <f t="shared" si="13"/>
        <v>0.98723651454102168</v>
      </c>
      <c r="AL75" s="13">
        <f t="shared" si="13"/>
        <v>0.99702023676494544</v>
      </c>
      <c r="AM75" s="13">
        <f t="shared" si="13"/>
        <v>0.99935155409195331</v>
      </c>
      <c r="AN75" s="13">
        <f t="shared" si="13"/>
        <v>0.99990551887519563</v>
      </c>
      <c r="AO75" s="13">
        <f t="shared" si="13"/>
        <v>0.99998848735819013</v>
      </c>
      <c r="AP75" s="13">
        <f t="shared" si="13"/>
        <v>0.99999898291675748</v>
      </c>
      <c r="AQ75" s="13">
        <f t="shared" si="13"/>
        <v>0.99999992395039483</v>
      </c>
      <c r="AR75" s="13">
        <f t="shared" si="13"/>
        <v>0.37574827209398748</v>
      </c>
      <c r="AS75" s="13">
        <f t="shared" si="13"/>
        <v>0.57925970943910299</v>
      </c>
      <c r="AT75" s="13">
        <f t="shared" si="13"/>
        <v>0.75803634777692697</v>
      </c>
      <c r="AU75" s="13">
        <f t="shared" si="13"/>
        <v>0.88813446677415142</v>
      </c>
      <c r="AV75" s="13">
        <f t="shared" si="13"/>
        <v>0.95697995303768557</v>
      </c>
      <c r="AW75" s="13">
        <f t="shared" si="13"/>
        <v>0.98723651454102168</v>
      </c>
      <c r="AX75" s="13">
        <f t="shared" si="13"/>
        <v>0.99702023676494544</v>
      </c>
      <c r="AY75" s="13">
        <f t="shared" si="13"/>
        <v>0.99935155409195331</v>
      </c>
      <c r="AZ75" s="13">
        <f t="shared" si="13"/>
        <v>0.99990551887519563</v>
      </c>
      <c r="BA75" s="13">
        <f t="shared" si="13"/>
        <v>0.99998848735819013</v>
      </c>
      <c r="BB75" s="13">
        <f t="shared" si="13"/>
        <v>0.99999898291675748</v>
      </c>
      <c r="BC75" s="13">
        <f t="shared" si="13"/>
        <v>0.99999992395039483</v>
      </c>
      <c r="BD75" s="13">
        <f t="shared" si="13"/>
        <v>0.37574827209398748</v>
      </c>
      <c r="BE75" s="13">
        <f t="shared" si="13"/>
        <v>0.57925970943910299</v>
      </c>
      <c r="BF75" s="13">
        <f t="shared" si="13"/>
        <v>0.75803634777692697</v>
      </c>
      <c r="BG75" s="13">
        <f t="shared" si="13"/>
        <v>0.88813446677415142</v>
      </c>
      <c r="BH75" s="13">
        <f t="shared" si="13"/>
        <v>0.95697995303768557</v>
      </c>
      <c r="BI75" s="13">
        <f t="shared" si="13"/>
        <v>0.98723651454102168</v>
      </c>
    </row>
    <row r="76" spans="5:61" x14ac:dyDescent="0.35">
      <c r="E76">
        <v>8</v>
      </c>
      <c r="J76" t="s">
        <v>80</v>
      </c>
      <c r="N76" s="78"/>
      <c r="O76" s="78"/>
      <c r="P76" s="78"/>
      <c r="Q76" s="78"/>
      <c r="R76" s="78"/>
      <c r="S76" s="78"/>
      <c r="T76" s="78"/>
      <c r="U76" s="13">
        <f t="shared" si="13"/>
        <v>0.37574827209398748</v>
      </c>
      <c r="V76" s="13">
        <f t="shared" si="13"/>
        <v>0.57273175930304054</v>
      </c>
      <c r="W76" s="13">
        <f t="shared" si="13"/>
        <v>0.75803634777692697</v>
      </c>
      <c r="X76" s="13">
        <f t="shared" si="13"/>
        <v>0.88493032977829178</v>
      </c>
      <c r="Y76" s="13">
        <f t="shared" si="13"/>
        <v>0.95697995303768557</v>
      </c>
      <c r="Z76" s="13">
        <f t="shared" si="13"/>
        <v>0.98723651454102168</v>
      </c>
      <c r="AA76" s="13">
        <f t="shared" si="13"/>
        <v>0.99653302619695938</v>
      </c>
      <c r="AB76" s="13">
        <f t="shared" si="13"/>
        <v>0.99935155409195331</v>
      </c>
      <c r="AC76" s="13">
        <f t="shared" si="13"/>
        <v>0.9998990657536172</v>
      </c>
      <c r="AD76" s="13">
        <f t="shared" si="13"/>
        <v>0.99998848735819013</v>
      </c>
      <c r="AE76" s="13">
        <f t="shared" si="13"/>
        <v>0.99999889568835554</v>
      </c>
      <c r="AF76" s="13">
        <f t="shared" si="13"/>
        <v>0.99999992395039483</v>
      </c>
      <c r="AG76" s="13">
        <f t="shared" si="13"/>
        <v>0.37574827209398748</v>
      </c>
      <c r="AH76" s="13">
        <f t="shared" si="13"/>
        <v>0.57273175930304054</v>
      </c>
      <c r="AI76" s="13">
        <f t="shared" si="13"/>
        <v>0.75803634777692697</v>
      </c>
      <c r="AJ76" s="13">
        <f t="shared" si="13"/>
        <v>0.88493032977829178</v>
      </c>
      <c r="AK76" s="13">
        <f t="shared" si="13"/>
        <v>0.95697995303768557</v>
      </c>
      <c r="AL76" s="13">
        <f t="shared" si="13"/>
        <v>0.98723651454102168</v>
      </c>
      <c r="AM76" s="13">
        <f t="shared" si="13"/>
        <v>0.99653302619695938</v>
      </c>
      <c r="AN76" s="13">
        <f t="shared" si="13"/>
        <v>0.99935155409195331</v>
      </c>
      <c r="AO76" s="13">
        <f t="shared" si="13"/>
        <v>0.9998990657536172</v>
      </c>
      <c r="AP76" s="13">
        <f t="shared" si="13"/>
        <v>0.99998848735819013</v>
      </c>
      <c r="AQ76" s="13">
        <f t="shared" si="13"/>
        <v>0.99999889568835554</v>
      </c>
      <c r="AR76" s="13">
        <f t="shared" si="13"/>
        <v>0.99999992395039483</v>
      </c>
      <c r="AS76" s="13">
        <f t="shared" si="13"/>
        <v>0.37574827209398748</v>
      </c>
      <c r="AT76" s="13">
        <f t="shared" si="13"/>
        <v>0.57273175930304054</v>
      </c>
      <c r="AU76" s="13">
        <f t="shared" si="13"/>
        <v>0.75803634777692697</v>
      </c>
      <c r="AV76" s="13">
        <f t="shared" si="13"/>
        <v>0.88493032977829178</v>
      </c>
      <c r="AW76" s="13">
        <f t="shared" si="13"/>
        <v>0.95697995303768557</v>
      </c>
      <c r="AX76" s="13">
        <f t="shared" si="13"/>
        <v>0.98723651454102168</v>
      </c>
      <c r="AY76" s="13">
        <f t="shared" si="13"/>
        <v>0.99653302619695938</v>
      </c>
      <c r="AZ76" s="13">
        <f t="shared" si="13"/>
        <v>0.99935155409195331</v>
      </c>
      <c r="BA76" s="13">
        <f t="shared" si="13"/>
        <v>0.9998990657536172</v>
      </c>
      <c r="BB76" s="13">
        <f t="shared" si="13"/>
        <v>0.99998848735819013</v>
      </c>
      <c r="BC76" s="13">
        <f t="shared" si="13"/>
        <v>0.99999889568835554</v>
      </c>
      <c r="BD76" s="13">
        <f t="shared" si="13"/>
        <v>0.99999992395039483</v>
      </c>
      <c r="BE76" s="13">
        <f t="shared" si="13"/>
        <v>0.37574827209398748</v>
      </c>
      <c r="BF76" s="13">
        <f t="shared" si="13"/>
        <v>0.57273175930304054</v>
      </c>
      <c r="BG76" s="13">
        <f t="shared" si="13"/>
        <v>0.75803634777692697</v>
      </c>
      <c r="BH76" s="13">
        <f t="shared" si="13"/>
        <v>0.88493032977829178</v>
      </c>
      <c r="BI76" s="13">
        <f t="shared" si="13"/>
        <v>0.95697995303768557</v>
      </c>
    </row>
    <row r="77" spans="5:61" x14ac:dyDescent="0.35">
      <c r="E77">
        <v>9</v>
      </c>
      <c r="J77" t="s">
        <v>80</v>
      </c>
      <c r="N77" s="78"/>
      <c r="O77" s="78"/>
      <c r="P77" s="78"/>
      <c r="Q77" s="78"/>
      <c r="R77" s="78"/>
      <c r="S77" s="78"/>
      <c r="T77" s="78"/>
      <c r="U77" s="78"/>
      <c r="V77" s="13">
        <f t="shared" si="13"/>
        <v>0.36944134018176361</v>
      </c>
      <c r="W77" s="13">
        <f t="shared" si="13"/>
        <v>0.57273175930304054</v>
      </c>
      <c r="X77" s="13">
        <f t="shared" si="13"/>
        <v>0.7528018821733391</v>
      </c>
      <c r="Y77" s="13">
        <f t="shared" si="13"/>
        <v>0.88493032977829178</v>
      </c>
      <c r="Z77" s="13">
        <f t="shared" si="13"/>
        <v>0.95697995303768557</v>
      </c>
      <c r="AA77" s="13">
        <f t="shared" si="13"/>
        <v>0.98549436424290404</v>
      </c>
      <c r="AB77" s="13">
        <f t="shared" si="13"/>
        <v>0.99653302619695938</v>
      </c>
      <c r="AC77" s="13">
        <f t="shared" si="13"/>
        <v>0.99931286206208414</v>
      </c>
      <c r="AD77" s="13">
        <f t="shared" si="13"/>
        <v>0.9998990657536172</v>
      </c>
      <c r="AE77" s="13">
        <f t="shared" si="13"/>
        <v>0.99998760299726874</v>
      </c>
      <c r="AF77" s="13">
        <f t="shared" si="13"/>
        <v>0.99999889568835554</v>
      </c>
      <c r="AG77" s="13">
        <f t="shared" si="13"/>
        <v>0.99999992395039483</v>
      </c>
      <c r="AH77" s="13">
        <f t="shared" si="13"/>
        <v>0.36944134018176361</v>
      </c>
      <c r="AI77" s="13">
        <f t="shared" si="13"/>
        <v>0.57273175930304054</v>
      </c>
      <c r="AJ77" s="13">
        <f t="shared" si="13"/>
        <v>0.7528018821733391</v>
      </c>
      <c r="AK77" s="13">
        <f t="shared" si="13"/>
        <v>0.88493032977829178</v>
      </c>
      <c r="AL77" s="13">
        <f t="shared" si="13"/>
        <v>0.95697995303768557</v>
      </c>
      <c r="AM77" s="13">
        <f t="shared" si="13"/>
        <v>0.98549436424290404</v>
      </c>
      <c r="AN77" s="13">
        <f t="shared" si="13"/>
        <v>0.99653302619695938</v>
      </c>
      <c r="AO77" s="13">
        <f t="shared" si="13"/>
        <v>0.99931286206208414</v>
      </c>
      <c r="AP77" s="13">
        <f t="shared" si="13"/>
        <v>0.9998990657536172</v>
      </c>
      <c r="AQ77" s="13">
        <f t="shared" si="13"/>
        <v>0.99998760299726874</v>
      </c>
      <c r="AR77" s="13">
        <f t="shared" si="13"/>
        <v>0.99999889568835554</v>
      </c>
      <c r="AS77" s="13">
        <f t="shared" si="13"/>
        <v>0.99999992395039483</v>
      </c>
      <c r="AT77" s="13">
        <f t="shared" si="13"/>
        <v>0.36944134018176361</v>
      </c>
      <c r="AU77" s="13">
        <f t="shared" si="13"/>
        <v>0.57273175930304054</v>
      </c>
      <c r="AV77" s="13">
        <f t="shared" si="13"/>
        <v>0.7528018821733391</v>
      </c>
      <c r="AW77" s="13">
        <f t="shared" si="13"/>
        <v>0.88493032977829178</v>
      </c>
      <c r="AX77" s="13">
        <f t="shared" si="13"/>
        <v>0.95697995303768557</v>
      </c>
      <c r="AY77" s="13">
        <f t="shared" si="13"/>
        <v>0.98549436424290404</v>
      </c>
      <c r="AZ77" s="13">
        <f t="shared" si="13"/>
        <v>0.99653302619695938</v>
      </c>
      <c r="BA77" s="13">
        <f t="shared" si="13"/>
        <v>0.99931286206208414</v>
      </c>
      <c r="BB77" s="13">
        <f t="shared" si="13"/>
        <v>0.9998990657536172</v>
      </c>
      <c r="BC77" s="13">
        <f t="shared" si="13"/>
        <v>0.99998760299726874</v>
      </c>
      <c r="BD77" s="13">
        <f t="shared" si="13"/>
        <v>0.99999889568835554</v>
      </c>
      <c r="BE77" s="13">
        <f t="shared" si="13"/>
        <v>0.99999992395039483</v>
      </c>
      <c r="BF77" s="13">
        <f t="shared" si="13"/>
        <v>0.36944134018176361</v>
      </c>
      <c r="BG77" s="13">
        <f t="shared" si="13"/>
        <v>0.57273175930304054</v>
      </c>
      <c r="BH77" s="13">
        <f t="shared" si="13"/>
        <v>0.7528018821733391</v>
      </c>
      <c r="BI77" s="13">
        <f t="shared" si="13"/>
        <v>0.88493032977829178</v>
      </c>
    </row>
    <row r="78" spans="5:61" x14ac:dyDescent="0.35">
      <c r="E78">
        <v>10</v>
      </c>
      <c r="J78" t="s">
        <v>80</v>
      </c>
      <c r="N78" s="78"/>
      <c r="O78" s="78"/>
      <c r="P78" s="78"/>
      <c r="Q78" s="78"/>
      <c r="R78" s="78"/>
      <c r="S78" s="78"/>
      <c r="T78" s="78"/>
      <c r="U78" s="78"/>
      <c r="V78" s="78"/>
      <c r="W78" s="13">
        <f t="shared" si="13"/>
        <v>0.37574827209398748</v>
      </c>
      <c r="X78" s="13">
        <f t="shared" si="13"/>
        <v>0.57273175930304054</v>
      </c>
      <c r="Y78" s="13">
        <f t="shared" si="13"/>
        <v>0.75803634777692697</v>
      </c>
      <c r="Z78" s="13">
        <f t="shared" si="13"/>
        <v>0.88813446677415142</v>
      </c>
      <c r="AA78" s="13">
        <f t="shared" si="13"/>
        <v>0.95384470949405054</v>
      </c>
      <c r="AB78" s="13">
        <f t="shared" si="13"/>
        <v>0.98609655248650141</v>
      </c>
      <c r="AC78" s="13">
        <f t="shared" si="13"/>
        <v>0.99653302619695938</v>
      </c>
      <c r="AD78" s="13">
        <f t="shared" si="13"/>
        <v>0.99935155409195331</v>
      </c>
      <c r="AE78" s="13">
        <f t="shared" si="13"/>
        <v>0.9998990657536172</v>
      </c>
      <c r="AF78" s="13">
        <f t="shared" si="13"/>
        <v>0.99998848735819013</v>
      </c>
      <c r="AG78" s="13">
        <f t="shared" si="13"/>
        <v>0.99999898291675748</v>
      </c>
      <c r="AH78" s="13">
        <f t="shared" si="13"/>
        <v>0.99999992395039483</v>
      </c>
      <c r="AI78" s="13">
        <f t="shared" si="13"/>
        <v>0.37574827209398748</v>
      </c>
      <c r="AJ78" s="13">
        <f t="shared" si="13"/>
        <v>0.57273175930304054</v>
      </c>
      <c r="AK78" s="13">
        <f t="shared" si="13"/>
        <v>0.75803634777692697</v>
      </c>
      <c r="AL78" s="13">
        <f t="shared" si="13"/>
        <v>0.88813446677415142</v>
      </c>
      <c r="AM78" s="13">
        <f t="shared" si="13"/>
        <v>0.95384470949405054</v>
      </c>
      <c r="AN78" s="13">
        <f t="shared" si="13"/>
        <v>0.98609655248650141</v>
      </c>
      <c r="AO78" s="13">
        <f t="shared" si="13"/>
        <v>0.99653302619695938</v>
      </c>
      <c r="AP78" s="13">
        <f t="shared" si="13"/>
        <v>0.99935155409195331</v>
      </c>
      <c r="AQ78" s="13">
        <f t="shared" si="13"/>
        <v>0.9998990657536172</v>
      </c>
      <c r="AR78" s="13">
        <f t="shared" si="13"/>
        <v>0.99998848735819013</v>
      </c>
      <c r="AS78" s="13">
        <f t="shared" si="13"/>
        <v>0.99999898291675748</v>
      </c>
      <c r="AT78" s="13">
        <f t="shared" si="13"/>
        <v>0.99999992395039483</v>
      </c>
      <c r="AU78" s="13">
        <f t="shared" si="13"/>
        <v>0.37574827209398748</v>
      </c>
      <c r="AV78" s="13">
        <f t="shared" si="13"/>
        <v>0.57273175930304054</v>
      </c>
      <c r="AW78" s="13">
        <f t="shared" si="13"/>
        <v>0.75803634777692697</v>
      </c>
      <c r="AX78" s="13">
        <f t="shared" si="13"/>
        <v>0.88813446677415142</v>
      </c>
      <c r="AY78" s="13">
        <f t="shared" si="13"/>
        <v>0.95384470949405054</v>
      </c>
      <c r="AZ78" s="13">
        <f t="shared" si="13"/>
        <v>0.98609655248650141</v>
      </c>
      <c r="BA78" s="13">
        <f t="shared" si="13"/>
        <v>0.99653302619695938</v>
      </c>
      <c r="BB78" s="13">
        <f t="shared" si="13"/>
        <v>0.99935155409195331</v>
      </c>
      <c r="BC78" s="13">
        <f t="shared" si="13"/>
        <v>0.9998990657536172</v>
      </c>
      <c r="BD78" s="13">
        <f t="shared" si="13"/>
        <v>0.99998848735819013</v>
      </c>
      <c r="BE78" s="13">
        <f t="shared" si="13"/>
        <v>0.99999898291675748</v>
      </c>
      <c r="BF78" s="13">
        <f t="shared" si="13"/>
        <v>0.99999992395039483</v>
      </c>
      <c r="BG78" s="13">
        <f t="shared" si="13"/>
        <v>0.37574827209398748</v>
      </c>
      <c r="BH78" s="13">
        <f t="shared" si="13"/>
        <v>0.57273175930304054</v>
      </c>
      <c r="BI78" s="13">
        <f t="shared" si="13"/>
        <v>0.75803634777692697</v>
      </c>
    </row>
    <row r="79" spans="5:61" x14ac:dyDescent="0.35">
      <c r="E79">
        <v>11</v>
      </c>
      <c r="J79" t="s">
        <v>80</v>
      </c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13">
        <f t="shared" si="13"/>
        <v>0.36944134018176361</v>
      </c>
      <c r="Y79" s="13">
        <f t="shared" si="13"/>
        <v>0.57273175930304054</v>
      </c>
      <c r="Z79" s="13">
        <f t="shared" si="13"/>
        <v>0.75803634777692697</v>
      </c>
      <c r="AA79" s="13">
        <f t="shared" si="13"/>
        <v>0.87832749542561872</v>
      </c>
      <c r="AB79" s="13">
        <f t="shared" si="13"/>
        <v>0.95384470949405054</v>
      </c>
      <c r="AC79" s="13">
        <f t="shared" si="13"/>
        <v>0.98549436424290404</v>
      </c>
      <c r="AD79" s="13">
        <f t="shared" si="13"/>
        <v>0.99653302619695938</v>
      </c>
      <c r="AE79" s="13">
        <f t="shared" si="13"/>
        <v>0.99931286206208414</v>
      </c>
      <c r="AF79" s="13">
        <f t="shared" si="13"/>
        <v>0.9998990657536172</v>
      </c>
      <c r="AG79" s="13">
        <f t="shared" si="13"/>
        <v>0.99998848735819013</v>
      </c>
      <c r="AH79" s="13">
        <f t="shared" si="13"/>
        <v>0.99999889568835554</v>
      </c>
      <c r="AI79" s="13">
        <f t="shared" si="13"/>
        <v>0.99999992395039483</v>
      </c>
      <c r="AJ79" s="13">
        <f t="shared" si="13"/>
        <v>0.36944134018176361</v>
      </c>
      <c r="AK79" s="13">
        <f t="shared" si="13"/>
        <v>0.57273175930304054</v>
      </c>
      <c r="AL79" s="13">
        <f t="shared" si="13"/>
        <v>0.75803634777692697</v>
      </c>
      <c r="AM79" s="13">
        <f t="shared" si="13"/>
        <v>0.87832749542561872</v>
      </c>
      <c r="AN79" s="13">
        <f t="shared" si="13"/>
        <v>0.95384470949405054</v>
      </c>
      <c r="AO79" s="13">
        <f t="shared" si="13"/>
        <v>0.98549436424290404</v>
      </c>
      <c r="AP79" s="13">
        <f t="shared" si="13"/>
        <v>0.99653302619695938</v>
      </c>
      <c r="AQ79" s="13">
        <f t="shared" si="13"/>
        <v>0.99931286206208414</v>
      </c>
      <c r="AR79" s="13">
        <f t="shared" si="13"/>
        <v>0.9998990657536172</v>
      </c>
      <c r="AS79" s="13">
        <f t="shared" si="13"/>
        <v>0.99998848735819013</v>
      </c>
      <c r="AT79" s="13">
        <f t="shared" si="13"/>
        <v>0.99999889568835554</v>
      </c>
      <c r="AU79" s="13">
        <f t="shared" si="13"/>
        <v>0.99999992395039483</v>
      </c>
      <c r="AV79" s="13">
        <f t="shared" si="13"/>
        <v>0.36944134018176361</v>
      </c>
      <c r="AW79" s="13">
        <f t="shared" si="13"/>
        <v>0.57273175930304054</v>
      </c>
      <c r="AX79" s="13">
        <f t="shared" si="13"/>
        <v>0.75803634777692697</v>
      </c>
      <c r="AY79" s="13">
        <f t="shared" si="13"/>
        <v>0.87832749542561872</v>
      </c>
      <c r="AZ79" s="13">
        <f t="shared" si="13"/>
        <v>0.95384470949405054</v>
      </c>
      <c r="BA79" s="13">
        <f t="shared" si="13"/>
        <v>0.98549436424290404</v>
      </c>
      <c r="BB79" s="13">
        <f t="shared" si="13"/>
        <v>0.99653302619695938</v>
      </c>
      <c r="BC79" s="13">
        <f t="shared" si="13"/>
        <v>0.99931286206208414</v>
      </c>
      <c r="BD79" s="13">
        <f t="shared" si="13"/>
        <v>0.9998990657536172</v>
      </c>
      <c r="BE79" s="13">
        <f t="shared" si="13"/>
        <v>0.99998848735819013</v>
      </c>
      <c r="BF79" s="13">
        <f t="shared" si="13"/>
        <v>0.99999889568835554</v>
      </c>
      <c r="BG79" s="13">
        <f t="shared" si="13"/>
        <v>0.99999992395039483</v>
      </c>
      <c r="BH79" s="13">
        <f t="shared" si="13"/>
        <v>0.36944134018176361</v>
      </c>
      <c r="BI79" s="13">
        <f t="shared" si="13"/>
        <v>0.57273175930304054</v>
      </c>
    </row>
    <row r="80" spans="5:61" x14ac:dyDescent="0.35">
      <c r="E80">
        <v>12</v>
      </c>
      <c r="J80" t="s">
        <v>80</v>
      </c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13">
        <f t="shared" si="13"/>
        <v>0.37574827209398748</v>
      </c>
      <c r="Z80" s="13">
        <f t="shared" si="13"/>
        <v>0.57925970943910299</v>
      </c>
      <c r="AA80" s="13">
        <f t="shared" si="13"/>
        <v>0.74750746245307709</v>
      </c>
      <c r="AB80" s="13">
        <f t="shared" si="13"/>
        <v>0.88166146643482535</v>
      </c>
      <c r="AC80" s="13">
        <f t="shared" si="13"/>
        <v>0.95384470949405054</v>
      </c>
      <c r="AD80" s="13">
        <f t="shared" si="13"/>
        <v>0.98609655248650141</v>
      </c>
      <c r="AE80" s="13">
        <f t="shared" si="13"/>
        <v>0.99653302619695938</v>
      </c>
      <c r="AF80" s="13">
        <f t="shared" si="13"/>
        <v>0.99935155409195331</v>
      </c>
      <c r="AG80" s="13">
        <f t="shared" si="13"/>
        <v>0.99990551887519563</v>
      </c>
      <c r="AH80" s="13">
        <f t="shared" si="13"/>
        <v>0.99998848735819013</v>
      </c>
      <c r="AI80" s="13">
        <f t="shared" si="13"/>
        <v>0.99999898291675748</v>
      </c>
      <c r="AJ80" s="13">
        <f t="shared" si="13"/>
        <v>0.99999992395039483</v>
      </c>
      <c r="AK80" s="13">
        <f t="shared" si="13"/>
        <v>0.37574827209398748</v>
      </c>
      <c r="AL80" s="13">
        <f t="shared" si="13"/>
        <v>0.57925970943910299</v>
      </c>
      <c r="AM80" s="13">
        <f t="shared" si="13"/>
        <v>0.74750746245307709</v>
      </c>
      <c r="AN80" s="13">
        <f t="shared" si="13"/>
        <v>0.88166146643482535</v>
      </c>
      <c r="AO80" s="13">
        <f t="shared" si="13"/>
        <v>0.95384470949405054</v>
      </c>
      <c r="AP80" s="13">
        <f t="shared" si="13"/>
        <v>0.98609655248650141</v>
      </c>
      <c r="AQ80" s="13">
        <f t="shared" si="13"/>
        <v>0.99653302619695938</v>
      </c>
      <c r="AR80" s="13">
        <f t="shared" si="13"/>
        <v>0.99935155409195331</v>
      </c>
      <c r="AS80" s="13">
        <f t="shared" si="13"/>
        <v>0.99990551887519563</v>
      </c>
      <c r="AT80" s="13">
        <f t="shared" si="13"/>
        <v>0.99998848735819013</v>
      </c>
      <c r="AU80" s="13">
        <f t="shared" si="13"/>
        <v>0.99999898291675748</v>
      </c>
      <c r="AV80" s="13">
        <f t="shared" si="13"/>
        <v>0.99999992395039483</v>
      </c>
      <c r="AW80" s="13">
        <f t="shared" si="13"/>
        <v>0.37574827209398748</v>
      </c>
      <c r="AX80" s="13">
        <f t="shared" si="13"/>
        <v>0.57925970943910299</v>
      </c>
      <c r="AY80" s="13">
        <f t="shared" si="13"/>
        <v>0.74750746245307709</v>
      </c>
      <c r="AZ80" s="13">
        <f t="shared" si="13"/>
        <v>0.88166146643482535</v>
      </c>
      <c r="BA80" s="13">
        <f t="shared" si="13"/>
        <v>0.95384470949405054</v>
      </c>
      <c r="BB80" s="13">
        <f t="shared" si="13"/>
        <v>0.98609655248650141</v>
      </c>
      <c r="BC80" s="13">
        <f t="shared" si="13"/>
        <v>0.99653302619695938</v>
      </c>
      <c r="BD80" s="13">
        <f t="shared" si="13"/>
        <v>0.99935155409195331</v>
      </c>
      <c r="BE80" s="13">
        <f t="shared" si="13"/>
        <v>0.99990551887519563</v>
      </c>
      <c r="BF80" s="13">
        <f t="shared" si="13"/>
        <v>0.99998848735819013</v>
      </c>
      <c r="BG80" s="13">
        <f t="shared" si="13"/>
        <v>0.99999898291675748</v>
      </c>
      <c r="BH80" s="13">
        <f t="shared" si="13"/>
        <v>0.99999992395039483</v>
      </c>
      <c r="BI80" s="13">
        <f t="shared" si="13"/>
        <v>0.37574827209398748</v>
      </c>
    </row>
    <row r="82" spans="4:61" x14ac:dyDescent="0.35">
      <c r="E82">
        <v>1</v>
      </c>
      <c r="J82" t="s">
        <v>80</v>
      </c>
      <c r="N82" s="13">
        <f>IF(N69-M69&lt;0,N69,N69-M69)</f>
        <v>0.37574827209398748</v>
      </c>
      <c r="O82" s="13">
        <f t="shared" ref="O82:BI87" si="14">IF(O69-N69&lt;0,O69,O69-N69)</f>
        <v>0.19043556051691618</v>
      </c>
      <c r="P82" s="13">
        <f t="shared" si="14"/>
        <v>0.18661804956243544</v>
      </c>
      <c r="Q82" s="13">
        <f t="shared" si="14"/>
        <v>0.12885958426148625</v>
      </c>
      <c r="R82" s="13">
        <f t="shared" si="14"/>
        <v>7.3773070806631647E-2</v>
      </c>
      <c r="S82" s="13">
        <f t="shared" si="14"/>
        <v>3.0662015245044416E-2</v>
      </c>
      <c r="T82" s="13">
        <f t="shared" si="14"/>
        <v>1.0606298297041072E-2</v>
      </c>
      <c r="U82" s="13">
        <f t="shared" si="14"/>
        <v>2.6853756839713139E-3</v>
      </c>
      <c r="V82" s="13">
        <f t="shared" si="14"/>
        <v>5.1729240768183526E-4</v>
      </c>
      <c r="W82" s="13">
        <f t="shared" si="14"/>
        <v>8.3792599029464121E-5</v>
      </c>
      <c r="X82" s="13">
        <f t="shared" si="14"/>
        <v>9.6714425323884967E-6</v>
      </c>
      <c r="Y82" s="13">
        <f t="shared" si="14"/>
        <v>9.4762168101336641E-7</v>
      </c>
      <c r="Z82" s="13">
        <f t="shared" si="14"/>
        <v>0.37574827209398748</v>
      </c>
      <c r="AA82" s="13">
        <f t="shared" si="14"/>
        <v>0.18386942027625502</v>
      </c>
      <c r="AB82" s="13">
        <f t="shared" si="14"/>
        <v>0.18788977008283458</v>
      </c>
      <c r="AC82" s="13">
        <f t="shared" si="14"/>
        <v>0.13082003297254163</v>
      </c>
      <c r="AD82" s="13">
        <f t="shared" si="14"/>
        <v>7.5517214068431815E-2</v>
      </c>
      <c r="AE82" s="13">
        <f t="shared" si="14"/>
        <v>3.1649654748853506E-2</v>
      </c>
      <c r="AF82" s="13">
        <f t="shared" si="14"/>
        <v>1.103866195405534E-2</v>
      </c>
      <c r="AG82" s="13">
        <f t="shared" si="14"/>
        <v>2.8185278949939274E-3</v>
      </c>
      <c r="AH82" s="13">
        <f t="shared" si="14"/>
        <v>5.4751166166389087E-4</v>
      </c>
      <c r="AI82" s="13">
        <f t="shared" si="14"/>
        <v>8.9421604572925695E-5</v>
      </c>
      <c r="AJ82" s="13">
        <f t="shared" si="14"/>
        <v>1.0408330165412316E-5</v>
      </c>
      <c r="AK82" s="13">
        <f t="shared" si="14"/>
        <v>1.0282620392931818E-6</v>
      </c>
      <c r="AL82" s="13">
        <f t="shared" si="14"/>
        <v>0.37574827209398748</v>
      </c>
      <c r="AM82" s="13">
        <f t="shared" si="14"/>
        <v>0.18386942027625502</v>
      </c>
      <c r="AN82" s="13">
        <f t="shared" si="14"/>
        <v>0.18788977008283458</v>
      </c>
      <c r="AO82" s="13">
        <f t="shared" si="14"/>
        <v>0.13082003297254163</v>
      </c>
      <c r="AP82" s="13">
        <f t="shared" si="14"/>
        <v>7.5517214068431815E-2</v>
      </c>
      <c r="AQ82" s="13">
        <f t="shared" si="14"/>
        <v>3.1649654748853506E-2</v>
      </c>
      <c r="AR82" s="13">
        <f t="shared" si="14"/>
        <v>1.103866195405534E-2</v>
      </c>
      <c r="AS82" s="13">
        <f t="shared" si="14"/>
        <v>2.8185278949939274E-3</v>
      </c>
      <c r="AT82" s="13">
        <f t="shared" si="14"/>
        <v>5.4751166166389087E-4</v>
      </c>
      <c r="AU82" s="13">
        <f t="shared" si="14"/>
        <v>8.9421604572925695E-5</v>
      </c>
      <c r="AV82" s="13">
        <f t="shared" si="14"/>
        <v>1.0408330165412316E-5</v>
      </c>
      <c r="AW82" s="13">
        <f t="shared" si="14"/>
        <v>1.0282620392931818E-6</v>
      </c>
      <c r="AX82" s="13">
        <f t="shared" si="14"/>
        <v>0.37574827209398748</v>
      </c>
      <c r="AY82" s="13">
        <f t="shared" si="14"/>
        <v>0.18386942027625502</v>
      </c>
      <c r="AZ82" s="13">
        <f t="shared" si="14"/>
        <v>0.18788977008283458</v>
      </c>
      <c r="BA82" s="13">
        <f t="shared" si="14"/>
        <v>0.13082003297254163</v>
      </c>
      <c r="BB82" s="13">
        <f t="shared" si="14"/>
        <v>7.5517214068431815E-2</v>
      </c>
      <c r="BC82" s="13">
        <f t="shared" si="14"/>
        <v>3.1649654748853506E-2</v>
      </c>
      <c r="BD82" s="13">
        <f t="shared" si="14"/>
        <v>1.103866195405534E-2</v>
      </c>
      <c r="BE82" s="13">
        <f t="shared" si="14"/>
        <v>2.8185278949939274E-3</v>
      </c>
      <c r="BF82" s="13">
        <f t="shared" si="14"/>
        <v>5.4751166166389087E-4</v>
      </c>
      <c r="BG82" s="13">
        <f t="shared" si="14"/>
        <v>8.9421604572925695E-5</v>
      </c>
      <c r="BH82" s="13">
        <f t="shared" si="14"/>
        <v>1.0408330165412316E-5</v>
      </c>
      <c r="BI82" s="13">
        <f t="shared" si="14"/>
        <v>1.0282620392931818E-6</v>
      </c>
    </row>
    <row r="83" spans="4:61" x14ac:dyDescent="0.35">
      <c r="E83">
        <v>2</v>
      </c>
      <c r="J83" t="s">
        <v>80</v>
      </c>
      <c r="N83" s="78"/>
      <c r="O83" s="13">
        <f t="shared" si="14"/>
        <v>0.3631693488243809</v>
      </c>
      <c r="P83" s="13">
        <f t="shared" si="14"/>
        <v>0.20301448378652276</v>
      </c>
      <c r="Q83" s="13">
        <f t="shared" si="14"/>
        <v>0.18132362984217343</v>
      </c>
      <c r="R83" s="13">
        <f t="shared" si="14"/>
        <v>0.13415400398174826</v>
      </c>
      <c r="S83" s="13">
        <f t="shared" si="14"/>
        <v>7.2183243059225188E-2</v>
      </c>
      <c r="T83" s="13">
        <f t="shared" si="14"/>
        <v>3.2251842992450874E-2</v>
      </c>
      <c r="U83" s="13">
        <f t="shared" si="14"/>
        <v>1.0606298297041072E-2</v>
      </c>
      <c r="V83" s="13">
        <f t="shared" si="14"/>
        <v>2.6487033084108269E-3</v>
      </c>
      <c r="W83" s="13">
        <f t="shared" si="14"/>
        <v>5.5396478324232223E-4</v>
      </c>
      <c r="X83" s="13">
        <f t="shared" si="14"/>
        <v>8.296848299449433E-5</v>
      </c>
      <c r="Y83" s="13">
        <f t="shared" si="14"/>
        <v>1.0495558567358287E-5</v>
      </c>
      <c r="Z83" s="13">
        <f t="shared" si="14"/>
        <v>9.4762168101336641E-7</v>
      </c>
      <c r="AA83" s="13">
        <f t="shared" si="14"/>
        <v>0.35693383673749857</v>
      </c>
      <c r="AB83" s="13">
        <f t="shared" si="14"/>
        <v>0.20268385563274394</v>
      </c>
      <c r="AC83" s="13">
        <f t="shared" si="14"/>
        <v>0.18253619682389277</v>
      </c>
      <c r="AD83" s="13">
        <f t="shared" si="14"/>
        <v>0.13617360623148345</v>
      </c>
      <c r="AE83" s="13">
        <f t="shared" si="14"/>
        <v>7.3882152301566584E-2</v>
      </c>
      <c r="AF83" s="13">
        <f t="shared" si="14"/>
        <v>3.3284716515718737E-2</v>
      </c>
      <c r="AG83" s="13">
        <f t="shared" si="14"/>
        <v>1.103866195405534E-2</v>
      </c>
      <c r="AH83" s="13">
        <f t="shared" si="14"/>
        <v>2.7798358651247579E-3</v>
      </c>
      <c r="AI83" s="13">
        <f t="shared" si="14"/>
        <v>5.862036915330604E-4</v>
      </c>
      <c r="AJ83" s="13">
        <f t="shared" si="14"/>
        <v>8.8537243651543029E-5</v>
      </c>
      <c r="AK83" s="13">
        <f t="shared" si="14"/>
        <v>1.1292691086794981E-5</v>
      </c>
      <c r="AL83" s="13">
        <f t="shared" si="14"/>
        <v>1.0282620392931818E-6</v>
      </c>
      <c r="AM83" s="13">
        <f t="shared" si="14"/>
        <v>0.35693383673749857</v>
      </c>
      <c r="AN83" s="13">
        <f t="shared" si="14"/>
        <v>0.20268385563274394</v>
      </c>
      <c r="AO83" s="13">
        <f t="shared" si="14"/>
        <v>0.18253619682389277</v>
      </c>
      <c r="AP83" s="13">
        <f t="shared" si="14"/>
        <v>0.13617360623148345</v>
      </c>
      <c r="AQ83" s="13">
        <f t="shared" si="14"/>
        <v>7.3882152301566584E-2</v>
      </c>
      <c r="AR83" s="13">
        <f t="shared" si="14"/>
        <v>3.3284716515718737E-2</v>
      </c>
      <c r="AS83" s="13">
        <f t="shared" si="14"/>
        <v>1.103866195405534E-2</v>
      </c>
      <c r="AT83" s="13">
        <f t="shared" si="14"/>
        <v>2.7798358651247579E-3</v>
      </c>
      <c r="AU83" s="13">
        <f t="shared" si="14"/>
        <v>5.862036915330604E-4</v>
      </c>
      <c r="AV83" s="13">
        <f t="shared" si="14"/>
        <v>8.8537243651543029E-5</v>
      </c>
      <c r="AW83" s="13">
        <f t="shared" si="14"/>
        <v>1.1292691086794981E-5</v>
      </c>
      <c r="AX83" s="13">
        <f t="shared" si="14"/>
        <v>1.0282620392931818E-6</v>
      </c>
      <c r="AY83" s="13">
        <f t="shared" si="14"/>
        <v>0.35693383673749857</v>
      </c>
      <c r="AZ83" s="13">
        <f t="shared" si="14"/>
        <v>0.20268385563274394</v>
      </c>
      <c r="BA83" s="13">
        <f t="shared" si="14"/>
        <v>0.18253619682389277</v>
      </c>
      <c r="BB83" s="13">
        <f t="shared" si="14"/>
        <v>0.13617360623148345</v>
      </c>
      <c r="BC83" s="13">
        <f t="shared" si="14"/>
        <v>7.3882152301566584E-2</v>
      </c>
      <c r="BD83" s="13">
        <f t="shared" si="14"/>
        <v>3.3284716515718737E-2</v>
      </c>
      <c r="BE83" s="13">
        <f t="shared" si="14"/>
        <v>1.103866195405534E-2</v>
      </c>
      <c r="BF83" s="13">
        <f t="shared" si="14"/>
        <v>2.7798358651247579E-3</v>
      </c>
      <c r="BG83" s="13">
        <f t="shared" si="14"/>
        <v>5.862036915330604E-4</v>
      </c>
      <c r="BH83" s="13">
        <f t="shared" si="14"/>
        <v>8.8537243651543029E-5</v>
      </c>
      <c r="BI83" s="13">
        <f t="shared" si="14"/>
        <v>1.1292691086794981E-5</v>
      </c>
    </row>
    <row r="84" spans="4:61" x14ac:dyDescent="0.35">
      <c r="E84">
        <v>3</v>
      </c>
      <c r="J84" t="s">
        <v>80</v>
      </c>
      <c r="N84" s="78"/>
      <c r="O84" s="78"/>
      <c r="P84" s="13">
        <f t="shared" si="14"/>
        <v>0.37574827209398748</v>
      </c>
      <c r="Q84" s="13">
        <f t="shared" si="14"/>
        <v>0.19698348720905307</v>
      </c>
      <c r="R84" s="13">
        <f t="shared" si="14"/>
        <v>0.18530458847388642</v>
      </c>
      <c r="S84" s="13">
        <f t="shared" si="14"/>
        <v>0.12689398200136481</v>
      </c>
      <c r="T84" s="13">
        <f t="shared" si="14"/>
        <v>7.2049623259393791E-2</v>
      </c>
      <c r="U84" s="13">
        <f t="shared" si="14"/>
        <v>3.025656150333611E-2</v>
      </c>
      <c r="V84" s="13">
        <f t="shared" si="14"/>
        <v>9.6286431982728349E-3</v>
      </c>
      <c r="W84" s="13">
        <f t="shared" si="14"/>
        <v>2.5578172183147174E-3</v>
      </c>
      <c r="X84" s="13">
        <f t="shared" si="14"/>
        <v>4.8860775718995164E-4</v>
      </c>
      <c r="Y84" s="13">
        <f t="shared" si="14"/>
        <v>7.849652131530771E-5</v>
      </c>
      <c r="Z84" s="13">
        <f t="shared" si="14"/>
        <v>9.0587046073231647E-6</v>
      </c>
      <c r="AA84" s="13">
        <f t="shared" si="14"/>
        <v>7.8600967301500901E-7</v>
      </c>
      <c r="AB84" s="13">
        <f t="shared" si="14"/>
        <v>0.37574827209398748</v>
      </c>
      <c r="AC84" s="13">
        <f t="shared" si="14"/>
        <v>0.19698348720905307</v>
      </c>
      <c r="AD84" s="13">
        <f t="shared" si="14"/>
        <v>0.18530458847388642</v>
      </c>
      <c r="AE84" s="13">
        <f t="shared" si="14"/>
        <v>0.12689398200136481</v>
      </c>
      <c r="AF84" s="13">
        <f t="shared" si="14"/>
        <v>7.2049623259393791E-2</v>
      </c>
      <c r="AG84" s="13">
        <f t="shared" si="14"/>
        <v>3.025656150333611E-2</v>
      </c>
      <c r="AH84" s="13">
        <f t="shared" si="14"/>
        <v>9.6286431982728349E-3</v>
      </c>
      <c r="AI84" s="13">
        <f t="shared" si="14"/>
        <v>2.5578172183147174E-3</v>
      </c>
      <c r="AJ84" s="13">
        <f t="shared" si="14"/>
        <v>4.8860775718995164E-4</v>
      </c>
      <c r="AK84" s="13">
        <f t="shared" si="14"/>
        <v>7.849652131530771E-5</v>
      </c>
      <c r="AL84" s="13">
        <f t="shared" si="14"/>
        <v>9.0587046073231647E-6</v>
      </c>
      <c r="AM84" s="13">
        <f t="shared" si="14"/>
        <v>7.8600967301500901E-7</v>
      </c>
      <c r="AN84" s="13">
        <f t="shared" si="14"/>
        <v>0.37574827209398748</v>
      </c>
      <c r="AO84" s="13">
        <f t="shared" si="14"/>
        <v>0.19698348720905307</v>
      </c>
      <c r="AP84" s="13">
        <f t="shared" si="14"/>
        <v>0.18530458847388642</v>
      </c>
      <c r="AQ84" s="13">
        <f t="shared" si="14"/>
        <v>0.12689398200136481</v>
      </c>
      <c r="AR84" s="13">
        <f t="shared" si="14"/>
        <v>7.2049623259393791E-2</v>
      </c>
      <c r="AS84" s="13">
        <f t="shared" si="14"/>
        <v>3.025656150333611E-2</v>
      </c>
      <c r="AT84" s="13">
        <f t="shared" si="14"/>
        <v>9.6286431982728349E-3</v>
      </c>
      <c r="AU84" s="13">
        <f t="shared" si="14"/>
        <v>2.5578172183147174E-3</v>
      </c>
      <c r="AV84" s="13">
        <f t="shared" si="14"/>
        <v>4.8860775718995164E-4</v>
      </c>
      <c r="AW84" s="13">
        <f t="shared" si="14"/>
        <v>7.849652131530771E-5</v>
      </c>
      <c r="AX84" s="13">
        <f t="shared" si="14"/>
        <v>9.0587046073231647E-6</v>
      </c>
      <c r="AY84" s="13">
        <f t="shared" si="14"/>
        <v>7.8600967301500901E-7</v>
      </c>
      <c r="AZ84" s="13">
        <f t="shared" si="14"/>
        <v>0.37574827209398748</v>
      </c>
      <c r="BA84" s="13">
        <f t="shared" si="14"/>
        <v>0.19698348720905307</v>
      </c>
      <c r="BB84" s="13">
        <f t="shared" si="14"/>
        <v>0.18530458847388642</v>
      </c>
      <c r="BC84" s="13">
        <f t="shared" si="14"/>
        <v>0.12689398200136481</v>
      </c>
      <c r="BD84" s="13">
        <f t="shared" si="14"/>
        <v>7.2049623259393791E-2</v>
      </c>
      <c r="BE84" s="13">
        <f t="shared" si="14"/>
        <v>3.025656150333611E-2</v>
      </c>
      <c r="BF84" s="13">
        <f t="shared" si="14"/>
        <v>9.6286431982728349E-3</v>
      </c>
      <c r="BG84" s="13">
        <f t="shared" si="14"/>
        <v>2.5578172183147174E-3</v>
      </c>
      <c r="BH84" s="13">
        <f t="shared" si="14"/>
        <v>4.8860775718995164E-4</v>
      </c>
      <c r="BI84" s="13">
        <f t="shared" si="14"/>
        <v>7.849652131530771E-5</v>
      </c>
    </row>
    <row r="85" spans="4:61" x14ac:dyDescent="0.35">
      <c r="E85">
        <v>4</v>
      </c>
      <c r="J85" t="s">
        <v>80</v>
      </c>
      <c r="N85" s="78"/>
      <c r="O85" s="78"/>
      <c r="P85" s="78"/>
      <c r="Q85" s="13">
        <f t="shared" si="14"/>
        <v>0.36944134018176361</v>
      </c>
      <c r="R85" s="13">
        <f t="shared" si="14"/>
        <v>0.20329041912127693</v>
      </c>
      <c r="S85" s="13">
        <f t="shared" si="14"/>
        <v>0.18007012287029855</v>
      </c>
      <c r="T85" s="13">
        <f t="shared" si="14"/>
        <v>0.13212844760495268</v>
      </c>
      <c r="U85" s="13">
        <f t="shared" si="14"/>
        <v>7.2049623259393791E-2</v>
      </c>
      <c r="V85" s="13">
        <f t="shared" si="14"/>
        <v>2.9697107851247684E-2</v>
      </c>
      <c r="W85" s="13">
        <f t="shared" si="14"/>
        <v>1.0188096850361261E-2</v>
      </c>
      <c r="X85" s="13">
        <f t="shared" si="14"/>
        <v>2.5230687282192799E-3</v>
      </c>
      <c r="Y85" s="13">
        <f t="shared" si="14"/>
        <v>5.2335624728538921E-4</v>
      </c>
      <c r="Z85" s="13">
        <f t="shared" si="14"/>
        <v>7.849652131530771E-5</v>
      </c>
      <c r="AA85" s="13">
        <f t="shared" si="14"/>
        <v>8.8164522410449919E-6</v>
      </c>
      <c r="AB85" s="13">
        <f t="shared" si="14"/>
        <v>1.0282620392931818E-6</v>
      </c>
      <c r="AC85" s="13">
        <f t="shared" si="14"/>
        <v>0.36944134018176361</v>
      </c>
      <c r="AD85" s="13">
        <f t="shared" si="14"/>
        <v>0.20329041912127693</v>
      </c>
      <c r="AE85" s="13">
        <f t="shared" si="14"/>
        <v>0.18007012287029855</v>
      </c>
      <c r="AF85" s="13">
        <f t="shared" si="14"/>
        <v>0.13212844760495268</v>
      </c>
      <c r="AG85" s="13">
        <f t="shared" si="14"/>
        <v>7.2049623259393791E-2</v>
      </c>
      <c r="AH85" s="13">
        <f t="shared" si="14"/>
        <v>2.9697107851247684E-2</v>
      </c>
      <c r="AI85" s="13">
        <f t="shared" si="14"/>
        <v>1.0188096850361261E-2</v>
      </c>
      <c r="AJ85" s="13">
        <f t="shared" si="14"/>
        <v>2.5230687282192799E-3</v>
      </c>
      <c r="AK85" s="13">
        <f t="shared" si="14"/>
        <v>5.2335624728538921E-4</v>
      </c>
      <c r="AL85" s="13">
        <f t="shared" si="14"/>
        <v>7.849652131530771E-5</v>
      </c>
      <c r="AM85" s="13">
        <f t="shared" si="14"/>
        <v>8.8164522410449919E-6</v>
      </c>
      <c r="AN85" s="13">
        <f t="shared" si="14"/>
        <v>1.0282620392931818E-6</v>
      </c>
      <c r="AO85" s="13">
        <f t="shared" si="14"/>
        <v>0.36944134018176361</v>
      </c>
      <c r="AP85" s="13">
        <f t="shared" si="14"/>
        <v>0.20329041912127693</v>
      </c>
      <c r="AQ85" s="13">
        <f t="shared" si="14"/>
        <v>0.18007012287029855</v>
      </c>
      <c r="AR85" s="13">
        <f t="shared" si="14"/>
        <v>0.13212844760495268</v>
      </c>
      <c r="AS85" s="13">
        <f t="shared" si="14"/>
        <v>7.2049623259393791E-2</v>
      </c>
      <c r="AT85" s="13">
        <f t="shared" si="14"/>
        <v>2.9697107851247684E-2</v>
      </c>
      <c r="AU85" s="13">
        <f t="shared" si="14"/>
        <v>1.0188096850361261E-2</v>
      </c>
      <c r="AV85" s="13">
        <f t="shared" si="14"/>
        <v>2.5230687282192799E-3</v>
      </c>
      <c r="AW85" s="13">
        <f t="shared" si="14"/>
        <v>5.2335624728538921E-4</v>
      </c>
      <c r="AX85" s="13">
        <f t="shared" si="14"/>
        <v>7.849652131530771E-5</v>
      </c>
      <c r="AY85" s="13">
        <f t="shared" si="14"/>
        <v>8.8164522410449919E-6</v>
      </c>
      <c r="AZ85" s="13">
        <f t="shared" si="14"/>
        <v>1.0282620392931818E-6</v>
      </c>
      <c r="BA85" s="13">
        <f t="shared" si="14"/>
        <v>0.36944134018176361</v>
      </c>
      <c r="BB85" s="13">
        <f t="shared" si="14"/>
        <v>0.20329041912127693</v>
      </c>
      <c r="BC85" s="13">
        <f t="shared" si="14"/>
        <v>0.18007012287029855</v>
      </c>
      <c r="BD85" s="13">
        <f t="shared" si="14"/>
        <v>0.13212844760495268</v>
      </c>
      <c r="BE85" s="13">
        <f t="shared" si="14"/>
        <v>7.2049623259393791E-2</v>
      </c>
      <c r="BF85" s="13">
        <f t="shared" si="14"/>
        <v>2.9697107851247684E-2</v>
      </c>
      <c r="BG85" s="13">
        <f t="shared" si="14"/>
        <v>1.0188096850361261E-2</v>
      </c>
      <c r="BH85" s="13">
        <f t="shared" si="14"/>
        <v>2.5230687282192799E-3</v>
      </c>
      <c r="BI85" s="13">
        <f t="shared" si="14"/>
        <v>5.2335624728538921E-4</v>
      </c>
    </row>
    <row r="86" spans="4:61" x14ac:dyDescent="0.35">
      <c r="E86">
        <v>5</v>
      </c>
      <c r="J86" t="s">
        <v>80</v>
      </c>
      <c r="N86" s="78"/>
      <c r="O86" s="78"/>
      <c r="P86" s="78"/>
      <c r="Q86" s="78"/>
      <c r="R86" s="13">
        <f t="shared" si="14"/>
        <v>0.37574827209398748</v>
      </c>
      <c r="S86" s="13">
        <f t="shared" si="14"/>
        <v>0.19698348720905307</v>
      </c>
      <c r="T86" s="13">
        <f t="shared" si="14"/>
        <v>0.18530458847388642</v>
      </c>
      <c r="U86" s="13">
        <f t="shared" si="14"/>
        <v>0.13009811899722445</v>
      </c>
      <c r="V86" s="13">
        <f t="shared" si="14"/>
        <v>6.884548626353415E-2</v>
      </c>
      <c r="W86" s="13">
        <f t="shared" si="14"/>
        <v>3.025656150333611E-2</v>
      </c>
      <c r="X86" s="13">
        <f t="shared" si="14"/>
        <v>9.6286431982728349E-3</v>
      </c>
      <c r="Y86" s="13">
        <f t="shared" si="14"/>
        <v>2.5578172183147174E-3</v>
      </c>
      <c r="Z86" s="13">
        <f t="shared" si="14"/>
        <v>4.9430421556506676E-4</v>
      </c>
      <c r="AA86" s="13">
        <f t="shared" si="14"/>
        <v>7.1208185015825265E-5</v>
      </c>
      <c r="AB86" s="13">
        <f t="shared" si="14"/>
        <v>1.0495558567358287E-5</v>
      </c>
      <c r="AC86" s="13">
        <f t="shared" si="14"/>
        <v>9.4103363734721057E-7</v>
      </c>
      <c r="AD86" s="13">
        <f t="shared" si="14"/>
        <v>0.37574827209398748</v>
      </c>
      <c r="AE86" s="13">
        <f t="shared" si="14"/>
        <v>0.19698348720905307</v>
      </c>
      <c r="AF86" s="13">
        <f t="shared" si="14"/>
        <v>0.18530458847388642</v>
      </c>
      <c r="AG86" s="13">
        <f t="shared" si="14"/>
        <v>0.13009811899722445</v>
      </c>
      <c r="AH86" s="13">
        <f t="shared" si="14"/>
        <v>6.884548626353415E-2</v>
      </c>
      <c r="AI86" s="13">
        <f t="shared" si="14"/>
        <v>3.025656150333611E-2</v>
      </c>
      <c r="AJ86" s="13">
        <f t="shared" si="14"/>
        <v>9.6286431982728349E-3</v>
      </c>
      <c r="AK86" s="13">
        <f t="shared" si="14"/>
        <v>2.5578172183147174E-3</v>
      </c>
      <c r="AL86" s="13">
        <f t="shared" si="14"/>
        <v>4.9430421556506676E-4</v>
      </c>
      <c r="AM86" s="13">
        <f t="shared" si="14"/>
        <v>7.1208185015825265E-5</v>
      </c>
      <c r="AN86" s="13">
        <f t="shared" si="14"/>
        <v>1.0495558567358287E-5</v>
      </c>
      <c r="AO86" s="13">
        <f t="shared" si="14"/>
        <v>9.4103363734721057E-7</v>
      </c>
      <c r="AP86" s="13">
        <f t="shared" si="14"/>
        <v>0.37574827209398748</v>
      </c>
      <c r="AQ86" s="13">
        <f t="shared" si="14"/>
        <v>0.19698348720905307</v>
      </c>
      <c r="AR86" s="13">
        <f t="shared" si="14"/>
        <v>0.18530458847388642</v>
      </c>
      <c r="AS86" s="13">
        <f t="shared" si="14"/>
        <v>0.13009811899722445</v>
      </c>
      <c r="AT86" s="13">
        <f t="shared" si="14"/>
        <v>6.884548626353415E-2</v>
      </c>
      <c r="AU86" s="13">
        <f t="shared" si="14"/>
        <v>3.025656150333611E-2</v>
      </c>
      <c r="AV86" s="13">
        <f t="shared" si="14"/>
        <v>9.6286431982728349E-3</v>
      </c>
      <c r="AW86" s="13">
        <f t="shared" si="14"/>
        <v>2.5578172183147174E-3</v>
      </c>
      <c r="AX86" s="13">
        <f t="shared" si="14"/>
        <v>4.9430421556506676E-4</v>
      </c>
      <c r="AY86" s="13">
        <f t="shared" si="14"/>
        <v>7.1208185015825265E-5</v>
      </c>
      <c r="AZ86" s="13">
        <f t="shared" si="14"/>
        <v>1.0495558567358287E-5</v>
      </c>
      <c r="BA86" s="13">
        <f t="shared" si="14"/>
        <v>9.4103363734721057E-7</v>
      </c>
      <c r="BB86" s="13">
        <f t="shared" si="14"/>
        <v>0.37574827209398748</v>
      </c>
      <c r="BC86" s="13">
        <f t="shared" si="14"/>
        <v>0.19698348720905307</v>
      </c>
      <c r="BD86" s="13">
        <f t="shared" si="14"/>
        <v>0.18530458847388642</v>
      </c>
      <c r="BE86" s="13">
        <f t="shared" si="14"/>
        <v>0.13009811899722445</v>
      </c>
      <c r="BF86" s="13">
        <f t="shared" si="14"/>
        <v>6.884548626353415E-2</v>
      </c>
      <c r="BG86" s="13">
        <f t="shared" si="14"/>
        <v>3.025656150333611E-2</v>
      </c>
      <c r="BH86" s="13">
        <f t="shared" si="14"/>
        <v>9.6286431982728349E-3</v>
      </c>
      <c r="BI86" s="13">
        <f t="shared" si="14"/>
        <v>2.5578172183147174E-3</v>
      </c>
    </row>
    <row r="87" spans="4:61" x14ac:dyDescent="0.35">
      <c r="E87">
        <v>6</v>
      </c>
      <c r="J87" t="s">
        <v>80</v>
      </c>
      <c r="N87" s="78"/>
      <c r="O87" s="78"/>
      <c r="P87" s="78"/>
      <c r="Q87" s="78"/>
      <c r="R87" s="78"/>
      <c r="S87" s="13">
        <f t="shared" si="14"/>
        <v>0.36944134018176361</v>
      </c>
      <c r="T87" s="13">
        <f t="shared" si="14"/>
        <v>0.20329041912127693</v>
      </c>
      <c r="U87" s="13">
        <f t="shared" si="14"/>
        <v>0.18530458847388642</v>
      </c>
      <c r="V87" s="13">
        <f t="shared" si="14"/>
        <v>0.12689398200136481</v>
      </c>
      <c r="W87" s="13">
        <f t="shared" si="14"/>
        <v>7.2049623259393791E-2</v>
      </c>
      <c r="X87" s="13">
        <f t="shared" si="14"/>
        <v>2.9697107851247684E-2</v>
      </c>
      <c r="Y87" s="13">
        <f t="shared" si="14"/>
        <v>1.0188096850361261E-2</v>
      </c>
      <c r="Z87" s="13">
        <f t="shared" si="14"/>
        <v>2.5578172183147174E-3</v>
      </c>
      <c r="AA87" s="13">
        <f t="shared" si="14"/>
        <v>4.7609079600796633E-4</v>
      </c>
      <c r="AB87" s="13">
        <f t="shared" si="14"/>
        <v>8.9421604572925695E-5</v>
      </c>
      <c r="AC87" s="13">
        <f t="shared" si="14"/>
        <v>1.0408330165412316E-5</v>
      </c>
      <c r="AD87" s="13">
        <f t="shared" si="14"/>
        <v>1.0282620392931818E-6</v>
      </c>
      <c r="AE87" s="13">
        <f t="shared" si="14"/>
        <v>0.36944134018176361</v>
      </c>
      <c r="AF87" s="13">
        <f t="shared" si="14"/>
        <v>0.20329041912127693</v>
      </c>
      <c r="AG87" s="13">
        <f t="shared" si="14"/>
        <v>0.18530458847388642</v>
      </c>
      <c r="AH87" s="13">
        <f t="shared" si="14"/>
        <v>0.12689398200136481</v>
      </c>
      <c r="AI87" s="13">
        <f t="shared" si="14"/>
        <v>7.2049623259393791E-2</v>
      </c>
      <c r="AJ87" s="13">
        <f t="shared" si="14"/>
        <v>2.9697107851247684E-2</v>
      </c>
      <c r="AK87" s="13">
        <f t="shared" si="14"/>
        <v>1.0188096850361261E-2</v>
      </c>
      <c r="AL87" s="13">
        <f t="shared" si="14"/>
        <v>2.5578172183147174E-3</v>
      </c>
      <c r="AM87" s="13">
        <f t="shared" si="14"/>
        <v>4.7609079600796633E-4</v>
      </c>
      <c r="AN87" s="13">
        <f t="shared" si="14"/>
        <v>8.9421604572925695E-5</v>
      </c>
      <c r="AO87" s="13">
        <f t="shared" si="14"/>
        <v>1.0408330165412316E-5</v>
      </c>
      <c r="AP87" s="13">
        <f t="shared" si="14"/>
        <v>1.0282620392931818E-6</v>
      </c>
      <c r="AQ87" s="13">
        <f t="shared" si="14"/>
        <v>0.36944134018176361</v>
      </c>
      <c r="AR87" s="13">
        <f t="shared" si="14"/>
        <v>0.20329041912127693</v>
      </c>
      <c r="AS87" s="13">
        <f t="shared" ref="AS87:BI87" si="15">IF(AS74-AR74&lt;0,AS74,AS74-AR74)</f>
        <v>0.18530458847388642</v>
      </c>
      <c r="AT87" s="13">
        <f t="shared" si="15"/>
        <v>0.12689398200136481</v>
      </c>
      <c r="AU87" s="13">
        <f t="shared" si="15"/>
        <v>7.2049623259393791E-2</v>
      </c>
      <c r="AV87" s="13">
        <f t="shared" si="15"/>
        <v>2.9697107851247684E-2</v>
      </c>
      <c r="AW87" s="13">
        <f t="shared" si="15"/>
        <v>1.0188096850361261E-2</v>
      </c>
      <c r="AX87" s="13">
        <f t="shared" si="15"/>
        <v>2.5578172183147174E-3</v>
      </c>
      <c r="AY87" s="13">
        <f t="shared" si="15"/>
        <v>4.7609079600796633E-4</v>
      </c>
      <c r="AZ87" s="13">
        <f t="shared" si="15"/>
        <v>8.9421604572925695E-5</v>
      </c>
      <c r="BA87" s="13">
        <f t="shared" si="15"/>
        <v>1.0408330165412316E-5</v>
      </c>
      <c r="BB87" s="13">
        <f t="shared" si="15"/>
        <v>1.0282620392931818E-6</v>
      </c>
      <c r="BC87" s="13">
        <f t="shared" si="15"/>
        <v>0.36944134018176361</v>
      </c>
      <c r="BD87" s="13">
        <f t="shared" si="15"/>
        <v>0.20329041912127693</v>
      </c>
      <c r="BE87" s="13">
        <f t="shared" si="15"/>
        <v>0.18530458847388642</v>
      </c>
      <c r="BF87" s="13">
        <f t="shared" si="15"/>
        <v>0.12689398200136481</v>
      </c>
      <c r="BG87" s="13">
        <f t="shared" si="15"/>
        <v>7.2049623259393791E-2</v>
      </c>
      <c r="BH87" s="13">
        <f t="shared" si="15"/>
        <v>2.9697107851247684E-2</v>
      </c>
      <c r="BI87" s="13">
        <f t="shared" si="15"/>
        <v>1.0188096850361261E-2</v>
      </c>
    </row>
    <row r="88" spans="4:61" x14ac:dyDescent="0.35">
      <c r="E88">
        <v>7</v>
      </c>
      <c r="J88" t="s">
        <v>80</v>
      </c>
      <c r="N88" s="78"/>
      <c r="O88" s="78"/>
      <c r="P88" s="78"/>
      <c r="Q88" s="78"/>
      <c r="R88" s="78"/>
      <c r="S88" s="78"/>
      <c r="T88" s="13">
        <f t="shared" ref="T88:BI93" si="16">IF(T75-S75&lt;0,T75,T75-S75)</f>
        <v>0.37574827209398748</v>
      </c>
      <c r="U88" s="13">
        <f t="shared" si="16"/>
        <v>0.20351143734511551</v>
      </c>
      <c r="V88" s="13">
        <f t="shared" si="16"/>
        <v>0.17877663833782398</v>
      </c>
      <c r="W88" s="13">
        <f t="shared" si="16"/>
        <v>0.13009811899722445</v>
      </c>
      <c r="X88" s="13">
        <f t="shared" si="16"/>
        <v>6.884548626353415E-2</v>
      </c>
      <c r="Y88" s="13">
        <f t="shared" si="16"/>
        <v>3.025656150333611E-2</v>
      </c>
      <c r="Z88" s="13">
        <f t="shared" si="16"/>
        <v>9.7837222239237631E-3</v>
      </c>
      <c r="AA88" s="13">
        <f t="shared" si="16"/>
        <v>2.3313173270078646E-3</v>
      </c>
      <c r="AB88" s="13">
        <f t="shared" si="16"/>
        <v>5.5396478324232223E-4</v>
      </c>
      <c r="AC88" s="13">
        <f t="shared" si="16"/>
        <v>8.296848299449433E-5</v>
      </c>
      <c r="AD88" s="13">
        <f t="shared" si="16"/>
        <v>1.0495558567358287E-5</v>
      </c>
      <c r="AE88" s="13">
        <f t="shared" si="16"/>
        <v>9.4103363734721057E-7</v>
      </c>
      <c r="AF88" s="13">
        <f t="shared" si="16"/>
        <v>0.37574827209398748</v>
      </c>
      <c r="AG88" s="13">
        <f t="shared" si="16"/>
        <v>0.20351143734511551</v>
      </c>
      <c r="AH88" s="13">
        <f t="shared" si="16"/>
        <v>0.17877663833782398</v>
      </c>
      <c r="AI88" s="13">
        <f t="shared" si="16"/>
        <v>0.13009811899722445</v>
      </c>
      <c r="AJ88" s="13">
        <f t="shared" si="16"/>
        <v>6.884548626353415E-2</v>
      </c>
      <c r="AK88" s="13">
        <f t="shared" si="16"/>
        <v>3.025656150333611E-2</v>
      </c>
      <c r="AL88" s="13">
        <f t="shared" si="16"/>
        <v>9.7837222239237631E-3</v>
      </c>
      <c r="AM88" s="13">
        <f t="shared" si="16"/>
        <v>2.3313173270078646E-3</v>
      </c>
      <c r="AN88" s="13">
        <f t="shared" si="16"/>
        <v>5.5396478324232223E-4</v>
      </c>
      <c r="AO88" s="13">
        <f t="shared" si="16"/>
        <v>8.296848299449433E-5</v>
      </c>
      <c r="AP88" s="13">
        <f t="shared" si="16"/>
        <v>1.0495558567358287E-5</v>
      </c>
      <c r="AQ88" s="13">
        <f t="shared" si="16"/>
        <v>9.4103363734721057E-7</v>
      </c>
      <c r="AR88" s="13">
        <f t="shared" si="16"/>
        <v>0.37574827209398748</v>
      </c>
      <c r="AS88" s="13">
        <f t="shared" si="16"/>
        <v>0.20351143734511551</v>
      </c>
      <c r="AT88" s="13">
        <f t="shared" si="16"/>
        <v>0.17877663833782398</v>
      </c>
      <c r="AU88" s="13">
        <f t="shared" si="16"/>
        <v>0.13009811899722445</v>
      </c>
      <c r="AV88" s="13">
        <f t="shared" si="16"/>
        <v>6.884548626353415E-2</v>
      </c>
      <c r="AW88" s="13">
        <f t="shared" si="16"/>
        <v>3.025656150333611E-2</v>
      </c>
      <c r="AX88" s="13">
        <f t="shared" si="16"/>
        <v>9.7837222239237631E-3</v>
      </c>
      <c r="AY88" s="13">
        <f t="shared" si="16"/>
        <v>2.3313173270078646E-3</v>
      </c>
      <c r="AZ88" s="13">
        <f t="shared" si="16"/>
        <v>5.5396478324232223E-4</v>
      </c>
      <c r="BA88" s="13">
        <f t="shared" si="16"/>
        <v>8.296848299449433E-5</v>
      </c>
      <c r="BB88" s="13">
        <f t="shared" si="16"/>
        <v>1.0495558567358287E-5</v>
      </c>
      <c r="BC88" s="13">
        <f t="shared" si="16"/>
        <v>9.4103363734721057E-7</v>
      </c>
      <c r="BD88" s="13">
        <f t="shared" si="16"/>
        <v>0.37574827209398748</v>
      </c>
      <c r="BE88" s="13">
        <f t="shared" si="16"/>
        <v>0.20351143734511551</v>
      </c>
      <c r="BF88" s="13">
        <f t="shared" si="16"/>
        <v>0.17877663833782398</v>
      </c>
      <c r="BG88" s="13">
        <f t="shared" si="16"/>
        <v>0.13009811899722445</v>
      </c>
      <c r="BH88" s="13">
        <f t="shared" si="16"/>
        <v>6.884548626353415E-2</v>
      </c>
      <c r="BI88" s="13">
        <f t="shared" si="16"/>
        <v>3.025656150333611E-2</v>
      </c>
    </row>
    <row r="89" spans="4:61" x14ac:dyDescent="0.35">
      <c r="E89">
        <v>8</v>
      </c>
      <c r="J89" t="s">
        <v>80</v>
      </c>
      <c r="N89" s="78"/>
      <c r="O89" s="78"/>
      <c r="P89" s="78"/>
      <c r="Q89" s="78"/>
      <c r="R89" s="78"/>
      <c r="S89" s="78"/>
      <c r="T89" s="78"/>
      <c r="U89" s="13">
        <f t="shared" si="16"/>
        <v>0.37574827209398748</v>
      </c>
      <c r="V89" s="13">
        <f t="shared" si="16"/>
        <v>0.19698348720905307</v>
      </c>
      <c r="W89" s="13">
        <f t="shared" si="16"/>
        <v>0.18530458847388642</v>
      </c>
      <c r="X89" s="13">
        <f t="shared" si="16"/>
        <v>0.12689398200136481</v>
      </c>
      <c r="Y89" s="13">
        <f t="shared" si="16"/>
        <v>7.2049623259393791E-2</v>
      </c>
      <c r="Z89" s="13">
        <f t="shared" si="16"/>
        <v>3.025656150333611E-2</v>
      </c>
      <c r="AA89" s="13">
        <f t="shared" si="16"/>
        <v>9.2965116559377003E-3</v>
      </c>
      <c r="AB89" s="13">
        <f t="shared" si="16"/>
        <v>2.8185278949939274E-3</v>
      </c>
      <c r="AC89" s="13">
        <f t="shared" si="16"/>
        <v>5.4751166166389087E-4</v>
      </c>
      <c r="AD89" s="13">
        <f t="shared" si="16"/>
        <v>8.9421604572925695E-5</v>
      </c>
      <c r="AE89" s="13">
        <f t="shared" si="16"/>
        <v>1.0408330165412316E-5</v>
      </c>
      <c r="AF89" s="13">
        <f t="shared" si="16"/>
        <v>1.0282620392931818E-6</v>
      </c>
      <c r="AG89" s="13">
        <f t="shared" si="16"/>
        <v>0.37574827209398748</v>
      </c>
      <c r="AH89" s="13">
        <f t="shared" si="16"/>
        <v>0.19698348720905307</v>
      </c>
      <c r="AI89" s="13">
        <f t="shared" si="16"/>
        <v>0.18530458847388642</v>
      </c>
      <c r="AJ89" s="13">
        <f t="shared" si="16"/>
        <v>0.12689398200136481</v>
      </c>
      <c r="AK89" s="13">
        <f t="shared" si="16"/>
        <v>7.2049623259393791E-2</v>
      </c>
      <c r="AL89" s="13">
        <f t="shared" si="16"/>
        <v>3.025656150333611E-2</v>
      </c>
      <c r="AM89" s="13">
        <f t="shared" si="16"/>
        <v>9.2965116559377003E-3</v>
      </c>
      <c r="AN89" s="13">
        <f t="shared" si="16"/>
        <v>2.8185278949939274E-3</v>
      </c>
      <c r="AO89" s="13">
        <f t="shared" si="16"/>
        <v>5.4751166166389087E-4</v>
      </c>
      <c r="AP89" s="13">
        <f t="shared" si="16"/>
        <v>8.9421604572925695E-5</v>
      </c>
      <c r="AQ89" s="13">
        <f t="shared" si="16"/>
        <v>1.0408330165412316E-5</v>
      </c>
      <c r="AR89" s="13">
        <f t="shared" si="16"/>
        <v>1.0282620392931818E-6</v>
      </c>
      <c r="AS89" s="13">
        <f t="shared" si="16"/>
        <v>0.37574827209398748</v>
      </c>
      <c r="AT89" s="13">
        <f t="shared" si="16"/>
        <v>0.19698348720905307</v>
      </c>
      <c r="AU89" s="13">
        <f t="shared" si="16"/>
        <v>0.18530458847388642</v>
      </c>
      <c r="AV89" s="13">
        <f t="shared" si="16"/>
        <v>0.12689398200136481</v>
      </c>
      <c r="AW89" s="13">
        <f t="shared" si="16"/>
        <v>7.2049623259393791E-2</v>
      </c>
      <c r="AX89" s="13">
        <f t="shared" si="16"/>
        <v>3.025656150333611E-2</v>
      </c>
      <c r="AY89" s="13">
        <f t="shared" si="16"/>
        <v>9.2965116559377003E-3</v>
      </c>
      <c r="AZ89" s="13">
        <f t="shared" si="16"/>
        <v>2.8185278949939274E-3</v>
      </c>
      <c r="BA89" s="13">
        <f t="shared" si="16"/>
        <v>5.4751166166389087E-4</v>
      </c>
      <c r="BB89" s="13">
        <f t="shared" si="16"/>
        <v>8.9421604572925695E-5</v>
      </c>
      <c r="BC89" s="13">
        <f t="shared" si="16"/>
        <v>1.0408330165412316E-5</v>
      </c>
      <c r="BD89" s="13">
        <f t="shared" si="16"/>
        <v>1.0282620392931818E-6</v>
      </c>
      <c r="BE89" s="13">
        <f t="shared" si="16"/>
        <v>0.37574827209398748</v>
      </c>
      <c r="BF89" s="13">
        <f t="shared" si="16"/>
        <v>0.19698348720905307</v>
      </c>
      <c r="BG89" s="13">
        <f t="shared" si="16"/>
        <v>0.18530458847388642</v>
      </c>
      <c r="BH89" s="13">
        <f t="shared" si="16"/>
        <v>0.12689398200136481</v>
      </c>
      <c r="BI89" s="13">
        <f t="shared" si="16"/>
        <v>7.2049623259393791E-2</v>
      </c>
    </row>
    <row r="90" spans="4:61" x14ac:dyDescent="0.35">
      <c r="E90">
        <v>9</v>
      </c>
      <c r="J90" t="s">
        <v>80</v>
      </c>
      <c r="N90" s="78"/>
      <c r="O90" s="78"/>
      <c r="P90" s="78"/>
      <c r="Q90" s="78"/>
      <c r="R90" s="78"/>
      <c r="S90" s="78"/>
      <c r="T90" s="78"/>
      <c r="U90" s="78"/>
      <c r="V90" s="13">
        <f t="shared" si="16"/>
        <v>0.36944134018176361</v>
      </c>
      <c r="W90" s="13">
        <f t="shared" si="16"/>
        <v>0.20329041912127693</v>
      </c>
      <c r="X90" s="13">
        <f t="shared" si="16"/>
        <v>0.18007012287029855</v>
      </c>
      <c r="Y90" s="13">
        <f t="shared" si="16"/>
        <v>0.13212844760495268</v>
      </c>
      <c r="Z90" s="13">
        <f t="shared" si="16"/>
        <v>7.2049623259393791E-2</v>
      </c>
      <c r="AA90" s="13">
        <f t="shared" si="16"/>
        <v>2.8514411205218471E-2</v>
      </c>
      <c r="AB90" s="13">
        <f t="shared" si="16"/>
        <v>1.103866195405534E-2</v>
      </c>
      <c r="AC90" s="13">
        <f t="shared" si="16"/>
        <v>2.7798358651247579E-3</v>
      </c>
      <c r="AD90" s="13">
        <f t="shared" si="16"/>
        <v>5.862036915330604E-4</v>
      </c>
      <c r="AE90" s="13">
        <f t="shared" si="16"/>
        <v>8.8537243651543029E-5</v>
      </c>
      <c r="AF90" s="13">
        <f t="shared" si="16"/>
        <v>1.1292691086794981E-5</v>
      </c>
      <c r="AG90" s="13">
        <f t="shared" si="16"/>
        <v>1.0282620392931818E-6</v>
      </c>
      <c r="AH90" s="13">
        <f t="shared" si="16"/>
        <v>0.36944134018176361</v>
      </c>
      <c r="AI90" s="13">
        <f t="shared" si="16"/>
        <v>0.20329041912127693</v>
      </c>
      <c r="AJ90" s="13">
        <f t="shared" si="16"/>
        <v>0.18007012287029855</v>
      </c>
      <c r="AK90" s="13">
        <f t="shared" si="16"/>
        <v>0.13212844760495268</v>
      </c>
      <c r="AL90" s="13">
        <f t="shared" si="16"/>
        <v>7.2049623259393791E-2</v>
      </c>
      <c r="AM90" s="13">
        <f t="shared" si="16"/>
        <v>2.8514411205218471E-2</v>
      </c>
      <c r="AN90" s="13">
        <f t="shared" si="16"/>
        <v>1.103866195405534E-2</v>
      </c>
      <c r="AO90" s="13">
        <f t="shared" si="16"/>
        <v>2.7798358651247579E-3</v>
      </c>
      <c r="AP90" s="13">
        <f t="shared" si="16"/>
        <v>5.862036915330604E-4</v>
      </c>
      <c r="AQ90" s="13">
        <f t="shared" si="16"/>
        <v>8.8537243651543029E-5</v>
      </c>
      <c r="AR90" s="13">
        <f t="shared" si="16"/>
        <v>1.1292691086794981E-5</v>
      </c>
      <c r="AS90" s="13">
        <f t="shared" si="16"/>
        <v>1.0282620392931818E-6</v>
      </c>
      <c r="AT90" s="13">
        <f t="shared" si="16"/>
        <v>0.36944134018176361</v>
      </c>
      <c r="AU90" s="13">
        <f t="shared" si="16"/>
        <v>0.20329041912127693</v>
      </c>
      <c r="AV90" s="13">
        <f t="shared" si="16"/>
        <v>0.18007012287029855</v>
      </c>
      <c r="AW90" s="13">
        <f t="shared" si="16"/>
        <v>0.13212844760495268</v>
      </c>
      <c r="AX90" s="13">
        <f t="shared" si="16"/>
        <v>7.2049623259393791E-2</v>
      </c>
      <c r="AY90" s="13">
        <f t="shared" si="16"/>
        <v>2.8514411205218471E-2</v>
      </c>
      <c r="AZ90" s="13">
        <f t="shared" si="16"/>
        <v>1.103866195405534E-2</v>
      </c>
      <c r="BA90" s="13">
        <f t="shared" si="16"/>
        <v>2.7798358651247579E-3</v>
      </c>
      <c r="BB90" s="13">
        <f t="shared" si="16"/>
        <v>5.862036915330604E-4</v>
      </c>
      <c r="BC90" s="13">
        <f t="shared" si="16"/>
        <v>8.8537243651543029E-5</v>
      </c>
      <c r="BD90" s="13">
        <f t="shared" si="16"/>
        <v>1.1292691086794981E-5</v>
      </c>
      <c r="BE90" s="13">
        <f t="shared" si="16"/>
        <v>1.0282620392931818E-6</v>
      </c>
      <c r="BF90" s="13">
        <f t="shared" si="16"/>
        <v>0.36944134018176361</v>
      </c>
      <c r="BG90" s="13">
        <f t="shared" si="16"/>
        <v>0.20329041912127693</v>
      </c>
      <c r="BH90" s="13">
        <f t="shared" si="16"/>
        <v>0.18007012287029855</v>
      </c>
      <c r="BI90" s="13">
        <f t="shared" si="16"/>
        <v>0.13212844760495268</v>
      </c>
    </row>
    <row r="91" spans="4:61" x14ac:dyDescent="0.35">
      <c r="E91">
        <v>10</v>
      </c>
      <c r="J91" t="s">
        <v>80</v>
      </c>
      <c r="N91" s="78"/>
      <c r="O91" s="78"/>
      <c r="P91" s="78"/>
      <c r="Q91" s="78"/>
      <c r="R91" s="78"/>
      <c r="S91" s="78"/>
      <c r="T91" s="78"/>
      <c r="U91" s="78"/>
      <c r="V91" s="78"/>
      <c r="W91" s="13">
        <f t="shared" si="16"/>
        <v>0.37574827209398748</v>
      </c>
      <c r="X91" s="13">
        <f t="shared" si="16"/>
        <v>0.19698348720905307</v>
      </c>
      <c r="Y91" s="13">
        <f t="shared" si="16"/>
        <v>0.18530458847388642</v>
      </c>
      <c r="Z91" s="13">
        <f t="shared" si="16"/>
        <v>0.13009811899722445</v>
      </c>
      <c r="AA91" s="13">
        <f t="shared" si="16"/>
        <v>6.5710242719899115E-2</v>
      </c>
      <c r="AB91" s="13">
        <f t="shared" si="16"/>
        <v>3.2251842992450874E-2</v>
      </c>
      <c r="AC91" s="13">
        <f t="shared" si="16"/>
        <v>1.0436473710457972E-2</v>
      </c>
      <c r="AD91" s="13">
        <f t="shared" si="16"/>
        <v>2.8185278949939274E-3</v>
      </c>
      <c r="AE91" s="13">
        <f t="shared" si="16"/>
        <v>5.4751166166389087E-4</v>
      </c>
      <c r="AF91" s="13">
        <f t="shared" si="16"/>
        <v>8.9421604572925695E-5</v>
      </c>
      <c r="AG91" s="13">
        <f t="shared" si="16"/>
        <v>1.0495558567358287E-5</v>
      </c>
      <c r="AH91" s="13">
        <f t="shared" si="16"/>
        <v>9.4103363734721057E-7</v>
      </c>
      <c r="AI91" s="13">
        <f t="shared" si="16"/>
        <v>0.37574827209398748</v>
      </c>
      <c r="AJ91" s="13">
        <f t="shared" si="16"/>
        <v>0.19698348720905307</v>
      </c>
      <c r="AK91" s="13">
        <f t="shared" si="16"/>
        <v>0.18530458847388642</v>
      </c>
      <c r="AL91" s="13">
        <f t="shared" si="16"/>
        <v>0.13009811899722445</v>
      </c>
      <c r="AM91" s="13">
        <f t="shared" si="16"/>
        <v>6.5710242719899115E-2</v>
      </c>
      <c r="AN91" s="13">
        <f t="shared" si="16"/>
        <v>3.2251842992450874E-2</v>
      </c>
      <c r="AO91" s="13">
        <f t="shared" si="16"/>
        <v>1.0436473710457972E-2</v>
      </c>
      <c r="AP91" s="13">
        <f t="shared" si="16"/>
        <v>2.8185278949939274E-3</v>
      </c>
      <c r="AQ91" s="13">
        <f t="shared" si="16"/>
        <v>5.4751166166389087E-4</v>
      </c>
      <c r="AR91" s="13">
        <f t="shared" si="16"/>
        <v>8.9421604572925695E-5</v>
      </c>
      <c r="AS91" s="13">
        <f t="shared" si="16"/>
        <v>1.0495558567358287E-5</v>
      </c>
      <c r="AT91" s="13">
        <f t="shared" si="16"/>
        <v>9.4103363734721057E-7</v>
      </c>
      <c r="AU91" s="13">
        <f t="shared" si="16"/>
        <v>0.37574827209398748</v>
      </c>
      <c r="AV91" s="13">
        <f t="shared" si="16"/>
        <v>0.19698348720905307</v>
      </c>
      <c r="AW91" s="13">
        <f t="shared" si="16"/>
        <v>0.18530458847388642</v>
      </c>
      <c r="AX91" s="13">
        <f t="shared" si="16"/>
        <v>0.13009811899722445</v>
      </c>
      <c r="AY91" s="13">
        <f t="shared" si="16"/>
        <v>6.5710242719899115E-2</v>
      </c>
      <c r="AZ91" s="13">
        <f t="shared" si="16"/>
        <v>3.2251842992450874E-2</v>
      </c>
      <c r="BA91" s="13">
        <f t="shared" si="16"/>
        <v>1.0436473710457972E-2</v>
      </c>
      <c r="BB91" s="13">
        <f t="shared" si="16"/>
        <v>2.8185278949939274E-3</v>
      </c>
      <c r="BC91" s="13">
        <f t="shared" si="16"/>
        <v>5.4751166166389087E-4</v>
      </c>
      <c r="BD91" s="13">
        <f t="shared" si="16"/>
        <v>8.9421604572925695E-5</v>
      </c>
      <c r="BE91" s="13">
        <f t="shared" si="16"/>
        <v>1.0495558567358287E-5</v>
      </c>
      <c r="BF91" s="13">
        <f t="shared" si="16"/>
        <v>9.4103363734721057E-7</v>
      </c>
      <c r="BG91" s="13">
        <f t="shared" si="16"/>
        <v>0.37574827209398748</v>
      </c>
      <c r="BH91" s="13">
        <f t="shared" si="16"/>
        <v>0.19698348720905307</v>
      </c>
      <c r="BI91" s="13">
        <f t="shared" si="16"/>
        <v>0.18530458847388642</v>
      </c>
    </row>
    <row r="92" spans="4:61" x14ac:dyDescent="0.35">
      <c r="E92">
        <v>11</v>
      </c>
      <c r="J92" t="s">
        <v>80</v>
      </c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13">
        <f t="shared" si="16"/>
        <v>0.36944134018176361</v>
      </c>
      <c r="Y92" s="13">
        <f t="shared" si="16"/>
        <v>0.20329041912127693</v>
      </c>
      <c r="Z92" s="13">
        <f t="shared" si="16"/>
        <v>0.18530458847388642</v>
      </c>
      <c r="AA92" s="13">
        <f t="shared" si="16"/>
        <v>0.12029114764869175</v>
      </c>
      <c r="AB92" s="13">
        <f t="shared" si="16"/>
        <v>7.5517214068431815E-2</v>
      </c>
      <c r="AC92" s="13">
        <f t="shared" si="16"/>
        <v>3.1649654748853506E-2</v>
      </c>
      <c r="AD92" s="13">
        <f t="shared" si="16"/>
        <v>1.103866195405534E-2</v>
      </c>
      <c r="AE92" s="13">
        <f t="shared" si="16"/>
        <v>2.7798358651247579E-3</v>
      </c>
      <c r="AF92" s="13">
        <f t="shared" si="16"/>
        <v>5.862036915330604E-4</v>
      </c>
      <c r="AG92" s="13">
        <f t="shared" si="16"/>
        <v>8.9421604572925695E-5</v>
      </c>
      <c r="AH92" s="13">
        <f t="shared" si="16"/>
        <v>1.0408330165412316E-5</v>
      </c>
      <c r="AI92" s="13">
        <f t="shared" si="16"/>
        <v>1.0282620392931818E-6</v>
      </c>
      <c r="AJ92" s="13">
        <f t="shared" si="16"/>
        <v>0.36944134018176361</v>
      </c>
      <c r="AK92" s="13">
        <f t="shared" si="16"/>
        <v>0.20329041912127693</v>
      </c>
      <c r="AL92" s="13">
        <f t="shared" si="16"/>
        <v>0.18530458847388642</v>
      </c>
      <c r="AM92" s="13">
        <f t="shared" si="16"/>
        <v>0.12029114764869175</v>
      </c>
      <c r="AN92" s="13">
        <f t="shared" si="16"/>
        <v>7.5517214068431815E-2</v>
      </c>
      <c r="AO92" s="13">
        <f t="shared" si="16"/>
        <v>3.1649654748853506E-2</v>
      </c>
      <c r="AP92" s="13">
        <f t="shared" si="16"/>
        <v>1.103866195405534E-2</v>
      </c>
      <c r="AQ92" s="13">
        <f t="shared" si="16"/>
        <v>2.7798358651247579E-3</v>
      </c>
      <c r="AR92" s="13">
        <f t="shared" si="16"/>
        <v>5.862036915330604E-4</v>
      </c>
      <c r="AS92" s="13">
        <f t="shared" si="16"/>
        <v>8.9421604572925695E-5</v>
      </c>
      <c r="AT92" s="13">
        <f t="shared" si="16"/>
        <v>1.0408330165412316E-5</v>
      </c>
      <c r="AU92" s="13">
        <f t="shared" si="16"/>
        <v>1.0282620392931818E-6</v>
      </c>
      <c r="AV92" s="13">
        <f t="shared" si="16"/>
        <v>0.36944134018176361</v>
      </c>
      <c r="AW92" s="13">
        <f t="shared" si="16"/>
        <v>0.20329041912127693</v>
      </c>
      <c r="AX92" s="13">
        <f t="shared" si="16"/>
        <v>0.18530458847388642</v>
      </c>
      <c r="AY92" s="13">
        <f t="shared" si="16"/>
        <v>0.12029114764869175</v>
      </c>
      <c r="AZ92" s="13">
        <f t="shared" si="16"/>
        <v>7.5517214068431815E-2</v>
      </c>
      <c r="BA92" s="13">
        <f t="shared" si="16"/>
        <v>3.1649654748853506E-2</v>
      </c>
      <c r="BB92" s="13">
        <f t="shared" si="16"/>
        <v>1.103866195405534E-2</v>
      </c>
      <c r="BC92" s="13">
        <f t="shared" si="16"/>
        <v>2.7798358651247579E-3</v>
      </c>
      <c r="BD92" s="13">
        <f t="shared" si="16"/>
        <v>5.862036915330604E-4</v>
      </c>
      <c r="BE92" s="13">
        <f t="shared" si="16"/>
        <v>8.9421604572925695E-5</v>
      </c>
      <c r="BF92" s="13">
        <f t="shared" si="16"/>
        <v>1.0408330165412316E-5</v>
      </c>
      <c r="BG92" s="13">
        <f t="shared" si="16"/>
        <v>1.0282620392931818E-6</v>
      </c>
      <c r="BH92" s="13">
        <f t="shared" si="16"/>
        <v>0.36944134018176361</v>
      </c>
      <c r="BI92" s="13">
        <f t="shared" si="16"/>
        <v>0.20329041912127693</v>
      </c>
    </row>
    <row r="93" spans="4:61" x14ac:dyDescent="0.35">
      <c r="E93">
        <v>12</v>
      </c>
      <c r="J93" t="s">
        <v>80</v>
      </c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13">
        <f t="shared" si="16"/>
        <v>0.37574827209398748</v>
      </c>
      <c r="Z93" s="13">
        <f t="shared" si="16"/>
        <v>0.20351143734511551</v>
      </c>
      <c r="AA93" s="13">
        <f t="shared" si="16"/>
        <v>0.1682477530139741</v>
      </c>
      <c r="AB93" s="13">
        <f t="shared" si="16"/>
        <v>0.13415400398174826</v>
      </c>
      <c r="AC93" s="13">
        <f t="shared" si="16"/>
        <v>7.2183243059225188E-2</v>
      </c>
      <c r="AD93" s="13">
        <f t="shared" si="16"/>
        <v>3.2251842992450874E-2</v>
      </c>
      <c r="AE93" s="13">
        <f t="shared" si="16"/>
        <v>1.0436473710457972E-2</v>
      </c>
      <c r="AF93" s="13">
        <f t="shared" si="16"/>
        <v>2.8185278949939274E-3</v>
      </c>
      <c r="AG93" s="13">
        <f t="shared" si="16"/>
        <v>5.5396478324232223E-4</v>
      </c>
      <c r="AH93" s="13">
        <f t="shared" si="16"/>
        <v>8.296848299449433E-5</v>
      </c>
      <c r="AI93" s="13">
        <f t="shared" si="16"/>
        <v>1.0495558567358287E-5</v>
      </c>
      <c r="AJ93" s="13">
        <f t="shared" si="16"/>
        <v>9.4103363734721057E-7</v>
      </c>
      <c r="AK93" s="13">
        <f t="shared" si="16"/>
        <v>0.37574827209398748</v>
      </c>
      <c r="AL93" s="13">
        <f t="shared" si="16"/>
        <v>0.20351143734511551</v>
      </c>
      <c r="AM93" s="13">
        <f t="shared" si="16"/>
        <v>0.1682477530139741</v>
      </c>
      <c r="AN93" s="13">
        <f t="shared" si="16"/>
        <v>0.13415400398174826</v>
      </c>
      <c r="AO93" s="13">
        <f t="shared" si="16"/>
        <v>7.2183243059225188E-2</v>
      </c>
      <c r="AP93" s="13">
        <f t="shared" si="16"/>
        <v>3.2251842992450874E-2</v>
      </c>
      <c r="AQ93" s="13">
        <f t="shared" si="16"/>
        <v>1.0436473710457972E-2</v>
      </c>
      <c r="AR93" s="13">
        <f t="shared" si="16"/>
        <v>2.8185278949939274E-3</v>
      </c>
      <c r="AS93" s="13">
        <f t="shared" si="16"/>
        <v>5.5396478324232223E-4</v>
      </c>
      <c r="AT93" s="13">
        <f t="shared" si="16"/>
        <v>8.296848299449433E-5</v>
      </c>
      <c r="AU93" s="13">
        <f t="shared" si="16"/>
        <v>1.0495558567358287E-5</v>
      </c>
      <c r="AV93" s="13">
        <f t="shared" si="16"/>
        <v>9.4103363734721057E-7</v>
      </c>
      <c r="AW93" s="13">
        <f t="shared" si="16"/>
        <v>0.37574827209398748</v>
      </c>
      <c r="AX93" s="13">
        <f t="shared" si="16"/>
        <v>0.20351143734511551</v>
      </c>
      <c r="AY93" s="13">
        <f t="shared" si="16"/>
        <v>0.1682477530139741</v>
      </c>
      <c r="AZ93" s="13">
        <f t="shared" si="16"/>
        <v>0.13415400398174826</v>
      </c>
      <c r="BA93" s="13">
        <f t="shared" si="16"/>
        <v>7.2183243059225188E-2</v>
      </c>
      <c r="BB93" s="13">
        <f t="shared" si="16"/>
        <v>3.2251842992450874E-2</v>
      </c>
      <c r="BC93" s="13">
        <f t="shared" si="16"/>
        <v>1.0436473710457972E-2</v>
      </c>
      <c r="BD93" s="13">
        <f t="shared" si="16"/>
        <v>2.8185278949939274E-3</v>
      </c>
      <c r="BE93" s="13">
        <f t="shared" si="16"/>
        <v>5.5396478324232223E-4</v>
      </c>
      <c r="BF93" s="13">
        <f t="shared" si="16"/>
        <v>8.296848299449433E-5</v>
      </c>
      <c r="BG93" s="13">
        <f t="shared" si="16"/>
        <v>1.0495558567358287E-5</v>
      </c>
      <c r="BH93" s="13">
        <f t="shared" si="16"/>
        <v>9.4103363734721057E-7</v>
      </c>
      <c r="BI93" s="13">
        <f t="shared" si="16"/>
        <v>0.37574827209398748</v>
      </c>
    </row>
    <row r="95" spans="4:61" x14ac:dyDescent="0.35">
      <c r="D95" s="1" t="s">
        <v>196</v>
      </c>
    </row>
    <row r="97" spans="5:61" s="4" customFormat="1" x14ac:dyDescent="0.35">
      <c r="E97" s="4" t="str">
        <f>Time!E21</f>
        <v>N° de mois</v>
      </c>
      <c r="J97" s="4" t="str">
        <f>Time!J21</f>
        <v>N° mois</v>
      </c>
      <c r="N97" s="4">
        <f>Time!N21</f>
        <v>1</v>
      </c>
      <c r="O97" s="4">
        <f>Time!O21</f>
        <v>2</v>
      </c>
      <c r="P97" s="4">
        <f>Time!P21</f>
        <v>3</v>
      </c>
      <c r="Q97" s="4">
        <f>Time!Q21</f>
        <v>4</v>
      </c>
      <c r="R97" s="4">
        <f>Time!R21</f>
        <v>5</v>
      </c>
      <c r="S97" s="4">
        <f>Time!S21</f>
        <v>6</v>
      </c>
      <c r="T97" s="4">
        <f>Time!T21</f>
        <v>7</v>
      </c>
      <c r="U97" s="4">
        <f>Time!U21</f>
        <v>8</v>
      </c>
      <c r="V97" s="4">
        <f>Time!V21</f>
        <v>9</v>
      </c>
      <c r="W97" s="4">
        <f>Time!W21</f>
        <v>10</v>
      </c>
      <c r="X97" s="4">
        <f>Time!X21</f>
        <v>11</v>
      </c>
      <c r="Y97" s="4">
        <f>Time!Y21</f>
        <v>12</v>
      </c>
      <c r="Z97" s="4">
        <f>Time!Z21</f>
        <v>1</v>
      </c>
      <c r="AA97" s="4">
        <f>Time!AA21</f>
        <v>2</v>
      </c>
      <c r="AB97" s="4">
        <f>Time!AB21</f>
        <v>3</v>
      </c>
      <c r="AC97" s="4">
        <f>Time!AC21</f>
        <v>4</v>
      </c>
      <c r="AD97" s="4">
        <f>Time!AD21</f>
        <v>5</v>
      </c>
      <c r="AE97" s="4">
        <f>Time!AE21</f>
        <v>6</v>
      </c>
      <c r="AF97" s="4">
        <f>Time!AF21</f>
        <v>7</v>
      </c>
      <c r="AG97" s="4">
        <f>Time!AG21</f>
        <v>8</v>
      </c>
      <c r="AH97" s="4">
        <f>Time!AH21</f>
        <v>9</v>
      </c>
      <c r="AI97" s="4">
        <f>Time!AI21</f>
        <v>10</v>
      </c>
      <c r="AJ97" s="4">
        <f>Time!AJ21</f>
        <v>11</v>
      </c>
      <c r="AK97" s="4">
        <f>Time!AK21</f>
        <v>12</v>
      </c>
      <c r="AL97" s="4">
        <f>Time!AL21</f>
        <v>1</v>
      </c>
      <c r="AM97" s="4">
        <f>Time!AM21</f>
        <v>2</v>
      </c>
      <c r="AN97" s="4">
        <f>Time!AN21</f>
        <v>3</v>
      </c>
      <c r="AO97" s="4">
        <f>Time!AO21</f>
        <v>4</v>
      </c>
      <c r="AP97" s="4">
        <f>Time!AP21</f>
        <v>5</v>
      </c>
      <c r="AQ97" s="4">
        <f>Time!AQ21</f>
        <v>6</v>
      </c>
      <c r="AR97" s="4">
        <f>Time!AR21</f>
        <v>7</v>
      </c>
      <c r="AS97" s="4">
        <f>Time!AS21</f>
        <v>8</v>
      </c>
      <c r="AT97" s="4">
        <f>Time!AT21</f>
        <v>9</v>
      </c>
      <c r="AU97" s="4">
        <f>Time!AU21</f>
        <v>10</v>
      </c>
      <c r="AV97" s="4">
        <f>Time!AV21</f>
        <v>11</v>
      </c>
      <c r="AW97" s="4">
        <f>Time!AW21</f>
        <v>12</v>
      </c>
      <c r="AX97" s="4">
        <f>Time!AX21</f>
        <v>1</v>
      </c>
      <c r="AY97" s="4">
        <f>Time!AY21</f>
        <v>2</v>
      </c>
      <c r="AZ97" s="4">
        <f>Time!AZ21</f>
        <v>3</v>
      </c>
      <c r="BA97" s="4">
        <f>Time!BA21</f>
        <v>4</v>
      </c>
      <c r="BB97" s="4">
        <f>Time!BB21</f>
        <v>5</v>
      </c>
      <c r="BC97" s="4">
        <f>Time!BC21</f>
        <v>6</v>
      </c>
      <c r="BD97" s="4">
        <f>Time!BD21</f>
        <v>7</v>
      </c>
      <c r="BE97" s="4">
        <f>Time!BE21</f>
        <v>8</v>
      </c>
      <c r="BF97" s="4">
        <f>Time!BF21</f>
        <v>9</v>
      </c>
      <c r="BG97" s="4">
        <f>Time!BG21</f>
        <v>10</v>
      </c>
      <c r="BH97" s="4">
        <f>Time!BH21</f>
        <v>11</v>
      </c>
      <c r="BI97" s="4">
        <f>Time!BI21</f>
        <v>12</v>
      </c>
    </row>
    <row r="98" spans="5:61" s="4" customFormat="1" x14ac:dyDescent="0.35">
      <c r="E98" s="4" t="str">
        <f>Time!E19</f>
        <v>Frise mensuelle-début de période</v>
      </c>
      <c r="J98" s="4" t="str">
        <f>Time!J19</f>
        <v>date</v>
      </c>
      <c r="N98" s="5">
        <f>Time!N19</f>
        <v>43831</v>
      </c>
      <c r="O98" s="5">
        <f>Time!O19</f>
        <v>43862</v>
      </c>
      <c r="P98" s="5">
        <f>Time!P19</f>
        <v>43891</v>
      </c>
      <c r="Q98" s="5">
        <f>Time!Q19</f>
        <v>43922</v>
      </c>
      <c r="R98" s="5">
        <f>Time!R19</f>
        <v>43952</v>
      </c>
      <c r="S98" s="5">
        <f>Time!S19</f>
        <v>43983</v>
      </c>
      <c r="T98" s="5">
        <f>Time!T19</f>
        <v>44013</v>
      </c>
      <c r="U98" s="5">
        <f>Time!U19</f>
        <v>44044</v>
      </c>
      <c r="V98" s="5">
        <f>Time!V19</f>
        <v>44075</v>
      </c>
      <c r="W98" s="5">
        <f>Time!W19</f>
        <v>44105</v>
      </c>
      <c r="X98" s="5">
        <f>Time!X19</f>
        <v>44136</v>
      </c>
      <c r="Y98" s="5">
        <f>Time!Y19</f>
        <v>44166</v>
      </c>
      <c r="Z98" s="5">
        <f>Time!Z19</f>
        <v>44197</v>
      </c>
      <c r="AA98" s="5">
        <f>Time!AA19</f>
        <v>44228</v>
      </c>
      <c r="AB98" s="5">
        <f>Time!AB19</f>
        <v>44256</v>
      </c>
      <c r="AC98" s="5">
        <f>Time!AC19</f>
        <v>44287</v>
      </c>
      <c r="AD98" s="5">
        <f>Time!AD19</f>
        <v>44317</v>
      </c>
      <c r="AE98" s="5">
        <f>Time!AE19</f>
        <v>44348</v>
      </c>
      <c r="AF98" s="5">
        <f>Time!AF19</f>
        <v>44378</v>
      </c>
      <c r="AG98" s="5">
        <f>Time!AG19</f>
        <v>44409</v>
      </c>
      <c r="AH98" s="5">
        <f>Time!AH19</f>
        <v>44440</v>
      </c>
      <c r="AI98" s="5">
        <f>Time!AI19</f>
        <v>44470</v>
      </c>
      <c r="AJ98" s="5">
        <f>Time!AJ19</f>
        <v>44501</v>
      </c>
      <c r="AK98" s="5">
        <f>Time!AK19</f>
        <v>44531</v>
      </c>
      <c r="AL98" s="5">
        <f>Time!AL19</f>
        <v>44562</v>
      </c>
      <c r="AM98" s="5">
        <f>Time!AM19</f>
        <v>44593</v>
      </c>
      <c r="AN98" s="5">
        <f>Time!AN19</f>
        <v>44621</v>
      </c>
      <c r="AO98" s="5">
        <f>Time!AO19</f>
        <v>44652</v>
      </c>
      <c r="AP98" s="5">
        <f>Time!AP19</f>
        <v>44682</v>
      </c>
      <c r="AQ98" s="5">
        <f>Time!AQ19</f>
        <v>44713</v>
      </c>
      <c r="AR98" s="5">
        <f>Time!AR19</f>
        <v>44743</v>
      </c>
      <c r="AS98" s="5">
        <f>Time!AS19</f>
        <v>44774</v>
      </c>
      <c r="AT98" s="5">
        <f>Time!AT19</f>
        <v>44805</v>
      </c>
      <c r="AU98" s="5">
        <f>Time!AU19</f>
        <v>44835</v>
      </c>
      <c r="AV98" s="5">
        <f>Time!AV19</f>
        <v>44866</v>
      </c>
      <c r="AW98" s="5">
        <f>Time!AW19</f>
        <v>44896</v>
      </c>
      <c r="AX98" s="5">
        <f>Time!AX19</f>
        <v>44927</v>
      </c>
      <c r="AY98" s="5">
        <f>Time!AY19</f>
        <v>44958</v>
      </c>
      <c r="AZ98" s="5">
        <f>Time!AZ19</f>
        <v>44986</v>
      </c>
      <c r="BA98" s="5">
        <f>Time!BA19</f>
        <v>45017</v>
      </c>
      <c r="BB98" s="5">
        <f>Time!BB19</f>
        <v>45047</v>
      </c>
      <c r="BC98" s="5">
        <f>Time!BC19</f>
        <v>45078</v>
      </c>
      <c r="BD98" s="5">
        <f>Time!BD19</f>
        <v>45108</v>
      </c>
      <c r="BE98" s="5">
        <f>Time!BE19</f>
        <v>45139</v>
      </c>
      <c r="BF98" s="5">
        <f>Time!BF19</f>
        <v>45170</v>
      </c>
      <c r="BG98" s="5">
        <f>Time!BG19</f>
        <v>45200</v>
      </c>
      <c r="BH98" s="5">
        <f>Time!BH19</f>
        <v>45231</v>
      </c>
      <c r="BI98" s="5">
        <f>Time!BI19</f>
        <v>45261</v>
      </c>
    </row>
    <row r="99" spans="5:61" s="4" customFormat="1" x14ac:dyDescent="0.35">
      <c r="E99" s="4" t="str">
        <f>'Demandes de solde'!E245</f>
        <v>Volumes-Demande de solde-Projection</v>
      </c>
      <c r="J99" s="4" t="str">
        <f>'Demandes de solde'!J245</f>
        <v>Volume</v>
      </c>
      <c r="N99" s="85">
        <f>'Demandes de solde'!N245</f>
        <v>0</v>
      </c>
      <c r="O99" s="85">
        <f>'Demandes de solde'!O245</f>
        <v>0</v>
      </c>
      <c r="P99" s="85">
        <f>'Demandes de solde'!P245</f>
        <v>0</v>
      </c>
      <c r="Q99" s="85">
        <f>'Demandes de solde'!Q245</f>
        <v>87</v>
      </c>
      <c r="R99" s="85">
        <f>'Demandes de solde'!R245</f>
        <v>636</v>
      </c>
      <c r="S99" s="85">
        <f>'Demandes de solde'!S245</f>
        <v>2269</v>
      </c>
      <c r="T99" s="85">
        <f>'Demandes de solde'!T245</f>
        <v>4269</v>
      </c>
      <c r="U99" s="85">
        <f>'Demandes de solde'!U245</f>
        <v>6469</v>
      </c>
      <c r="V99" s="85">
        <f>'Demandes de solde'!V245</f>
        <v>10749</v>
      </c>
      <c r="W99" s="85">
        <f>'Demandes de solde'!W245</f>
        <v>14183</v>
      </c>
      <c r="X99" s="85">
        <f>'Demandes de solde'!X245</f>
        <v>16574</v>
      </c>
      <c r="Y99" s="85">
        <f>'Demandes de solde'!Y245</f>
        <v>19960</v>
      </c>
      <c r="Z99" s="85">
        <f>'Demandes de solde'!Z245</f>
        <v>21697</v>
      </c>
      <c r="AA99" s="85">
        <f>'Demandes de solde'!AA245</f>
        <v>27179</v>
      </c>
      <c r="AB99" s="85">
        <f>'Demandes de solde'!AB245</f>
        <v>32553</v>
      </c>
      <c r="AC99" s="85">
        <f>'Demandes de solde'!AC245</f>
        <v>34544</v>
      </c>
      <c r="AD99" s="85">
        <f>'Demandes de solde'!AD245</f>
        <v>32781</v>
      </c>
      <c r="AE99" s="85">
        <f>'Demandes de solde'!AE245</f>
        <v>38664</v>
      </c>
      <c r="AF99" s="85">
        <f>'Demandes de solde'!AF245</f>
        <v>40773</v>
      </c>
      <c r="AG99" s="85">
        <f>'Demandes de solde'!AG245</f>
        <v>27624</v>
      </c>
      <c r="AH99" s="85">
        <f>'Demandes de solde'!AH245</f>
        <v>44997</v>
      </c>
      <c r="AI99" s="85">
        <f>'Demandes de solde'!AI245</f>
        <v>51424</v>
      </c>
      <c r="AJ99" s="85">
        <f>'Demandes de solde'!AJ245</f>
        <v>53131</v>
      </c>
      <c r="AK99" s="85">
        <f>'Demandes de solde'!AK245</f>
        <v>56324</v>
      </c>
      <c r="AL99" s="85">
        <f>'Demandes de solde'!AL245</f>
        <v>55779.354484422802</v>
      </c>
      <c r="AM99" s="85">
        <f>'Demandes de solde'!AM245</f>
        <v>52425.82824647989</v>
      </c>
      <c r="AN99" s="85">
        <f>'Demandes de solde'!AN245</f>
        <v>60235.743482396771</v>
      </c>
      <c r="AO99" s="85">
        <f>'Demandes de solde'!AO245</f>
        <v>59531.72975090504</v>
      </c>
      <c r="AP99" s="85">
        <f>'Demandes de solde'!AP245</f>
        <v>62473.721581154561</v>
      </c>
      <c r="AQ99" s="85">
        <f>'Demandes de solde'!AQ245</f>
        <v>60509.608006077935</v>
      </c>
      <c r="AR99" s="85">
        <f>'Demandes de solde'!AR245</f>
        <v>60763.115116330067</v>
      </c>
      <c r="AS99" s="85">
        <f>'Demandes de solde'!AS245</f>
        <v>56949.508506996957</v>
      </c>
      <c r="AT99" s="85">
        <f>'Demandes de solde'!AT245</f>
        <v>57053.136182929935</v>
      </c>
      <c r="AU99" s="85">
        <f>'Demandes de solde'!AU245</f>
        <v>61251.178951307833</v>
      </c>
      <c r="AV99" s="85">
        <f>'Demandes de solde'!AV245</f>
        <v>60402.402042979265</v>
      </c>
      <c r="AW99" s="85">
        <f>'Demandes de solde'!AW245</f>
        <v>64175.252174882356</v>
      </c>
      <c r="AX99" s="85">
        <f>'Demandes de solde'!AX245</f>
        <v>63005.515505017313</v>
      </c>
      <c r="AY99" s="85">
        <f>'Demandes de solde'!AY245</f>
        <v>58444.060974671265</v>
      </c>
      <c r="AZ99" s="85">
        <f>'Demandes de solde'!AZ245</f>
        <v>66515.865208060728</v>
      </c>
      <c r="BA99" s="85">
        <f>'Demandes de solde'!BA245</f>
        <v>65544.945076049407</v>
      </c>
      <c r="BB99" s="85">
        <f>'Demandes de solde'!BB245</f>
        <v>68579.424332022172</v>
      </c>
      <c r="BC99" s="85">
        <f>'Demandes de solde'!BC245</f>
        <v>66630.538624534631</v>
      </c>
      <c r="BD99" s="85">
        <f>'Demandes de solde'!BD245</f>
        <v>66973.324207001657</v>
      </c>
      <c r="BE99" s="85">
        <f>'Demandes de solde'!BE245</f>
        <v>62873.030008606853</v>
      </c>
      <c r="BF99" s="85">
        <f>'Demandes de solde'!BF245</f>
        <v>62902.09938989528</v>
      </c>
      <c r="BG99" s="85">
        <f>'Demandes de solde'!BG245</f>
        <v>67489.377899406871</v>
      </c>
      <c r="BH99" s="85">
        <f>'Demandes de solde'!BH245</f>
        <v>66481.718475194008</v>
      </c>
      <c r="BI99" s="85">
        <f>'Demandes de solde'!BI245</f>
        <v>70608.725113188964</v>
      </c>
    </row>
    <row r="100" spans="5:61" s="4" customFormat="1" x14ac:dyDescent="0.35">
      <c r="E100" s="4" t="str">
        <f>Hypothèses_trajectoire!E143</f>
        <v>Taux de rejet au paiement</v>
      </c>
      <c r="I100" s="14">
        <f>Hypothèses_trajectoire!I143</f>
        <v>0.05</v>
      </c>
      <c r="J100" s="4" t="str">
        <f>Hypothèses_trajectoire!J143</f>
        <v>% p.m</v>
      </c>
      <c r="N100" s="85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5"/>
      <c r="AM100" s="85"/>
      <c r="AN100" s="85"/>
      <c r="AO100" s="85"/>
      <c r="AP100" s="85"/>
      <c r="AQ100" s="85"/>
      <c r="AR100" s="85"/>
      <c r="AS100" s="85"/>
      <c r="AT100" s="85"/>
      <c r="AU100" s="85"/>
      <c r="AV100" s="85"/>
      <c r="AW100" s="85"/>
      <c r="AX100" s="85"/>
      <c r="AY100" s="85"/>
      <c r="AZ100" s="85"/>
      <c r="BA100" s="85"/>
      <c r="BB100" s="85"/>
      <c r="BC100" s="85"/>
      <c r="BD100" s="85"/>
      <c r="BE100" s="85"/>
      <c r="BF100" s="85"/>
      <c r="BG100" s="85"/>
      <c r="BH100" s="85"/>
      <c r="BI100" s="85"/>
    </row>
    <row r="101" spans="5:61" s="4" customFormat="1" x14ac:dyDescent="0.35">
      <c r="E101" s="4" t="str">
        <f>'Demandes de solde'!E171</f>
        <v>Volume de demande de solde sur engagement de l'année en cours</v>
      </c>
      <c r="I101" s="14"/>
      <c r="J101" s="4" t="str">
        <f>'Demandes de solde'!J171</f>
        <v>Volume</v>
      </c>
      <c r="N101" s="85">
        <f>'Demandes de solde'!N171</f>
        <v>0</v>
      </c>
      <c r="O101" s="85">
        <f>'Demandes de solde'!O171</f>
        <v>0</v>
      </c>
      <c r="P101" s="85">
        <f>'Demandes de solde'!P171</f>
        <v>0</v>
      </c>
      <c r="Q101" s="85">
        <f>'Demandes de solde'!Q171</f>
        <v>230.51212413957271</v>
      </c>
      <c r="R101" s="85">
        <f>'Demandes de solde'!R171</f>
        <v>1589.9929100628301</v>
      </c>
      <c r="S101" s="85">
        <f>'Demandes de solde'!S171</f>
        <v>2651.2817563396588</v>
      </c>
      <c r="T101" s="85">
        <f>'Demandes de solde'!T171</f>
        <v>6685.9663411913471</v>
      </c>
      <c r="U101" s="85">
        <f>'Demandes de solde'!U171</f>
        <v>11175.226121793588</v>
      </c>
      <c r="V101" s="85">
        <f>'Demandes de solde'!V171</f>
        <v>8619.6074973562136</v>
      </c>
      <c r="W101" s="85">
        <f>'Demandes de solde'!W171</f>
        <v>10212.195592556931</v>
      </c>
      <c r="X101" s="85">
        <f>'Demandes de solde'!X171</f>
        <v>12835.440792645088</v>
      </c>
      <c r="Y101" s="85">
        <f>'Demandes de solde'!Y171</f>
        <v>17912.423597951856</v>
      </c>
      <c r="Z101" s="85">
        <f>'Demandes de solde'!Z171</f>
        <v>10718.019916540436</v>
      </c>
      <c r="AA101" s="85">
        <f>'Demandes de solde'!AA171</f>
        <v>14645.789080214967</v>
      </c>
      <c r="AB101" s="85">
        <f>'Demandes de solde'!AB171</f>
        <v>19886.510955933976</v>
      </c>
      <c r="AC101" s="85">
        <f>'Demandes de solde'!AC171</f>
        <v>26848.276194174992</v>
      </c>
      <c r="AD101" s="85">
        <f>'Demandes de solde'!AD171</f>
        <v>30929.421889832953</v>
      </c>
      <c r="AE101" s="85">
        <f>'Demandes de solde'!AE171</f>
        <v>39423.827653677799</v>
      </c>
      <c r="AF101" s="85">
        <f>'Demandes de solde'!AF171</f>
        <v>41795.449908371113</v>
      </c>
      <c r="AG101" s="85">
        <f>'Demandes de solde'!AG171</f>
        <v>42928.3818099325</v>
      </c>
      <c r="AH101" s="85">
        <f>'Demandes de solde'!AH171</f>
        <v>44531.495278033421</v>
      </c>
      <c r="AI101" s="85">
        <f>'Demandes de solde'!AI171</f>
        <v>51671.467443829897</v>
      </c>
      <c r="AJ101" s="85">
        <f>'Demandes de solde'!AJ171</f>
        <v>52785.459513844544</v>
      </c>
      <c r="AK101" s="85">
        <f>'Demandes de solde'!AK171</f>
        <v>58781.240040064906</v>
      </c>
      <c r="AL101" s="85">
        <f>'Demandes de solde'!AL171</f>
        <v>20903.85955983404</v>
      </c>
      <c r="AM101" s="85">
        <f>'Demandes de solde'!AM171</f>
        <v>24288.406753508723</v>
      </c>
      <c r="AN101" s="85">
        <f>'Demandes de solde'!AN171</f>
        <v>33265.422782340203</v>
      </c>
      <c r="AO101" s="85">
        <f>'Demandes de solde'!AO171</f>
        <v>37929.967899464944</v>
      </c>
      <c r="AP101" s="85">
        <f>'Demandes de solde'!AP171</f>
        <v>44697.905477379594</v>
      </c>
      <c r="AQ101" s="85">
        <f>'Demandes de solde'!AQ171</f>
        <v>47740.03550851583</v>
      </c>
      <c r="AR101" s="85">
        <f>'Demandes de solde'!AR171</f>
        <v>51439.302576230562</v>
      </c>
      <c r="AS101" s="85">
        <f>'Demandes de solde'!AS171</f>
        <v>50817.334524433223</v>
      </c>
      <c r="AT101" s="85">
        <f>'Demandes de solde'!AT171</f>
        <v>53999.092515420845</v>
      </c>
      <c r="AU101" s="85">
        <f>'Demandes de solde'!AU171</f>
        <v>60787.553497437664</v>
      </c>
      <c r="AV101" s="85">
        <f>'Demandes de solde'!AV171</f>
        <v>61966.240068912128</v>
      </c>
      <c r="AW101" s="85">
        <f>'Demandes de solde'!AW171</f>
        <v>67552.89702619196</v>
      </c>
      <c r="AX101" s="85">
        <f>'Demandes de solde'!AX171</f>
        <v>23179.058131093367</v>
      </c>
      <c r="AY101" s="85">
        <f>'Demandes de solde'!AY171</f>
        <v>26782.58393695733</v>
      </c>
      <c r="AZ101" s="85">
        <f>'Demandes de solde'!AZ171</f>
        <v>36645.323522452381</v>
      </c>
      <c r="BA101" s="85">
        <f>'Demandes de solde'!BA171</f>
        <v>41773.844748092037</v>
      </c>
      <c r="BB101" s="85">
        <f>'Demandes de solde'!BB171</f>
        <v>49219.529667493945</v>
      </c>
      <c r="BC101" s="85">
        <f>'Demandes de solde'!BC171</f>
        <v>52561.772429951525</v>
      </c>
      <c r="BD101" s="85">
        <f>'Demandes de solde'!BD171</f>
        <v>56628.46160440876</v>
      </c>
      <c r="BE101" s="85">
        <f>'Demandes de solde'!BE171</f>
        <v>55938.948922858646</v>
      </c>
      <c r="BF101" s="85">
        <f>'Demandes de solde'!BF171</f>
        <v>59431.85725724959</v>
      </c>
      <c r="BG101" s="85">
        <f>'Demandes de solde'!BG171</f>
        <v>66894.163701799407</v>
      </c>
      <c r="BH101" s="85">
        <f>'Demandes de solde'!BH171</f>
        <v>68184.178355375378</v>
      </c>
      <c r="BI101" s="85">
        <f>'Demandes de solde'!BI171</f>
        <v>74324.973803356814</v>
      </c>
    </row>
    <row r="102" spans="5:61" s="4" customFormat="1" x14ac:dyDescent="0.35">
      <c r="I102" s="14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</row>
    <row r="104" spans="5:61" x14ac:dyDescent="0.35">
      <c r="E104">
        <f t="shared" ref="E104:E115" si="17">E43</f>
        <v>1</v>
      </c>
      <c r="J104" t="str">
        <f t="shared" ref="J104:J115" si="18">J43</f>
        <v>date</v>
      </c>
      <c r="N104" s="7">
        <f t="shared" ref="N104:BI104" si="19">N43</f>
        <v>43831</v>
      </c>
      <c r="O104" s="7">
        <f t="shared" si="19"/>
        <v>43831</v>
      </c>
      <c r="P104" s="7">
        <f t="shared" si="19"/>
        <v>43831</v>
      </c>
      <c r="Q104" s="7">
        <f t="shared" si="19"/>
        <v>43831</v>
      </c>
      <c r="R104" s="7">
        <f t="shared" si="19"/>
        <v>43831</v>
      </c>
      <c r="S104" s="7">
        <f t="shared" si="19"/>
        <v>43831</v>
      </c>
      <c r="T104" s="7">
        <f t="shared" si="19"/>
        <v>43831</v>
      </c>
      <c r="U104" s="7">
        <f t="shared" si="19"/>
        <v>43831</v>
      </c>
      <c r="V104" s="7">
        <f t="shared" si="19"/>
        <v>43831</v>
      </c>
      <c r="W104" s="7">
        <f t="shared" si="19"/>
        <v>43831</v>
      </c>
      <c r="X104" s="7">
        <f t="shared" si="19"/>
        <v>43831</v>
      </c>
      <c r="Y104" s="7">
        <f t="shared" si="19"/>
        <v>43831</v>
      </c>
      <c r="Z104" s="7">
        <f t="shared" si="19"/>
        <v>44197</v>
      </c>
      <c r="AA104" s="7">
        <f t="shared" si="19"/>
        <v>44197</v>
      </c>
      <c r="AB104" s="7">
        <f t="shared" si="19"/>
        <v>44197</v>
      </c>
      <c r="AC104" s="7">
        <f t="shared" si="19"/>
        <v>44197</v>
      </c>
      <c r="AD104" s="7">
        <f t="shared" si="19"/>
        <v>44197</v>
      </c>
      <c r="AE104" s="7">
        <f t="shared" si="19"/>
        <v>44197</v>
      </c>
      <c r="AF104" s="7">
        <f t="shared" si="19"/>
        <v>44197</v>
      </c>
      <c r="AG104" s="7">
        <f t="shared" si="19"/>
        <v>44197</v>
      </c>
      <c r="AH104" s="7">
        <f t="shared" si="19"/>
        <v>44197</v>
      </c>
      <c r="AI104" s="7">
        <f t="shared" si="19"/>
        <v>44197</v>
      </c>
      <c r="AJ104" s="7">
        <f t="shared" si="19"/>
        <v>44197</v>
      </c>
      <c r="AK104" s="7">
        <f t="shared" si="19"/>
        <v>44197</v>
      </c>
      <c r="AL104" s="7">
        <f t="shared" si="19"/>
        <v>44562</v>
      </c>
      <c r="AM104" s="7">
        <f t="shared" si="19"/>
        <v>44562</v>
      </c>
      <c r="AN104" s="7">
        <f t="shared" si="19"/>
        <v>44562</v>
      </c>
      <c r="AO104" s="7">
        <f t="shared" si="19"/>
        <v>44562</v>
      </c>
      <c r="AP104" s="7">
        <f t="shared" si="19"/>
        <v>44562</v>
      </c>
      <c r="AQ104" s="7">
        <f t="shared" si="19"/>
        <v>44562</v>
      </c>
      <c r="AR104" s="7">
        <f t="shared" si="19"/>
        <v>44562</v>
      </c>
      <c r="AS104" s="7">
        <f t="shared" si="19"/>
        <v>44562</v>
      </c>
      <c r="AT104" s="7">
        <f t="shared" si="19"/>
        <v>44562</v>
      </c>
      <c r="AU104" s="7">
        <f t="shared" si="19"/>
        <v>44562</v>
      </c>
      <c r="AV104" s="7">
        <f t="shared" si="19"/>
        <v>44562</v>
      </c>
      <c r="AW104" s="7">
        <f t="shared" si="19"/>
        <v>44562</v>
      </c>
      <c r="AX104" s="7">
        <f t="shared" si="19"/>
        <v>44927</v>
      </c>
      <c r="AY104" s="7">
        <f t="shared" si="19"/>
        <v>44927</v>
      </c>
      <c r="AZ104" s="7">
        <f t="shared" si="19"/>
        <v>44927</v>
      </c>
      <c r="BA104" s="7">
        <f t="shared" si="19"/>
        <v>44927</v>
      </c>
      <c r="BB104" s="7">
        <f t="shared" si="19"/>
        <v>44927</v>
      </c>
      <c r="BC104" s="7">
        <f t="shared" si="19"/>
        <v>44927</v>
      </c>
      <c r="BD104" s="7">
        <f t="shared" si="19"/>
        <v>44927</v>
      </c>
      <c r="BE104" s="7">
        <f t="shared" si="19"/>
        <v>44927</v>
      </c>
      <c r="BF104" s="7">
        <f t="shared" si="19"/>
        <v>44927</v>
      </c>
      <c r="BG104" s="7">
        <f t="shared" si="19"/>
        <v>44927</v>
      </c>
      <c r="BH104" s="7">
        <f t="shared" si="19"/>
        <v>44927</v>
      </c>
      <c r="BI104" s="7">
        <f t="shared" si="19"/>
        <v>44927</v>
      </c>
    </row>
    <row r="105" spans="5:61" x14ac:dyDescent="0.35">
      <c r="E105">
        <f t="shared" si="17"/>
        <v>2</v>
      </c>
      <c r="J105" t="str">
        <f t="shared" si="18"/>
        <v>date</v>
      </c>
      <c r="N105" s="78"/>
      <c r="O105" s="7">
        <f t="shared" ref="O105:BI105" si="20">O44</f>
        <v>43862</v>
      </c>
      <c r="P105" s="7">
        <f t="shared" si="20"/>
        <v>43862</v>
      </c>
      <c r="Q105" s="7">
        <f t="shared" si="20"/>
        <v>43862</v>
      </c>
      <c r="R105" s="7">
        <f t="shared" si="20"/>
        <v>43862</v>
      </c>
      <c r="S105" s="7">
        <f t="shared" si="20"/>
        <v>43862</v>
      </c>
      <c r="T105" s="7">
        <f t="shared" si="20"/>
        <v>43862</v>
      </c>
      <c r="U105" s="7">
        <f t="shared" si="20"/>
        <v>43862</v>
      </c>
      <c r="V105" s="7">
        <f t="shared" si="20"/>
        <v>43862</v>
      </c>
      <c r="W105" s="7">
        <f t="shared" si="20"/>
        <v>43862</v>
      </c>
      <c r="X105" s="7">
        <f t="shared" si="20"/>
        <v>43862</v>
      </c>
      <c r="Y105" s="7">
        <f t="shared" si="20"/>
        <v>43862</v>
      </c>
      <c r="Z105" s="7">
        <f t="shared" si="20"/>
        <v>43862</v>
      </c>
      <c r="AA105" s="7">
        <f t="shared" si="20"/>
        <v>44228</v>
      </c>
      <c r="AB105" s="7">
        <f t="shared" si="20"/>
        <v>44228</v>
      </c>
      <c r="AC105" s="7">
        <f t="shared" si="20"/>
        <v>44228</v>
      </c>
      <c r="AD105" s="7">
        <f t="shared" si="20"/>
        <v>44228</v>
      </c>
      <c r="AE105" s="7">
        <f t="shared" si="20"/>
        <v>44228</v>
      </c>
      <c r="AF105" s="7">
        <f t="shared" si="20"/>
        <v>44228</v>
      </c>
      <c r="AG105" s="7">
        <f t="shared" si="20"/>
        <v>44228</v>
      </c>
      <c r="AH105" s="7">
        <f t="shared" si="20"/>
        <v>44228</v>
      </c>
      <c r="AI105" s="7">
        <f t="shared" si="20"/>
        <v>44228</v>
      </c>
      <c r="AJ105" s="7">
        <f t="shared" si="20"/>
        <v>44228</v>
      </c>
      <c r="AK105" s="7">
        <f t="shared" si="20"/>
        <v>44228</v>
      </c>
      <c r="AL105" s="7">
        <f t="shared" si="20"/>
        <v>44228</v>
      </c>
      <c r="AM105" s="7">
        <f t="shared" si="20"/>
        <v>44593</v>
      </c>
      <c r="AN105" s="7">
        <f t="shared" si="20"/>
        <v>44593</v>
      </c>
      <c r="AO105" s="7">
        <f t="shared" si="20"/>
        <v>44593</v>
      </c>
      <c r="AP105" s="7">
        <f t="shared" si="20"/>
        <v>44593</v>
      </c>
      <c r="AQ105" s="7">
        <f t="shared" si="20"/>
        <v>44593</v>
      </c>
      <c r="AR105" s="7">
        <f t="shared" si="20"/>
        <v>44593</v>
      </c>
      <c r="AS105" s="7">
        <f t="shared" si="20"/>
        <v>44593</v>
      </c>
      <c r="AT105" s="7">
        <f t="shared" si="20"/>
        <v>44593</v>
      </c>
      <c r="AU105" s="7">
        <f t="shared" si="20"/>
        <v>44593</v>
      </c>
      <c r="AV105" s="7">
        <f t="shared" si="20"/>
        <v>44593</v>
      </c>
      <c r="AW105" s="7">
        <f t="shared" si="20"/>
        <v>44593</v>
      </c>
      <c r="AX105" s="7">
        <f t="shared" si="20"/>
        <v>44593</v>
      </c>
      <c r="AY105" s="7">
        <f t="shared" si="20"/>
        <v>44958</v>
      </c>
      <c r="AZ105" s="7">
        <f t="shared" si="20"/>
        <v>44958</v>
      </c>
      <c r="BA105" s="7">
        <f t="shared" si="20"/>
        <v>44958</v>
      </c>
      <c r="BB105" s="7">
        <f t="shared" si="20"/>
        <v>44958</v>
      </c>
      <c r="BC105" s="7">
        <f t="shared" si="20"/>
        <v>44958</v>
      </c>
      <c r="BD105" s="7">
        <f t="shared" si="20"/>
        <v>44958</v>
      </c>
      <c r="BE105" s="7">
        <f t="shared" si="20"/>
        <v>44958</v>
      </c>
      <c r="BF105" s="7">
        <f t="shared" si="20"/>
        <v>44958</v>
      </c>
      <c r="BG105" s="7">
        <f t="shared" si="20"/>
        <v>44958</v>
      </c>
      <c r="BH105" s="7">
        <f t="shared" si="20"/>
        <v>44958</v>
      </c>
      <c r="BI105" s="7">
        <f t="shared" si="20"/>
        <v>44958</v>
      </c>
    </row>
    <row r="106" spans="5:61" x14ac:dyDescent="0.35">
      <c r="E106">
        <f t="shared" si="17"/>
        <v>3</v>
      </c>
      <c r="J106" t="str">
        <f t="shared" si="18"/>
        <v>date</v>
      </c>
      <c r="N106" s="78"/>
      <c r="O106" s="78"/>
      <c r="P106" s="7">
        <f t="shared" ref="P106:BI106" si="21">P45</f>
        <v>43891</v>
      </c>
      <c r="Q106" s="7">
        <f t="shared" si="21"/>
        <v>43891</v>
      </c>
      <c r="R106" s="7">
        <f t="shared" si="21"/>
        <v>43891</v>
      </c>
      <c r="S106" s="7">
        <f t="shared" si="21"/>
        <v>43891</v>
      </c>
      <c r="T106" s="7">
        <f t="shared" si="21"/>
        <v>43891</v>
      </c>
      <c r="U106" s="7">
        <f t="shared" si="21"/>
        <v>43891</v>
      </c>
      <c r="V106" s="7">
        <f t="shared" si="21"/>
        <v>43891</v>
      </c>
      <c r="W106" s="7">
        <f t="shared" si="21"/>
        <v>43891</v>
      </c>
      <c r="X106" s="7">
        <f t="shared" si="21"/>
        <v>43891</v>
      </c>
      <c r="Y106" s="7">
        <f t="shared" si="21"/>
        <v>43891</v>
      </c>
      <c r="Z106" s="7">
        <f t="shared" si="21"/>
        <v>43891</v>
      </c>
      <c r="AA106" s="7">
        <f t="shared" si="21"/>
        <v>43891</v>
      </c>
      <c r="AB106" s="7">
        <f t="shared" si="21"/>
        <v>44256</v>
      </c>
      <c r="AC106" s="7">
        <f t="shared" si="21"/>
        <v>44256</v>
      </c>
      <c r="AD106" s="7">
        <f t="shared" si="21"/>
        <v>44256</v>
      </c>
      <c r="AE106" s="7">
        <f t="shared" si="21"/>
        <v>44256</v>
      </c>
      <c r="AF106" s="7">
        <f t="shared" si="21"/>
        <v>44256</v>
      </c>
      <c r="AG106" s="7">
        <f t="shared" si="21"/>
        <v>44256</v>
      </c>
      <c r="AH106" s="7">
        <f t="shared" si="21"/>
        <v>44256</v>
      </c>
      <c r="AI106" s="7">
        <f t="shared" si="21"/>
        <v>44256</v>
      </c>
      <c r="AJ106" s="7">
        <f t="shared" si="21"/>
        <v>44256</v>
      </c>
      <c r="AK106" s="7">
        <f t="shared" si="21"/>
        <v>44256</v>
      </c>
      <c r="AL106" s="7">
        <f t="shared" si="21"/>
        <v>44256</v>
      </c>
      <c r="AM106" s="7">
        <f t="shared" si="21"/>
        <v>44256</v>
      </c>
      <c r="AN106" s="7">
        <f t="shared" si="21"/>
        <v>44621</v>
      </c>
      <c r="AO106" s="7">
        <f t="shared" si="21"/>
        <v>44621</v>
      </c>
      <c r="AP106" s="7">
        <f t="shared" si="21"/>
        <v>44621</v>
      </c>
      <c r="AQ106" s="7">
        <f t="shared" si="21"/>
        <v>44621</v>
      </c>
      <c r="AR106" s="7">
        <f t="shared" si="21"/>
        <v>44621</v>
      </c>
      <c r="AS106" s="7">
        <f t="shared" si="21"/>
        <v>44621</v>
      </c>
      <c r="AT106" s="7">
        <f t="shared" si="21"/>
        <v>44621</v>
      </c>
      <c r="AU106" s="7">
        <f t="shared" si="21"/>
        <v>44621</v>
      </c>
      <c r="AV106" s="7">
        <f t="shared" si="21"/>
        <v>44621</v>
      </c>
      <c r="AW106" s="7">
        <f t="shared" si="21"/>
        <v>44621</v>
      </c>
      <c r="AX106" s="7">
        <f t="shared" si="21"/>
        <v>44621</v>
      </c>
      <c r="AY106" s="7">
        <f t="shared" si="21"/>
        <v>44621</v>
      </c>
      <c r="AZ106" s="7">
        <f t="shared" si="21"/>
        <v>44986</v>
      </c>
      <c r="BA106" s="7">
        <f t="shared" si="21"/>
        <v>44986</v>
      </c>
      <c r="BB106" s="7">
        <f t="shared" si="21"/>
        <v>44986</v>
      </c>
      <c r="BC106" s="7">
        <f t="shared" si="21"/>
        <v>44986</v>
      </c>
      <c r="BD106" s="7">
        <f t="shared" si="21"/>
        <v>44986</v>
      </c>
      <c r="BE106" s="7">
        <f t="shared" si="21"/>
        <v>44986</v>
      </c>
      <c r="BF106" s="7">
        <f t="shared" si="21"/>
        <v>44986</v>
      </c>
      <c r="BG106" s="7">
        <f t="shared" si="21"/>
        <v>44986</v>
      </c>
      <c r="BH106" s="7">
        <f t="shared" si="21"/>
        <v>44986</v>
      </c>
      <c r="BI106" s="7">
        <f t="shared" si="21"/>
        <v>44986</v>
      </c>
    </row>
    <row r="107" spans="5:61" x14ac:dyDescent="0.35">
      <c r="E107">
        <f t="shared" si="17"/>
        <v>4</v>
      </c>
      <c r="J107" t="str">
        <f t="shared" si="18"/>
        <v>date</v>
      </c>
      <c r="N107" s="78"/>
      <c r="O107" s="78"/>
      <c r="P107" s="78"/>
      <c r="Q107" s="7">
        <f t="shared" ref="Q107:BI107" si="22">Q46</f>
        <v>43922</v>
      </c>
      <c r="R107" s="7">
        <f t="shared" si="22"/>
        <v>43922</v>
      </c>
      <c r="S107" s="7">
        <f t="shared" si="22"/>
        <v>43922</v>
      </c>
      <c r="T107" s="7">
        <f t="shared" si="22"/>
        <v>43922</v>
      </c>
      <c r="U107" s="7">
        <f t="shared" si="22"/>
        <v>43922</v>
      </c>
      <c r="V107" s="7">
        <f t="shared" si="22"/>
        <v>43922</v>
      </c>
      <c r="W107" s="7">
        <f t="shared" si="22"/>
        <v>43922</v>
      </c>
      <c r="X107" s="7">
        <f t="shared" si="22"/>
        <v>43922</v>
      </c>
      <c r="Y107" s="7">
        <f t="shared" si="22"/>
        <v>43922</v>
      </c>
      <c r="Z107" s="7">
        <f t="shared" si="22"/>
        <v>43922</v>
      </c>
      <c r="AA107" s="7">
        <f t="shared" si="22"/>
        <v>43922</v>
      </c>
      <c r="AB107" s="7">
        <f t="shared" si="22"/>
        <v>43922</v>
      </c>
      <c r="AC107" s="7">
        <f t="shared" si="22"/>
        <v>44287</v>
      </c>
      <c r="AD107" s="7">
        <f t="shared" si="22"/>
        <v>44287</v>
      </c>
      <c r="AE107" s="7">
        <f t="shared" si="22"/>
        <v>44287</v>
      </c>
      <c r="AF107" s="7">
        <f t="shared" si="22"/>
        <v>44287</v>
      </c>
      <c r="AG107" s="7">
        <f t="shared" si="22"/>
        <v>44287</v>
      </c>
      <c r="AH107" s="7">
        <f t="shared" si="22"/>
        <v>44287</v>
      </c>
      <c r="AI107" s="7">
        <f t="shared" si="22"/>
        <v>44287</v>
      </c>
      <c r="AJ107" s="7">
        <f t="shared" si="22"/>
        <v>44287</v>
      </c>
      <c r="AK107" s="7">
        <f t="shared" si="22"/>
        <v>44287</v>
      </c>
      <c r="AL107" s="7">
        <f t="shared" si="22"/>
        <v>44287</v>
      </c>
      <c r="AM107" s="7">
        <f t="shared" si="22"/>
        <v>44287</v>
      </c>
      <c r="AN107" s="7">
        <f t="shared" si="22"/>
        <v>44287</v>
      </c>
      <c r="AO107" s="7">
        <f t="shared" si="22"/>
        <v>44652</v>
      </c>
      <c r="AP107" s="7">
        <f t="shared" si="22"/>
        <v>44652</v>
      </c>
      <c r="AQ107" s="7">
        <f t="shared" si="22"/>
        <v>44652</v>
      </c>
      <c r="AR107" s="7">
        <f t="shared" si="22"/>
        <v>44652</v>
      </c>
      <c r="AS107" s="7">
        <f t="shared" si="22"/>
        <v>44652</v>
      </c>
      <c r="AT107" s="7">
        <f t="shared" si="22"/>
        <v>44652</v>
      </c>
      <c r="AU107" s="7">
        <f t="shared" si="22"/>
        <v>44652</v>
      </c>
      <c r="AV107" s="7">
        <f t="shared" si="22"/>
        <v>44652</v>
      </c>
      <c r="AW107" s="7">
        <f t="shared" si="22"/>
        <v>44652</v>
      </c>
      <c r="AX107" s="7">
        <f t="shared" si="22"/>
        <v>44652</v>
      </c>
      <c r="AY107" s="7">
        <f t="shared" si="22"/>
        <v>44652</v>
      </c>
      <c r="AZ107" s="7">
        <f t="shared" si="22"/>
        <v>44652</v>
      </c>
      <c r="BA107" s="7">
        <f t="shared" si="22"/>
        <v>45017</v>
      </c>
      <c r="BB107" s="7">
        <f t="shared" si="22"/>
        <v>45017</v>
      </c>
      <c r="BC107" s="7">
        <f t="shared" si="22"/>
        <v>45017</v>
      </c>
      <c r="BD107" s="7">
        <f t="shared" si="22"/>
        <v>45017</v>
      </c>
      <c r="BE107" s="7">
        <f t="shared" si="22"/>
        <v>45017</v>
      </c>
      <c r="BF107" s="7">
        <f t="shared" si="22"/>
        <v>45017</v>
      </c>
      <c r="BG107" s="7">
        <f t="shared" si="22"/>
        <v>45017</v>
      </c>
      <c r="BH107" s="7">
        <f t="shared" si="22"/>
        <v>45017</v>
      </c>
      <c r="BI107" s="7">
        <f t="shared" si="22"/>
        <v>45017</v>
      </c>
    </row>
    <row r="108" spans="5:61" x14ac:dyDescent="0.35">
      <c r="E108">
        <f t="shared" si="17"/>
        <v>5</v>
      </c>
      <c r="J108" t="str">
        <f t="shared" si="18"/>
        <v>date</v>
      </c>
      <c r="N108" s="78"/>
      <c r="O108" s="78"/>
      <c r="P108" s="78"/>
      <c r="Q108" s="78"/>
      <c r="R108" s="7">
        <f t="shared" ref="R108:BI108" si="23">R47</f>
        <v>43952</v>
      </c>
      <c r="S108" s="7">
        <f t="shared" si="23"/>
        <v>43952</v>
      </c>
      <c r="T108" s="7">
        <f t="shared" si="23"/>
        <v>43952</v>
      </c>
      <c r="U108" s="7">
        <f t="shared" si="23"/>
        <v>43952</v>
      </c>
      <c r="V108" s="7">
        <f t="shared" si="23"/>
        <v>43952</v>
      </c>
      <c r="W108" s="7">
        <f t="shared" si="23"/>
        <v>43952</v>
      </c>
      <c r="X108" s="7">
        <f t="shared" si="23"/>
        <v>43952</v>
      </c>
      <c r="Y108" s="7">
        <f t="shared" si="23"/>
        <v>43952</v>
      </c>
      <c r="Z108" s="7">
        <f t="shared" si="23"/>
        <v>43952</v>
      </c>
      <c r="AA108" s="7">
        <f t="shared" si="23"/>
        <v>43952</v>
      </c>
      <c r="AB108" s="7">
        <f t="shared" si="23"/>
        <v>43952</v>
      </c>
      <c r="AC108" s="7">
        <f t="shared" si="23"/>
        <v>43952</v>
      </c>
      <c r="AD108" s="7">
        <f t="shared" si="23"/>
        <v>44317</v>
      </c>
      <c r="AE108" s="7">
        <f t="shared" si="23"/>
        <v>44317</v>
      </c>
      <c r="AF108" s="7">
        <f t="shared" si="23"/>
        <v>44317</v>
      </c>
      <c r="AG108" s="7">
        <f t="shared" si="23"/>
        <v>44317</v>
      </c>
      <c r="AH108" s="7">
        <f t="shared" si="23"/>
        <v>44317</v>
      </c>
      <c r="AI108" s="7">
        <f t="shared" si="23"/>
        <v>44317</v>
      </c>
      <c r="AJ108" s="7">
        <f t="shared" si="23"/>
        <v>44317</v>
      </c>
      <c r="AK108" s="7">
        <f t="shared" si="23"/>
        <v>44317</v>
      </c>
      <c r="AL108" s="7">
        <f t="shared" si="23"/>
        <v>44317</v>
      </c>
      <c r="AM108" s="7">
        <f t="shared" si="23"/>
        <v>44317</v>
      </c>
      <c r="AN108" s="7">
        <f t="shared" si="23"/>
        <v>44317</v>
      </c>
      <c r="AO108" s="7">
        <f t="shared" si="23"/>
        <v>44317</v>
      </c>
      <c r="AP108" s="7">
        <f t="shared" si="23"/>
        <v>44682</v>
      </c>
      <c r="AQ108" s="7">
        <f t="shared" si="23"/>
        <v>44682</v>
      </c>
      <c r="AR108" s="7">
        <f t="shared" si="23"/>
        <v>44682</v>
      </c>
      <c r="AS108" s="7">
        <f t="shared" si="23"/>
        <v>44682</v>
      </c>
      <c r="AT108" s="7">
        <f t="shared" si="23"/>
        <v>44682</v>
      </c>
      <c r="AU108" s="7">
        <f t="shared" si="23"/>
        <v>44682</v>
      </c>
      <c r="AV108" s="7">
        <f t="shared" si="23"/>
        <v>44682</v>
      </c>
      <c r="AW108" s="7">
        <f t="shared" si="23"/>
        <v>44682</v>
      </c>
      <c r="AX108" s="7">
        <f t="shared" si="23"/>
        <v>44682</v>
      </c>
      <c r="AY108" s="7">
        <f t="shared" si="23"/>
        <v>44682</v>
      </c>
      <c r="AZ108" s="7">
        <f t="shared" si="23"/>
        <v>44682</v>
      </c>
      <c r="BA108" s="7">
        <f t="shared" si="23"/>
        <v>44682</v>
      </c>
      <c r="BB108" s="7">
        <f t="shared" si="23"/>
        <v>45047</v>
      </c>
      <c r="BC108" s="7">
        <f t="shared" si="23"/>
        <v>45047</v>
      </c>
      <c r="BD108" s="7">
        <f t="shared" si="23"/>
        <v>45047</v>
      </c>
      <c r="BE108" s="7">
        <f t="shared" si="23"/>
        <v>45047</v>
      </c>
      <c r="BF108" s="7">
        <f t="shared" si="23"/>
        <v>45047</v>
      </c>
      <c r="BG108" s="7">
        <f t="shared" si="23"/>
        <v>45047</v>
      </c>
      <c r="BH108" s="7">
        <f t="shared" si="23"/>
        <v>45047</v>
      </c>
      <c r="BI108" s="7">
        <f t="shared" si="23"/>
        <v>45047</v>
      </c>
    </row>
    <row r="109" spans="5:61" x14ac:dyDescent="0.35">
      <c r="E109">
        <f t="shared" si="17"/>
        <v>6</v>
      </c>
      <c r="J109" t="str">
        <f t="shared" si="18"/>
        <v>date</v>
      </c>
      <c r="N109" s="78"/>
      <c r="O109" s="78"/>
      <c r="P109" s="78"/>
      <c r="Q109" s="78"/>
      <c r="R109" s="78"/>
      <c r="S109" s="7">
        <f t="shared" ref="S109:AQ109" si="24">S48</f>
        <v>43983</v>
      </c>
      <c r="T109" s="7">
        <f t="shared" si="24"/>
        <v>43983</v>
      </c>
      <c r="U109" s="7">
        <f t="shared" si="24"/>
        <v>43983</v>
      </c>
      <c r="V109" s="7">
        <f t="shared" si="24"/>
        <v>43983</v>
      </c>
      <c r="W109" s="7">
        <f t="shared" si="24"/>
        <v>43983</v>
      </c>
      <c r="X109" s="7">
        <f t="shared" si="24"/>
        <v>43983</v>
      </c>
      <c r="Y109" s="7">
        <f t="shared" si="24"/>
        <v>43983</v>
      </c>
      <c r="Z109" s="7">
        <f t="shared" si="24"/>
        <v>43983</v>
      </c>
      <c r="AA109" s="7">
        <f t="shared" si="24"/>
        <v>43983</v>
      </c>
      <c r="AB109" s="7">
        <f t="shared" si="24"/>
        <v>43983</v>
      </c>
      <c r="AC109" s="7">
        <f t="shared" si="24"/>
        <v>43983</v>
      </c>
      <c r="AD109" s="7">
        <f t="shared" si="24"/>
        <v>43983</v>
      </c>
      <c r="AE109" s="7">
        <f t="shared" si="24"/>
        <v>44348</v>
      </c>
      <c r="AF109" s="7">
        <f t="shared" si="24"/>
        <v>44348</v>
      </c>
      <c r="AG109" s="7">
        <f t="shared" si="24"/>
        <v>44348</v>
      </c>
      <c r="AH109" s="7">
        <f t="shared" si="24"/>
        <v>44348</v>
      </c>
      <c r="AI109" s="7">
        <f t="shared" si="24"/>
        <v>44348</v>
      </c>
      <c r="AJ109" s="7">
        <f t="shared" si="24"/>
        <v>44348</v>
      </c>
      <c r="AK109" s="7">
        <f t="shared" si="24"/>
        <v>44348</v>
      </c>
      <c r="AL109" s="7">
        <f t="shared" si="24"/>
        <v>44348</v>
      </c>
      <c r="AM109" s="7">
        <f t="shared" si="24"/>
        <v>44348</v>
      </c>
      <c r="AN109" s="7">
        <f t="shared" si="24"/>
        <v>44348</v>
      </c>
      <c r="AO109" s="7">
        <f t="shared" si="24"/>
        <v>44348</v>
      </c>
      <c r="AP109" s="7">
        <f t="shared" si="24"/>
        <v>44348</v>
      </c>
      <c r="AQ109" s="7">
        <f t="shared" si="24"/>
        <v>44713</v>
      </c>
      <c r="AR109" s="7">
        <f t="shared" ref="AR109:BI109" si="25">AR48</f>
        <v>44713</v>
      </c>
      <c r="AS109" s="7">
        <f t="shared" si="25"/>
        <v>44713</v>
      </c>
      <c r="AT109" s="7">
        <f t="shared" si="25"/>
        <v>44713</v>
      </c>
      <c r="AU109" s="7">
        <f t="shared" si="25"/>
        <v>44713</v>
      </c>
      <c r="AV109" s="7">
        <f t="shared" si="25"/>
        <v>44713</v>
      </c>
      <c r="AW109" s="7">
        <f t="shared" si="25"/>
        <v>44713</v>
      </c>
      <c r="AX109" s="7">
        <f t="shared" si="25"/>
        <v>44713</v>
      </c>
      <c r="AY109" s="7">
        <f t="shared" si="25"/>
        <v>44713</v>
      </c>
      <c r="AZ109" s="7">
        <f t="shared" si="25"/>
        <v>44713</v>
      </c>
      <c r="BA109" s="7">
        <f t="shared" si="25"/>
        <v>44713</v>
      </c>
      <c r="BB109" s="7">
        <f t="shared" si="25"/>
        <v>44713</v>
      </c>
      <c r="BC109" s="7">
        <f t="shared" si="25"/>
        <v>45078</v>
      </c>
      <c r="BD109" s="7">
        <f t="shared" si="25"/>
        <v>45078</v>
      </c>
      <c r="BE109" s="7">
        <f t="shared" si="25"/>
        <v>45078</v>
      </c>
      <c r="BF109" s="7">
        <f t="shared" si="25"/>
        <v>45078</v>
      </c>
      <c r="BG109" s="7">
        <f t="shared" si="25"/>
        <v>45078</v>
      </c>
      <c r="BH109" s="7">
        <f t="shared" si="25"/>
        <v>45078</v>
      </c>
      <c r="BI109" s="7">
        <f t="shared" si="25"/>
        <v>45078</v>
      </c>
    </row>
    <row r="110" spans="5:61" x14ac:dyDescent="0.35">
      <c r="E110">
        <f t="shared" si="17"/>
        <v>7</v>
      </c>
      <c r="J110" t="str">
        <f t="shared" si="18"/>
        <v>date</v>
      </c>
      <c r="N110" s="78"/>
      <c r="O110" s="78"/>
      <c r="P110" s="78"/>
      <c r="Q110" s="78"/>
      <c r="R110" s="78"/>
      <c r="S110" s="78"/>
      <c r="T110" s="7">
        <f t="shared" ref="T110:BI110" si="26">T49</f>
        <v>44013</v>
      </c>
      <c r="U110" s="7">
        <f t="shared" si="26"/>
        <v>44013</v>
      </c>
      <c r="V110" s="7">
        <f t="shared" si="26"/>
        <v>44013</v>
      </c>
      <c r="W110" s="7">
        <f t="shared" si="26"/>
        <v>44013</v>
      </c>
      <c r="X110" s="7">
        <f t="shared" si="26"/>
        <v>44013</v>
      </c>
      <c r="Y110" s="7">
        <f t="shared" si="26"/>
        <v>44013</v>
      </c>
      <c r="Z110" s="7">
        <f t="shared" si="26"/>
        <v>44013</v>
      </c>
      <c r="AA110" s="7">
        <f t="shared" si="26"/>
        <v>44013</v>
      </c>
      <c r="AB110" s="7">
        <f t="shared" si="26"/>
        <v>44013</v>
      </c>
      <c r="AC110" s="7">
        <f t="shared" si="26"/>
        <v>44013</v>
      </c>
      <c r="AD110" s="7">
        <f t="shared" si="26"/>
        <v>44013</v>
      </c>
      <c r="AE110" s="7">
        <f t="shared" si="26"/>
        <v>44013</v>
      </c>
      <c r="AF110" s="7">
        <f t="shared" si="26"/>
        <v>44378</v>
      </c>
      <c r="AG110" s="7">
        <f t="shared" si="26"/>
        <v>44378</v>
      </c>
      <c r="AH110" s="7">
        <f t="shared" si="26"/>
        <v>44378</v>
      </c>
      <c r="AI110" s="7">
        <f t="shared" si="26"/>
        <v>44378</v>
      </c>
      <c r="AJ110" s="7">
        <f t="shared" si="26"/>
        <v>44378</v>
      </c>
      <c r="AK110" s="7">
        <f t="shared" si="26"/>
        <v>44378</v>
      </c>
      <c r="AL110" s="7">
        <f t="shared" si="26"/>
        <v>44378</v>
      </c>
      <c r="AM110" s="7">
        <f t="shared" si="26"/>
        <v>44378</v>
      </c>
      <c r="AN110" s="7">
        <f t="shared" si="26"/>
        <v>44378</v>
      </c>
      <c r="AO110" s="7">
        <f t="shared" si="26"/>
        <v>44378</v>
      </c>
      <c r="AP110" s="7">
        <f t="shared" si="26"/>
        <v>44378</v>
      </c>
      <c r="AQ110" s="7">
        <f t="shared" si="26"/>
        <v>44378</v>
      </c>
      <c r="AR110" s="7">
        <f t="shared" si="26"/>
        <v>44743</v>
      </c>
      <c r="AS110" s="7">
        <f t="shared" si="26"/>
        <v>44743</v>
      </c>
      <c r="AT110" s="7">
        <f t="shared" si="26"/>
        <v>44743</v>
      </c>
      <c r="AU110" s="7">
        <f t="shared" si="26"/>
        <v>44743</v>
      </c>
      <c r="AV110" s="7">
        <f t="shared" si="26"/>
        <v>44743</v>
      </c>
      <c r="AW110" s="7">
        <f t="shared" si="26"/>
        <v>44743</v>
      </c>
      <c r="AX110" s="7">
        <f t="shared" si="26"/>
        <v>44743</v>
      </c>
      <c r="AY110" s="7">
        <f t="shared" si="26"/>
        <v>44743</v>
      </c>
      <c r="AZ110" s="7">
        <f t="shared" si="26"/>
        <v>44743</v>
      </c>
      <c r="BA110" s="7">
        <f t="shared" si="26"/>
        <v>44743</v>
      </c>
      <c r="BB110" s="7">
        <f t="shared" si="26"/>
        <v>44743</v>
      </c>
      <c r="BC110" s="7">
        <f t="shared" si="26"/>
        <v>44743</v>
      </c>
      <c r="BD110" s="7">
        <f t="shared" si="26"/>
        <v>45108</v>
      </c>
      <c r="BE110" s="7">
        <f t="shared" si="26"/>
        <v>45108</v>
      </c>
      <c r="BF110" s="7">
        <f t="shared" si="26"/>
        <v>45108</v>
      </c>
      <c r="BG110" s="7">
        <f t="shared" si="26"/>
        <v>45108</v>
      </c>
      <c r="BH110" s="7">
        <f t="shared" si="26"/>
        <v>45108</v>
      </c>
      <c r="BI110" s="7">
        <f t="shared" si="26"/>
        <v>45108</v>
      </c>
    </row>
    <row r="111" spans="5:61" x14ac:dyDescent="0.35">
      <c r="E111">
        <f t="shared" si="17"/>
        <v>8</v>
      </c>
      <c r="J111" t="str">
        <f t="shared" si="18"/>
        <v>date</v>
      </c>
      <c r="N111" s="78"/>
      <c r="O111" s="78"/>
      <c r="P111" s="78"/>
      <c r="Q111" s="78"/>
      <c r="R111" s="78"/>
      <c r="S111" s="78"/>
      <c r="T111" s="78"/>
      <c r="U111" s="7">
        <f t="shared" ref="U111:BI111" si="27">U50</f>
        <v>44044</v>
      </c>
      <c r="V111" s="7">
        <f t="shared" si="27"/>
        <v>44044</v>
      </c>
      <c r="W111" s="7">
        <f t="shared" si="27"/>
        <v>44044</v>
      </c>
      <c r="X111" s="7">
        <f t="shared" si="27"/>
        <v>44044</v>
      </c>
      <c r="Y111" s="7">
        <f t="shared" si="27"/>
        <v>44044</v>
      </c>
      <c r="Z111" s="7">
        <f t="shared" si="27"/>
        <v>44044</v>
      </c>
      <c r="AA111" s="7">
        <f t="shared" si="27"/>
        <v>44044</v>
      </c>
      <c r="AB111" s="7">
        <f t="shared" si="27"/>
        <v>44044</v>
      </c>
      <c r="AC111" s="7">
        <f t="shared" si="27"/>
        <v>44044</v>
      </c>
      <c r="AD111" s="7">
        <f t="shared" si="27"/>
        <v>44044</v>
      </c>
      <c r="AE111" s="7">
        <f t="shared" si="27"/>
        <v>44044</v>
      </c>
      <c r="AF111" s="7">
        <f t="shared" si="27"/>
        <v>44044</v>
      </c>
      <c r="AG111" s="7">
        <f t="shared" si="27"/>
        <v>44409</v>
      </c>
      <c r="AH111" s="7">
        <f t="shared" si="27"/>
        <v>44409</v>
      </c>
      <c r="AI111" s="7">
        <f t="shared" si="27"/>
        <v>44409</v>
      </c>
      <c r="AJ111" s="7">
        <f t="shared" si="27"/>
        <v>44409</v>
      </c>
      <c r="AK111" s="7">
        <f t="shared" si="27"/>
        <v>44409</v>
      </c>
      <c r="AL111" s="7">
        <f t="shared" si="27"/>
        <v>44409</v>
      </c>
      <c r="AM111" s="7">
        <f t="shared" si="27"/>
        <v>44409</v>
      </c>
      <c r="AN111" s="7">
        <f t="shared" si="27"/>
        <v>44409</v>
      </c>
      <c r="AO111" s="7">
        <f t="shared" si="27"/>
        <v>44409</v>
      </c>
      <c r="AP111" s="7">
        <f t="shared" si="27"/>
        <v>44409</v>
      </c>
      <c r="AQ111" s="7">
        <f t="shared" si="27"/>
        <v>44409</v>
      </c>
      <c r="AR111" s="7">
        <f t="shared" si="27"/>
        <v>44409</v>
      </c>
      <c r="AS111" s="7">
        <f t="shared" si="27"/>
        <v>44774</v>
      </c>
      <c r="AT111" s="7">
        <f t="shared" si="27"/>
        <v>44774</v>
      </c>
      <c r="AU111" s="7">
        <f t="shared" si="27"/>
        <v>44774</v>
      </c>
      <c r="AV111" s="7">
        <f t="shared" si="27"/>
        <v>44774</v>
      </c>
      <c r="AW111" s="7">
        <f t="shared" si="27"/>
        <v>44774</v>
      </c>
      <c r="AX111" s="7">
        <f t="shared" si="27"/>
        <v>44774</v>
      </c>
      <c r="AY111" s="7">
        <f t="shared" si="27"/>
        <v>44774</v>
      </c>
      <c r="AZ111" s="7">
        <f t="shared" si="27"/>
        <v>44774</v>
      </c>
      <c r="BA111" s="7">
        <f t="shared" si="27"/>
        <v>44774</v>
      </c>
      <c r="BB111" s="7">
        <f t="shared" si="27"/>
        <v>44774</v>
      </c>
      <c r="BC111" s="7">
        <f t="shared" si="27"/>
        <v>44774</v>
      </c>
      <c r="BD111" s="7">
        <f t="shared" si="27"/>
        <v>44774</v>
      </c>
      <c r="BE111" s="7">
        <f t="shared" si="27"/>
        <v>45139</v>
      </c>
      <c r="BF111" s="7">
        <f t="shared" si="27"/>
        <v>45139</v>
      </c>
      <c r="BG111" s="7">
        <f t="shared" si="27"/>
        <v>45139</v>
      </c>
      <c r="BH111" s="7">
        <f t="shared" si="27"/>
        <v>45139</v>
      </c>
      <c r="BI111" s="7">
        <f t="shared" si="27"/>
        <v>45139</v>
      </c>
    </row>
    <row r="112" spans="5:61" x14ac:dyDescent="0.35">
      <c r="E112">
        <f t="shared" si="17"/>
        <v>9</v>
      </c>
      <c r="J112" t="str">
        <f t="shared" si="18"/>
        <v>date</v>
      </c>
      <c r="N112" s="78"/>
      <c r="O112" s="78"/>
      <c r="P112" s="78"/>
      <c r="Q112" s="78"/>
      <c r="R112" s="78"/>
      <c r="S112" s="78"/>
      <c r="T112" s="78"/>
      <c r="U112" s="78"/>
      <c r="V112" s="7">
        <f t="shared" ref="V112:BI112" si="28">V51</f>
        <v>44075</v>
      </c>
      <c r="W112" s="7">
        <f t="shared" si="28"/>
        <v>44075</v>
      </c>
      <c r="X112" s="7">
        <f t="shared" si="28"/>
        <v>44075</v>
      </c>
      <c r="Y112" s="7">
        <f t="shared" si="28"/>
        <v>44075</v>
      </c>
      <c r="Z112" s="7">
        <f t="shared" si="28"/>
        <v>44075</v>
      </c>
      <c r="AA112" s="7">
        <f t="shared" si="28"/>
        <v>44075</v>
      </c>
      <c r="AB112" s="7">
        <f t="shared" si="28"/>
        <v>44075</v>
      </c>
      <c r="AC112" s="7">
        <f t="shared" si="28"/>
        <v>44075</v>
      </c>
      <c r="AD112" s="7">
        <f t="shared" si="28"/>
        <v>44075</v>
      </c>
      <c r="AE112" s="7">
        <f t="shared" si="28"/>
        <v>44075</v>
      </c>
      <c r="AF112" s="7">
        <f t="shared" si="28"/>
        <v>44075</v>
      </c>
      <c r="AG112" s="7">
        <f t="shared" si="28"/>
        <v>44075</v>
      </c>
      <c r="AH112" s="7">
        <f t="shared" si="28"/>
        <v>44440</v>
      </c>
      <c r="AI112" s="7">
        <f t="shared" si="28"/>
        <v>44440</v>
      </c>
      <c r="AJ112" s="7">
        <f t="shared" si="28"/>
        <v>44440</v>
      </c>
      <c r="AK112" s="7">
        <f t="shared" si="28"/>
        <v>44440</v>
      </c>
      <c r="AL112" s="7">
        <f t="shared" si="28"/>
        <v>44440</v>
      </c>
      <c r="AM112" s="7">
        <f t="shared" si="28"/>
        <v>44440</v>
      </c>
      <c r="AN112" s="7">
        <f t="shared" si="28"/>
        <v>44440</v>
      </c>
      <c r="AO112" s="7">
        <f t="shared" si="28"/>
        <v>44440</v>
      </c>
      <c r="AP112" s="7">
        <f t="shared" si="28"/>
        <v>44440</v>
      </c>
      <c r="AQ112" s="7">
        <f t="shared" si="28"/>
        <v>44440</v>
      </c>
      <c r="AR112" s="7">
        <f t="shared" si="28"/>
        <v>44440</v>
      </c>
      <c r="AS112" s="7">
        <f t="shared" si="28"/>
        <v>44440</v>
      </c>
      <c r="AT112" s="7">
        <f t="shared" si="28"/>
        <v>44805</v>
      </c>
      <c r="AU112" s="7">
        <f t="shared" si="28"/>
        <v>44805</v>
      </c>
      <c r="AV112" s="7">
        <f t="shared" si="28"/>
        <v>44805</v>
      </c>
      <c r="AW112" s="7">
        <f t="shared" si="28"/>
        <v>44805</v>
      </c>
      <c r="AX112" s="7">
        <f t="shared" si="28"/>
        <v>44805</v>
      </c>
      <c r="AY112" s="7">
        <f t="shared" si="28"/>
        <v>44805</v>
      </c>
      <c r="AZ112" s="7">
        <f t="shared" si="28"/>
        <v>44805</v>
      </c>
      <c r="BA112" s="7">
        <f t="shared" si="28"/>
        <v>44805</v>
      </c>
      <c r="BB112" s="7">
        <f t="shared" si="28"/>
        <v>44805</v>
      </c>
      <c r="BC112" s="7">
        <f t="shared" si="28"/>
        <v>44805</v>
      </c>
      <c r="BD112" s="7">
        <f t="shared" si="28"/>
        <v>44805</v>
      </c>
      <c r="BE112" s="7">
        <f t="shared" si="28"/>
        <v>44805</v>
      </c>
      <c r="BF112" s="7">
        <f t="shared" si="28"/>
        <v>45170</v>
      </c>
      <c r="BG112" s="7">
        <f t="shared" si="28"/>
        <v>45170</v>
      </c>
      <c r="BH112" s="7">
        <f t="shared" si="28"/>
        <v>45170</v>
      </c>
      <c r="BI112" s="7">
        <f t="shared" si="28"/>
        <v>45170</v>
      </c>
    </row>
    <row r="113" spans="5:61" x14ac:dyDescent="0.35">
      <c r="E113">
        <f t="shared" si="17"/>
        <v>10</v>
      </c>
      <c r="J113" t="str">
        <f t="shared" si="18"/>
        <v>date</v>
      </c>
      <c r="N113" s="78"/>
      <c r="O113" s="78"/>
      <c r="P113" s="78"/>
      <c r="Q113" s="78"/>
      <c r="R113" s="78"/>
      <c r="S113" s="78"/>
      <c r="T113" s="78"/>
      <c r="U113" s="78"/>
      <c r="V113" s="78"/>
      <c r="W113" s="7">
        <f t="shared" ref="W113:BI113" si="29">W52</f>
        <v>44105</v>
      </c>
      <c r="X113" s="7">
        <f t="shared" si="29"/>
        <v>44105</v>
      </c>
      <c r="Y113" s="7">
        <f t="shared" si="29"/>
        <v>44105</v>
      </c>
      <c r="Z113" s="7">
        <f t="shared" si="29"/>
        <v>44105</v>
      </c>
      <c r="AA113" s="7">
        <f t="shared" si="29"/>
        <v>44105</v>
      </c>
      <c r="AB113" s="7">
        <f t="shared" si="29"/>
        <v>44105</v>
      </c>
      <c r="AC113" s="7">
        <f t="shared" si="29"/>
        <v>44105</v>
      </c>
      <c r="AD113" s="7">
        <f t="shared" si="29"/>
        <v>44105</v>
      </c>
      <c r="AE113" s="7">
        <f t="shared" si="29"/>
        <v>44105</v>
      </c>
      <c r="AF113" s="7">
        <f t="shared" si="29"/>
        <v>44105</v>
      </c>
      <c r="AG113" s="7">
        <f t="shared" si="29"/>
        <v>44105</v>
      </c>
      <c r="AH113" s="7">
        <f t="shared" si="29"/>
        <v>44105</v>
      </c>
      <c r="AI113" s="7">
        <f t="shared" si="29"/>
        <v>44470</v>
      </c>
      <c r="AJ113" s="7">
        <f t="shared" si="29"/>
        <v>44470</v>
      </c>
      <c r="AK113" s="7">
        <f t="shared" si="29"/>
        <v>44470</v>
      </c>
      <c r="AL113" s="7">
        <f t="shared" si="29"/>
        <v>44470</v>
      </c>
      <c r="AM113" s="7">
        <f t="shared" si="29"/>
        <v>44470</v>
      </c>
      <c r="AN113" s="7">
        <f t="shared" si="29"/>
        <v>44470</v>
      </c>
      <c r="AO113" s="7">
        <f t="shared" si="29"/>
        <v>44470</v>
      </c>
      <c r="AP113" s="7">
        <f t="shared" si="29"/>
        <v>44470</v>
      </c>
      <c r="AQ113" s="7">
        <f t="shared" si="29"/>
        <v>44470</v>
      </c>
      <c r="AR113" s="7">
        <f t="shared" si="29"/>
        <v>44470</v>
      </c>
      <c r="AS113" s="7">
        <f t="shared" si="29"/>
        <v>44470</v>
      </c>
      <c r="AT113" s="7">
        <f t="shared" si="29"/>
        <v>44470</v>
      </c>
      <c r="AU113" s="7">
        <f t="shared" si="29"/>
        <v>44835</v>
      </c>
      <c r="AV113" s="7">
        <f t="shared" si="29"/>
        <v>44835</v>
      </c>
      <c r="AW113" s="7">
        <f t="shared" si="29"/>
        <v>44835</v>
      </c>
      <c r="AX113" s="7">
        <f t="shared" si="29"/>
        <v>44835</v>
      </c>
      <c r="AY113" s="7">
        <f t="shared" si="29"/>
        <v>44835</v>
      </c>
      <c r="AZ113" s="7">
        <f t="shared" si="29"/>
        <v>44835</v>
      </c>
      <c r="BA113" s="7">
        <f t="shared" si="29"/>
        <v>44835</v>
      </c>
      <c r="BB113" s="7">
        <f t="shared" si="29"/>
        <v>44835</v>
      </c>
      <c r="BC113" s="7">
        <f t="shared" si="29"/>
        <v>44835</v>
      </c>
      <c r="BD113" s="7">
        <f t="shared" si="29"/>
        <v>44835</v>
      </c>
      <c r="BE113" s="7">
        <f t="shared" si="29"/>
        <v>44835</v>
      </c>
      <c r="BF113" s="7">
        <f t="shared" si="29"/>
        <v>44835</v>
      </c>
      <c r="BG113" s="7">
        <f t="shared" si="29"/>
        <v>45200</v>
      </c>
      <c r="BH113" s="7">
        <f t="shared" si="29"/>
        <v>45200</v>
      </c>
      <c r="BI113" s="7">
        <f t="shared" si="29"/>
        <v>45200</v>
      </c>
    </row>
    <row r="114" spans="5:61" x14ac:dyDescent="0.35">
      <c r="E114">
        <f t="shared" si="17"/>
        <v>11</v>
      </c>
      <c r="J114" t="str">
        <f t="shared" si="18"/>
        <v>date</v>
      </c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">
        <f t="shared" ref="X114:BI114" si="30">X53</f>
        <v>44136</v>
      </c>
      <c r="Y114" s="7">
        <f t="shared" si="30"/>
        <v>44136</v>
      </c>
      <c r="Z114" s="7">
        <f t="shared" si="30"/>
        <v>44136</v>
      </c>
      <c r="AA114" s="7">
        <f t="shared" si="30"/>
        <v>44136</v>
      </c>
      <c r="AB114" s="7">
        <f t="shared" si="30"/>
        <v>44136</v>
      </c>
      <c r="AC114" s="7">
        <f t="shared" si="30"/>
        <v>44136</v>
      </c>
      <c r="AD114" s="7">
        <f t="shared" si="30"/>
        <v>44136</v>
      </c>
      <c r="AE114" s="7">
        <f t="shared" si="30"/>
        <v>44136</v>
      </c>
      <c r="AF114" s="7">
        <f t="shared" si="30"/>
        <v>44136</v>
      </c>
      <c r="AG114" s="7">
        <f t="shared" si="30"/>
        <v>44136</v>
      </c>
      <c r="AH114" s="7">
        <f t="shared" si="30"/>
        <v>44136</v>
      </c>
      <c r="AI114" s="7">
        <f t="shared" si="30"/>
        <v>44136</v>
      </c>
      <c r="AJ114" s="7">
        <f t="shared" si="30"/>
        <v>44501</v>
      </c>
      <c r="AK114" s="7">
        <f t="shared" si="30"/>
        <v>44501</v>
      </c>
      <c r="AL114" s="7">
        <f t="shared" si="30"/>
        <v>44501</v>
      </c>
      <c r="AM114" s="7">
        <f t="shared" si="30"/>
        <v>44501</v>
      </c>
      <c r="AN114" s="7">
        <f t="shared" si="30"/>
        <v>44501</v>
      </c>
      <c r="AO114" s="7">
        <f t="shared" si="30"/>
        <v>44501</v>
      </c>
      <c r="AP114" s="7">
        <f t="shared" si="30"/>
        <v>44501</v>
      </c>
      <c r="AQ114" s="7">
        <f t="shared" si="30"/>
        <v>44501</v>
      </c>
      <c r="AR114" s="7">
        <f t="shared" si="30"/>
        <v>44501</v>
      </c>
      <c r="AS114" s="7">
        <f t="shared" si="30"/>
        <v>44501</v>
      </c>
      <c r="AT114" s="7">
        <f t="shared" si="30"/>
        <v>44501</v>
      </c>
      <c r="AU114" s="7">
        <f t="shared" si="30"/>
        <v>44501</v>
      </c>
      <c r="AV114" s="7">
        <f t="shared" si="30"/>
        <v>44866</v>
      </c>
      <c r="AW114" s="7">
        <f t="shared" si="30"/>
        <v>44866</v>
      </c>
      <c r="AX114" s="7">
        <f t="shared" si="30"/>
        <v>44866</v>
      </c>
      <c r="AY114" s="7">
        <f t="shared" si="30"/>
        <v>44866</v>
      </c>
      <c r="AZ114" s="7">
        <f t="shared" si="30"/>
        <v>44866</v>
      </c>
      <c r="BA114" s="7">
        <f t="shared" si="30"/>
        <v>44866</v>
      </c>
      <c r="BB114" s="7">
        <f t="shared" si="30"/>
        <v>44866</v>
      </c>
      <c r="BC114" s="7">
        <f t="shared" si="30"/>
        <v>44866</v>
      </c>
      <c r="BD114" s="7">
        <f t="shared" si="30"/>
        <v>44866</v>
      </c>
      <c r="BE114" s="7">
        <f t="shared" si="30"/>
        <v>44866</v>
      </c>
      <c r="BF114" s="7">
        <f t="shared" si="30"/>
        <v>44866</v>
      </c>
      <c r="BG114" s="7">
        <f t="shared" si="30"/>
        <v>44866</v>
      </c>
      <c r="BH114" s="7">
        <f t="shared" si="30"/>
        <v>45231</v>
      </c>
      <c r="BI114" s="7">
        <f t="shared" si="30"/>
        <v>45231</v>
      </c>
    </row>
    <row r="115" spans="5:61" x14ac:dyDescent="0.35">
      <c r="E115">
        <f t="shared" si="17"/>
        <v>12</v>
      </c>
      <c r="J115" t="str">
        <f t="shared" si="18"/>
        <v>date</v>
      </c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">
        <f t="shared" ref="Y115:BI115" si="31">Y54</f>
        <v>44166</v>
      </c>
      <c r="Z115" s="7">
        <f t="shared" si="31"/>
        <v>44166</v>
      </c>
      <c r="AA115" s="7">
        <f t="shared" si="31"/>
        <v>44166</v>
      </c>
      <c r="AB115" s="7">
        <f t="shared" si="31"/>
        <v>44166</v>
      </c>
      <c r="AC115" s="7">
        <f t="shared" si="31"/>
        <v>44166</v>
      </c>
      <c r="AD115" s="7">
        <f t="shared" si="31"/>
        <v>44166</v>
      </c>
      <c r="AE115" s="7">
        <f t="shared" si="31"/>
        <v>44166</v>
      </c>
      <c r="AF115" s="7">
        <f t="shared" si="31"/>
        <v>44166</v>
      </c>
      <c r="AG115" s="7">
        <f t="shared" si="31"/>
        <v>44166</v>
      </c>
      <c r="AH115" s="7">
        <f t="shared" si="31"/>
        <v>44166</v>
      </c>
      <c r="AI115" s="7">
        <f t="shared" si="31"/>
        <v>44166</v>
      </c>
      <c r="AJ115" s="7">
        <f t="shared" si="31"/>
        <v>44166</v>
      </c>
      <c r="AK115" s="7">
        <f t="shared" si="31"/>
        <v>44531</v>
      </c>
      <c r="AL115" s="7">
        <f t="shared" si="31"/>
        <v>44531</v>
      </c>
      <c r="AM115" s="7">
        <f t="shared" si="31"/>
        <v>44531</v>
      </c>
      <c r="AN115" s="7">
        <f t="shared" si="31"/>
        <v>44531</v>
      </c>
      <c r="AO115" s="7">
        <f t="shared" si="31"/>
        <v>44531</v>
      </c>
      <c r="AP115" s="7">
        <f t="shared" si="31"/>
        <v>44531</v>
      </c>
      <c r="AQ115" s="7">
        <f t="shared" si="31"/>
        <v>44531</v>
      </c>
      <c r="AR115" s="7">
        <f t="shared" si="31"/>
        <v>44531</v>
      </c>
      <c r="AS115" s="7">
        <f t="shared" si="31"/>
        <v>44531</v>
      </c>
      <c r="AT115" s="7">
        <f t="shared" si="31"/>
        <v>44531</v>
      </c>
      <c r="AU115" s="7">
        <f t="shared" si="31"/>
        <v>44531</v>
      </c>
      <c r="AV115" s="7">
        <f t="shared" si="31"/>
        <v>44531</v>
      </c>
      <c r="AW115" s="7">
        <f t="shared" si="31"/>
        <v>44896</v>
      </c>
      <c r="AX115" s="7">
        <f t="shared" si="31"/>
        <v>44896</v>
      </c>
      <c r="AY115" s="7">
        <f t="shared" si="31"/>
        <v>44896</v>
      </c>
      <c r="AZ115" s="7">
        <f t="shared" si="31"/>
        <v>44896</v>
      </c>
      <c r="BA115" s="7">
        <f t="shared" si="31"/>
        <v>44896</v>
      </c>
      <c r="BB115" s="7">
        <f t="shared" si="31"/>
        <v>44896</v>
      </c>
      <c r="BC115" s="7">
        <f t="shared" si="31"/>
        <v>44896</v>
      </c>
      <c r="BD115" s="7">
        <f t="shared" si="31"/>
        <v>44896</v>
      </c>
      <c r="BE115" s="7">
        <f t="shared" si="31"/>
        <v>44896</v>
      </c>
      <c r="BF115" s="7">
        <f t="shared" si="31"/>
        <v>44896</v>
      </c>
      <c r="BG115" s="7">
        <f t="shared" si="31"/>
        <v>44896</v>
      </c>
      <c r="BH115" s="7">
        <f t="shared" si="31"/>
        <v>44896</v>
      </c>
      <c r="BI115" s="7">
        <f t="shared" si="31"/>
        <v>45261</v>
      </c>
    </row>
    <row r="117" spans="5:61" x14ac:dyDescent="0.35">
      <c r="E117">
        <f t="shared" ref="E117:E128" si="32">E82</f>
        <v>1</v>
      </c>
      <c r="J117" t="str">
        <f t="shared" ref="J117:J128" si="33">J82</f>
        <v>% des dépôts</v>
      </c>
      <c r="N117" s="13">
        <f t="shared" ref="N117:BI117" si="34">N82</f>
        <v>0.37574827209398748</v>
      </c>
      <c r="O117" s="13">
        <f t="shared" si="34"/>
        <v>0.19043556051691618</v>
      </c>
      <c r="P117" s="13">
        <f t="shared" si="34"/>
        <v>0.18661804956243544</v>
      </c>
      <c r="Q117" s="13">
        <f t="shared" si="34"/>
        <v>0.12885958426148625</v>
      </c>
      <c r="R117" s="13">
        <f t="shared" si="34"/>
        <v>7.3773070806631647E-2</v>
      </c>
      <c r="S117" s="13">
        <f t="shared" si="34"/>
        <v>3.0662015245044416E-2</v>
      </c>
      <c r="T117" s="13">
        <f t="shared" si="34"/>
        <v>1.0606298297041072E-2</v>
      </c>
      <c r="U117" s="13">
        <f t="shared" si="34"/>
        <v>2.6853756839713139E-3</v>
      </c>
      <c r="V117" s="13">
        <f t="shared" si="34"/>
        <v>5.1729240768183526E-4</v>
      </c>
      <c r="W117" s="13">
        <f t="shared" si="34"/>
        <v>8.3792599029464121E-5</v>
      </c>
      <c r="X117" s="13">
        <f t="shared" si="34"/>
        <v>9.6714425323884967E-6</v>
      </c>
      <c r="Y117" s="13">
        <f t="shared" si="34"/>
        <v>9.4762168101336641E-7</v>
      </c>
      <c r="Z117" s="13">
        <f t="shared" si="34"/>
        <v>0.37574827209398748</v>
      </c>
      <c r="AA117" s="13">
        <f t="shared" si="34"/>
        <v>0.18386942027625502</v>
      </c>
      <c r="AB117" s="13">
        <f t="shared" si="34"/>
        <v>0.18788977008283458</v>
      </c>
      <c r="AC117" s="13">
        <f t="shared" si="34"/>
        <v>0.13082003297254163</v>
      </c>
      <c r="AD117" s="13">
        <f t="shared" si="34"/>
        <v>7.5517214068431815E-2</v>
      </c>
      <c r="AE117" s="13">
        <f t="shared" si="34"/>
        <v>3.1649654748853506E-2</v>
      </c>
      <c r="AF117" s="13">
        <f t="shared" si="34"/>
        <v>1.103866195405534E-2</v>
      </c>
      <c r="AG117" s="13">
        <f t="shared" si="34"/>
        <v>2.8185278949939274E-3</v>
      </c>
      <c r="AH117" s="13">
        <f t="shared" si="34"/>
        <v>5.4751166166389087E-4</v>
      </c>
      <c r="AI117" s="13">
        <f t="shared" si="34"/>
        <v>8.9421604572925695E-5</v>
      </c>
      <c r="AJ117" s="13">
        <f t="shared" si="34"/>
        <v>1.0408330165412316E-5</v>
      </c>
      <c r="AK117" s="13">
        <f t="shared" si="34"/>
        <v>1.0282620392931818E-6</v>
      </c>
      <c r="AL117" s="13">
        <f t="shared" si="34"/>
        <v>0.37574827209398748</v>
      </c>
      <c r="AM117" s="13">
        <f t="shared" si="34"/>
        <v>0.18386942027625502</v>
      </c>
      <c r="AN117" s="13">
        <f t="shared" si="34"/>
        <v>0.18788977008283458</v>
      </c>
      <c r="AO117" s="13">
        <f t="shared" si="34"/>
        <v>0.13082003297254163</v>
      </c>
      <c r="AP117" s="13">
        <f t="shared" si="34"/>
        <v>7.5517214068431815E-2</v>
      </c>
      <c r="AQ117" s="13">
        <f t="shared" si="34"/>
        <v>3.1649654748853506E-2</v>
      </c>
      <c r="AR117" s="13">
        <f t="shared" si="34"/>
        <v>1.103866195405534E-2</v>
      </c>
      <c r="AS117" s="13">
        <f t="shared" si="34"/>
        <v>2.8185278949939274E-3</v>
      </c>
      <c r="AT117" s="13">
        <f t="shared" si="34"/>
        <v>5.4751166166389087E-4</v>
      </c>
      <c r="AU117" s="13">
        <f t="shared" si="34"/>
        <v>8.9421604572925695E-5</v>
      </c>
      <c r="AV117" s="13">
        <f t="shared" si="34"/>
        <v>1.0408330165412316E-5</v>
      </c>
      <c r="AW117" s="13">
        <f t="shared" si="34"/>
        <v>1.0282620392931818E-6</v>
      </c>
      <c r="AX117" s="13">
        <f t="shared" si="34"/>
        <v>0.37574827209398748</v>
      </c>
      <c r="AY117" s="13">
        <f t="shared" si="34"/>
        <v>0.18386942027625502</v>
      </c>
      <c r="AZ117" s="13">
        <f t="shared" si="34"/>
        <v>0.18788977008283458</v>
      </c>
      <c r="BA117" s="13">
        <f t="shared" si="34"/>
        <v>0.13082003297254163</v>
      </c>
      <c r="BB117" s="13">
        <f t="shared" si="34"/>
        <v>7.5517214068431815E-2</v>
      </c>
      <c r="BC117" s="13">
        <f t="shared" si="34"/>
        <v>3.1649654748853506E-2</v>
      </c>
      <c r="BD117" s="13">
        <f t="shared" si="34"/>
        <v>1.103866195405534E-2</v>
      </c>
      <c r="BE117" s="13">
        <f t="shared" si="34"/>
        <v>2.8185278949939274E-3</v>
      </c>
      <c r="BF117" s="13">
        <f t="shared" si="34"/>
        <v>5.4751166166389087E-4</v>
      </c>
      <c r="BG117" s="13">
        <f t="shared" si="34"/>
        <v>8.9421604572925695E-5</v>
      </c>
      <c r="BH117" s="13">
        <f t="shared" si="34"/>
        <v>1.0408330165412316E-5</v>
      </c>
      <c r="BI117" s="13">
        <f t="shared" si="34"/>
        <v>1.0282620392931818E-6</v>
      </c>
    </row>
    <row r="118" spans="5:61" x14ac:dyDescent="0.35">
      <c r="E118">
        <f t="shared" si="32"/>
        <v>2</v>
      </c>
      <c r="J118" t="str">
        <f t="shared" si="33"/>
        <v>% des dépôts</v>
      </c>
      <c r="N118" s="13">
        <f t="shared" ref="N118:BI118" si="35">N83</f>
        <v>0</v>
      </c>
      <c r="O118" s="13">
        <f t="shared" si="35"/>
        <v>0.3631693488243809</v>
      </c>
      <c r="P118" s="13">
        <f t="shared" si="35"/>
        <v>0.20301448378652276</v>
      </c>
      <c r="Q118" s="13">
        <f t="shared" si="35"/>
        <v>0.18132362984217343</v>
      </c>
      <c r="R118" s="13">
        <f t="shared" si="35"/>
        <v>0.13415400398174826</v>
      </c>
      <c r="S118" s="13">
        <f t="shared" si="35"/>
        <v>7.2183243059225188E-2</v>
      </c>
      <c r="T118" s="13">
        <f t="shared" si="35"/>
        <v>3.2251842992450874E-2</v>
      </c>
      <c r="U118" s="13">
        <f t="shared" si="35"/>
        <v>1.0606298297041072E-2</v>
      </c>
      <c r="V118" s="13">
        <f t="shared" si="35"/>
        <v>2.6487033084108269E-3</v>
      </c>
      <c r="W118" s="13">
        <f t="shared" si="35"/>
        <v>5.5396478324232223E-4</v>
      </c>
      <c r="X118" s="13">
        <f t="shared" si="35"/>
        <v>8.296848299449433E-5</v>
      </c>
      <c r="Y118" s="13">
        <f t="shared" si="35"/>
        <v>1.0495558567358287E-5</v>
      </c>
      <c r="Z118" s="13">
        <f t="shared" si="35"/>
        <v>9.4762168101336641E-7</v>
      </c>
      <c r="AA118" s="13">
        <f t="shared" si="35"/>
        <v>0.35693383673749857</v>
      </c>
      <c r="AB118" s="13">
        <f t="shared" si="35"/>
        <v>0.20268385563274394</v>
      </c>
      <c r="AC118" s="13">
        <f t="shared" si="35"/>
        <v>0.18253619682389277</v>
      </c>
      <c r="AD118" s="13">
        <f t="shared" si="35"/>
        <v>0.13617360623148345</v>
      </c>
      <c r="AE118" s="13">
        <f t="shared" si="35"/>
        <v>7.3882152301566584E-2</v>
      </c>
      <c r="AF118" s="13">
        <f t="shared" si="35"/>
        <v>3.3284716515718737E-2</v>
      </c>
      <c r="AG118" s="13">
        <f t="shared" si="35"/>
        <v>1.103866195405534E-2</v>
      </c>
      <c r="AH118" s="13">
        <f t="shared" si="35"/>
        <v>2.7798358651247579E-3</v>
      </c>
      <c r="AI118" s="13">
        <f t="shared" si="35"/>
        <v>5.862036915330604E-4</v>
      </c>
      <c r="AJ118" s="13">
        <f t="shared" si="35"/>
        <v>8.8537243651543029E-5</v>
      </c>
      <c r="AK118" s="13">
        <f t="shared" si="35"/>
        <v>1.1292691086794981E-5</v>
      </c>
      <c r="AL118" s="13">
        <f t="shared" si="35"/>
        <v>1.0282620392931818E-6</v>
      </c>
      <c r="AM118" s="13">
        <f t="shared" si="35"/>
        <v>0.35693383673749857</v>
      </c>
      <c r="AN118" s="13">
        <f t="shared" si="35"/>
        <v>0.20268385563274394</v>
      </c>
      <c r="AO118" s="13">
        <f t="shared" si="35"/>
        <v>0.18253619682389277</v>
      </c>
      <c r="AP118" s="13">
        <f t="shared" si="35"/>
        <v>0.13617360623148345</v>
      </c>
      <c r="AQ118" s="13">
        <f t="shared" si="35"/>
        <v>7.3882152301566584E-2</v>
      </c>
      <c r="AR118" s="13">
        <f t="shared" si="35"/>
        <v>3.3284716515718737E-2</v>
      </c>
      <c r="AS118" s="13">
        <f t="shared" si="35"/>
        <v>1.103866195405534E-2</v>
      </c>
      <c r="AT118" s="13">
        <f t="shared" si="35"/>
        <v>2.7798358651247579E-3</v>
      </c>
      <c r="AU118" s="13">
        <f t="shared" si="35"/>
        <v>5.862036915330604E-4</v>
      </c>
      <c r="AV118" s="13">
        <f t="shared" si="35"/>
        <v>8.8537243651543029E-5</v>
      </c>
      <c r="AW118" s="13">
        <f t="shared" si="35"/>
        <v>1.1292691086794981E-5</v>
      </c>
      <c r="AX118" s="13">
        <f t="shared" si="35"/>
        <v>1.0282620392931818E-6</v>
      </c>
      <c r="AY118" s="13">
        <f t="shared" si="35"/>
        <v>0.35693383673749857</v>
      </c>
      <c r="AZ118" s="13">
        <f t="shared" si="35"/>
        <v>0.20268385563274394</v>
      </c>
      <c r="BA118" s="13">
        <f t="shared" si="35"/>
        <v>0.18253619682389277</v>
      </c>
      <c r="BB118" s="13">
        <f t="shared" si="35"/>
        <v>0.13617360623148345</v>
      </c>
      <c r="BC118" s="13">
        <f t="shared" si="35"/>
        <v>7.3882152301566584E-2</v>
      </c>
      <c r="BD118" s="13">
        <f t="shared" si="35"/>
        <v>3.3284716515718737E-2</v>
      </c>
      <c r="BE118" s="13">
        <f t="shared" si="35"/>
        <v>1.103866195405534E-2</v>
      </c>
      <c r="BF118" s="13">
        <f t="shared" si="35"/>
        <v>2.7798358651247579E-3</v>
      </c>
      <c r="BG118" s="13">
        <f t="shared" si="35"/>
        <v>5.862036915330604E-4</v>
      </c>
      <c r="BH118" s="13">
        <f t="shared" si="35"/>
        <v>8.8537243651543029E-5</v>
      </c>
      <c r="BI118" s="13">
        <f t="shared" si="35"/>
        <v>1.1292691086794981E-5</v>
      </c>
    </row>
    <row r="119" spans="5:61" x14ac:dyDescent="0.35">
      <c r="E119">
        <f t="shared" si="32"/>
        <v>3</v>
      </c>
      <c r="J119" t="str">
        <f t="shared" si="33"/>
        <v>% des dépôts</v>
      </c>
      <c r="N119" s="13">
        <f t="shared" ref="N119:BI119" si="36">N84</f>
        <v>0</v>
      </c>
      <c r="O119" s="13">
        <f t="shared" si="36"/>
        <v>0</v>
      </c>
      <c r="P119" s="13">
        <f t="shared" si="36"/>
        <v>0.37574827209398748</v>
      </c>
      <c r="Q119" s="13">
        <f t="shared" si="36"/>
        <v>0.19698348720905307</v>
      </c>
      <c r="R119" s="13">
        <f t="shared" si="36"/>
        <v>0.18530458847388642</v>
      </c>
      <c r="S119" s="13">
        <f t="shared" si="36"/>
        <v>0.12689398200136481</v>
      </c>
      <c r="T119" s="13">
        <f t="shared" si="36"/>
        <v>7.2049623259393791E-2</v>
      </c>
      <c r="U119" s="13">
        <f t="shared" si="36"/>
        <v>3.025656150333611E-2</v>
      </c>
      <c r="V119" s="13">
        <f t="shared" si="36"/>
        <v>9.6286431982728349E-3</v>
      </c>
      <c r="W119" s="13">
        <f t="shared" si="36"/>
        <v>2.5578172183147174E-3</v>
      </c>
      <c r="X119" s="13">
        <f t="shared" si="36"/>
        <v>4.8860775718995164E-4</v>
      </c>
      <c r="Y119" s="13">
        <f t="shared" si="36"/>
        <v>7.849652131530771E-5</v>
      </c>
      <c r="Z119" s="13">
        <f t="shared" si="36"/>
        <v>9.0587046073231647E-6</v>
      </c>
      <c r="AA119" s="13">
        <f t="shared" si="36"/>
        <v>7.8600967301500901E-7</v>
      </c>
      <c r="AB119" s="13">
        <f t="shared" si="36"/>
        <v>0.37574827209398748</v>
      </c>
      <c r="AC119" s="13">
        <f t="shared" si="36"/>
        <v>0.19698348720905307</v>
      </c>
      <c r="AD119" s="13">
        <f t="shared" si="36"/>
        <v>0.18530458847388642</v>
      </c>
      <c r="AE119" s="13">
        <f t="shared" si="36"/>
        <v>0.12689398200136481</v>
      </c>
      <c r="AF119" s="13">
        <f t="shared" si="36"/>
        <v>7.2049623259393791E-2</v>
      </c>
      <c r="AG119" s="13">
        <f t="shared" si="36"/>
        <v>3.025656150333611E-2</v>
      </c>
      <c r="AH119" s="13">
        <f t="shared" si="36"/>
        <v>9.6286431982728349E-3</v>
      </c>
      <c r="AI119" s="13">
        <f t="shared" si="36"/>
        <v>2.5578172183147174E-3</v>
      </c>
      <c r="AJ119" s="13">
        <f t="shared" si="36"/>
        <v>4.8860775718995164E-4</v>
      </c>
      <c r="AK119" s="13">
        <f t="shared" si="36"/>
        <v>7.849652131530771E-5</v>
      </c>
      <c r="AL119" s="13">
        <f t="shared" si="36"/>
        <v>9.0587046073231647E-6</v>
      </c>
      <c r="AM119" s="13">
        <f t="shared" si="36"/>
        <v>7.8600967301500901E-7</v>
      </c>
      <c r="AN119" s="13">
        <f t="shared" si="36"/>
        <v>0.37574827209398748</v>
      </c>
      <c r="AO119" s="13">
        <f t="shared" si="36"/>
        <v>0.19698348720905307</v>
      </c>
      <c r="AP119" s="13">
        <f t="shared" si="36"/>
        <v>0.18530458847388642</v>
      </c>
      <c r="AQ119" s="13">
        <f t="shared" si="36"/>
        <v>0.12689398200136481</v>
      </c>
      <c r="AR119" s="13">
        <f t="shared" si="36"/>
        <v>7.2049623259393791E-2</v>
      </c>
      <c r="AS119" s="13">
        <f t="shared" si="36"/>
        <v>3.025656150333611E-2</v>
      </c>
      <c r="AT119" s="13">
        <f t="shared" si="36"/>
        <v>9.6286431982728349E-3</v>
      </c>
      <c r="AU119" s="13">
        <f t="shared" si="36"/>
        <v>2.5578172183147174E-3</v>
      </c>
      <c r="AV119" s="13">
        <f t="shared" si="36"/>
        <v>4.8860775718995164E-4</v>
      </c>
      <c r="AW119" s="13">
        <f t="shared" si="36"/>
        <v>7.849652131530771E-5</v>
      </c>
      <c r="AX119" s="13">
        <f t="shared" si="36"/>
        <v>9.0587046073231647E-6</v>
      </c>
      <c r="AY119" s="13">
        <f t="shared" si="36"/>
        <v>7.8600967301500901E-7</v>
      </c>
      <c r="AZ119" s="13">
        <f t="shared" si="36"/>
        <v>0.37574827209398748</v>
      </c>
      <c r="BA119" s="13">
        <f t="shared" si="36"/>
        <v>0.19698348720905307</v>
      </c>
      <c r="BB119" s="13">
        <f t="shared" si="36"/>
        <v>0.18530458847388642</v>
      </c>
      <c r="BC119" s="13">
        <f t="shared" si="36"/>
        <v>0.12689398200136481</v>
      </c>
      <c r="BD119" s="13">
        <f t="shared" si="36"/>
        <v>7.2049623259393791E-2</v>
      </c>
      <c r="BE119" s="13">
        <f t="shared" si="36"/>
        <v>3.025656150333611E-2</v>
      </c>
      <c r="BF119" s="13">
        <f t="shared" si="36"/>
        <v>9.6286431982728349E-3</v>
      </c>
      <c r="BG119" s="13">
        <f t="shared" si="36"/>
        <v>2.5578172183147174E-3</v>
      </c>
      <c r="BH119" s="13">
        <f t="shared" si="36"/>
        <v>4.8860775718995164E-4</v>
      </c>
      <c r="BI119" s="13">
        <f t="shared" si="36"/>
        <v>7.849652131530771E-5</v>
      </c>
    </row>
    <row r="120" spans="5:61" x14ac:dyDescent="0.35">
      <c r="E120">
        <f t="shared" si="32"/>
        <v>4</v>
      </c>
      <c r="J120" t="str">
        <f t="shared" si="33"/>
        <v>% des dépôts</v>
      </c>
      <c r="N120" s="13">
        <f t="shared" ref="N120:BI120" si="37">N85</f>
        <v>0</v>
      </c>
      <c r="O120" s="13">
        <f t="shared" si="37"/>
        <v>0</v>
      </c>
      <c r="P120" s="13">
        <f t="shared" si="37"/>
        <v>0</v>
      </c>
      <c r="Q120" s="13">
        <f t="shared" si="37"/>
        <v>0.36944134018176361</v>
      </c>
      <c r="R120" s="13">
        <f t="shared" si="37"/>
        <v>0.20329041912127693</v>
      </c>
      <c r="S120" s="13">
        <f t="shared" si="37"/>
        <v>0.18007012287029855</v>
      </c>
      <c r="T120" s="13">
        <f t="shared" si="37"/>
        <v>0.13212844760495268</v>
      </c>
      <c r="U120" s="13">
        <f t="shared" si="37"/>
        <v>7.2049623259393791E-2</v>
      </c>
      <c r="V120" s="13">
        <f t="shared" si="37"/>
        <v>2.9697107851247684E-2</v>
      </c>
      <c r="W120" s="13">
        <f t="shared" si="37"/>
        <v>1.0188096850361261E-2</v>
      </c>
      <c r="X120" s="13">
        <f t="shared" si="37"/>
        <v>2.5230687282192799E-3</v>
      </c>
      <c r="Y120" s="13">
        <f t="shared" si="37"/>
        <v>5.2335624728538921E-4</v>
      </c>
      <c r="Z120" s="13">
        <f t="shared" si="37"/>
        <v>7.849652131530771E-5</v>
      </c>
      <c r="AA120" s="13">
        <f t="shared" si="37"/>
        <v>8.8164522410449919E-6</v>
      </c>
      <c r="AB120" s="13">
        <f t="shared" si="37"/>
        <v>1.0282620392931818E-6</v>
      </c>
      <c r="AC120" s="13">
        <f t="shared" si="37"/>
        <v>0.36944134018176361</v>
      </c>
      <c r="AD120" s="13">
        <f t="shared" si="37"/>
        <v>0.20329041912127693</v>
      </c>
      <c r="AE120" s="13">
        <f t="shared" si="37"/>
        <v>0.18007012287029855</v>
      </c>
      <c r="AF120" s="13">
        <f t="shared" si="37"/>
        <v>0.13212844760495268</v>
      </c>
      <c r="AG120" s="13">
        <f t="shared" si="37"/>
        <v>7.2049623259393791E-2</v>
      </c>
      <c r="AH120" s="13">
        <f t="shared" si="37"/>
        <v>2.9697107851247684E-2</v>
      </c>
      <c r="AI120" s="13">
        <f t="shared" si="37"/>
        <v>1.0188096850361261E-2</v>
      </c>
      <c r="AJ120" s="13">
        <f t="shared" si="37"/>
        <v>2.5230687282192799E-3</v>
      </c>
      <c r="AK120" s="13">
        <f t="shared" si="37"/>
        <v>5.2335624728538921E-4</v>
      </c>
      <c r="AL120" s="13">
        <f t="shared" si="37"/>
        <v>7.849652131530771E-5</v>
      </c>
      <c r="AM120" s="13">
        <f t="shared" si="37"/>
        <v>8.8164522410449919E-6</v>
      </c>
      <c r="AN120" s="13">
        <f t="shared" si="37"/>
        <v>1.0282620392931818E-6</v>
      </c>
      <c r="AO120" s="13">
        <f t="shared" si="37"/>
        <v>0.36944134018176361</v>
      </c>
      <c r="AP120" s="13">
        <f t="shared" si="37"/>
        <v>0.20329041912127693</v>
      </c>
      <c r="AQ120" s="13">
        <f t="shared" si="37"/>
        <v>0.18007012287029855</v>
      </c>
      <c r="AR120" s="13">
        <f t="shared" si="37"/>
        <v>0.13212844760495268</v>
      </c>
      <c r="AS120" s="13">
        <f t="shared" si="37"/>
        <v>7.2049623259393791E-2</v>
      </c>
      <c r="AT120" s="13">
        <f t="shared" si="37"/>
        <v>2.9697107851247684E-2</v>
      </c>
      <c r="AU120" s="13">
        <f t="shared" si="37"/>
        <v>1.0188096850361261E-2</v>
      </c>
      <c r="AV120" s="13">
        <f t="shared" si="37"/>
        <v>2.5230687282192799E-3</v>
      </c>
      <c r="AW120" s="13">
        <f t="shared" si="37"/>
        <v>5.2335624728538921E-4</v>
      </c>
      <c r="AX120" s="13">
        <f t="shared" si="37"/>
        <v>7.849652131530771E-5</v>
      </c>
      <c r="AY120" s="13">
        <f t="shared" si="37"/>
        <v>8.8164522410449919E-6</v>
      </c>
      <c r="AZ120" s="13">
        <f t="shared" si="37"/>
        <v>1.0282620392931818E-6</v>
      </c>
      <c r="BA120" s="13">
        <f t="shared" si="37"/>
        <v>0.36944134018176361</v>
      </c>
      <c r="BB120" s="13">
        <f t="shared" si="37"/>
        <v>0.20329041912127693</v>
      </c>
      <c r="BC120" s="13">
        <f t="shared" si="37"/>
        <v>0.18007012287029855</v>
      </c>
      <c r="BD120" s="13">
        <f t="shared" si="37"/>
        <v>0.13212844760495268</v>
      </c>
      <c r="BE120" s="13">
        <f t="shared" si="37"/>
        <v>7.2049623259393791E-2</v>
      </c>
      <c r="BF120" s="13">
        <f t="shared" si="37"/>
        <v>2.9697107851247684E-2</v>
      </c>
      <c r="BG120" s="13">
        <f t="shared" si="37"/>
        <v>1.0188096850361261E-2</v>
      </c>
      <c r="BH120" s="13">
        <f t="shared" si="37"/>
        <v>2.5230687282192799E-3</v>
      </c>
      <c r="BI120" s="13">
        <f t="shared" si="37"/>
        <v>5.2335624728538921E-4</v>
      </c>
    </row>
    <row r="121" spans="5:61" x14ac:dyDescent="0.35">
      <c r="E121">
        <f t="shared" si="32"/>
        <v>5</v>
      </c>
      <c r="J121" t="str">
        <f t="shared" si="33"/>
        <v>% des dépôts</v>
      </c>
      <c r="N121" s="13">
        <f t="shared" ref="N121:BI121" si="38">N86</f>
        <v>0</v>
      </c>
      <c r="O121" s="13">
        <f t="shared" si="38"/>
        <v>0</v>
      </c>
      <c r="P121" s="13">
        <f t="shared" si="38"/>
        <v>0</v>
      </c>
      <c r="Q121" s="13">
        <f t="shared" si="38"/>
        <v>0</v>
      </c>
      <c r="R121" s="13">
        <f t="shared" si="38"/>
        <v>0.37574827209398748</v>
      </c>
      <c r="S121" s="13">
        <f t="shared" si="38"/>
        <v>0.19698348720905307</v>
      </c>
      <c r="T121" s="13">
        <f t="shared" si="38"/>
        <v>0.18530458847388642</v>
      </c>
      <c r="U121" s="13">
        <f t="shared" si="38"/>
        <v>0.13009811899722445</v>
      </c>
      <c r="V121" s="13">
        <f t="shared" si="38"/>
        <v>6.884548626353415E-2</v>
      </c>
      <c r="W121" s="13">
        <f t="shared" si="38"/>
        <v>3.025656150333611E-2</v>
      </c>
      <c r="X121" s="13">
        <f t="shared" si="38"/>
        <v>9.6286431982728349E-3</v>
      </c>
      <c r="Y121" s="13">
        <f t="shared" si="38"/>
        <v>2.5578172183147174E-3</v>
      </c>
      <c r="Z121" s="13">
        <f t="shared" si="38"/>
        <v>4.9430421556506676E-4</v>
      </c>
      <c r="AA121" s="13">
        <f t="shared" si="38"/>
        <v>7.1208185015825265E-5</v>
      </c>
      <c r="AB121" s="13">
        <f t="shared" si="38"/>
        <v>1.0495558567358287E-5</v>
      </c>
      <c r="AC121" s="13">
        <f t="shared" si="38"/>
        <v>9.4103363734721057E-7</v>
      </c>
      <c r="AD121" s="13">
        <f t="shared" si="38"/>
        <v>0.37574827209398748</v>
      </c>
      <c r="AE121" s="13">
        <f t="shared" si="38"/>
        <v>0.19698348720905307</v>
      </c>
      <c r="AF121" s="13">
        <f t="shared" si="38"/>
        <v>0.18530458847388642</v>
      </c>
      <c r="AG121" s="13">
        <f t="shared" si="38"/>
        <v>0.13009811899722445</v>
      </c>
      <c r="AH121" s="13">
        <f t="shared" si="38"/>
        <v>6.884548626353415E-2</v>
      </c>
      <c r="AI121" s="13">
        <f t="shared" si="38"/>
        <v>3.025656150333611E-2</v>
      </c>
      <c r="AJ121" s="13">
        <f t="shared" si="38"/>
        <v>9.6286431982728349E-3</v>
      </c>
      <c r="AK121" s="13">
        <f t="shared" si="38"/>
        <v>2.5578172183147174E-3</v>
      </c>
      <c r="AL121" s="13">
        <f t="shared" si="38"/>
        <v>4.9430421556506676E-4</v>
      </c>
      <c r="AM121" s="13">
        <f t="shared" si="38"/>
        <v>7.1208185015825265E-5</v>
      </c>
      <c r="AN121" s="13">
        <f t="shared" si="38"/>
        <v>1.0495558567358287E-5</v>
      </c>
      <c r="AO121" s="13">
        <f t="shared" si="38"/>
        <v>9.4103363734721057E-7</v>
      </c>
      <c r="AP121" s="13">
        <f t="shared" si="38"/>
        <v>0.37574827209398748</v>
      </c>
      <c r="AQ121" s="13">
        <f t="shared" si="38"/>
        <v>0.19698348720905307</v>
      </c>
      <c r="AR121" s="13">
        <f t="shared" si="38"/>
        <v>0.18530458847388642</v>
      </c>
      <c r="AS121" s="13">
        <f t="shared" si="38"/>
        <v>0.13009811899722445</v>
      </c>
      <c r="AT121" s="13">
        <f t="shared" si="38"/>
        <v>6.884548626353415E-2</v>
      </c>
      <c r="AU121" s="13">
        <f t="shared" si="38"/>
        <v>3.025656150333611E-2</v>
      </c>
      <c r="AV121" s="13">
        <f t="shared" si="38"/>
        <v>9.6286431982728349E-3</v>
      </c>
      <c r="AW121" s="13">
        <f t="shared" si="38"/>
        <v>2.5578172183147174E-3</v>
      </c>
      <c r="AX121" s="13">
        <f t="shared" si="38"/>
        <v>4.9430421556506676E-4</v>
      </c>
      <c r="AY121" s="13">
        <f t="shared" si="38"/>
        <v>7.1208185015825265E-5</v>
      </c>
      <c r="AZ121" s="13">
        <f t="shared" si="38"/>
        <v>1.0495558567358287E-5</v>
      </c>
      <c r="BA121" s="13">
        <f t="shared" si="38"/>
        <v>9.4103363734721057E-7</v>
      </c>
      <c r="BB121" s="13">
        <f t="shared" si="38"/>
        <v>0.37574827209398748</v>
      </c>
      <c r="BC121" s="13">
        <f t="shared" si="38"/>
        <v>0.19698348720905307</v>
      </c>
      <c r="BD121" s="13">
        <f t="shared" si="38"/>
        <v>0.18530458847388642</v>
      </c>
      <c r="BE121" s="13">
        <f t="shared" si="38"/>
        <v>0.13009811899722445</v>
      </c>
      <c r="BF121" s="13">
        <f t="shared" si="38"/>
        <v>6.884548626353415E-2</v>
      </c>
      <c r="BG121" s="13">
        <f t="shared" si="38"/>
        <v>3.025656150333611E-2</v>
      </c>
      <c r="BH121" s="13">
        <f t="shared" si="38"/>
        <v>9.6286431982728349E-3</v>
      </c>
      <c r="BI121" s="13">
        <f t="shared" si="38"/>
        <v>2.5578172183147174E-3</v>
      </c>
    </row>
    <row r="122" spans="5:61" x14ac:dyDescent="0.35">
      <c r="E122">
        <f t="shared" si="32"/>
        <v>6</v>
      </c>
      <c r="J122" t="str">
        <f t="shared" si="33"/>
        <v>% des dépôts</v>
      </c>
      <c r="N122" s="13">
        <f t="shared" ref="N122:BI122" si="39">N87</f>
        <v>0</v>
      </c>
      <c r="O122" s="13">
        <f t="shared" si="39"/>
        <v>0</v>
      </c>
      <c r="P122" s="13">
        <f t="shared" si="39"/>
        <v>0</v>
      </c>
      <c r="Q122" s="13">
        <f t="shared" si="39"/>
        <v>0</v>
      </c>
      <c r="R122" s="13">
        <f t="shared" si="39"/>
        <v>0</v>
      </c>
      <c r="S122" s="13">
        <f t="shared" si="39"/>
        <v>0.36944134018176361</v>
      </c>
      <c r="T122" s="13">
        <f t="shared" si="39"/>
        <v>0.20329041912127693</v>
      </c>
      <c r="U122" s="13">
        <f t="shared" si="39"/>
        <v>0.18530458847388642</v>
      </c>
      <c r="V122" s="13">
        <f t="shared" si="39"/>
        <v>0.12689398200136481</v>
      </c>
      <c r="W122" s="13">
        <f t="shared" si="39"/>
        <v>7.2049623259393791E-2</v>
      </c>
      <c r="X122" s="13">
        <f t="shared" si="39"/>
        <v>2.9697107851247684E-2</v>
      </c>
      <c r="Y122" s="13">
        <f t="shared" si="39"/>
        <v>1.0188096850361261E-2</v>
      </c>
      <c r="Z122" s="13">
        <f t="shared" si="39"/>
        <v>2.5578172183147174E-3</v>
      </c>
      <c r="AA122" s="13">
        <f t="shared" si="39"/>
        <v>4.7609079600796633E-4</v>
      </c>
      <c r="AB122" s="13">
        <f t="shared" si="39"/>
        <v>8.9421604572925695E-5</v>
      </c>
      <c r="AC122" s="13">
        <f t="shared" si="39"/>
        <v>1.0408330165412316E-5</v>
      </c>
      <c r="AD122" s="13">
        <f t="shared" si="39"/>
        <v>1.0282620392931818E-6</v>
      </c>
      <c r="AE122" s="13">
        <f t="shared" si="39"/>
        <v>0.36944134018176361</v>
      </c>
      <c r="AF122" s="13">
        <f t="shared" si="39"/>
        <v>0.20329041912127693</v>
      </c>
      <c r="AG122" s="13">
        <f t="shared" si="39"/>
        <v>0.18530458847388642</v>
      </c>
      <c r="AH122" s="13">
        <f t="shared" si="39"/>
        <v>0.12689398200136481</v>
      </c>
      <c r="AI122" s="13">
        <f t="shared" si="39"/>
        <v>7.2049623259393791E-2</v>
      </c>
      <c r="AJ122" s="13">
        <f t="shared" si="39"/>
        <v>2.9697107851247684E-2</v>
      </c>
      <c r="AK122" s="13">
        <f t="shared" si="39"/>
        <v>1.0188096850361261E-2</v>
      </c>
      <c r="AL122" s="13">
        <f t="shared" si="39"/>
        <v>2.5578172183147174E-3</v>
      </c>
      <c r="AM122" s="13">
        <f t="shared" si="39"/>
        <v>4.7609079600796633E-4</v>
      </c>
      <c r="AN122" s="13">
        <f t="shared" si="39"/>
        <v>8.9421604572925695E-5</v>
      </c>
      <c r="AO122" s="13">
        <f t="shared" si="39"/>
        <v>1.0408330165412316E-5</v>
      </c>
      <c r="AP122" s="13">
        <f t="shared" si="39"/>
        <v>1.0282620392931818E-6</v>
      </c>
      <c r="AQ122" s="13">
        <f t="shared" si="39"/>
        <v>0.36944134018176361</v>
      </c>
      <c r="AR122" s="13">
        <f t="shared" si="39"/>
        <v>0.20329041912127693</v>
      </c>
      <c r="AS122" s="13">
        <f t="shared" si="39"/>
        <v>0.18530458847388642</v>
      </c>
      <c r="AT122" s="13">
        <f t="shared" si="39"/>
        <v>0.12689398200136481</v>
      </c>
      <c r="AU122" s="13">
        <f t="shared" si="39"/>
        <v>7.2049623259393791E-2</v>
      </c>
      <c r="AV122" s="13">
        <f t="shared" si="39"/>
        <v>2.9697107851247684E-2</v>
      </c>
      <c r="AW122" s="13">
        <f t="shared" si="39"/>
        <v>1.0188096850361261E-2</v>
      </c>
      <c r="AX122" s="13">
        <f t="shared" si="39"/>
        <v>2.5578172183147174E-3</v>
      </c>
      <c r="AY122" s="13">
        <f t="shared" si="39"/>
        <v>4.7609079600796633E-4</v>
      </c>
      <c r="AZ122" s="13">
        <f t="shared" si="39"/>
        <v>8.9421604572925695E-5</v>
      </c>
      <c r="BA122" s="13">
        <f t="shared" si="39"/>
        <v>1.0408330165412316E-5</v>
      </c>
      <c r="BB122" s="13">
        <f t="shared" si="39"/>
        <v>1.0282620392931818E-6</v>
      </c>
      <c r="BC122" s="13">
        <f t="shared" si="39"/>
        <v>0.36944134018176361</v>
      </c>
      <c r="BD122" s="13">
        <f t="shared" si="39"/>
        <v>0.20329041912127693</v>
      </c>
      <c r="BE122" s="13">
        <f t="shared" si="39"/>
        <v>0.18530458847388642</v>
      </c>
      <c r="BF122" s="13">
        <f t="shared" si="39"/>
        <v>0.12689398200136481</v>
      </c>
      <c r="BG122" s="13">
        <f t="shared" si="39"/>
        <v>7.2049623259393791E-2</v>
      </c>
      <c r="BH122" s="13">
        <f t="shared" si="39"/>
        <v>2.9697107851247684E-2</v>
      </c>
      <c r="BI122" s="13">
        <f t="shared" si="39"/>
        <v>1.0188096850361261E-2</v>
      </c>
    </row>
    <row r="123" spans="5:61" x14ac:dyDescent="0.35">
      <c r="E123">
        <f t="shared" si="32"/>
        <v>7</v>
      </c>
      <c r="J123" t="str">
        <f t="shared" si="33"/>
        <v>% des dépôts</v>
      </c>
      <c r="N123" s="13">
        <f t="shared" ref="N123:BI123" si="40">N88</f>
        <v>0</v>
      </c>
      <c r="O123" s="13">
        <f t="shared" si="40"/>
        <v>0</v>
      </c>
      <c r="P123" s="13">
        <f t="shared" si="40"/>
        <v>0</v>
      </c>
      <c r="Q123" s="13">
        <f t="shared" si="40"/>
        <v>0</v>
      </c>
      <c r="R123" s="13">
        <f t="shared" si="40"/>
        <v>0</v>
      </c>
      <c r="S123" s="13">
        <f t="shared" si="40"/>
        <v>0</v>
      </c>
      <c r="T123" s="13">
        <f t="shared" si="40"/>
        <v>0.37574827209398748</v>
      </c>
      <c r="U123" s="13">
        <f t="shared" si="40"/>
        <v>0.20351143734511551</v>
      </c>
      <c r="V123" s="13">
        <f t="shared" si="40"/>
        <v>0.17877663833782398</v>
      </c>
      <c r="W123" s="13">
        <f t="shared" si="40"/>
        <v>0.13009811899722445</v>
      </c>
      <c r="X123" s="13">
        <f t="shared" si="40"/>
        <v>6.884548626353415E-2</v>
      </c>
      <c r="Y123" s="13">
        <f t="shared" si="40"/>
        <v>3.025656150333611E-2</v>
      </c>
      <c r="Z123" s="13">
        <f t="shared" si="40"/>
        <v>9.7837222239237631E-3</v>
      </c>
      <c r="AA123" s="13">
        <f t="shared" si="40"/>
        <v>2.3313173270078646E-3</v>
      </c>
      <c r="AB123" s="13">
        <f t="shared" si="40"/>
        <v>5.5396478324232223E-4</v>
      </c>
      <c r="AC123" s="13">
        <f t="shared" si="40"/>
        <v>8.296848299449433E-5</v>
      </c>
      <c r="AD123" s="13">
        <f t="shared" si="40"/>
        <v>1.0495558567358287E-5</v>
      </c>
      <c r="AE123" s="13">
        <f t="shared" si="40"/>
        <v>9.4103363734721057E-7</v>
      </c>
      <c r="AF123" s="13">
        <f t="shared" si="40"/>
        <v>0.37574827209398748</v>
      </c>
      <c r="AG123" s="13">
        <f t="shared" si="40"/>
        <v>0.20351143734511551</v>
      </c>
      <c r="AH123" s="13">
        <f t="shared" si="40"/>
        <v>0.17877663833782398</v>
      </c>
      <c r="AI123" s="13">
        <f t="shared" si="40"/>
        <v>0.13009811899722445</v>
      </c>
      <c r="AJ123" s="13">
        <f t="shared" si="40"/>
        <v>6.884548626353415E-2</v>
      </c>
      <c r="AK123" s="13">
        <f t="shared" si="40"/>
        <v>3.025656150333611E-2</v>
      </c>
      <c r="AL123" s="13">
        <f t="shared" si="40"/>
        <v>9.7837222239237631E-3</v>
      </c>
      <c r="AM123" s="13">
        <f t="shared" si="40"/>
        <v>2.3313173270078646E-3</v>
      </c>
      <c r="AN123" s="13">
        <f t="shared" si="40"/>
        <v>5.5396478324232223E-4</v>
      </c>
      <c r="AO123" s="13">
        <f t="shared" si="40"/>
        <v>8.296848299449433E-5</v>
      </c>
      <c r="AP123" s="13">
        <f t="shared" si="40"/>
        <v>1.0495558567358287E-5</v>
      </c>
      <c r="AQ123" s="13">
        <f t="shared" si="40"/>
        <v>9.4103363734721057E-7</v>
      </c>
      <c r="AR123" s="13">
        <f t="shared" si="40"/>
        <v>0.37574827209398748</v>
      </c>
      <c r="AS123" s="13">
        <f t="shared" si="40"/>
        <v>0.20351143734511551</v>
      </c>
      <c r="AT123" s="13">
        <f t="shared" si="40"/>
        <v>0.17877663833782398</v>
      </c>
      <c r="AU123" s="13">
        <f t="shared" si="40"/>
        <v>0.13009811899722445</v>
      </c>
      <c r="AV123" s="13">
        <f t="shared" si="40"/>
        <v>6.884548626353415E-2</v>
      </c>
      <c r="AW123" s="13">
        <f t="shared" si="40"/>
        <v>3.025656150333611E-2</v>
      </c>
      <c r="AX123" s="13">
        <f t="shared" si="40"/>
        <v>9.7837222239237631E-3</v>
      </c>
      <c r="AY123" s="13">
        <f t="shared" si="40"/>
        <v>2.3313173270078646E-3</v>
      </c>
      <c r="AZ123" s="13">
        <f t="shared" si="40"/>
        <v>5.5396478324232223E-4</v>
      </c>
      <c r="BA123" s="13">
        <f t="shared" si="40"/>
        <v>8.296848299449433E-5</v>
      </c>
      <c r="BB123" s="13">
        <f t="shared" si="40"/>
        <v>1.0495558567358287E-5</v>
      </c>
      <c r="BC123" s="13">
        <f t="shared" si="40"/>
        <v>9.4103363734721057E-7</v>
      </c>
      <c r="BD123" s="13">
        <f t="shared" si="40"/>
        <v>0.37574827209398748</v>
      </c>
      <c r="BE123" s="13">
        <f t="shared" si="40"/>
        <v>0.20351143734511551</v>
      </c>
      <c r="BF123" s="13">
        <f t="shared" si="40"/>
        <v>0.17877663833782398</v>
      </c>
      <c r="BG123" s="13">
        <f t="shared" si="40"/>
        <v>0.13009811899722445</v>
      </c>
      <c r="BH123" s="13">
        <f t="shared" si="40"/>
        <v>6.884548626353415E-2</v>
      </c>
      <c r="BI123" s="13">
        <f t="shared" si="40"/>
        <v>3.025656150333611E-2</v>
      </c>
    </row>
    <row r="124" spans="5:61" x14ac:dyDescent="0.35">
      <c r="E124">
        <f t="shared" si="32"/>
        <v>8</v>
      </c>
      <c r="J124" t="str">
        <f t="shared" si="33"/>
        <v>% des dépôts</v>
      </c>
      <c r="N124" s="13">
        <f t="shared" ref="N124:BI124" si="41">N89</f>
        <v>0</v>
      </c>
      <c r="O124" s="13">
        <f t="shared" si="41"/>
        <v>0</v>
      </c>
      <c r="P124" s="13">
        <f t="shared" si="41"/>
        <v>0</v>
      </c>
      <c r="Q124" s="13">
        <f t="shared" si="41"/>
        <v>0</v>
      </c>
      <c r="R124" s="13">
        <f t="shared" si="41"/>
        <v>0</v>
      </c>
      <c r="S124" s="13">
        <f t="shared" si="41"/>
        <v>0</v>
      </c>
      <c r="T124" s="13">
        <f t="shared" si="41"/>
        <v>0</v>
      </c>
      <c r="U124" s="13">
        <f t="shared" si="41"/>
        <v>0.37574827209398748</v>
      </c>
      <c r="V124" s="13">
        <f t="shared" si="41"/>
        <v>0.19698348720905307</v>
      </c>
      <c r="W124" s="13">
        <f t="shared" si="41"/>
        <v>0.18530458847388642</v>
      </c>
      <c r="X124" s="13">
        <f t="shared" si="41"/>
        <v>0.12689398200136481</v>
      </c>
      <c r="Y124" s="13">
        <f t="shared" si="41"/>
        <v>7.2049623259393791E-2</v>
      </c>
      <c r="Z124" s="13">
        <f t="shared" si="41"/>
        <v>3.025656150333611E-2</v>
      </c>
      <c r="AA124" s="13">
        <f t="shared" si="41"/>
        <v>9.2965116559377003E-3</v>
      </c>
      <c r="AB124" s="13">
        <f t="shared" si="41"/>
        <v>2.8185278949939274E-3</v>
      </c>
      <c r="AC124" s="13">
        <f t="shared" si="41"/>
        <v>5.4751166166389087E-4</v>
      </c>
      <c r="AD124" s="13">
        <f t="shared" si="41"/>
        <v>8.9421604572925695E-5</v>
      </c>
      <c r="AE124" s="13">
        <f t="shared" si="41"/>
        <v>1.0408330165412316E-5</v>
      </c>
      <c r="AF124" s="13">
        <f t="shared" si="41"/>
        <v>1.0282620392931818E-6</v>
      </c>
      <c r="AG124" s="13">
        <f t="shared" si="41"/>
        <v>0.37574827209398748</v>
      </c>
      <c r="AH124" s="13">
        <f t="shared" si="41"/>
        <v>0.19698348720905307</v>
      </c>
      <c r="AI124" s="13">
        <f t="shared" si="41"/>
        <v>0.18530458847388642</v>
      </c>
      <c r="AJ124" s="13">
        <f t="shared" si="41"/>
        <v>0.12689398200136481</v>
      </c>
      <c r="AK124" s="13">
        <f t="shared" si="41"/>
        <v>7.2049623259393791E-2</v>
      </c>
      <c r="AL124" s="13">
        <f t="shared" si="41"/>
        <v>3.025656150333611E-2</v>
      </c>
      <c r="AM124" s="13">
        <f t="shared" si="41"/>
        <v>9.2965116559377003E-3</v>
      </c>
      <c r="AN124" s="13">
        <f t="shared" si="41"/>
        <v>2.8185278949939274E-3</v>
      </c>
      <c r="AO124" s="13">
        <f t="shared" si="41"/>
        <v>5.4751166166389087E-4</v>
      </c>
      <c r="AP124" s="13">
        <f t="shared" si="41"/>
        <v>8.9421604572925695E-5</v>
      </c>
      <c r="AQ124" s="13">
        <f t="shared" si="41"/>
        <v>1.0408330165412316E-5</v>
      </c>
      <c r="AR124" s="13">
        <f t="shared" si="41"/>
        <v>1.0282620392931818E-6</v>
      </c>
      <c r="AS124" s="13">
        <f t="shared" si="41"/>
        <v>0.37574827209398748</v>
      </c>
      <c r="AT124" s="13">
        <f t="shared" si="41"/>
        <v>0.19698348720905307</v>
      </c>
      <c r="AU124" s="13">
        <f t="shared" si="41"/>
        <v>0.18530458847388642</v>
      </c>
      <c r="AV124" s="13">
        <f t="shared" si="41"/>
        <v>0.12689398200136481</v>
      </c>
      <c r="AW124" s="13">
        <f t="shared" si="41"/>
        <v>7.2049623259393791E-2</v>
      </c>
      <c r="AX124" s="13">
        <f t="shared" si="41"/>
        <v>3.025656150333611E-2</v>
      </c>
      <c r="AY124" s="13">
        <f t="shared" si="41"/>
        <v>9.2965116559377003E-3</v>
      </c>
      <c r="AZ124" s="13">
        <f t="shared" si="41"/>
        <v>2.8185278949939274E-3</v>
      </c>
      <c r="BA124" s="13">
        <f t="shared" si="41"/>
        <v>5.4751166166389087E-4</v>
      </c>
      <c r="BB124" s="13">
        <f t="shared" si="41"/>
        <v>8.9421604572925695E-5</v>
      </c>
      <c r="BC124" s="13">
        <f t="shared" si="41"/>
        <v>1.0408330165412316E-5</v>
      </c>
      <c r="BD124" s="13">
        <f t="shared" si="41"/>
        <v>1.0282620392931818E-6</v>
      </c>
      <c r="BE124" s="13">
        <f t="shared" si="41"/>
        <v>0.37574827209398748</v>
      </c>
      <c r="BF124" s="13">
        <f t="shared" si="41"/>
        <v>0.19698348720905307</v>
      </c>
      <c r="BG124" s="13">
        <f t="shared" si="41"/>
        <v>0.18530458847388642</v>
      </c>
      <c r="BH124" s="13">
        <f t="shared" si="41"/>
        <v>0.12689398200136481</v>
      </c>
      <c r="BI124" s="13">
        <f t="shared" si="41"/>
        <v>7.2049623259393791E-2</v>
      </c>
    </row>
    <row r="125" spans="5:61" x14ac:dyDescent="0.35">
      <c r="E125">
        <f t="shared" si="32"/>
        <v>9</v>
      </c>
      <c r="J125" t="str">
        <f t="shared" si="33"/>
        <v>% des dépôts</v>
      </c>
      <c r="N125" s="13">
        <f t="shared" ref="N125:BI125" si="42">N90</f>
        <v>0</v>
      </c>
      <c r="O125" s="13">
        <f t="shared" si="42"/>
        <v>0</v>
      </c>
      <c r="P125" s="13">
        <f t="shared" si="42"/>
        <v>0</v>
      </c>
      <c r="Q125" s="13">
        <f t="shared" si="42"/>
        <v>0</v>
      </c>
      <c r="R125" s="13">
        <f t="shared" si="42"/>
        <v>0</v>
      </c>
      <c r="S125" s="13">
        <f t="shared" si="42"/>
        <v>0</v>
      </c>
      <c r="T125" s="13">
        <f t="shared" si="42"/>
        <v>0</v>
      </c>
      <c r="U125" s="13">
        <f t="shared" si="42"/>
        <v>0</v>
      </c>
      <c r="V125" s="13">
        <f t="shared" si="42"/>
        <v>0.36944134018176361</v>
      </c>
      <c r="W125" s="13">
        <f t="shared" si="42"/>
        <v>0.20329041912127693</v>
      </c>
      <c r="X125" s="13">
        <f t="shared" si="42"/>
        <v>0.18007012287029855</v>
      </c>
      <c r="Y125" s="13">
        <f t="shared" si="42"/>
        <v>0.13212844760495268</v>
      </c>
      <c r="Z125" s="13">
        <f t="shared" si="42"/>
        <v>7.2049623259393791E-2</v>
      </c>
      <c r="AA125" s="13">
        <f t="shared" si="42"/>
        <v>2.8514411205218471E-2</v>
      </c>
      <c r="AB125" s="13">
        <f t="shared" si="42"/>
        <v>1.103866195405534E-2</v>
      </c>
      <c r="AC125" s="13">
        <f t="shared" si="42"/>
        <v>2.7798358651247579E-3</v>
      </c>
      <c r="AD125" s="13">
        <f t="shared" si="42"/>
        <v>5.862036915330604E-4</v>
      </c>
      <c r="AE125" s="13">
        <f t="shared" si="42"/>
        <v>8.8537243651543029E-5</v>
      </c>
      <c r="AF125" s="13">
        <f t="shared" si="42"/>
        <v>1.1292691086794981E-5</v>
      </c>
      <c r="AG125" s="13">
        <f t="shared" si="42"/>
        <v>1.0282620392931818E-6</v>
      </c>
      <c r="AH125" s="13">
        <f t="shared" si="42"/>
        <v>0.36944134018176361</v>
      </c>
      <c r="AI125" s="13">
        <f t="shared" si="42"/>
        <v>0.20329041912127693</v>
      </c>
      <c r="AJ125" s="13">
        <f t="shared" si="42"/>
        <v>0.18007012287029855</v>
      </c>
      <c r="AK125" s="13">
        <f t="shared" si="42"/>
        <v>0.13212844760495268</v>
      </c>
      <c r="AL125" s="13">
        <f t="shared" si="42"/>
        <v>7.2049623259393791E-2</v>
      </c>
      <c r="AM125" s="13">
        <f t="shared" si="42"/>
        <v>2.8514411205218471E-2</v>
      </c>
      <c r="AN125" s="13">
        <f t="shared" si="42"/>
        <v>1.103866195405534E-2</v>
      </c>
      <c r="AO125" s="13">
        <f t="shared" si="42"/>
        <v>2.7798358651247579E-3</v>
      </c>
      <c r="AP125" s="13">
        <f t="shared" si="42"/>
        <v>5.862036915330604E-4</v>
      </c>
      <c r="AQ125" s="13">
        <f t="shared" si="42"/>
        <v>8.8537243651543029E-5</v>
      </c>
      <c r="AR125" s="13">
        <f t="shared" si="42"/>
        <v>1.1292691086794981E-5</v>
      </c>
      <c r="AS125" s="13">
        <f t="shared" si="42"/>
        <v>1.0282620392931818E-6</v>
      </c>
      <c r="AT125" s="13">
        <f t="shared" si="42"/>
        <v>0.36944134018176361</v>
      </c>
      <c r="AU125" s="13">
        <f t="shared" si="42"/>
        <v>0.20329041912127693</v>
      </c>
      <c r="AV125" s="13">
        <f t="shared" si="42"/>
        <v>0.18007012287029855</v>
      </c>
      <c r="AW125" s="13">
        <f t="shared" si="42"/>
        <v>0.13212844760495268</v>
      </c>
      <c r="AX125" s="13">
        <f t="shared" si="42"/>
        <v>7.2049623259393791E-2</v>
      </c>
      <c r="AY125" s="13">
        <f t="shared" si="42"/>
        <v>2.8514411205218471E-2</v>
      </c>
      <c r="AZ125" s="13">
        <f t="shared" si="42"/>
        <v>1.103866195405534E-2</v>
      </c>
      <c r="BA125" s="13">
        <f t="shared" si="42"/>
        <v>2.7798358651247579E-3</v>
      </c>
      <c r="BB125" s="13">
        <f t="shared" si="42"/>
        <v>5.862036915330604E-4</v>
      </c>
      <c r="BC125" s="13">
        <f t="shared" si="42"/>
        <v>8.8537243651543029E-5</v>
      </c>
      <c r="BD125" s="13">
        <f t="shared" si="42"/>
        <v>1.1292691086794981E-5</v>
      </c>
      <c r="BE125" s="13">
        <f t="shared" si="42"/>
        <v>1.0282620392931818E-6</v>
      </c>
      <c r="BF125" s="13">
        <f t="shared" si="42"/>
        <v>0.36944134018176361</v>
      </c>
      <c r="BG125" s="13">
        <f t="shared" si="42"/>
        <v>0.20329041912127693</v>
      </c>
      <c r="BH125" s="13">
        <f t="shared" si="42"/>
        <v>0.18007012287029855</v>
      </c>
      <c r="BI125" s="13">
        <f t="shared" si="42"/>
        <v>0.13212844760495268</v>
      </c>
    </row>
    <row r="126" spans="5:61" x14ac:dyDescent="0.35">
      <c r="E126">
        <f t="shared" si="32"/>
        <v>10</v>
      </c>
      <c r="J126" t="str">
        <f t="shared" si="33"/>
        <v>% des dépôts</v>
      </c>
      <c r="N126" s="13">
        <f t="shared" ref="N126:BI126" si="43">N91</f>
        <v>0</v>
      </c>
      <c r="O126" s="13">
        <f t="shared" si="43"/>
        <v>0</v>
      </c>
      <c r="P126" s="13">
        <f t="shared" si="43"/>
        <v>0</v>
      </c>
      <c r="Q126" s="13">
        <f t="shared" si="43"/>
        <v>0</v>
      </c>
      <c r="R126" s="13">
        <f t="shared" si="43"/>
        <v>0</v>
      </c>
      <c r="S126" s="13">
        <f t="shared" si="43"/>
        <v>0</v>
      </c>
      <c r="T126" s="13">
        <f t="shared" si="43"/>
        <v>0</v>
      </c>
      <c r="U126" s="13">
        <f t="shared" si="43"/>
        <v>0</v>
      </c>
      <c r="V126" s="13">
        <f t="shared" si="43"/>
        <v>0</v>
      </c>
      <c r="W126" s="13">
        <f t="shared" si="43"/>
        <v>0.37574827209398748</v>
      </c>
      <c r="X126" s="13">
        <f t="shared" si="43"/>
        <v>0.19698348720905307</v>
      </c>
      <c r="Y126" s="13">
        <f t="shared" si="43"/>
        <v>0.18530458847388642</v>
      </c>
      <c r="Z126" s="13">
        <f t="shared" si="43"/>
        <v>0.13009811899722445</v>
      </c>
      <c r="AA126" s="13">
        <f t="shared" si="43"/>
        <v>6.5710242719899115E-2</v>
      </c>
      <c r="AB126" s="13">
        <f t="shared" si="43"/>
        <v>3.2251842992450874E-2</v>
      </c>
      <c r="AC126" s="13">
        <f t="shared" si="43"/>
        <v>1.0436473710457972E-2</v>
      </c>
      <c r="AD126" s="13">
        <f t="shared" si="43"/>
        <v>2.8185278949939274E-3</v>
      </c>
      <c r="AE126" s="13">
        <f t="shared" si="43"/>
        <v>5.4751166166389087E-4</v>
      </c>
      <c r="AF126" s="13">
        <f t="shared" si="43"/>
        <v>8.9421604572925695E-5</v>
      </c>
      <c r="AG126" s="13">
        <f t="shared" si="43"/>
        <v>1.0495558567358287E-5</v>
      </c>
      <c r="AH126" s="13">
        <f t="shared" si="43"/>
        <v>9.4103363734721057E-7</v>
      </c>
      <c r="AI126" s="13">
        <f t="shared" si="43"/>
        <v>0.37574827209398748</v>
      </c>
      <c r="AJ126" s="13">
        <f t="shared" si="43"/>
        <v>0.19698348720905307</v>
      </c>
      <c r="AK126" s="13">
        <f t="shared" si="43"/>
        <v>0.18530458847388642</v>
      </c>
      <c r="AL126" s="13">
        <f t="shared" si="43"/>
        <v>0.13009811899722445</v>
      </c>
      <c r="AM126" s="13">
        <f t="shared" si="43"/>
        <v>6.5710242719899115E-2</v>
      </c>
      <c r="AN126" s="13">
        <f t="shared" si="43"/>
        <v>3.2251842992450874E-2</v>
      </c>
      <c r="AO126" s="13">
        <f t="shared" si="43"/>
        <v>1.0436473710457972E-2</v>
      </c>
      <c r="AP126" s="13">
        <f t="shared" si="43"/>
        <v>2.8185278949939274E-3</v>
      </c>
      <c r="AQ126" s="13">
        <f t="shared" si="43"/>
        <v>5.4751166166389087E-4</v>
      </c>
      <c r="AR126" s="13">
        <f t="shared" si="43"/>
        <v>8.9421604572925695E-5</v>
      </c>
      <c r="AS126" s="13">
        <f t="shared" si="43"/>
        <v>1.0495558567358287E-5</v>
      </c>
      <c r="AT126" s="13">
        <f t="shared" si="43"/>
        <v>9.4103363734721057E-7</v>
      </c>
      <c r="AU126" s="13">
        <f t="shared" si="43"/>
        <v>0.37574827209398748</v>
      </c>
      <c r="AV126" s="13">
        <f t="shared" si="43"/>
        <v>0.19698348720905307</v>
      </c>
      <c r="AW126" s="13">
        <f t="shared" si="43"/>
        <v>0.18530458847388642</v>
      </c>
      <c r="AX126" s="13">
        <f t="shared" si="43"/>
        <v>0.13009811899722445</v>
      </c>
      <c r="AY126" s="13">
        <f t="shared" si="43"/>
        <v>6.5710242719899115E-2</v>
      </c>
      <c r="AZ126" s="13">
        <f t="shared" si="43"/>
        <v>3.2251842992450874E-2</v>
      </c>
      <c r="BA126" s="13">
        <f t="shared" si="43"/>
        <v>1.0436473710457972E-2</v>
      </c>
      <c r="BB126" s="13">
        <f t="shared" si="43"/>
        <v>2.8185278949939274E-3</v>
      </c>
      <c r="BC126" s="13">
        <f t="shared" si="43"/>
        <v>5.4751166166389087E-4</v>
      </c>
      <c r="BD126" s="13">
        <f t="shared" si="43"/>
        <v>8.9421604572925695E-5</v>
      </c>
      <c r="BE126" s="13">
        <f t="shared" si="43"/>
        <v>1.0495558567358287E-5</v>
      </c>
      <c r="BF126" s="13">
        <f t="shared" si="43"/>
        <v>9.4103363734721057E-7</v>
      </c>
      <c r="BG126" s="13">
        <f t="shared" si="43"/>
        <v>0.37574827209398748</v>
      </c>
      <c r="BH126" s="13">
        <f t="shared" si="43"/>
        <v>0.19698348720905307</v>
      </c>
      <c r="BI126" s="13">
        <f t="shared" si="43"/>
        <v>0.18530458847388642</v>
      </c>
    </row>
    <row r="127" spans="5:61" x14ac:dyDescent="0.35">
      <c r="E127">
        <f t="shared" si="32"/>
        <v>11</v>
      </c>
      <c r="J127" t="str">
        <f t="shared" si="33"/>
        <v>% des dépôts</v>
      </c>
      <c r="N127" s="13">
        <f t="shared" ref="N127:BI127" si="44">N92</f>
        <v>0</v>
      </c>
      <c r="O127" s="13">
        <f t="shared" si="44"/>
        <v>0</v>
      </c>
      <c r="P127" s="13">
        <f t="shared" si="44"/>
        <v>0</v>
      </c>
      <c r="Q127" s="13">
        <f t="shared" si="44"/>
        <v>0</v>
      </c>
      <c r="R127" s="13">
        <f t="shared" si="44"/>
        <v>0</v>
      </c>
      <c r="S127" s="13">
        <f t="shared" si="44"/>
        <v>0</v>
      </c>
      <c r="T127" s="13">
        <f t="shared" si="44"/>
        <v>0</v>
      </c>
      <c r="U127" s="13">
        <f t="shared" si="44"/>
        <v>0</v>
      </c>
      <c r="V127" s="13">
        <f t="shared" si="44"/>
        <v>0</v>
      </c>
      <c r="W127" s="13">
        <f t="shared" si="44"/>
        <v>0</v>
      </c>
      <c r="X127" s="13">
        <f t="shared" si="44"/>
        <v>0.36944134018176361</v>
      </c>
      <c r="Y127" s="13">
        <f t="shared" si="44"/>
        <v>0.20329041912127693</v>
      </c>
      <c r="Z127" s="13">
        <f t="shared" si="44"/>
        <v>0.18530458847388642</v>
      </c>
      <c r="AA127" s="13">
        <f t="shared" si="44"/>
        <v>0.12029114764869175</v>
      </c>
      <c r="AB127" s="13">
        <f t="shared" si="44"/>
        <v>7.5517214068431815E-2</v>
      </c>
      <c r="AC127" s="13">
        <f t="shared" si="44"/>
        <v>3.1649654748853506E-2</v>
      </c>
      <c r="AD127" s="13">
        <f t="shared" si="44"/>
        <v>1.103866195405534E-2</v>
      </c>
      <c r="AE127" s="13">
        <f t="shared" si="44"/>
        <v>2.7798358651247579E-3</v>
      </c>
      <c r="AF127" s="13">
        <f t="shared" si="44"/>
        <v>5.862036915330604E-4</v>
      </c>
      <c r="AG127" s="13">
        <f t="shared" si="44"/>
        <v>8.9421604572925695E-5</v>
      </c>
      <c r="AH127" s="13">
        <f t="shared" si="44"/>
        <v>1.0408330165412316E-5</v>
      </c>
      <c r="AI127" s="13">
        <f t="shared" si="44"/>
        <v>1.0282620392931818E-6</v>
      </c>
      <c r="AJ127" s="13">
        <f t="shared" si="44"/>
        <v>0.36944134018176361</v>
      </c>
      <c r="AK127" s="13">
        <f t="shared" si="44"/>
        <v>0.20329041912127693</v>
      </c>
      <c r="AL127" s="13">
        <f t="shared" si="44"/>
        <v>0.18530458847388642</v>
      </c>
      <c r="AM127" s="13">
        <f t="shared" si="44"/>
        <v>0.12029114764869175</v>
      </c>
      <c r="AN127" s="13">
        <f t="shared" si="44"/>
        <v>7.5517214068431815E-2</v>
      </c>
      <c r="AO127" s="13">
        <f t="shared" si="44"/>
        <v>3.1649654748853506E-2</v>
      </c>
      <c r="AP127" s="13">
        <f t="shared" si="44"/>
        <v>1.103866195405534E-2</v>
      </c>
      <c r="AQ127" s="13">
        <f t="shared" si="44"/>
        <v>2.7798358651247579E-3</v>
      </c>
      <c r="AR127" s="13">
        <f t="shared" si="44"/>
        <v>5.862036915330604E-4</v>
      </c>
      <c r="AS127" s="13">
        <f t="shared" si="44"/>
        <v>8.9421604572925695E-5</v>
      </c>
      <c r="AT127" s="13">
        <f t="shared" si="44"/>
        <v>1.0408330165412316E-5</v>
      </c>
      <c r="AU127" s="13">
        <f t="shared" si="44"/>
        <v>1.0282620392931818E-6</v>
      </c>
      <c r="AV127" s="13">
        <f t="shared" si="44"/>
        <v>0.36944134018176361</v>
      </c>
      <c r="AW127" s="13">
        <f t="shared" si="44"/>
        <v>0.20329041912127693</v>
      </c>
      <c r="AX127" s="13">
        <f t="shared" si="44"/>
        <v>0.18530458847388642</v>
      </c>
      <c r="AY127" s="13">
        <f t="shared" si="44"/>
        <v>0.12029114764869175</v>
      </c>
      <c r="AZ127" s="13">
        <f t="shared" si="44"/>
        <v>7.5517214068431815E-2</v>
      </c>
      <c r="BA127" s="13">
        <f t="shared" si="44"/>
        <v>3.1649654748853506E-2</v>
      </c>
      <c r="BB127" s="13">
        <f t="shared" si="44"/>
        <v>1.103866195405534E-2</v>
      </c>
      <c r="BC127" s="13">
        <f t="shared" si="44"/>
        <v>2.7798358651247579E-3</v>
      </c>
      <c r="BD127" s="13">
        <f t="shared" si="44"/>
        <v>5.862036915330604E-4</v>
      </c>
      <c r="BE127" s="13">
        <f t="shared" si="44"/>
        <v>8.9421604572925695E-5</v>
      </c>
      <c r="BF127" s="13">
        <f t="shared" si="44"/>
        <v>1.0408330165412316E-5</v>
      </c>
      <c r="BG127" s="13">
        <f t="shared" si="44"/>
        <v>1.0282620392931818E-6</v>
      </c>
      <c r="BH127" s="13">
        <f t="shared" si="44"/>
        <v>0.36944134018176361</v>
      </c>
      <c r="BI127" s="13">
        <f t="shared" si="44"/>
        <v>0.20329041912127693</v>
      </c>
    </row>
    <row r="128" spans="5:61" x14ac:dyDescent="0.35">
      <c r="E128">
        <f t="shared" si="32"/>
        <v>12</v>
      </c>
      <c r="J128" t="str">
        <f t="shared" si="33"/>
        <v>% des dépôts</v>
      </c>
      <c r="N128" s="13">
        <f t="shared" ref="N128:AQ128" si="45">N93</f>
        <v>0</v>
      </c>
      <c r="O128" s="13">
        <f t="shared" si="45"/>
        <v>0</v>
      </c>
      <c r="P128" s="13">
        <f t="shared" si="45"/>
        <v>0</v>
      </c>
      <c r="Q128" s="13">
        <f t="shared" si="45"/>
        <v>0</v>
      </c>
      <c r="R128" s="13">
        <f t="shared" si="45"/>
        <v>0</v>
      </c>
      <c r="S128" s="13">
        <f t="shared" si="45"/>
        <v>0</v>
      </c>
      <c r="T128" s="13">
        <f t="shared" si="45"/>
        <v>0</v>
      </c>
      <c r="U128" s="13">
        <f t="shared" si="45"/>
        <v>0</v>
      </c>
      <c r="V128" s="13">
        <f t="shared" si="45"/>
        <v>0</v>
      </c>
      <c r="W128" s="13">
        <f t="shared" si="45"/>
        <v>0</v>
      </c>
      <c r="X128" s="13">
        <f t="shared" si="45"/>
        <v>0</v>
      </c>
      <c r="Y128" s="13">
        <f t="shared" si="45"/>
        <v>0.37574827209398748</v>
      </c>
      <c r="Z128" s="13">
        <f t="shared" si="45"/>
        <v>0.20351143734511551</v>
      </c>
      <c r="AA128" s="13">
        <f t="shared" si="45"/>
        <v>0.1682477530139741</v>
      </c>
      <c r="AB128" s="13">
        <f t="shared" si="45"/>
        <v>0.13415400398174826</v>
      </c>
      <c r="AC128" s="13">
        <f t="shared" si="45"/>
        <v>7.2183243059225188E-2</v>
      </c>
      <c r="AD128" s="13">
        <f t="shared" si="45"/>
        <v>3.2251842992450874E-2</v>
      </c>
      <c r="AE128" s="13">
        <f t="shared" si="45"/>
        <v>1.0436473710457972E-2</v>
      </c>
      <c r="AF128" s="13">
        <f t="shared" si="45"/>
        <v>2.8185278949939274E-3</v>
      </c>
      <c r="AG128" s="13">
        <f t="shared" si="45"/>
        <v>5.5396478324232223E-4</v>
      </c>
      <c r="AH128" s="13">
        <f t="shared" si="45"/>
        <v>8.296848299449433E-5</v>
      </c>
      <c r="AI128" s="13">
        <f t="shared" si="45"/>
        <v>1.0495558567358287E-5</v>
      </c>
      <c r="AJ128" s="13">
        <f t="shared" si="45"/>
        <v>9.4103363734721057E-7</v>
      </c>
      <c r="AK128" s="13">
        <f t="shared" si="45"/>
        <v>0.37574827209398748</v>
      </c>
      <c r="AL128" s="13">
        <f t="shared" si="45"/>
        <v>0.20351143734511551</v>
      </c>
      <c r="AM128" s="13">
        <f t="shared" si="45"/>
        <v>0.1682477530139741</v>
      </c>
      <c r="AN128" s="13">
        <f t="shared" si="45"/>
        <v>0.13415400398174826</v>
      </c>
      <c r="AO128" s="13">
        <f t="shared" si="45"/>
        <v>7.2183243059225188E-2</v>
      </c>
      <c r="AP128" s="13">
        <f t="shared" si="45"/>
        <v>3.2251842992450874E-2</v>
      </c>
      <c r="AQ128" s="13">
        <f t="shared" si="45"/>
        <v>1.0436473710457972E-2</v>
      </c>
      <c r="AR128" s="13">
        <f t="shared" ref="AR128:BI128" si="46">AR93</f>
        <v>2.8185278949939274E-3</v>
      </c>
      <c r="AS128" s="13">
        <f t="shared" si="46"/>
        <v>5.5396478324232223E-4</v>
      </c>
      <c r="AT128" s="13">
        <f t="shared" si="46"/>
        <v>8.296848299449433E-5</v>
      </c>
      <c r="AU128" s="13">
        <f t="shared" si="46"/>
        <v>1.0495558567358287E-5</v>
      </c>
      <c r="AV128" s="13">
        <f t="shared" si="46"/>
        <v>9.4103363734721057E-7</v>
      </c>
      <c r="AW128" s="13">
        <f t="shared" si="46"/>
        <v>0.37574827209398748</v>
      </c>
      <c r="AX128" s="13">
        <f t="shared" si="46"/>
        <v>0.20351143734511551</v>
      </c>
      <c r="AY128" s="13">
        <f t="shared" si="46"/>
        <v>0.1682477530139741</v>
      </c>
      <c r="AZ128" s="13">
        <f t="shared" si="46"/>
        <v>0.13415400398174826</v>
      </c>
      <c r="BA128" s="13">
        <f t="shared" si="46"/>
        <v>7.2183243059225188E-2</v>
      </c>
      <c r="BB128" s="13">
        <f t="shared" si="46"/>
        <v>3.2251842992450874E-2</v>
      </c>
      <c r="BC128" s="13">
        <f t="shared" si="46"/>
        <v>1.0436473710457972E-2</v>
      </c>
      <c r="BD128" s="13">
        <f t="shared" si="46"/>
        <v>2.8185278949939274E-3</v>
      </c>
      <c r="BE128" s="13">
        <f t="shared" si="46"/>
        <v>5.5396478324232223E-4</v>
      </c>
      <c r="BF128" s="13">
        <f t="shared" si="46"/>
        <v>8.296848299449433E-5</v>
      </c>
      <c r="BG128" s="13">
        <f t="shared" si="46"/>
        <v>1.0495558567358287E-5</v>
      </c>
      <c r="BH128" s="13">
        <f t="shared" si="46"/>
        <v>9.4103363734721057E-7</v>
      </c>
      <c r="BI128" s="13">
        <f t="shared" si="46"/>
        <v>0.37574827209398748</v>
      </c>
    </row>
    <row r="130" spans="5:61" x14ac:dyDescent="0.35">
      <c r="E130">
        <v>1</v>
      </c>
      <c r="J130" t="s">
        <v>50</v>
      </c>
      <c r="N130" s="16">
        <f t="shared" ref="N130:BI135" si="47">IFERROR(INDEX($N$99:$BI$99,1,MATCH(N104,$N$98:$BI$98,0)),0)</f>
        <v>0</v>
      </c>
      <c r="O130" s="16">
        <f t="shared" si="47"/>
        <v>0</v>
      </c>
      <c r="P130" s="16">
        <f t="shared" si="47"/>
        <v>0</v>
      </c>
      <c r="Q130" s="16">
        <f t="shared" si="47"/>
        <v>0</v>
      </c>
      <c r="R130" s="16">
        <f t="shared" si="47"/>
        <v>0</v>
      </c>
      <c r="S130" s="16">
        <f t="shared" si="47"/>
        <v>0</v>
      </c>
      <c r="T130" s="16">
        <f t="shared" si="47"/>
        <v>0</v>
      </c>
      <c r="U130" s="16">
        <f t="shared" si="47"/>
        <v>0</v>
      </c>
      <c r="V130" s="16">
        <f t="shared" si="47"/>
        <v>0</v>
      </c>
      <c r="W130" s="16">
        <f t="shared" si="47"/>
        <v>0</v>
      </c>
      <c r="X130" s="16">
        <f t="shared" si="47"/>
        <v>0</v>
      </c>
      <c r="Y130" s="16">
        <f t="shared" si="47"/>
        <v>0</v>
      </c>
      <c r="Z130" s="16">
        <f t="shared" si="47"/>
        <v>21697</v>
      </c>
      <c r="AA130" s="16">
        <f t="shared" si="47"/>
        <v>21697</v>
      </c>
      <c r="AB130" s="16">
        <f t="shared" si="47"/>
        <v>21697</v>
      </c>
      <c r="AC130" s="16">
        <f t="shared" si="47"/>
        <v>21697</v>
      </c>
      <c r="AD130" s="16">
        <f t="shared" si="47"/>
        <v>21697</v>
      </c>
      <c r="AE130" s="16">
        <f t="shared" si="47"/>
        <v>21697</v>
      </c>
      <c r="AF130" s="16">
        <f t="shared" si="47"/>
        <v>21697</v>
      </c>
      <c r="AG130" s="16">
        <f t="shared" si="47"/>
        <v>21697</v>
      </c>
      <c r="AH130" s="16">
        <f t="shared" si="47"/>
        <v>21697</v>
      </c>
      <c r="AI130" s="16">
        <f t="shared" si="47"/>
        <v>21697</v>
      </c>
      <c r="AJ130" s="16">
        <f t="shared" si="47"/>
        <v>21697</v>
      </c>
      <c r="AK130" s="16">
        <f t="shared" si="47"/>
        <v>21697</v>
      </c>
      <c r="AL130" s="16">
        <f t="shared" si="47"/>
        <v>55779.354484422802</v>
      </c>
      <c r="AM130" s="16">
        <f t="shared" si="47"/>
        <v>55779.354484422802</v>
      </c>
      <c r="AN130" s="16">
        <f t="shared" si="47"/>
        <v>55779.354484422802</v>
      </c>
      <c r="AO130" s="16">
        <f t="shared" si="47"/>
        <v>55779.354484422802</v>
      </c>
      <c r="AP130" s="16">
        <f t="shared" si="47"/>
        <v>55779.354484422802</v>
      </c>
      <c r="AQ130" s="16">
        <f t="shared" si="47"/>
        <v>55779.354484422802</v>
      </c>
      <c r="AR130" s="16">
        <f t="shared" si="47"/>
        <v>55779.354484422802</v>
      </c>
      <c r="AS130" s="16">
        <f t="shared" si="47"/>
        <v>55779.354484422802</v>
      </c>
      <c r="AT130" s="16">
        <f t="shared" si="47"/>
        <v>55779.354484422802</v>
      </c>
      <c r="AU130" s="16">
        <f t="shared" si="47"/>
        <v>55779.354484422802</v>
      </c>
      <c r="AV130" s="16">
        <f t="shared" si="47"/>
        <v>55779.354484422802</v>
      </c>
      <c r="AW130" s="16">
        <f t="shared" si="47"/>
        <v>55779.354484422802</v>
      </c>
      <c r="AX130" s="16">
        <f t="shared" si="47"/>
        <v>63005.515505017313</v>
      </c>
      <c r="AY130" s="16">
        <f t="shared" si="47"/>
        <v>63005.515505017313</v>
      </c>
      <c r="AZ130" s="16">
        <f t="shared" si="47"/>
        <v>63005.515505017313</v>
      </c>
      <c r="BA130" s="16">
        <f t="shared" si="47"/>
        <v>63005.515505017313</v>
      </c>
      <c r="BB130" s="16">
        <f t="shared" si="47"/>
        <v>63005.515505017313</v>
      </c>
      <c r="BC130" s="16">
        <f t="shared" si="47"/>
        <v>63005.515505017313</v>
      </c>
      <c r="BD130" s="16">
        <f t="shared" si="47"/>
        <v>63005.515505017313</v>
      </c>
      <c r="BE130" s="16">
        <f t="shared" si="47"/>
        <v>63005.515505017313</v>
      </c>
      <c r="BF130" s="16">
        <f t="shared" si="47"/>
        <v>63005.515505017313</v>
      </c>
      <c r="BG130" s="16">
        <f t="shared" si="47"/>
        <v>63005.515505017313</v>
      </c>
      <c r="BH130" s="16">
        <f t="shared" si="47"/>
        <v>63005.515505017313</v>
      </c>
      <c r="BI130" s="16">
        <f t="shared" si="47"/>
        <v>63005.515505017313</v>
      </c>
    </row>
    <row r="131" spans="5:61" x14ac:dyDescent="0.35">
      <c r="E131">
        <v>2</v>
      </c>
      <c r="J131" t="s">
        <v>50</v>
      </c>
      <c r="N131" s="16">
        <f t="shared" si="47"/>
        <v>0</v>
      </c>
      <c r="O131" s="16">
        <f t="shared" si="47"/>
        <v>0</v>
      </c>
      <c r="P131" s="16">
        <f t="shared" si="47"/>
        <v>0</v>
      </c>
      <c r="Q131" s="16">
        <f t="shared" si="47"/>
        <v>0</v>
      </c>
      <c r="R131" s="16">
        <f t="shared" si="47"/>
        <v>0</v>
      </c>
      <c r="S131" s="16">
        <f t="shared" si="47"/>
        <v>0</v>
      </c>
      <c r="T131" s="16">
        <f t="shared" si="47"/>
        <v>0</v>
      </c>
      <c r="U131" s="16">
        <f t="shared" si="47"/>
        <v>0</v>
      </c>
      <c r="V131" s="16">
        <f t="shared" si="47"/>
        <v>0</v>
      </c>
      <c r="W131" s="16">
        <f t="shared" si="47"/>
        <v>0</v>
      </c>
      <c r="X131" s="16">
        <f t="shared" si="47"/>
        <v>0</v>
      </c>
      <c r="Y131" s="16">
        <f t="shared" si="47"/>
        <v>0</v>
      </c>
      <c r="Z131" s="16">
        <f t="shared" si="47"/>
        <v>0</v>
      </c>
      <c r="AA131" s="16">
        <f t="shared" si="47"/>
        <v>27179</v>
      </c>
      <c r="AB131" s="16">
        <f t="shared" si="47"/>
        <v>27179</v>
      </c>
      <c r="AC131" s="16">
        <f t="shared" si="47"/>
        <v>27179</v>
      </c>
      <c r="AD131" s="16">
        <f t="shared" si="47"/>
        <v>27179</v>
      </c>
      <c r="AE131" s="16">
        <f t="shared" si="47"/>
        <v>27179</v>
      </c>
      <c r="AF131" s="16">
        <f t="shared" si="47"/>
        <v>27179</v>
      </c>
      <c r="AG131" s="16">
        <f t="shared" si="47"/>
        <v>27179</v>
      </c>
      <c r="AH131" s="16">
        <f t="shared" si="47"/>
        <v>27179</v>
      </c>
      <c r="AI131" s="16">
        <f t="shared" si="47"/>
        <v>27179</v>
      </c>
      <c r="AJ131" s="16">
        <f t="shared" si="47"/>
        <v>27179</v>
      </c>
      <c r="AK131" s="16">
        <f t="shared" si="47"/>
        <v>27179</v>
      </c>
      <c r="AL131" s="16">
        <f t="shared" si="47"/>
        <v>27179</v>
      </c>
      <c r="AM131" s="16">
        <f t="shared" si="47"/>
        <v>52425.82824647989</v>
      </c>
      <c r="AN131" s="16">
        <f t="shared" si="47"/>
        <v>52425.82824647989</v>
      </c>
      <c r="AO131" s="16">
        <f t="shared" si="47"/>
        <v>52425.82824647989</v>
      </c>
      <c r="AP131" s="16">
        <f t="shared" si="47"/>
        <v>52425.82824647989</v>
      </c>
      <c r="AQ131" s="16">
        <f t="shared" si="47"/>
        <v>52425.82824647989</v>
      </c>
      <c r="AR131" s="16">
        <f t="shared" si="47"/>
        <v>52425.82824647989</v>
      </c>
      <c r="AS131" s="16">
        <f t="shared" si="47"/>
        <v>52425.82824647989</v>
      </c>
      <c r="AT131" s="16">
        <f t="shared" si="47"/>
        <v>52425.82824647989</v>
      </c>
      <c r="AU131" s="16">
        <f t="shared" si="47"/>
        <v>52425.82824647989</v>
      </c>
      <c r="AV131" s="16">
        <f t="shared" si="47"/>
        <v>52425.82824647989</v>
      </c>
      <c r="AW131" s="16">
        <f t="shared" si="47"/>
        <v>52425.82824647989</v>
      </c>
      <c r="AX131" s="16">
        <f t="shared" si="47"/>
        <v>52425.82824647989</v>
      </c>
      <c r="AY131" s="16">
        <f t="shared" si="47"/>
        <v>58444.060974671265</v>
      </c>
      <c r="AZ131" s="16">
        <f t="shared" si="47"/>
        <v>58444.060974671265</v>
      </c>
      <c r="BA131" s="16">
        <f t="shared" si="47"/>
        <v>58444.060974671265</v>
      </c>
      <c r="BB131" s="16">
        <f t="shared" si="47"/>
        <v>58444.060974671265</v>
      </c>
      <c r="BC131" s="16">
        <f t="shared" si="47"/>
        <v>58444.060974671265</v>
      </c>
      <c r="BD131" s="16">
        <f t="shared" si="47"/>
        <v>58444.060974671265</v>
      </c>
      <c r="BE131" s="16">
        <f t="shared" si="47"/>
        <v>58444.060974671265</v>
      </c>
      <c r="BF131" s="16">
        <f t="shared" si="47"/>
        <v>58444.060974671265</v>
      </c>
      <c r="BG131" s="16">
        <f t="shared" si="47"/>
        <v>58444.060974671265</v>
      </c>
      <c r="BH131" s="16">
        <f t="shared" si="47"/>
        <v>58444.060974671265</v>
      </c>
      <c r="BI131" s="16">
        <f t="shared" si="47"/>
        <v>58444.060974671265</v>
      </c>
    </row>
    <row r="132" spans="5:61" x14ac:dyDescent="0.35">
      <c r="E132">
        <v>3</v>
      </c>
      <c r="J132" t="s">
        <v>50</v>
      </c>
      <c r="N132" s="16">
        <f t="shared" si="47"/>
        <v>0</v>
      </c>
      <c r="O132" s="16">
        <f t="shared" si="47"/>
        <v>0</v>
      </c>
      <c r="P132" s="16">
        <f t="shared" si="47"/>
        <v>0</v>
      </c>
      <c r="Q132" s="16">
        <f t="shared" si="47"/>
        <v>0</v>
      </c>
      <c r="R132" s="16">
        <f t="shared" si="47"/>
        <v>0</v>
      </c>
      <c r="S132" s="16">
        <f t="shared" si="47"/>
        <v>0</v>
      </c>
      <c r="T132" s="16">
        <f t="shared" si="47"/>
        <v>0</v>
      </c>
      <c r="U132" s="16">
        <f t="shared" si="47"/>
        <v>0</v>
      </c>
      <c r="V132" s="16">
        <f t="shared" si="47"/>
        <v>0</v>
      </c>
      <c r="W132" s="16">
        <f t="shared" si="47"/>
        <v>0</v>
      </c>
      <c r="X132" s="16">
        <f t="shared" si="47"/>
        <v>0</v>
      </c>
      <c r="Y132" s="16">
        <f t="shared" si="47"/>
        <v>0</v>
      </c>
      <c r="Z132" s="16">
        <f t="shared" si="47"/>
        <v>0</v>
      </c>
      <c r="AA132" s="16">
        <f t="shared" si="47"/>
        <v>0</v>
      </c>
      <c r="AB132" s="16">
        <f t="shared" si="47"/>
        <v>32553</v>
      </c>
      <c r="AC132" s="16">
        <f t="shared" si="47"/>
        <v>32553</v>
      </c>
      <c r="AD132" s="16">
        <f t="shared" si="47"/>
        <v>32553</v>
      </c>
      <c r="AE132" s="16">
        <f t="shared" si="47"/>
        <v>32553</v>
      </c>
      <c r="AF132" s="16">
        <f t="shared" si="47"/>
        <v>32553</v>
      </c>
      <c r="AG132" s="16">
        <f t="shared" si="47"/>
        <v>32553</v>
      </c>
      <c r="AH132" s="16">
        <f t="shared" si="47"/>
        <v>32553</v>
      </c>
      <c r="AI132" s="16">
        <f t="shared" si="47"/>
        <v>32553</v>
      </c>
      <c r="AJ132" s="16">
        <f t="shared" si="47"/>
        <v>32553</v>
      </c>
      <c r="AK132" s="16">
        <f t="shared" si="47"/>
        <v>32553</v>
      </c>
      <c r="AL132" s="16">
        <f t="shared" si="47"/>
        <v>32553</v>
      </c>
      <c r="AM132" s="16">
        <f t="shared" si="47"/>
        <v>32553</v>
      </c>
      <c r="AN132" s="16">
        <f t="shared" si="47"/>
        <v>60235.743482396771</v>
      </c>
      <c r="AO132" s="16">
        <f t="shared" si="47"/>
        <v>60235.743482396771</v>
      </c>
      <c r="AP132" s="16">
        <f t="shared" si="47"/>
        <v>60235.743482396771</v>
      </c>
      <c r="AQ132" s="16">
        <f t="shared" si="47"/>
        <v>60235.743482396771</v>
      </c>
      <c r="AR132" s="16">
        <f t="shared" si="47"/>
        <v>60235.743482396771</v>
      </c>
      <c r="AS132" s="16">
        <f t="shared" si="47"/>
        <v>60235.743482396771</v>
      </c>
      <c r="AT132" s="16">
        <f t="shared" si="47"/>
        <v>60235.743482396771</v>
      </c>
      <c r="AU132" s="16">
        <f t="shared" si="47"/>
        <v>60235.743482396771</v>
      </c>
      <c r="AV132" s="16">
        <f t="shared" si="47"/>
        <v>60235.743482396771</v>
      </c>
      <c r="AW132" s="16">
        <f t="shared" si="47"/>
        <v>60235.743482396771</v>
      </c>
      <c r="AX132" s="16">
        <f t="shared" si="47"/>
        <v>60235.743482396771</v>
      </c>
      <c r="AY132" s="16">
        <f t="shared" si="47"/>
        <v>60235.743482396771</v>
      </c>
      <c r="AZ132" s="16">
        <f t="shared" si="47"/>
        <v>66515.865208060728</v>
      </c>
      <c r="BA132" s="16">
        <f t="shared" si="47"/>
        <v>66515.865208060728</v>
      </c>
      <c r="BB132" s="16">
        <f t="shared" si="47"/>
        <v>66515.865208060728</v>
      </c>
      <c r="BC132" s="16">
        <f t="shared" si="47"/>
        <v>66515.865208060728</v>
      </c>
      <c r="BD132" s="16">
        <f t="shared" si="47"/>
        <v>66515.865208060728</v>
      </c>
      <c r="BE132" s="16">
        <f t="shared" si="47"/>
        <v>66515.865208060728</v>
      </c>
      <c r="BF132" s="16">
        <f t="shared" si="47"/>
        <v>66515.865208060728</v>
      </c>
      <c r="BG132" s="16">
        <f t="shared" si="47"/>
        <v>66515.865208060728</v>
      </c>
      <c r="BH132" s="16">
        <f t="shared" si="47"/>
        <v>66515.865208060728</v>
      </c>
      <c r="BI132" s="16">
        <f t="shared" si="47"/>
        <v>66515.865208060728</v>
      </c>
    </row>
    <row r="133" spans="5:61" x14ac:dyDescent="0.35">
      <c r="E133">
        <v>4</v>
      </c>
      <c r="J133" t="s">
        <v>50</v>
      </c>
      <c r="N133" s="16">
        <f t="shared" si="47"/>
        <v>0</v>
      </c>
      <c r="O133" s="16">
        <f t="shared" si="47"/>
        <v>0</v>
      </c>
      <c r="P133" s="16">
        <f t="shared" si="47"/>
        <v>0</v>
      </c>
      <c r="Q133" s="16">
        <f t="shared" si="47"/>
        <v>87</v>
      </c>
      <c r="R133" s="16">
        <f t="shared" si="47"/>
        <v>87</v>
      </c>
      <c r="S133" s="16">
        <f t="shared" si="47"/>
        <v>87</v>
      </c>
      <c r="T133" s="16">
        <f t="shared" si="47"/>
        <v>87</v>
      </c>
      <c r="U133" s="16">
        <f t="shared" si="47"/>
        <v>87</v>
      </c>
      <c r="V133" s="16">
        <f t="shared" si="47"/>
        <v>87</v>
      </c>
      <c r="W133" s="16">
        <f t="shared" si="47"/>
        <v>87</v>
      </c>
      <c r="X133" s="16">
        <f t="shared" si="47"/>
        <v>87</v>
      </c>
      <c r="Y133" s="16">
        <f t="shared" si="47"/>
        <v>87</v>
      </c>
      <c r="Z133" s="16">
        <f t="shared" si="47"/>
        <v>87</v>
      </c>
      <c r="AA133" s="16">
        <f t="shared" si="47"/>
        <v>87</v>
      </c>
      <c r="AB133" s="16">
        <f t="shared" si="47"/>
        <v>87</v>
      </c>
      <c r="AC133" s="16">
        <f t="shared" si="47"/>
        <v>34544</v>
      </c>
      <c r="AD133" s="16">
        <f t="shared" si="47"/>
        <v>34544</v>
      </c>
      <c r="AE133" s="16">
        <f t="shared" si="47"/>
        <v>34544</v>
      </c>
      <c r="AF133" s="16">
        <f t="shared" si="47"/>
        <v>34544</v>
      </c>
      <c r="AG133" s="16">
        <f t="shared" si="47"/>
        <v>34544</v>
      </c>
      <c r="AH133" s="16">
        <f t="shared" si="47"/>
        <v>34544</v>
      </c>
      <c r="AI133" s="16">
        <f t="shared" si="47"/>
        <v>34544</v>
      </c>
      <c r="AJ133" s="16">
        <f t="shared" si="47"/>
        <v>34544</v>
      </c>
      <c r="AK133" s="16">
        <f t="shared" si="47"/>
        <v>34544</v>
      </c>
      <c r="AL133" s="16">
        <f t="shared" si="47"/>
        <v>34544</v>
      </c>
      <c r="AM133" s="16">
        <f t="shared" si="47"/>
        <v>34544</v>
      </c>
      <c r="AN133" s="16">
        <f t="shared" si="47"/>
        <v>34544</v>
      </c>
      <c r="AO133" s="16">
        <f t="shared" si="47"/>
        <v>59531.72975090504</v>
      </c>
      <c r="AP133" s="16">
        <f t="shared" si="47"/>
        <v>59531.72975090504</v>
      </c>
      <c r="AQ133" s="16">
        <f t="shared" si="47"/>
        <v>59531.72975090504</v>
      </c>
      <c r="AR133" s="16">
        <f t="shared" si="47"/>
        <v>59531.72975090504</v>
      </c>
      <c r="AS133" s="16">
        <f t="shared" si="47"/>
        <v>59531.72975090504</v>
      </c>
      <c r="AT133" s="16">
        <f t="shared" si="47"/>
        <v>59531.72975090504</v>
      </c>
      <c r="AU133" s="16">
        <f t="shared" si="47"/>
        <v>59531.72975090504</v>
      </c>
      <c r="AV133" s="16">
        <f t="shared" si="47"/>
        <v>59531.72975090504</v>
      </c>
      <c r="AW133" s="16">
        <f t="shared" si="47"/>
        <v>59531.72975090504</v>
      </c>
      <c r="AX133" s="16">
        <f t="shared" si="47"/>
        <v>59531.72975090504</v>
      </c>
      <c r="AY133" s="16">
        <f t="shared" si="47"/>
        <v>59531.72975090504</v>
      </c>
      <c r="AZ133" s="16">
        <f t="shared" si="47"/>
        <v>59531.72975090504</v>
      </c>
      <c r="BA133" s="16">
        <f t="shared" si="47"/>
        <v>65544.945076049407</v>
      </c>
      <c r="BB133" s="16">
        <f t="shared" si="47"/>
        <v>65544.945076049407</v>
      </c>
      <c r="BC133" s="16">
        <f t="shared" si="47"/>
        <v>65544.945076049407</v>
      </c>
      <c r="BD133" s="16">
        <f t="shared" si="47"/>
        <v>65544.945076049407</v>
      </c>
      <c r="BE133" s="16">
        <f t="shared" si="47"/>
        <v>65544.945076049407</v>
      </c>
      <c r="BF133" s="16">
        <f t="shared" si="47"/>
        <v>65544.945076049407</v>
      </c>
      <c r="BG133" s="16">
        <f t="shared" si="47"/>
        <v>65544.945076049407</v>
      </c>
      <c r="BH133" s="16">
        <f t="shared" si="47"/>
        <v>65544.945076049407</v>
      </c>
      <c r="BI133" s="16">
        <f t="shared" si="47"/>
        <v>65544.945076049407</v>
      </c>
    </row>
    <row r="134" spans="5:61" x14ac:dyDescent="0.35">
      <c r="E134">
        <v>5</v>
      </c>
      <c r="J134" t="s">
        <v>50</v>
      </c>
      <c r="N134" s="16">
        <f t="shared" si="47"/>
        <v>0</v>
      </c>
      <c r="O134" s="16">
        <f t="shared" si="47"/>
        <v>0</v>
      </c>
      <c r="P134" s="16">
        <f t="shared" si="47"/>
        <v>0</v>
      </c>
      <c r="Q134" s="16">
        <f t="shared" si="47"/>
        <v>0</v>
      </c>
      <c r="R134" s="16">
        <f t="shared" si="47"/>
        <v>636</v>
      </c>
      <c r="S134" s="16">
        <f t="shared" si="47"/>
        <v>636</v>
      </c>
      <c r="T134" s="16">
        <f t="shared" si="47"/>
        <v>636</v>
      </c>
      <c r="U134" s="16">
        <f t="shared" si="47"/>
        <v>636</v>
      </c>
      <c r="V134" s="16">
        <f t="shared" si="47"/>
        <v>636</v>
      </c>
      <c r="W134" s="16">
        <f t="shared" si="47"/>
        <v>636</v>
      </c>
      <c r="X134" s="16">
        <f t="shared" si="47"/>
        <v>636</v>
      </c>
      <c r="Y134" s="16">
        <f t="shared" si="47"/>
        <v>636</v>
      </c>
      <c r="Z134" s="16">
        <f t="shared" si="47"/>
        <v>636</v>
      </c>
      <c r="AA134" s="16">
        <f t="shared" si="47"/>
        <v>636</v>
      </c>
      <c r="AB134" s="16">
        <f t="shared" si="47"/>
        <v>636</v>
      </c>
      <c r="AC134" s="16">
        <f t="shared" si="47"/>
        <v>636</v>
      </c>
      <c r="AD134" s="16">
        <f t="shared" si="47"/>
        <v>32781</v>
      </c>
      <c r="AE134" s="16">
        <f t="shared" si="47"/>
        <v>32781</v>
      </c>
      <c r="AF134" s="16">
        <f t="shared" si="47"/>
        <v>32781</v>
      </c>
      <c r="AG134" s="16">
        <f t="shared" si="47"/>
        <v>32781</v>
      </c>
      <c r="AH134" s="16">
        <f t="shared" si="47"/>
        <v>32781</v>
      </c>
      <c r="AI134" s="16">
        <f t="shared" si="47"/>
        <v>32781</v>
      </c>
      <c r="AJ134" s="16">
        <f t="shared" si="47"/>
        <v>32781</v>
      </c>
      <c r="AK134" s="16">
        <f t="shared" si="47"/>
        <v>32781</v>
      </c>
      <c r="AL134" s="16">
        <f t="shared" si="47"/>
        <v>32781</v>
      </c>
      <c r="AM134" s="16">
        <f t="shared" si="47"/>
        <v>32781</v>
      </c>
      <c r="AN134" s="16">
        <f t="shared" si="47"/>
        <v>32781</v>
      </c>
      <c r="AO134" s="16">
        <f t="shared" si="47"/>
        <v>32781</v>
      </c>
      <c r="AP134" s="16">
        <f t="shared" si="47"/>
        <v>62473.721581154561</v>
      </c>
      <c r="AQ134" s="16">
        <f t="shared" si="47"/>
        <v>62473.721581154561</v>
      </c>
      <c r="AR134" s="16">
        <f t="shared" si="47"/>
        <v>62473.721581154561</v>
      </c>
      <c r="AS134" s="16">
        <f t="shared" si="47"/>
        <v>62473.721581154561</v>
      </c>
      <c r="AT134" s="16">
        <f t="shared" si="47"/>
        <v>62473.721581154561</v>
      </c>
      <c r="AU134" s="16">
        <f t="shared" si="47"/>
        <v>62473.721581154561</v>
      </c>
      <c r="AV134" s="16">
        <f t="shared" si="47"/>
        <v>62473.721581154561</v>
      </c>
      <c r="AW134" s="16">
        <f t="shared" si="47"/>
        <v>62473.721581154561</v>
      </c>
      <c r="AX134" s="16">
        <f t="shared" si="47"/>
        <v>62473.721581154561</v>
      </c>
      <c r="AY134" s="16">
        <f t="shared" si="47"/>
        <v>62473.721581154561</v>
      </c>
      <c r="AZ134" s="16">
        <f t="shared" si="47"/>
        <v>62473.721581154561</v>
      </c>
      <c r="BA134" s="16">
        <f t="shared" si="47"/>
        <v>62473.721581154561</v>
      </c>
      <c r="BB134" s="16">
        <f t="shared" si="47"/>
        <v>68579.424332022172</v>
      </c>
      <c r="BC134" s="16">
        <f t="shared" si="47"/>
        <v>68579.424332022172</v>
      </c>
      <c r="BD134" s="16">
        <f t="shared" si="47"/>
        <v>68579.424332022172</v>
      </c>
      <c r="BE134" s="16">
        <f t="shared" si="47"/>
        <v>68579.424332022172</v>
      </c>
      <c r="BF134" s="16">
        <f t="shared" si="47"/>
        <v>68579.424332022172</v>
      </c>
      <c r="BG134" s="16">
        <f t="shared" si="47"/>
        <v>68579.424332022172</v>
      </c>
      <c r="BH134" s="16">
        <f t="shared" si="47"/>
        <v>68579.424332022172</v>
      </c>
      <c r="BI134" s="16">
        <f t="shared" si="47"/>
        <v>68579.424332022172</v>
      </c>
    </row>
    <row r="135" spans="5:61" x14ac:dyDescent="0.35">
      <c r="E135">
        <v>6</v>
      </c>
      <c r="J135" t="s">
        <v>50</v>
      </c>
      <c r="N135" s="16">
        <f t="shared" si="47"/>
        <v>0</v>
      </c>
      <c r="O135" s="16">
        <f t="shared" si="47"/>
        <v>0</v>
      </c>
      <c r="P135" s="16">
        <f t="shared" si="47"/>
        <v>0</v>
      </c>
      <c r="Q135" s="16">
        <f t="shared" si="47"/>
        <v>0</v>
      </c>
      <c r="R135" s="16">
        <f t="shared" si="47"/>
        <v>0</v>
      </c>
      <c r="S135" s="16">
        <f t="shared" si="47"/>
        <v>2269</v>
      </c>
      <c r="T135" s="16">
        <f t="shared" si="47"/>
        <v>2269</v>
      </c>
      <c r="U135" s="16">
        <f t="shared" si="47"/>
        <v>2269</v>
      </c>
      <c r="V135" s="16">
        <f t="shared" si="47"/>
        <v>2269</v>
      </c>
      <c r="W135" s="16">
        <f t="shared" si="47"/>
        <v>2269</v>
      </c>
      <c r="X135" s="16">
        <f t="shared" si="47"/>
        <v>2269</v>
      </c>
      <c r="Y135" s="16">
        <f t="shared" si="47"/>
        <v>2269</v>
      </c>
      <c r="Z135" s="16">
        <f t="shared" si="47"/>
        <v>2269</v>
      </c>
      <c r="AA135" s="16">
        <f t="shared" si="47"/>
        <v>2269</v>
      </c>
      <c r="AB135" s="16">
        <f t="shared" si="47"/>
        <v>2269</v>
      </c>
      <c r="AC135" s="16">
        <f t="shared" ref="AC135:BI135" si="48">IFERROR(INDEX($N$99:$BI$99,1,MATCH(AC109,$N$98:$BI$98,0)),0)</f>
        <v>2269</v>
      </c>
      <c r="AD135" s="16">
        <f t="shared" si="48"/>
        <v>2269</v>
      </c>
      <c r="AE135" s="16">
        <f t="shared" si="48"/>
        <v>38664</v>
      </c>
      <c r="AF135" s="16">
        <f t="shared" si="48"/>
        <v>38664</v>
      </c>
      <c r="AG135" s="16">
        <f t="shared" si="48"/>
        <v>38664</v>
      </c>
      <c r="AH135" s="16">
        <f t="shared" si="48"/>
        <v>38664</v>
      </c>
      <c r="AI135" s="16">
        <f t="shared" si="48"/>
        <v>38664</v>
      </c>
      <c r="AJ135" s="16">
        <f t="shared" si="48"/>
        <v>38664</v>
      </c>
      <c r="AK135" s="16">
        <f t="shared" si="48"/>
        <v>38664</v>
      </c>
      <c r="AL135" s="16">
        <f t="shared" si="48"/>
        <v>38664</v>
      </c>
      <c r="AM135" s="16">
        <f t="shared" si="48"/>
        <v>38664</v>
      </c>
      <c r="AN135" s="16">
        <f t="shared" si="48"/>
        <v>38664</v>
      </c>
      <c r="AO135" s="16">
        <f t="shared" si="48"/>
        <v>38664</v>
      </c>
      <c r="AP135" s="16">
        <f t="shared" si="48"/>
        <v>38664</v>
      </c>
      <c r="AQ135" s="16">
        <f t="shared" si="48"/>
        <v>60509.608006077935</v>
      </c>
      <c r="AR135" s="16">
        <f t="shared" si="48"/>
        <v>60509.608006077935</v>
      </c>
      <c r="AS135" s="16">
        <f t="shared" si="48"/>
        <v>60509.608006077935</v>
      </c>
      <c r="AT135" s="16">
        <f t="shared" si="48"/>
        <v>60509.608006077935</v>
      </c>
      <c r="AU135" s="16">
        <f t="shared" si="48"/>
        <v>60509.608006077935</v>
      </c>
      <c r="AV135" s="16">
        <f t="shared" si="48"/>
        <v>60509.608006077935</v>
      </c>
      <c r="AW135" s="16">
        <f t="shared" si="48"/>
        <v>60509.608006077935</v>
      </c>
      <c r="AX135" s="16">
        <f t="shared" si="48"/>
        <v>60509.608006077935</v>
      </c>
      <c r="AY135" s="16">
        <f t="shared" si="48"/>
        <v>60509.608006077935</v>
      </c>
      <c r="AZ135" s="16">
        <f t="shared" si="48"/>
        <v>60509.608006077935</v>
      </c>
      <c r="BA135" s="16">
        <f t="shared" si="48"/>
        <v>60509.608006077935</v>
      </c>
      <c r="BB135" s="16">
        <f t="shared" si="48"/>
        <v>60509.608006077935</v>
      </c>
      <c r="BC135" s="16">
        <f t="shared" si="48"/>
        <v>66630.538624534631</v>
      </c>
      <c r="BD135" s="16">
        <f t="shared" si="48"/>
        <v>66630.538624534631</v>
      </c>
      <c r="BE135" s="16">
        <f t="shared" si="48"/>
        <v>66630.538624534631</v>
      </c>
      <c r="BF135" s="16">
        <f t="shared" si="48"/>
        <v>66630.538624534631</v>
      </c>
      <c r="BG135" s="16">
        <f t="shared" si="48"/>
        <v>66630.538624534631</v>
      </c>
      <c r="BH135" s="16">
        <f t="shared" si="48"/>
        <v>66630.538624534631</v>
      </c>
      <c r="BI135" s="16">
        <f t="shared" si="48"/>
        <v>66630.538624534631</v>
      </c>
    </row>
    <row r="136" spans="5:61" x14ac:dyDescent="0.35">
      <c r="E136">
        <v>7</v>
      </c>
      <c r="J136" t="s">
        <v>50</v>
      </c>
      <c r="N136" s="16">
        <f t="shared" ref="N136:BI141" si="49">IFERROR(INDEX($N$99:$BI$99,1,MATCH(N110,$N$98:$BI$98,0)),0)</f>
        <v>0</v>
      </c>
      <c r="O136" s="16">
        <f t="shared" si="49"/>
        <v>0</v>
      </c>
      <c r="P136" s="16">
        <f t="shared" si="49"/>
        <v>0</v>
      </c>
      <c r="Q136" s="16">
        <f t="shared" si="49"/>
        <v>0</v>
      </c>
      <c r="R136" s="16">
        <f t="shared" si="49"/>
        <v>0</v>
      </c>
      <c r="S136" s="16">
        <f t="shared" si="49"/>
        <v>0</v>
      </c>
      <c r="T136" s="16">
        <f t="shared" si="49"/>
        <v>4269</v>
      </c>
      <c r="U136" s="16">
        <f t="shared" si="49"/>
        <v>4269</v>
      </c>
      <c r="V136" s="16">
        <f t="shared" si="49"/>
        <v>4269</v>
      </c>
      <c r="W136" s="16">
        <f t="shared" si="49"/>
        <v>4269</v>
      </c>
      <c r="X136" s="16">
        <f t="shared" si="49"/>
        <v>4269</v>
      </c>
      <c r="Y136" s="16">
        <f t="shared" si="49"/>
        <v>4269</v>
      </c>
      <c r="Z136" s="16">
        <f t="shared" si="49"/>
        <v>4269</v>
      </c>
      <c r="AA136" s="16">
        <f t="shared" si="49"/>
        <v>4269</v>
      </c>
      <c r="AB136" s="16">
        <f t="shared" si="49"/>
        <v>4269</v>
      </c>
      <c r="AC136" s="16">
        <f t="shared" si="49"/>
        <v>4269</v>
      </c>
      <c r="AD136" s="16">
        <f t="shared" si="49"/>
        <v>4269</v>
      </c>
      <c r="AE136" s="16">
        <f t="shared" si="49"/>
        <v>4269</v>
      </c>
      <c r="AF136" s="16">
        <f t="shared" si="49"/>
        <v>40773</v>
      </c>
      <c r="AG136" s="16">
        <f t="shared" si="49"/>
        <v>40773</v>
      </c>
      <c r="AH136" s="16">
        <f t="shared" si="49"/>
        <v>40773</v>
      </c>
      <c r="AI136" s="16">
        <f t="shared" si="49"/>
        <v>40773</v>
      </c>
      <c r="AJ136" s="16">
        <f t="shared" si="49"/>
        <v>40773</v>
      </c>
      <c r="AK136" s="16">
        <f t="shared" si="49"/>
        <v>40773</v>
      </c>
      <c r="AL136" s="16">
        <f t="shared" si="49"/>
        <v>40773</v>
      </c>
      <c r="AM136" s="16">
        <f t="shared" si="49"/>
        <v>40773</v>
      </c>
      <c r="AN136" s="16">
        <f t="shared" si="49"/>
        <v>40773</v>
      </c>
      <c r="AO136" s="16">
        <f t="shared" si="49"/>
        <v>40773</v>
      </c>
      <c r="AP136" s="16">
        <f t="shared" si="49"/>
        <v>40773</v>
      </c>
      <c r="AQ136" s="16">
        <f t="shared" si="49"/>
        <v>40773</v>
      </c>
      <c r="AR136" s="16">
        <f t="shared" si="49"/>
        <v>60763.115116330067</v>
      </c>
      <c r="AS136" s="16">
        <f t="shared" si="49"/>
        <v>60763.115116330067</v>
      </c>
      <c r="AT136" s="16">
        <f t="shared" si="49"/>
        <v>60763.115116330067</v>
      </c>
      <c r="AU136" s="16">
        <f t="shared" si="49"/>
        <v>60763.115116330067</v>
      </c>
      <c r="AV136" s="16">
        <f t="shared" si="49"/>
        <v>60763.115116330067</v>
      </c>
      <c r="AW136" s="16">
        <f t="shared" si="49"/>
        <v>60763.115116330067</v>
      </c>
      <c r="AX136" s="16">
        <f t="shared" si="49"/>
        <v>60763.115116330067</v>
      </c>
      <c r="AY136" s="16">
        <f t="shared" si="49"/>
        <v>60763.115116330067</v>
      </c>
      <c r="AZ136" s="16">
        <f t="shared" si="49"/>
        <v>60763.115116330067</v>
      </c>
      <c r="BA136" s="16">
        <f t="shared" si="49"/>
        <v>60763.115116330067</v>
      </c>
      <c r="BB136" s="16">
        <f t="shared" si="49"/>
        <v>60763.115116330067</v>
      </c>
      <c r="BC136" s="16">
        <f t="shared" si="49"/>
        <v>60763.115116330067</v>
      </c>
      <c r="BD136" s="16">
        <f t="shared" si="49"/>
        <v>66973.324207001657</v>
      </c>
      <c r="BE136" s="16">
        <f t="shared" si="49"/>
        <v>66973.324207001657</v>
      </c>
      <c r="BF136" s="16">
        <f t="shared" si="49"/>
        <v>66973.324207001657</v>
      </c>
      <c r="BG136" s="16">
        <f t="shared" si="49"/>
        <v>66973.324207001657</v>
      </c>
      <c r="BH136" s="16">
        <f t="shared" si="49"/>
        <v>66973.324207001657</v>
      </c>
      <c r="BI136" s="16">
        <f t="shared" si="49"/>
        <v>66973.324207001657</v>
      </c>
    </row>
    <row r="137" spans="5:61" x14ac:dyDescent="0.35">
      <c r="E137">
        <v>8</v>
      </c>
      <c r="J137" t="s">
        <v>50</v>
      </c>
      <c r="N137" s="16">
        <f t="shared" si="49"/>
        <v>0</v>
      </c>
      <c r="O137" s="16">
        <f t="shared" si="49"/>
        <v>0</v>
      </c>
      <c r="P137" s="16">
        <f t="shared" si="49"/>
        <v>0</v>
      </c>
      <c r="Q137" s="16">
        <f t="shared" si="49"/>
        <v>0</v>
      </c>
      <c r="R137" s="16">
        <f t="shared" si="49"/>
        <v>0</v>
      </c>
      <c r="S137" s="16">
        <f t="shared" si="49"/>
        <v>0</v>
      </c>
      <c r="T137" s="16">
        <f t="shared" si="49"/>
        <v>0</v>
      </c>
      <c r="U137" s="16">
        <f t="shared" si="49"/>
        <v>6469</v>
      </c>
      <c r="V137" s="16">
        <f t="shared" si="49"/>
        <v>6469</v>
      </c>
      <c r="W137" s="16">
        <f t="shared" si="49"/>
        <v>6469</v>
      </c>
      <c r="X137" s="16">
        <f t="shared" si="49"/>
        <v>6469</v>
      </c>
      <c r="Y137" s="16">
        <f t="shared" si="49"/>
        <v>6469</v>
      </c>
      <c r="Z137" s="16">
        <f t="shared" si="49"/>
        <v>6469</v>
      </c>
      <c r="AA137" s="16">
        <f t="shared" si="49"/>
        <v>6469</v>
      </c>
      <c r="AB137" s="16">
        <f t="shared" si="49"/>
        <v>6469</v>
      </c>
      <c r="AC137" s="16">
        <f t="shared" si="49"/>
        <v>6469</v>
      </c>
      <c r="AD137" s="16">
        <f t="shared" si="49"/>
        <v>6469</v>
      </c>
      <c r="AE137" s="16">
        <f t="shared" si="49"/>
        <v>6469</v>
      </c>
      <c r="AF137" s="16">
        <f t="shared" si="49"/>
        <v>6469</v>
      </c>
      <c r="AG137" s="16">
        <f t="shared" si="49"/>
        <v>27624</v>
      </c>
      <c r="AH137" s="16">
        <f t="shared" si="49"/>
        <v>27624</v>
      </c>
      <c r="AI137" s="16">
        <f t="shared" si="49"/>
        <v>27624</v>
      </c>
      <c r="AJ137" s="16">
        <f t="shared" si="49"/>
        <v>27624</v>
      </c>
      <c r="AK137" s="16">
        <f t="shared" si="49"/>
        <v>27624</v>
      </c>
      <c r="AL137" s="16">
        <f t="shared" si="49"/>
        <v>27624</v>
      </c>
      <c r="AM137" s="16">
        <f t="shared" si="49"/>
        <v>27624</v>
      </c>
      <c r="AN137" s="16">
        <f t="shared" si="49"/>
        <v>27624</v>
      </c>
      <c r="AO137" s="16">
        <f t="shared" si="49"/>
        <v>27624</v>
      </c>
      <c r="AP137" s="16">
        <f t="shared" si="49"/>
        <v>27624</v>
      </c>
      <c r="AQ137" s="16">
        <f t="shared" si="49"/>
        <v>27624</v>
      </c>
      <c r="AR137" s="16">
        <f t="shared" si="49"/>
        <v>27624</v>
      </c>
      <c r="AS137" s="16">
        <f t="shared" si="49"/>
        <v>56949.508506996957</v>
      </c>
      <c r="AT137" s="16">
        <f t="shared" si="49"/>
        <v>56949.508506996957</v>
      </c>
      <c r="AU137" s="16">
        <f t="shared" si="49"/>
        <v>56949.508506996957</v>
      </c>
      <c r="AV137" s="16">
        <f t="shared" si="49"/>
        <v>56949.508506996957</v>
      </c>
      <c r="AW137" s="16">
        <f t="shared" si="49"/>
        <v>56949.508506996957</v>
      </c>
      <c r="AX137" s="16">
        <f t="shared" si="49"/>
        <v>56949.508506996957</v>
      </c>
      <c r="AY137" s="16">
        <f t="shared" si="49"/>
        <v>56949.508506996957</v>
      </c>
      <c r="AZ137" s="16">
        <f t="shared" si="49"/>
        <v>56949.508506996957</v>
      </c>
      <c r="BA137" s="16">
        <f t="shared" si="49"/>
        <v>56949.508506996957</v>
      </c>
      <c r="BB137" s="16">
        <f t="shared" si="49"/>
        <v>56949.508506996957</v>
      </c>
      <c r="BC137" s="16">
        <f t="shared" si="49"/>
        <v>56949.508506996957</v>
      </c>
      <c r="BD137" s="16">
        <f t="shared" si="49"/>
        <v>56949.508506996957</v>
      </c>
      <c r="BE137" s="16">
        <f t="shared" si="49"/>
        <v>62873.030008606853</v>
      </c>
      <c r="BF137" s="16">
        <f t="shared" si="49"/>
        <v>62873.030008606853</v>
      </c>
      <c r="BG137" s="16">
        <f t="shared" si="49"/>
        <v>62873.030008606853</v>
      </c>
      <c r="BH137" s="16">
        <f t="shared" si="49"/>
        <v>62873.030008606853</v>
      </c>
      <c r="BI137" s="16">
        <f t="shared" si="49"/>
        <v>62873.030008606853</v>
      </c>
    </row>
    <row r="138" spans="5:61" x14ac:dyDescent="0.35">
      <c r="E138">
        <v>9</v>
      </c>
      <c r="J138" t="s">
        <v>50</v>
      </c>
      <c r="N138" s="16">
        <f t="shared" si="49"/>
        <v>0</v>
      </c>
      <c r="O138" s="16">
        <f t="shared" si="49"/>
        <v>0</v>
      </c>
      <c r="P138" s="16">
        <f t="shared" si="49"/>
        <v>0</v>
      </c>
      <c r="Q138" s="16">
        <f t="shared" si="49"/>
        <v>0</v>
      </c>
      <c r="R138" s="16">
        <f t="shared" si="49"/>
        <v>0</v>
      </c>
      <c r="S138" s="16">
        <f t="shared" si="49"/>
        <v>0</v>
      </c>
      <c r="T138" s="16">
        <f t="shared" si="49"/>
        <v>0</v>
      </c>
      <c r="U138" s="16">
        <f t="shared" si="49"/>
        <v>0</v>
      </c>
      <c r="V138" s="16">
        <f t="shared" si="49"/>
        <v>10749</v>
      </c>
      <c r="W138" s="16">
        <f t="shared" si="49"/>
        <v>10749</v>
      </c>
      <c r="X138" s="16">
        <f t="shared" si="49"/>
        <v>10749</v>
      </c>
      <c r="Y138" s="16">
        <f t="shared" si="49"/>
        <v>10749</v>
      </c>
      <c r="Z138" s="16">
        <f t="shared" si="49"/>
        <v>10749</v>
      </c>
      <c r="AA138" s="16">
        <f t="shared" si="49"/>
        <v>10749</v>
      </c>
      <c r="AB138" s="16">
        <f t="shared" si="49"/>
        <v>10749</v>
      </c>
      <c r="AC138" s="16">
        <f t="shared" si="49"/>
        <v>10749</v>
      </c>
      <c r="AD138" s="16">
        <f t="shared" si="49"/>
        <v>10749</v>
      </c>
      <c r="AE138" s="16">
        <f t="shared" si="49"/>
        <v>10749</v>
      </c>
      <c r="AF138" s="16">
        <f t="shared" si="49"/>
        <v>10749</v>
      </c>
      <c r="AG138" s="16">
        <f t="shared" si="49"/>
        <v>10749</v>
      </c>
      <c r="AH138" s="16">
        <f t="shared" si="49"/>
        <v>44997</v>
      </c>
      <c r="AI138" s="16">
        <f t="shared" si="49"/>
        <v>44997</v>
      </c>
      <c r="AJ138" s="16">
        <f t="shared" si="49"/>
        <v>44997</v>
      </c>
      <c r="AK138" s="16">
        <f t="shared" si="49"/>
        <v>44997</v>
      </c>
      <c r="AL138" s="16">
        <f t="shared" si="49"/>
        <v>44997</v>
      </c>
      <c r="AM138" s="16">
        <f t="shared" si="49"/>
        <v>44997</v>
      </c>
      <c r="AN138" s="16">
        <f t="shared" si="49"/>
        <v>44997</v>
      </c>
      <c r="AO138" s="16">
        <f t="shared" si="49"/>
        <v>44997</v>
      </c>
      <c r="AP138" s="16">
        <f t="shared" si="49"/>
        <v>44997</v>
      </c>
      <c r="AQ138" s="16">
        <f t="shared" si="49"/>
        <v>44997</v>
      </c>
      <c r="AR138" s="16">
        <f t="shared" si="49"/>
        <v>44997</v>
      </c>
      <c r="AS138" s="16">
        <f t="shared" si="49"/>
        <v>44997</v>
      </c>
      <c r="AT138" s="16">
        <f t="shared" si="49"/>
        <v>57053.136182929935</v>
      </c>
      <c r="AU138" s="16">
        <f t="shared" si="49"/>
        <v>57053.136182929935</v>
      </c>
      <c r="AV138" s="16">
        <f t="shared" si="49"/>
        <v>57053.136182929935</v>
      </c>
      <c r="AW138" s="16">
        <f t="shared" si="49"/>
        <v>57053.136182929935</v>
      </c>
      <c r="AX138" s="16">
        <f t="shared" si="49"/>
        <v>57053.136182929935</v>
      </c>
      <c r="AY138" s="16">
        <f t="shared" si="49"/>
        <v>57053.136182929935</v>
      </c>
      <c r="AZ138" s="16">
        <f t="shared" si="49"/>
        <v>57053.136182929935</v>
      </c>
      <c r="BA138" s="16">
        <f t="shared" si="49"/>
        <v>57053.136182929935</v>
      </c>
      <c r="BB138" s="16">
        <f t="shared" si="49"/>
        <v>57053.136182929935</v>
      </c>
      <c r="BC138" s="16">
        <f t="shared" si="49"/>
        <v>57053.136182929935</v>
      </c>
      <c r="BD138" s="16">
        <f t="shared" si="49"/>
        <v>57053.136182929935</v>
      </c>
      <c r="BE138" s="16">
        <f t="shared" si="49"/>
        <v>57053.136182929935</v>
      </c>
      <c r="BF138" s="16">
        <f t="shared" si="49"/>
        <v>62902.09938989528</v>
      </c>
      <c r="BG138" s="16">
        <f t="shared" si="49"/>
        <v>62902.09938989528</v>
      </c>
      <c r="BH138" s="16">
        <f t="shared" si="49"/>
        <v>62902.09938989528</v>
      </c>
      <c r="BI138" s="16">
        <f t="shared" si="49"/>
        <v>62902.09938989528</v>
      </c>
    </row>
    <row r="139" spans="5:61" x14ac:dyDescent="0.35">
      <c r="E139">
        <v>10</v>
      </c>
      <c r="J139" t="s">
        <v>50</v>
      </c>
      <c r="N139" s="16">
        <f t="shared" si="49"/>
        <v>0</v>
      </c>
      <c r="O139" s="16">
        <f t="shared" si="49"/>
        <v>0</v>
      </c>
      <c r="P139" s="16">
        <f t="shared" si="49"/>
        <v>0</v>
      </c>
      <c r="Q139" s="16">
        <f t="shared" si="49"/>
        <v>0</v>
      </c>
      <c r="R139" s="16">
        <f t="shared" si="49"/>
        <v>0</v>
      </c>
      <c r="S139" s="16">
        <f t="shared" si="49"/>
        <v>0</v>
      </c>
      <c r="T139" s="16">
        <f t="shared" si="49"/>
        <v>0</v>
      </c>
      <c r="U139" s="16">
        <f t="shared" si="49"/>
        <v>0</v>
      </c>
      <c r="V139" s="16">
        <f t="shared" si="49"/>
        <v>0</v>
      </c>
      <c r="W139" s="16">
        <f t="shared" si="49"/>
        <v>14183</v>
      </c>
      <c r="X139" s="16">
        <f t="shared" si="49"/>
        <v>14183</v>
      </c>
      <c r="Y139" s="16">
        <f t="shared" si="49"/>
        <v>14183</v>
      </c>
      <c r="Z139" s="16">
        <f t="shared" si="49"/>
        <v>14183</v>
      </c>
      <c r="AA139" s="16">
        <f t="shared" si="49"/>
        <v>14183</v>
      </c>
      <c r="AB139" s="16">
        <f t="shared" si="49"/>
        <v>14183</v>
      </c>
      <c r="AC139" s="16">
        <f t="shared" si="49"/>
        <v>14183</v>
      </c>
      <c r="AD139" s="16">
        <f t="shared" si="49"/>
        <v>14183</v>
      </c>
      <c r="AE139" s="16">
        <f t="shared" si="49"/>
        <v>14183</v>
      </c>
      <c r="AF139" s="16">
        <f t="shared" si="49"/>
        <v>14183</v>
      </c>
      <c r="AG139" s="16">
        <f t="shared" si="49"/>
        <v>14183</v>
      </c>
      <c r="AH139" s="16">
        <f t="shared" si="49"/>
        <v>14183</v>
      </c>
      <c r="AI139" s="16">
        <f t="shared" si="49"/>
        <v>51424</v>
      </c>
      <c r="AJ139" s="16">
        <f t="shared" si="49"/>
        <v>51424</v>
      </c>
      <c r="AK139" s="16">
        <f t="shared" si="49"/>
        <v>51424</v>
      </c>
      <c r="AL139" s="16">
        <f t="shared" si="49"/>
        <v>51424</v>
      </c>
      <c r="AM139" s="16">
        <f t="shared" si="49"/>
        <v>51424</v>
      </c>
      <c r="AN139" s="16">
        <f t="shared" si="49"/>
        <v>51424</v>
      </c>
      <c r="AO139" s="16">
        <f t="shared" si="49"/>
        <v>51424</v>
      </c>
      <c r="AP139" s="16">
        <f t="shared" si="49"/>
        <v>51424</v>
      </c>
      <c r="AQ139" s="16">
        <f t="shared" si="49"/>
        <v>51424</v>
      </c>
      <c r="AR139" s="16">
        <f t="shared" si="49"/>
        <v>51424</v>
      </c>
      <c r="AS139" s="16">
        <f t="shared" si="49"/>
        <v>51424</v>
      </c>
      <c r="AT139" s="16">
        <f t="shared" si="49"/>
        <v>51424</v>
      </c>
      <c r="AU139" s="16">
        <f t="shared" si="49"/>
        <v>61251.178951307833</v>
      </c>
      <c r="AV139" s="16">
        <f t="shared" si="49"/>
        <v>61251.178951307833</v>
      </c>
      <c r="AW139" s="16">
        <f t="shared" si="49"/>
        <v>61251.178951307833</v>
      </c>
      <c r="AX139" s="16">
        <f t="shared" si="49"/>
        <v>61251.178951307833</v>
      </c>
      <c r="AY139" s="16">
        <f t="shared" si="49"/>
        <v>61251.178951307833</v>
      </c>
      <c r="AZ139" s="16">
        <f t="shared" si="49"/>
        <v>61251.178951307833</v>
      </c>
      <c r="BA139" s="16">
        <f t="shared" si="49"/>
        <v>61251.178951307833</v>
      </c>
      <c r="BB139" s="16">
        <f t="shared" si="49"/>
        <v>61251.178951307833</v>
      </c>
      <c r="BC139" s="16">
        <f t="shared" si="49"/>
        <v>61251.178951307833</v>
      </c>
      <c r="BD139" s="16">
        <f t="shared" si="49"/>
        <v>61251.178951307833</v>
      </c>
      <c r="BE139" s="16">
        <f t="shared" si="49"/>
        <v>61251.178951307833</v>
      </c>
      <c r="BF139" s="16">
        <f t="shared" si="49"/>
        <v>61251.178951307833</v>
      </c>
      <c r="BG139" s="16">
        <f t="shared" si="49"/>
        <v>67489.377899406871</v>
      </c>
      <c r="BH139" s="16">
        <f t="shared" si="49"/>
        <v>67489.377899406871</v>
      </c>
      <c r="BI139" s="16">
        <f t="shared" si="49"/>
        <v>67489.377899406871</v>
      </c>
    </row>
    <row r="140" spans="5:61" x14ac:dyDescent="0.35">
      <c r="E140">
        <v>11</v>
      </c>
      <c r="J140" t="s">
        <v>50</v>
      </c>
      <c r="N140" s="16">
        <f t="shared" si="49"/>
        <v>0</v>
      </c>
      <c r="O140" s="16">
        <f t="shared" si="49"/>
        <v>0</v>
      </c>
      <c r="P140" s="16">
        <f t="shared" si="49"/>
        <v>0</v>
      </c>
      <c r="Q140" s="16">
        <f t="shared" si="49"/>
        <v>0</v>
      </c>
      <c r="R140" s="16">
        <f t="shared" si="49"/>
        <v>0</v>
      </c>
      <c r="S140" s="16">
        <f t="shared" si="49"/>
        <v>0</v>
      </c>
      <c r="T140" s="16">
        <f t="shared" si="49"/>
        <v>0</v>
      </c>
      <c r="U140" s="16">
        <f t="shared" si="49"/>
        <v>0</v>
      </c>
      <c r="V140" s="16">
        <f t="shared" si="49"/>
        <v>0</v>
      </c>
      <c r="W140" s="16">
        <f t="shared" si="49"/>
        <v>0</v>
      </c>
      <c r="X140" s="16">
        <f t="shared" si="49"/>
        <v>16574</v>
      </c>
      <c r="Y140" s="16">
        <f t="shared" si="49"/>
        <v>16574</v>
      </c>
      <c r="Z140" s="16">
        <f t="shared" si="49"/>
        <v>16574</v>
      </c>
      <c r="AA140" s="16">
        <f t="shared" si="49"/>
        <v>16574</v>
      </c>
      <c r="AB140" s="16">
        <f t="shared" si="49"/>
        <v>16574</v>
      </c>
      <c r="AC140" s="16">
        <f t="shared" si="49"/>
        <v>16574</v>
      </c>
      <c r="AD140" s="16">
        <f t="shared" si="49"/>
        <v>16574</v>
      </c>
      <c r="AE140" s="16">
        <f t="shared" si="49"/>
        <v>16574</v>
      </c>
      <c r="AF140" s="16">
        <f t="shared" si="49"/>
        <v>16574</v>
      </c>
      <c r="AG140" s="16">
        <f t="shared" si="49"/>
        <v>16574</v>
      </c>
      <c r="AH140" s="16">
        <f t="shared" si="49"/>
        <v>16574</v>
      </c>
      <c r="AI140" s="16">
        <f t="shared" si="49"/>
        <v>16574</v>
      </c>
      <c r="AJ140" s="16">
        <f t="shared" si="49"/>
        <v>53131</v>
      </c>
      <c r="AK140" s="16">
        <f t="shared" si="49"/>
        <v>53131</v>
      </c>
      <c r="AL140" s="16">
        <f t="shared" si="49"/>
        <v>53131</v>
      </c>
      <c r="AM140" s="16">
        <f t="shared" si="49"/>
        <v>53131</v>
      </c>
      <c r="AN140" s="16">
        <f t="shared" si="49"/>
        <v>53131</v>
      </c>
      <c r="AO140" s="16">
        <f t="shared" si="49"/>
        <v>53131</v>
      </c>
      <c r="AP140" s="16">
        <f t="shared" si="49"/>
        <v>53131</v>
      </c>
      <c r="AQ140" s="16">
        <f t="shared" si="49"/>
        <v>53131</v>
      </c>
      <c r="AR140" s="16">
        <f t="shared" si="49"/>
        <v>53131</v>
      </c>
      <c r="AS140" s="16">
        <f t="shared" si="49"/>
        <v>53131</v>
      </c>
      <c r="AT140" s="16">
        <f t="shared" si="49"/>
        <v>53131</v>
      </c>
      <c r="AU140" s="16">
        <f t="shared" si="49"/>
        <v>53131</v>
      </c>
      <c r="AV140" s="16">
        <f t="shared" si="49"/>
        <v>60402.402042979265</v>
      </c>
      <c r="AW140" s="16">
        <f t="shared" si="49"/>
        <v>60402.402042979265</v>
      </c>
      <c r="AX140" s="16">
        <f t="shared" si="49"/>
        <v>60402.402042979265</v>
      </c>
      <c r="AY140" s="16">
        <f t="shared" si="49"/>
        <v>60402.402042979265</v>
      </c>
      <c r="AZ140" s="16">
        <f t="shared" si="49"/>
        <v>60402.402042979265</v>
      </c>
      <c r="BA140" s="16">
        <f t="shared" si="49"/>
        <v>60402.402042979265</v>
      </c>
      <c r="BB140" s="16">
        <f t="shared" si="49"/>
        <v>60402.402042979265</v>
      </c>
      <c r="BC140" s="16">
        <f t="shared" si="49"/>
        <v>60402.402042979265</v>
      </c>
      <c r="BD140" s="16">
        <f t="shared" si="49"/>
        <v>60402.402042979265</v>
      </c>
      <c r="BE140" s="16">
        <f t="shared" si="49"/>
        <v>60402.402042979265</v>
      </c>
      <c r="BF140" s="16">
        <f t="shared" si="49"/>
        <v>60402.402042979265</v>
      </c>
      <c r="BG140" s="16">
        <f t="shared" si="49"/>
        <v>60402.402042979265</v>
      </c>
      <c r="BH140" s="16">
        <f t="shared" si="49"/>
        <v>66481.718475194008</v>
      </c>
      <c r="BI140" s="16">
        <f t="shared" si="49"/>
        <v>66481.718475194008</v>
      </c>
    </row>
    <row r="141" spans="5:61" x14ac:dyDescent="0.35">
      <c r="E141">
        <v>12</v>
      </c>
      <c r="J141" t="s">
        <v>50</v>
      </c>
      <c r="N141" s="16">
        <f t="shared" si="49"/>
        <v>0</v>
      </c>
      <c r="O141" s="16">
        <f t="shared" si="49"/>
        <v>0</v>
      </c>
      <c r="P141" s="16">
        <f t="shared" si="49"/>
        <v>0</v>
      </c>
      <c r="Q141" s="16">
        <f t="shared" si="49"/>
        <v>0</v>
      </c>
      <c r="R141" s="16">
        <f t="shared" si="49"/>
        <v>0</v>
      </c>
      <c r="S141" s="16">
        <f t="shared" si="49"/>
        <v>0</v>
      </c>
      <c r="T141" s="16">
        <f t="shared" si="49"/>
        <v>0</v>
      </c>
      <c r="U141" s="16">
        <f t="shared" si="49"/>
        <v>0</v>
      </c>
      <c r="V141" s="16">
        <f t="shared" si="49"/>
        <v>0</v>
      </c>
      <c r="W141" s="16">
        <f t="shared" si="49"/>
        <v>0</v>
      </c>
      <c r="X141" s="16">
        <f t="shared" si="49"/>
        <v>0</v>
      </c>
      <c r="Y141" s="16">
        <f t="shared" si="49"/>
        <v>19960</v>
      </c>
      <c r="Z141" s="16">
        <f t="shared" si="49"/>
        <v>19960</v>
      </c>
      <c r="AA141" s="16">
        <f t="shared" si="49"/>
        <v>19960</v>
      </c>
      <c r="AB141" s="16">
        <f t="shared" si="49"/>
        <v>19960</v>
      </c>
      <c r="AC141" s="16">
        <f t="shared" ref="AC141:BI141" si="50">IFERROR(INDEX($N$99:$BI$99,1,MATCH(AC115,$N$98:$BI$98,0)),0)</f>
        <v>19960</v>
      </c>
      <c r="AD141" s="16">
        <f t="shared" si="50"/>
        <v>19960</v>
      </c>
      <c r="AE141" s="16">
        <f t="shared" si="50"/>
        <v>19960</v>
      </c>
      <c r="AF141" s="16">
        <f t="shared" si="50"/>
        <v>19960</v>
      </c>
      <c r="AG141" s="16">
        <f t="shared" si="50"/>
        <v>19960</v>
      </c>
      <c r="AH141" s="16">
        <f t="shared" si="50"/>
        <v>19960</v>
      </c>
      <c r="AI141" s="16">
        <f t="shared" si="50"/>
        <v>19960</v>
      </c>
      <c r="AJ141" s="16">
        <f t="shared" si="50"/>
        <v>19960</v>
      </c>
      <c r="AK141" s="16">
        <f t="shared" si="50"/>
        <v>56324</v>
      </c>
      <c r="AL141" s="16">
        <f t="shared" si="50"/>
        <v>56324</v>
      </c>
      <c r="AM141" s="16">
        <f t="shared" si="50"/>
        <v>56324</v>
      </c>
      <c r="AN141" s="16">
        <f t="shared" si="50"/>
        <v>56324</v>
      </c>
      <c r="AO141" s="16">
        <f t="shared" si="50"/>
        <v>56324</v>
      </c>
      <c r="AP141" s="16">
        <f t="shared" si="50"/>
        <v>56324</v>
      </c>
      <c r="AQ141" s="16">
        <f t="shared" si="50"/>
        <v>56324</v>
      </c>
      <c r="AR141" s="16">
        <f t="shared" si="50"/>
        <v>56324</v>
      </c>
      <c r="AS141" s="16">
        <f t="shared" si="50"/>
        <v>56324</v>
      </c>
      <c r="AT141" s="16">
        <f t="shared" si="50"/>
        <v>56324</v>
      </c>
      <c r="AU141" s="16">
        <f t="shared" si="50"/>
        <v>56324</v>
      </c>
      <c r="AV141" s="16">
        <f t="shared" si="50"/>
        <v>56324</v>
      </c>
      <c r="AW141" s="16">
        <f t="shared" si="50"/>
        <v>64175.252174882356</v>
      </c>
      <c r="AX141" s="16">
        <f t="shared" si="50"/>
        <v>64175.252174882356</v>
      </c>
      <c r="AY141" s="16">
        <f t="shared" si="50"/>
        <v>64175.252174882356</v>
      </c>
      <c r="AZ141" s="16">
        <f t="shared" si="50"/>
        <v>64175.252174882356</v>
      </c>
      <c r="BA141" s="16">
        <f t="shared" si="50"/>
        <v>64175.252174882356</v>
      </c>
      <c r="BB141" s="16">
        <f t="shared" si="50"/>
        <v>64175.252174882356</v>
      </c>
      <c r="BC141" s="16">
        <f t="shared" si="50"/>
        <v>64175.252174882356</v>
      </c>
      <c r="BD141" s="16">
        <f t="shared" si="50"/>
        <v>64175.252174882356</v>
      </c>
      <c r="BE141" s="16">
        <f t="shared" si="50"/>
        <v>64175.252174882356</v>
      </c>
      <c r="BF141" s="16">
        <f t="shared" si="50"/>
        <v>64175.252174882356</v>
      </c>
      <c r="BG141" s="16">
        <f t="shared" si="50"/>
        <v>64175.252174882356</v>
      </c>
      <c r="BH141" s="16">
        <f t="shared" si="50"/>
        <v>64175.252174882356</v>
      </c>
      <c r="BI141" s="16">
        <f t="shared" si="50"/>
        <v>70608.725113188964</v>
      </c>
    </row>
    <row r="142" spans="5:61" x14ac:dyDescent="0.35"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</row>
    <row r="143" spans="5:61" x14ac:dyDescent="0.35">
      <c r="E143" t="s">
        <v>84</v>
      </c>
      <c r="J143" t="s">
        <v>50</v>
      </c>
      <c r="N143" s="41">
        <f t="shared" ref="N143:BI143" si="51">SUMPRODUCT(N117:N128,N130:N141)</f>
        <v>0</v>
      </c>
      <c r="O143" s="41">
        <f t="shared" si="51"/>
        <v>0</v>
      </c>
      <c r="P143" s="41">
        <f t="shared" si="51"/>
        <v>0</v>
      </c>
      <c r="Q143" s="41">
        <f t="shared" si="51"/>
        <v>32.141396595813433</v>
      </c>
      <c r="R143" s="41">
        <f t="shared" si="51"/>
        <v>256.66216751532716</v>
      </c>
      <c r="S143" s="41">
        <f t="shared" si="51"/>
        <v>979.20999942709534</v>
      </c>
      <c r="T143" s="41">
        <f t="shared" si="51"/>
        <v>2194.6842277664327</v>
      </c>
      <c r="U143" s="41">
        <f t="shared" si="51"/>
        <v>3808.9727303553536</v>
      </c>
      <c r="V143" s="41">
        <f t="shared" si="51"/>
        <v>6342.9004362410751</v>
      </c>
      <c r="W143" s="41">
        <f t="shared" si="51"/>
        <v>9452.1408437980208</v>
      </c>
      <c r="X143" s="41">
        <f t="shared" si="51"/>
        <v>12041.015934185183</v>
      </c>
      <c r="Y143" s="41">
        <f t="shared" si="51"/>
        <v>15537.737948563394</v>
      </c>
      <c r="Z143" s="41">
        <f t="shared" si="51"/>
        <v>18149.201121036625</v>
      </c>
      <c r="AA143" s="41">
        <f t="shared" si="51"/>
        <v>20352.137803276357</v>
      </c>
      <c r="AB143" s="41">
        <f t="shared" si="51"/>
        <v>26343.348642024339</v>
      </c>
      <c r="AC143" s="41">
        <f t="shared" si="51"/>
        <v>29121.098795247992</v>
      </c>
      <c r="AD143" s="41">
        <f t="shared" si="51"/>
        <v>31585.251512633964</v>
      </c>
      <c r="AE143" s="41">
        <f t="shared" si="51"/>
        <v>34050.436776379007</v>
      </c>
      <c r="AF143" s="41">
        <f t="shared" si="51"/>
        <v>37376.072276730898</v>
      </c>
      <c r="AG143" s="41">
        <f t="shared" si="51"/>
        <v>33954.501698320149</v>
      </c>
      <c r="AH143" s="41">
        <f t="shared" si="51"/>
        <v>37946.109055488509</v>
      </c>
      <c r="AI143" s="41">
        <f t="shared" si="51"/>
        <v>43124.151053537171</v>
      </c>
      <c r="AJ143" s="41">
        <f t="shared" si="51"/>
        <v>45742.997411886077</v>
      </c>
      <c r="AK143" s="41">
        <f t="shared" si="51"/>
        <v>51161.829157981585</v>
      </c>
      <c r="AL143" s="41">
        <f t="shared" si="51"/>
        <v>53552.027533989356</v>
      </c>
      <c r="AM143" s="41">
        <f t="shared" si="51"/>
        <v>49871.325113609433</v>
      </c>
      <c r="AN143" s="41">
        <f t="shared" si="51"/>
        <v>57567.619084706137</v>
      </c>
      <c r="AO143" s="41">
        <f t="shared" si="51"/>
        <v>57153.534023438617</v>
      </c>
      <c r="AP143" s="41">
        <f t="shared" si="51"/>
        <v>60667.20164359999</v>
      </c>
      <c r="AQ143" s="41">
        <f t="shared" si="51"/>
        <v>59431.196233567716</v>
      </c>
      <c r="AR143" s="41">
        <f t="shared" si="51"/>
        <v>61470.863593809918</v>
      </c>
      <c r="AS143" s="41">
        <f t="shared" si="51"/>
        <v>59989.320391939058</v>
      </c>
      <c r="AT143" s="41">
        <f t="shared" si="51"/>
        <v>57667.72241813338</v>
      </c>
      <c r="AU143" s="41">
        <f t="shared" si="51"/>
        <v>60118.440228054154</v>
      </c>
      <c r="AV143" s="41">
        <f t="shared" si="51"/>
        <v>58647.403581199564</v>
      </c>
      <c r="AW143" s="41">
        <f t="shared" si="51"/>
        <v>62035.918220473352</v>
      </c>
      <c r="AX143" s="41">
        <f t="shared" si="51"/>
        <v>62515.285671225407</v>
      </c>
      <c r="AY143" s="41">
        <f t="shared" si="51"/>
        <v>56865.251974823259</v>
      </c>
      <c r="AZ143" s="41">
        <f t="shared" si="51"/>
        <v>64653.324890932585</v>
      </c>
      <c r="BA143" s="41">
        <f t="shared" si="51"/>
        <v>63606.927874721412</v>
      </c>
      <c r="BB143" s="41">
        <f t="shared" si="51"/>
        <v>67083.90137575788</v>
      </c>
      <c r="BC143" s="41">
        <f t="shared" si="51"/>
        <v>65557.223872472328</v>
      </c>
      <c r="BD143" s="41">
        <f t="shared" si="51"/>
        <v>67734.596303426893</v>
      </c>
      <c r="BE143" s="41">
        <f t="shared" si="51"/>
        <v>66122.679148810901</v>
      </c>
      <c r="BF143" s="41">
        <f t="shared" si="51"/>
        <v>63563.173384466587</v>
      </c>
      <c r="BG143" s="41">
        <f t="shared" si="51"/>
        <v>66264.402025793606</v>
      </c>
      <c r="BH143" s="41">
        <f t="shared" si="51"/>
        <v>64614.023472826819</v>
      </c>
      <c r="BI143" s="41">
        <f t="shared" si="51"/>
        <v>68314.313048999218</v>
      </c>
    </row>
    <row r="144" spans="5:61" x14ac:dyDescent="0.35"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</row>
    <row r="145" spans="5:61" x14ac:dyDescent="0.35">
      <c r="E145" s="12" t="s">
        <v>129</v>
      </c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</row>
    <row r="146" spans="5:61" x14ac:dyDescent="0.35">
      <c r="E146">
        <v>1</v>
      </c>
      <c r="J146" t="s">
        <v>50</v>
      </c>
      <c r="N146" s="41">
        <f>N130*N117*$I$100</f>
        <v>0</v>
      </c>
      <c r="O146" s="41">
        <f t="shared" ref="O146:BI146" si="52">O130*O117*$I$100</f>
        <v>0</v>
      </c>
      <c r="P146" s="41">
        <f t="shared" si="52"/>
        <v>0</v>
      </c>
      <c r="Q146" s="41">
        <f t="shared" si="52"/>
        <v>0</v>
      </c>
      <c r="R146" s="41">
        <f t="shared" si="52"/>
        <v>0</v>
      </c>
      <c r="S146" s="41">
        <f t="shared" si="52"/>
        <v>0</v>
      </c>
      <c r="T146" s="41">
        <f t="shared" si="52"/>
        <v>0</v>
      </c>
      <c r="U146" s="41">
        <f t="shared" si="52"/>
        <v>0</v>
      </c>
      <c r="V146" s="41">
        <f t="shared" si="52"/>
        <v>0</v>
      </c>
      <c r="W146" s="41">
        <f t="shared" si="52"/>
        <v>0</v>
      </c>
      <c r="X146" s="41">
        <f t="shared" si="52"/>
        <v>0</v>
      </c>
      <c r="Y146" s="41">
        <f t="shared" si="52"/>
        <v>0</v>
      </c>
      <c r="Z146" s="41">
        <f t="shared" si="52"/>
        <v>407.63051298116238</v>
      </c>
      <c r="AA146" s="41">
        <f t="shared" si="52"/>
        <v>199.47074058669529</v>
      </c>
      <c r="AB146" s="41">
        <f t="shared" si="52"/>
        <v>203.83221707436311</v>
      </c>
      <c r="AC146" s="41">
        <f t="shared" si="52"/>
        <v>141.9201127702618</v>
      </c>
      <c r="AD146" s="41">
        <f t="shared" si="52"/>
        <v>81.924849682138259</v>
      </c>
      <c r="AE146" s="41">
        <f t="shared" si="52"/>
        <v>34.335127954293732</v>
      </c>
      <c r="AF146" s="41">
        <f t="shared" si="52"/>
        <v>11.975292420856936</v>
      </c>
      <c r="AG146" s="41">
        <f t="shared" si="52"/>
        <v>3.0576799868841622</v>
      </c>
      <c r="AH146" s="41">
        <f t="shared" si="52"/>
        <v>0.59396802615607203</v>
      </c>
      <c r="AI146" s="41">
        <f t="shared" si="52"/>
        <v>9.7009027720938446E-2</v>
      </c>
      <c r="AJ146" s="41">
        <f t="shared" si="52"/>
        <v>1.1291476979947552E-2</v>
      </c>
      <c r="AK146" s="41">
        <f t="shared" si="52"/>
        <v>1.1155100733272084E-3</v>
      </c>
      <c r="AL146" s="41">
        <f t="shared" si="52"/>
        <v>1047.9498033019941</v>
      </c>
      <c r="AM146" s="41">
        <f t="shared" si="52"/>
        <v>512.8058786217274</v>
      </c>
      <c r="AN146" s="41">
        <f t="shared" si="52"/>
        <v>524.01850447235643</v>
      </c>
      <c r="AO146" s="41">
        <f t="shared" si="52"/>
        <v>364.85284964196399</v>
      </c>
      <c r="AP146" s="41">
        <f t="shared" si="52"/>
        <v>210.61507265995493</v>
      </c>
      <c r="AQ146" s="41">
        <f t="shared" si="52"/>
        <v>88.269865577294766</v>
      </c>
      <c r="AR146" s="41">
        <f t="shared" si="52"/>
        <v>30.786471908448206</v>
      </c>
      <c r="AS146" s="41">
        <f t="shared" si="52"/>
        <v>7.8607833289550149</v>
      </c>
      <c r="AT146" s="41">
        <f t="shared" si="52"/>
        <v>1.5269923530152765</v>
      </c>
      <c r="AU146" s="41">
        <f t="shared" si="52"/>
        <v>0.24939396900195529</v>
      </c>
      <c r="AV146" s="41">
        <f t="shared" si="52"/>
        <v>2.902849689437223E-2</v>
      </c>
      <c r="AW146" s="41">
        <f t="shared" si="52"/>
        <v>2.8677896396304939E-3</v>
      </c>
      <c r="AX146" s="41">
        <f t="shared" si="52"/>
        <v>1183.7106791700596</v>
      </c>
      <c r="AY146" s="41">
        <f t="shared" si="52"/>
        <v>579.23938050570655</v>
      </c>
      <c r="AZ146" s="41">
        <f t="shared" si="52"/>
        <v>591.90459110940867</v>
      </c>
      <c r="BA146" s="41">
        <f t="shared" si="52"/>
        <v>412.11918079091743</v>
      </c>
      <c r="BB146" s="41">
        <f t="shared" si="52"/>
        <v>237.90005009421463</v>
      </c>
      <c r="BC146" s="41">
        <f t="shared" si="52"/>
        <v>99.705140650366729</v>
      </c>
      <c r="BD146" s="41">
        <f t="shared" si="52"/>
        <v>34.774829345043926</v>
      </c>
      <c r="BE146" s="41">
        <f t="shared" si="52"/>
        <v>8.879140149468185</v>
      </c>
      <c r="BF146" s="41">
        <f t="shared" si="52"/>
        <v>1.7248127244071036</v>
      </c>
      <c r="BG146" s="41">
        <f t="shared" si="52"/>
        <v>0.28170271467014985</v>
      </c>
      <c r="BH146" s="41">
        <f t="shared" si="52"/>
        <v>3.2789110380911257E-2</v>
      </c>
      <c r="BI146" s="41">
        <f t="shared" si="52"/>
        <v>3.2393089929953645E-3</v>
      </c>
    </row>
    <row r="147" spans="5:61" x14ac:dyDescent="0.35">
      <c r="E147">
        <v>2</v>
      </c>
      <c r="J147" t="s">
        <v>50</v>
      </c>
      <c r="N147" s="41">
        <f t="shared" ref="N147:BI147" si="53">N131*N118*$I$100</f>
        <v>0</v>
      </c>
      <c r="O147" s="41">
        <f t="shared" si="53"/>
        <v>0</v>
      </c>
      <c r="P147" s="41">
        <f t="shared" si="53"/>
        <v>0</v>
      </c>
      <c r="Q147" s="41">
        <f t="shared" si="53"/>
        <v>0</v>
      </c>
      <c r="R147" s="41">
        <f t="shared" si="53"/>
        <v>0</v>
      </c>
      <c r="S147" s="41">
        <f t="shared" si="53"/>
        <v>0</v>
      </c>
      <c r="T147" s="41">
        <f t="shared" si="53"/>
        <v>0</v>
      </c>
      <c r="U147" s="41">
        <f t="shared" si="53"/>
        <v>0</v>
      </c>
      <c r="V147" s="41">
        <f t="shared" si="53"/>
        <v>0</v>
      </c>
      <c r="W147" s="41">
        <f t="shared" si="53"/>
        <v>0</v>
      </c>
      <c r="X147" s="41">
        <f t="shared" si="53"/>
        <v>0</v>
      </c>
      <c r="Y147" s="41">
        <f t="shared" si="53"/>
        <v>0</v>
      </c>
      <c r="Z147" s="41">
        <f t="shared" si="53"/>
        <v>0</v>
      </c>
      <c r="AA147" s="41">
        <f t="shared" si="53"/>
        <v>485.05523743442365</v>
      </c>
      <c r="AB147" s="41">
        <f t="shared" si="53"/>
        <v>275.4372256121174</v>
      </c>
      <c r="AC147" s="41">
        <f t="shared" si="53"/>
        <v>248.05756467382909</v>
      </c>
      <c r="AD147" s="41">
        <f t="shared" si="53"/>
        <v>185.05312218827444</v>
      </c>
      <c r="AE147" s="41">
        <f t="shared" si="53"/>
        <v>100.40215087021392</v>
      </c>
      <c r="AF147" s="41">
        <f t="shared" si="53"/>
        <v>45.232265509035983</v>
      </c>
      <c r="AG147" s="41">
        <f t="shared" si="53"/>
        <v>15.000989662463505</v>
      </c>
      <c r="AH147" s="41">
        <f t="shared" si="53"/>
        <v>3.77765794891129</v>
      </c>
      <c r="AI147" s="41">
        <f t="shared" si="53"/>
        <v>0.79662150660885245</v>
      </c>
      <c r="AJ147" s="41">
        <f t="shared" si="53"/>
        <v>0.1203176872602644</v>
      </c>
      <c r="AK147" s="41">
        <f t="shared" si="53"/>
        <v>1.534620255240004E-2</v>
      </c>
      <c r="AL147" s="41">
        <f t="shared" si="53"/>
        <v>1.3973566982974695E-3</v>
      </c>
      <c r="AM147" s="41">
        <f t="shared" si="53"/>
        <v>935.62760100785965</v>
      </c>
      <c r="AN147" s="41">
        <f t="shared" si="53"/>
        <v>531.29345018682795</v>
      </c>
      <c r="AO147" s="41">
        <f t="shared" si="53"/>
        <v>478.48056517275256</v>
      </c>
      <c r="AP147" s="41">
        <f t="shared" si="53"/>
        <v>356.95070459977677</v>
      </c>
      <c r="AQ147" s="41">
        <f t="shared" si="53"/>
        <v>193.66665135210997</v>
      </c>
      <c r="AR147" s="41">
        <f t="shared" si="53"/>
        <v>87.248941564292167</v>
      </c>
      <c r="AS147" s="41">
        <f t="shared" si="53"/>
        <v>28.935549783712869</v>
      </c>
      <c r="AT147" s="41">
        <f t="shared" si="53"/>
        <v>7.2867598809217702</v>
      </c>
      <c r="AU147" s="41">
        <f t="shared" si="53"/>
        <v>1.5366107024882352</v>
      </c>
      <c r="AV147" s="41">
        <f t="shared" si="53"/>
        <v>0.23208191645462684</v>
      </c>
      <c r="AW147" s="41">
        <f t="shared" si="53"/>
        <v>2.9601434167843402E-2</v>
      </c>
      <c r="AX147" s="41">
        <f t="shared" si="53"/>
        <v>2.6953744532179757E-3</v>
      </c>
      <c r="AY147" s="41">
        <f t="shared" si="53"/>
        <v>1043.0331459104862</v>
      </c>
      <c r="AZ147" s="41">
        <f t="shared" si="53"/>
        <v>592.28338085907774</v>
      </c>
      <c r="BA147" s="41">
        <f t="shared" si="53"/>
        <v>533.40783086300928</v>
      </c>
      <c r="BB147" s="41">
        <f t="shared" si="53"/>
        <v>397.9269272866847</v>
      </c>
      <c r="BC147" s="41">
        <f t="shared" si="53"/>
        <v>215.89865070263534</v>
      </c>
      <c r="BD147" s="41">
        <f t="shared" si="53"/>
        <v>97.264700078465694</v>
      </c>
      <c r="BE147" s="41">
        <f t="shared" si="53"/>
        <v>32.257211616079708</v>
      </c>
      <c r="BF147" s="41">
        <f t="shared" si="53"/>
        <v>8.1232448400464712</v>
      </c>
      <c r="BG147" s="41">
        <f t="shared" si="53"/>
        <v>1.7130062145767786</v>
      </c>
      <c r="BH147" s="41">
        <f t="shared" si="53"/>
        <v>0.25872380332500539</v>
      </c>
      <c r="BI147" s="41">
        <f t="shared" si="53"/>
        <v>3.2999536322238635E-2</v>
      </c>
    </row>
    <row r="148" spans="5:61" x14ac:dyDescent="0.35">
      <c r="E148">
        <v>3</v>
      </c>
      <c r="J148" t="s">
        <v>50</v>
      </c>
      <c r="N148" s="41">
        <f t="shared" ref="N148:BI148" si="54">N132*N119*$I$100</f>
        <v>0</v>
      </c>
      <c r="O148" s="41">
        <f t="shared" si="54"/>
        <v>0</v>
      </c>
      <c r="P148" s="41">
        <f t="shared" si="54"/>
        <v>0</v>
      </c>
      <c r="Q148" s="41">
        <f t="shared" si="54"/>
        <v>0</v>
      </c>
      <c r="R148" s="41">
        <f t="shared" si="54"/>
        <v>0</v>
      </c>
      <c r="S148" s="41">
        <f t="shared" si="54"/>
        <v>0</v>
      </c>
      <c r="T148" s="41">
        <f t="shared" si="54"/>
        <v>0</v>
      </c>
      <c r="U148" s="41">
        <f t="shared" si="54"/>
        <v>0</v>
      </c>
      <c r="V148" s="41">
        <f t="shared" si="54"/>
        <v>0</v>
      </c>
      <c r="W148" s="41">
        <f t="shared" si="54"/>
        <v>0</v>
      </c>
      <c r="X148" s="41">
        <f t="shared" si="54"/>
        <v>0</v>
      </c>
      <c r="Y148" s="41">
        <f t="shared" si="54"/>
        <v>0</v>
      </c>
      <c r="Z148" s="41">
        <f t="shared" si="54"/>
        <v>0</v>
      </c>
      <c r="AA148" s="41">
        <f t="shared" si="54"/>
        <v>0</v>
      </c>
      <c r="AB148" s="41">
        <f t="shared" si="54"/>
        <v>611.58667507377868</v>
      </c>
      <c r="AC148" s="41">
        <f t="shared" si="54"/>
        <v>320.62017295581524</v>
      </c>
      <c r="AD148" s="41">
        <f t="shared" si="54"/>
        <v>301.61101342952128</v>
      </c>
      <c r="AE148" s="41">
        <f t="shared" si="54"/>
        <v>206.53898980452146</v>
      </c>
      <c r="AF148" s="41">
        <f t="shared" si="54"/>
        <v>117.27156929815231</v>
      </c>
      <c r="AG148" s="41">
        <f t="shared" si="54"/>
        <v>49.247092330905019</v>
      </c>
      <c r="AH148" s="41">
        <f t="shared" si="54"/>
        <v>15.672061101668781</v>
      </c>
      <c r="AI148" s="41">
        <f t="shared" si="54"/>
        <v>4.1632311953899501</v>
      </c>
      <c r="AJ148" s="41">
        <f t="shared" si="54"/>
        <v>0.79528241599022476</v>
      </c>
      <c r="AK148" s="41">
        <f t="shared" si="54"/>
        <v>0.12776486291886061</v>
      </c>
      <c r="AL148" s="41">
        <f t="shared" si="54"/>
        <v>1.4744400554109549E-2</v>
      </c>
      <c r="AM148" s="41">
        <f t="shared" si="54"/>
        <v>1.2793486442828795E-3</v>
      </c>
      <c r="AN148" s="41">
        <f t="shared" si="54"/>
        <v>1131.6738265903628</v>
      </c>
      <c r="AO148" s="41">
        <f t="shared" si="54"/>
        <v>593.27234028962528</v>
      </c>
      <c r="AP148" s="41">
        <f t="shared" si="54"/>
        <v>558.097982871206</v>
      </c>
      <c r="AQ148" s="41">
        <f t="shared" si="54"/>
        <v>382.1776674647042</v>
      </c>
      <c r="AR148" s="41">
        <f t="shared" si="54"/>
        <v>216.99813123280862</v>
      </c>
      <c r="AS148" s="41">
        <f t="shared" si="54"/>
        <v>91.126323868715758</v>
      </c>
      <c r="AT148" s="41">
        <f t="shared" si="54"/>
        <v>28.999424088734344</v>
      </c>
      <c r="AU148" s="41">
        <f t="shared" si="54"/>
        <v>7.703601091863149</v>
      </c>
      <c r="AV148" s="41">
        <f t="shared" si="54"/>
        <v>1.4715825762801567</v>
      </c>
      <c r="AW148" s="41">
        <f t="shared" si="54"/>
        <v>0.23641481611046827</v>
      </c>
      <c r="AX148" s="41">
        <f t="shared" si="54"/>
        <v>2.7282890350476197E-2</v>
      </c>
      <c r="AY148" s="41">
        <f t="shared" si="54"/>
        <v>2.3672938519207327E-3</v>
      </c>
      <c r="AZ148" s="41">
        <f t="shared" si="54"/>
        <v>1249.6610709382701</v>
      </c>
      <c r="BA148" s="41">
        <f t="shared" si="54"/>
        <v>655.12635417055651</v>
      </c>
      <c r="BB148" s="41">
        <f t="shared" si="54"/>
        <v>616.28475146820972</v>
      </c>
      <c r="BC148" s="41">
        <f t="shared" si="54"/>
        <v>422.02315012584336</v>
      </c>
      <c r="BD148" s="41">
        <f t="shared" si="54"/>
        <v>239.62215145066972</v>
      </c>
      <c r="BE148" s="41">
        <f t="shared" si="54"/>
        <v>100.62706833076521</v>
      </c>
      <c r="BF148" s="41">
        <f t="shared" si="54"/>
        <v>32.022876655641333</v>
      </c>
      <c r="BG148" s="41">
        <f t="shared" si="54"/>
        <v>8.5067712660139296</v>
      </c>
      <c r="BH148" s="41">
        <f t="shared" si="54"/>
        <v>1.6250083858429845</v>
      </c>
      <c r="BI148" s="41">
        <f t="shared" si="54"/>
        <v>0.2610632015555337</v>
      </c>
    </row>
    <row r="149" spans="5:61" x14ac:dyDescent="0.35">
      <c r="E149">
        <v>4</v>
      </c>
      <c r="J149" t="s">
        <v>50</v>
      </c>
      <c r="N149" s="41">
        <f t="shared" ref="N149:BI149" si="55">N133*N120*$I$100</f>
        <v>0</v>
      </c>
      <c r="O149" s="41">
        <f t="shared" si="55"/>
        <v>0</v>
      </c>
      <c r="P149" s="41">
        <f t="shared" si="55"/>
        <v>0</v>
      </c>
      <c r="Q149" s="41">
        <f t="shared" si="55"/>
        <v>1.6070698297906718</v>
      </c>
      <c r="R149" s="41">
        <f t="shared" si="55"/>
        <v>0.88431332317755462</v>
      </c>
      <c r="S149" s="41">
        <f t="shared" si="55"/>
        <v>0.7833050344857988</v>
      </c>
      <c r="T149" s="41">
        <f t="shared" si="55"/>
        <v>0.57475874708154417</v>
      </c>
      <c r="U149" s="41">
        <f t="shared" si="55"/>
        <v>0.31341586117836301</v>
      </c>
      <c r="V149" s="41">
        <f t="shared" si="55"/>
        <v>0.12918241915292744</v>
      </c>
      <c r="W149" s="41">
        <f t="shared" si="55"/>
        <v>4.4318221299071488E-2</v>
      </c>
      <c r="X149" s="41">
        <f t="shared" si="55"/>
        <v>1.0975348967753868E-2</v>
      </c>
      <c r="Y149" s="41">
        <f t="shared" si="55"/>
        <v>2.2765996756914431E-3</v>
      </c>
      <c r="Z149" s="41">
        <f t="shared" si="55"/>
        <v>3.4145986772158855E-4</v>
      </c>
      <c r="AA149" s="41">
        <f t="shared" si="55"/>
        <v>3.8351567248545715E-5</v>
      </c>
      <c r="AB149" s="41">
        <f t="shared" si="55"/>
        <v>4.4729398709253411E-6</v>
      </c>
      <c r="AC149" s="41">
        <f t="shared" si="55"/>
        <v>638.0990827619421</v>
      </c>
      <c r="AD149" s="41">
        <f t="shared" si="55"/>
        <v>351.12321190626955</v>
      </c>
      <c r="AE149" s="41">
        <f t="shared" si="55"/>
        <v>311.01711622157973</v>
      </c>
      <c r="AF149" s="41">
        <f t="shared" si="55"/>
        <v>228.21225470327428</v>
      </c>
      <c r="AG149" s="41">
        <f t="shared" si="55"/>
        <v>124.44410929362496</v>
      </c>
      <c r="AH149" s="41">
        <f t="shared" si="55"/>
        <v>51.292844680675003</v>
      </c>
      <c r="AI149" s="41">
        <f t="shared" si="55"/>
        <v>17.596880879943971</v>
      </c>
      <c r="AJ149" s="41">
        <f t="shared" si="55"/>
        <v>4.3578443073803399</v>
      </c>
      <c r="AK149" s="41">
        <f t="shared" si="55"/>
        <v>0.9039409103113244</v>
      </c>
      <c r="AL149" s="41">
        <f t="shared" si="55"/>
        <v>0.13557919161579948</v>
      </c>
      <c r="AM149" s="41">
        <f t="shared" si="55"/>
        <v>1.522777631073291E-2</v>
      </c>
      <c r="AN149" s="41">
        <f t="shared" si="55"/>
        <v>1.7760141942671837E-3</v>
      </c>
      <c r="AO149" s="41">
        <f t="shared" si="55"/>
        <v>1099.6741011256463</v>
      </c>
      <c r="AP149" s="41">
        <f t="shared" si="55"/>
        <v>605.11151460380393</v>
      </c>
      <c r="AQ149" s="41">
        <f t="shared" si="55"/>
        <v>535.99429454634389</v>
      </c>
      <c r="AR149" s="41">
        <f t="shared" si="55"/>
        <v>393.291751761233</v>
      </c>
      <c r="AS149" s="41">
        <f t="shared" si="55"/>
        <v>214.46193502663766</v>
      </c>
      <c r="AT149" s="41">
        <f t="shared" si="55"/>
        <v>88.396009949197875</v>
      </c>
      <c r="AU149" s="41">
        <f t="shared" si="55"/>
        <v>30.325751418587675</v>
      </c>
      <c r="AV149" s="41">
        <f t="shared" si="55"/>
        <v>7.5101322835654933</v>
      </c>
      <c r="AW149" s="41">
        <f t="shared" si="55"/>
        <v>1.5578151338420811</v>
      </c>
      <c r="AX149" s="41">
        <f t="shared" si="55"/>
        <v>0.23365168466645281</v>
      </c>
      <c r="AY149" s="41">
        <f t="shared" si="55"/>
        <v>2.6242932608782576E-2</v>
      </c>
      <c r="AZ149" s="41">
        <f t="shared" si="55"/>
        <v>3.0607108918158099E-3</v>
      </c>
      <c r="BA149" s="41">
        <f t="shared" si="55"/>
        <v>1210.750617551789</v>
      </c>
      <c r="BB149" s="41">
        <f t="shared" si="55"/>
        <v>666.23296778955807</v>
      </c>
      <c r="BC149" s="41">
        <f t="shared" si="55"/>
        <v>590.13431566855934</v>
      </c>
      <c r="BD149" s="41">
        <f t="shared" si="55"/>
        <v>433.01759206251472</v>
      </c>
      <c r="BE149" s="41">
        <f t="shared" si="55"/>
        <v>236.1244299643509</v>
      </c>
      <c r="BF149" s="41">
        <f t="shared" si="55"/>
        <v>97.324765151377264</v>
      </c>
      <c r="BG149" s="41">
        <f t="shared" si="55"/>
        <v>33.38891242432004</v>
      </c>
      <c r="BH149" s="41">
        <f t="shared" si="55"/>
        <v>8.2687200607115265</v>
      </c>
      <c r="BI149" s="41">
        <f t="shared" si="55"/>
        <v>1.7151678241764086</v>
      </c>
    </row>
    <row r="150" spans="5:61" x14ac:dyDescent="0.35">
      <c r="E150">
        <v>5</v>
      </c>
      <c r="J150" t="s">
        <v>50</v>
      </c>
      <c r="N150" s="41">
        <f t="shared" ref="N150:BI150" si="56">N134*N121*$I$100</f>
        <v>0</v>
      </c>
      <c r="O150" s="41">
        <f t="shared" si="56"/>
        <v>0</v>
      </c>
      <c r="P150" s="41">
        <f t="shared" si="56"/>
        <v>0</v>
      </c>
      <c r="Q150" s="41">
        <f t="shared" si="56"/>
        <v>0</v>
      </c>
      <c r="R150" s="41">
        <f t="shared" si="56"/>
        <v>11.948795052588803</v>
      </c>
      <c r="S150" s="41">
        <f t="shared" si="56"/>
        <v>6.2640748932478871</v>
      </c>
      <c r="T150" s="41">
        <f t="shared" si="56"/>
        <v>5.8926859134695881</v>
      </c>
      <c r="U150" s="41">
        <f t="shared" si="56"/>
        <v>4.1371201841117378</v>
      </c>
      <c r="V150" s="41">
        <f t="shared" si="56"/>
        <v>2.1892864631803861</v>
      </c>
      <c r="W150" s="41">
        <f t="shared" si="56"/>
        <v>0.96215865580608839</v>
      </c>
      <c r="X150" s="41">
        <f t="shared" si="56"/>
        <v>0.30619085370507615</v>
      </c>
      <c r="Y150" s="41">
        <f t="shared" si="56"/>
        <v>8.1338587542408025E-2</v>
      </c>
      <c r="Z150" s="41">
        <f t="shared" si="56"/>
        <v>1.5718874054969124E-2</v>
      </c>
      <c r="AA150" s="41">
        <f t="shared" si="56"/>
        <v>2.2644202835032435E-3</v>
      </c>
      <c r="AB150" s="41">
        <f t="shared" si="56"/>
        <v>3.3375876244199357E-4</v>
      </c>
      <c r="AC150" s="41">
        <f t="shared" si="56"/>
        <v>2.9924869667641297E-5</v>
      </c>
      <c r="AD150" s="41">
        <f t="shared" si="56"/>
        <v>615.87020537565024</v>
      </c>
      <c r="AE150" s="41">
        <f t="shared" si="56"/>
        <v>322.86578470999848</v>
      </c>
      <c r="AF150" s="41">
        <f t="shared" si="56"/>
        <v>303.72348573812354</v>
      </c>
      <c r="AG150" s="41">
        <f t="shared" si="56"/>
        <v>213.23732194240074</v>
      </c>
      <c r="AH150" s="41">
        <f t="shared" si="56"/>
        <v>112.84119426024566</v>
      </c>
      <c r="AI150" s="41">
        <f t="shared" si="56"/>
        <v>49.592017132043054</v>
      </c>
      <c r="AJ150" s="41">
        <f t="shared" si="56"/>
        <v>15.78182763412909</v>
      </c>
      <c r="AK150" s="41">
        <f t="shared" si="56"/>
        <v>4.1923903116787384</v>
      </c>
      <c r="AL150" s="41">
        <f t="shared" si="56"/>
        <v>0.81018932452192272</v>
      </c>
      <c r="AM150" s="41">
        <f t="shared" si="56"/>
        <v>0.11671377565018842</v>
      </c>
      <c r="AN150" s="41">
        <f t="shared" si="56"/>
        <v>1.7202745269828602E-2</v>
      </c>
      <c r="AO150" s="41">
        <f t="shared" si="56"/>
        <v>1.5424011832939457E-3</v>
      </c>
      <c r="AP150" s="41">
        <f t="shared" si="56"/>
        <v>1173.7196467699841</v>
      </c>
      <c r="AQ150" s="41">
        <f t="shared" si="56"/>
        <v>615.31457679916514</v>
      </c>
      <c r="AR150" s="41">
        <f t="shared" si="56"/>
        <v>578.83336340140011</v>
      </c>
      <c r="AS150" s="41">
        <f t="shared" si="56"/>
        <v>406.38568322322578</v>
      </c>
      <c r="AT150" s="41">
        <f t="shared" si="56"/>
        <v>215.05168704736167</v>
      </c>
      <c r="AU150" s="41">
        <f t="shared" si="56"/>
        <v>94.511999968124982</v>
      </c>
      <c r="AV150" s="41">
        <f t="shared" si="56"/>
        <v>30.076858718658738</v>
      </c>
      <c r="AW150" s="41">
        <f t="shared" si="56"/>
        <v>7.989818037623845</v>
      </c>
      <c r="AX150" s="41">
        <f t="shared" si="56"/>
        <v>1.5440511969801494</v>
      </c>
      <c r="AY150" s="41">
        <f t="shared" si="56"/>
        <v>0.22243201624890052</v>
      </c>
      <c r="AZ150" s="41">
        <f t="shared" si="56"/>
        <v>3.2784830188792156E-2</v>
      </c>
      <c r="BA150" s="41">
        <f t="shared" si="56"/>
        <v>2.9394936729065404E-3</v>
      </c>
      <c r="BB150" s="41">
        <f t="shared" si="56"/>
        <v>1288.4300096978848</v>
      </c>
      <c r="BC150" s="41">
        <f t="shared" si="56"/>
        <v>675.45070778555566</v>
      </c>
      <c r="BD150" s="41">
        <f t="shared" si="56"/>
        <v>635.40410018107013</v>
      </c>
      <c r="BE150" s="41">
        <f t="shared" si="56"/>
        <v>446.10270537542857</v>
      </c>
      <c r="BF150" s="41">
        <f t="shared" si="56"/>
        <v>236.06919079056561</v>
      </c>
      <c r="BG150" s="41">
        <f t="shared" si="56"/>
        <v>103.7488785082607</v>
      </c>
      <c r="BH150" s="41">
        <f t="shared" si="56"/>
        <v>33.016340381799594</v>
      </c>
      <c r="BI150" s="41">
        <f t="shared" si="56"/>
        <v>8.7706816189278793</v>
      </c>
    </row>
    <row r="151" spans="5:61" x14ac:dyDescent="0.35">
      <c r="E151">
        <v>6</v>
      </c>
      <c r="J151" t="s">
        <v>50</v>
      </c>
      <c r="N151" s="41">
        <f t="shared" ref="N151:BI151" si="57">N135*N122*$I$100</f>
        <v>0</v>
      </c>
      <c r="O151" s="41">
        <f t="shared" si="57"/>
        <v>0</v>
      </c>
      <c r="P151" s="41">
        <f t="shared" si="57"/>
        <v>0</v>
      </c>
      <c r="Q151" s="41">
        <f t="shared" si="57"/>
        <v>0</v>
      </c>
      <c r="R151" s="41">
        <f t="shared" si="57"/>
        <v>0</v>
      </c>
      <c r="S151" s="41">
        <f t="shared" si="57"/>
        <v>41.913120043621085</v>
      </c>
      <c r="T151" s="41">
        <f t="shared" si="57"/>
        <v>23.06329804930887</v>
      </c>
      <c r="U151" s="41">
        <f t="shared" si="57"/>
        <v>21.022805562362418</v>
      </c>
      <c r="V151" s="41">
        <f t="shared" si="57"/>
        <v>14.39612225805484</v>
      </c>
      <c r="W151" s="41">
        <f t="shared" si="57"/>
        <v>8.1740297587782251</v>
      </c>
      <c r="X151" s="41">
        <f t="shared" si="57"/>
        <v>3.3691368857240498</v>
      </c>
      <c r="Y151" s="41">
        <f t="shared" si="57"/>
        <v>1.155839587673485</v>
      </c>
      <c r="Z151" s="41">
        <f t="shared" si="57"/>
        <v>0.29018436341780468</v>
      </c>
      <c r="AA151" s="41">
        <f t="shared" si="57"/>
        <v>5.4012500807103785E-2</v>
      </c>
      <c r="AB151" s="41">
        <f t="shared" si="57"/>
        <v>1.0144881038798421E-2</v>
      </c>
      <c r="AC151" s="41">
        <f t="shared" si="57"/>
        <v>1.1808250572660274E-3</v>
      </c>
      <c r="AD151" s="41">
        <f t="shared" si="57"/>
        <v>1.1665632835781148E-4</v>
      </c>
      <c r="AE151" s="41">
        <f t="shared" si="57"/>
        <v>714.20399883938546</v>
      </c>
      <c r="AF151" s="41">
        <f t="shared" si="57"/>
        <v>393.00103824525263</v>
      </c>
      <c r="AG151" s="41">
        <f t="shared" si="57"/>
        <v>358.23083043771726</v>
      </c>
      <c r="AH151" s="41">
        <f t="shared" si="57"/>
        <v>245.31144600503845</v>
      </c>
      <c r="AI151" s="41">
        <f t="shared" si="57"/>
        <v>139.28633168506008</v>
      </c>
      <c r="AJ151" s="41">
        <f t="shared" si="57"/>
        <v>57.410448898032023</v>
      </c>
      <c r="AK151" s="41">
        <f t="shared" si="57"/>
        <v>19.695628831118391</v>
      </c>
      <c r="AL151" s="41">
        <f t="shared" si="57"/>
        <v>4.9447722464460115</v>
      </c>
      <c r="AM151" s="41">
        <f t="shared" si="57"/>
        <v>0.92037872684260058</v>
      </c>
      <c r="AN151" s="41">
        <f t="shared" si="57"/>
        <v>0.17286984596037996</v>
      </c>
      <c r="AO151" s="41">
        <f t="shared" si="57"/>
        <v>2.0121383875775091E-2</v>
      </c>
      <c r="AP151" s="41">
        <f t="shared" si="57"/>
        <v>1.9878361743615792E-3</v>
      </c>
      <c r="AQ151" s="41">
        <f t="shared" si="57"/>
        <v>1117.7375337819303</v>
      </c>
      <c r="AR151" s="41">
        <f t="shared" si="57"/>
        <v>615.05117862098791</v>
      </c>
      <c r="AS151" s="41">
        <f t="shared" si="57"/>
        <v>560.63540051412281</v>
      </c>
      <c r="AT151" s="41">
        <f t="shared" si="57"/>
        <v>383.91525546164468</v>
      </c>
      <c r="AU151" s="41">
        <f t="shared" si="57"/>
        <v>217.98472302057567</v>
      </c>
      <c r="AV151" s="41">
        <f t="shared" si="57"/>
        <v>89.848017749660841</v>
      </c>
      <c r="AW151" s="41">
        <f t="shared" si="57"/>
        <v>30.823887337165861</v>
      </c>
      <c r="AX151" s="41">
        <f t="shared" si="57"/>
        <v>7.7386258615710108</v>
      </c>
      <c r="AY151" s="41">
        <f t="shared" si="57"/>
        <v>1.4404033720871829</v>
      </c>
      <c r="AZ151" s="41">
        <f t="shared" si="57"/>
        <v>0.27054331199911202</v>
      </c>
      <c r="BA151" s="41">
        <f t="shared" si="57"/>
        <v>3.1490198915346782E-2</v>
      </c>
      <c r="BB151" s="41">
        <f t="shared" si="57"/>
        <v>3.1109866462580371E-3</v>
      </c>
      <c r="BC151" s="41">
        <f t="shared" si="57"/>
        <v>1230.803774324042</v>
      </c>
      <c r="BD151" s="41">
        <f t="shared" si="57"/>
        <v>677.26750616290383</v>
      </c>
      <c r="BE151" s="41">
        <f t="shared" si="57"/>
        <v>617.34722698063933</v>
      </c>
      <c r="BF151" s="41">
        <f t="shared" si="57"/>
        <v>422.75071844814704</v>
      </c>
      <c r="BG151" s="41">
        <f t="shared" si="57"/>
        <v>240.03526027341036</v>
      </c>
      <c r="BH151" s="41">
        <f t="shared" si="57"/>
        <v>98.936714585976475</v>
      </c>
      <c r="BI151" s="41">
        <f t="shared" si="57"/>
        <v>33.94191903492478</v>
      </c>
    </row>
    <row r="152" spans="5:61" x14ac:dyDescent="0.35">
      <c r="E152">
        <v>7</v>
      </c>
      <c r="J152" t="s">
        <v>50</v>
      </c>
      <c r="N152" s="41">
        <f t="shared" ref="N152:BI152" si="58">N136*N123*$I$100</f>
        <v>0</v>
      </c>
      <c r="O152" s="41">
        <f t="shared" si="58"/>
        <v>0</v>
      </c>
      <c r="P152" s="41">
        <f t="shared" si="58"/>
        <v>0</v>
      </c>
      <c r="Q152" s="41">
        <f t="shared" si="58"/>
        <v>0</v>
      </c>
      <c r="R152" s="41">
        <f t="shared" si="58"/>
        <v>0</v>
      </c>
      <c r="S152" s="41">
        <f t="shared" si="58"/>
        <v>0</v>
      </c>
      <c r="T152" s="41">
        <f t="shared" si="58"/>
        <v>80.203468678461633</v>
      </c>
      <c r="U152" s="41">
        <f t="shared" si="58"/>
        <v>43.43951630131491</v>
      </c>
      <c r="V152" s="41">
        <f t="shared" si="58"/>
        <v>38.159873453208533</v>
      </c>
      <c r="W152" s="41">
        <f t="shared" si="58"/>
        <v>27.769443499957561</v>
      </c>
      <c r="X152" s="41">
        <f t="shared" si="58"/>
        <v>14.695069042951367</v>
      </c>
      <c r="Y152" s="41">
        <f t="shared" si="58"/>
        <v>6.4582630528870926</v>
      </c>
      <c r="Z152" s="41">
        <f t="shared" si="58"/>
        <v>2.0883355086965274</v>
      </c>
      <c r="AA152" s="41">
        <f t="shared" si="58"/>
        <v>0.49761968344982876</v>
      </c>
      <c r="AB152" s="41">
        <f t="shared" si="58"/>
        <v>0.11824378298307368</v>
      </c>
      <c r="AC152" s="41">
        <f t="shared" si="58"/>
        <v>1.7709622695174815E-2</v>
      </c>
      <c r="AD152" s="41">
        <f t="shared" si="58"/>
        <v>2.2402769762026264E-3</v>
      </c>
      <c r="AE152" s="41">
        <f t="shared" si="58"/>
        <v>2.0086362989176211E-4</v>
      </c>
      <c r="AF152" s="41">
        <f t="shared" si="58"/>
        <v>766.01921490440759</v>
      </c>
      <c r="AG152" s="41">
        <f t="shared" si="58"/>
        <v>414.88859174361971</v>
      </c>
      <c r="AH152" s="41">
        <f t="shared" si="58"/>
        <v>364.46299374740488</v>
      </c>
      <c r="AI152" s="41">
        <f t="shared" si="58"/>
        <v>265.22453029369166</v>
      </c>
      <c r="AJ152" s="41">
        <f t="shared" si="58"/>
        <v>140.3518505711539</v>
      </c>
      <c r="AK152" s="41">
        <f t="shared" si="58"/>
        <v>61.682539108776169</v>
      </c>
      <c r="AL152" s="41">
        <f t="shared" si="58"/>
        <v>19.94558531180218</v>
      </c>
      <c r="AM152" s="41">
        <f t="shared" si="58"/>
        <v>4.7527400687045835</v>
      </c>
      <c r="AN152" s="41">
        <f t="shared" si="58"/>
        <v>1.1293403053569602</v>
      </c>
      <c r="AO152" s="41">
        <f t="shared" si="58"/>
        <v>0.16914369785672589</v>
      </c>
      <c r="AP152" s="41">
        <f t="shared" si="58"/>
        <v>2.1396770473344973E-2</v>
      </c>
      <c r="AQ152" s="41">
        <f t="shared" si="58"/>
        <v>1.9184382247778909E-3</v>
      </c>
      <c r="AR152" s="41">
        <f t="shared" si="58"/>
        <v>1141.5817756004537</v>
      </c>
      <c r="AS152" s="41">
        <f t="shared" si="58"/>
        <v>618.29944474455249</v>
      </c>
      <c r="AT152" s="41">
        <f t="shared" si="58"/>
        <v>543.15127277158524</v>
      </c>
      <c r="AU152" s="41">
        <f t="shared" si="58"/>
        <v>395.2583490523179</v>
      </c>
      <c r="AV152" s="41">
        <f t="shared" si="58"/>
        <v>209.1633103535423</v>
      </c>
      <c r="AW152" s="41">
        <f t="shared" si="58"/>
        <v>91.924146482576646</v>
      </c>
      <c r="AX152" s="41">
        <f t="shared" si="58"/>
        <v>29.724471987923824</v>
      </c>
      <c r="AY152" s="41">
        <f t="shared" si="58"/>
        <v>7.0829051556836893</v>
      </c>
      <c r="AZ152" s="41">
        <f t="shared" si="58"/>
        <v>1.683031294727303</v>
      </c>
      <c r="BA152" s="41">
        <f t="shared" si="58"/>
        <v>0.25207117416108665</v>
      </c>
      <c r="BB152" s="41">
        <f t="shared" si="58"/>
        <v>3.1887141671928791E-2</v>
      </c>
      <c r="BC152" s="41">
        <f t="shared" si="58"/>
        <v>2.8590067617233678E-3</v>
      </c>
      <c r="BD152" s="41">
        <f t="shared" si="58"/>
        <v>1258.255542358565</v>
      </c>
      <c r="BE152" s="41">
        <f t="shared" si="58"/>
        <v>681.49187365736634</v>
      </c>
      <c r="BF152" s="41">
        <f t="shared" si="58"/>
        <v>598.6632880018484</v>
      </c>
      <c r="BG152" s="41">
        <f t="shared" si="58"/>
        <v>435.65517511610972</v>
      </c>
      <c r="BH152" s="41">
        <f t="shared" si="58"/>
        <v>230.54055358581761</v>
      </c>
      <c r="BI152" s="41">
        <f t="shared" si="58"/>
        <v>101.31912514760074</v>
      </c>
    </row>
    <row r="153" spans="5:61" x14ac:dyDescent="0.35">
      <c r="E153">
        <v>8</v>
      </c>
      <c r="J153" t="s">
        <v>50</v>
      </c>
      <c r="N153" s="41">
        <f t="shared" ref="N153:BI153" si="59">N137*N124*$I$100</f>
        <v>0</v>
      </c>
      <c r="O153" s="41">
        <f t="shared" si="59"/>
        <v>0</v>
      </c>
      <c r="P153" s="41">
        <f t="shared" si="59"/>
        <v>0</v>
      </c>
      <c r="Q153" s="41">
        <f t="shared" si="59"/>
        <v>0</v>
      </c>
      <c r="R153" s="41">
        <f t="shared" si="59"/>
        <v>0</v>
      </c>
      <c r="S153" s="41">
        <f t="shared" si="59"/>
        <v>0</v>
      </c>
      <c r="T153" s="41">
        <f t="shared" si="59"/>
        <v>0</v>
      </c>
      <c r="U153" s="41">
        <f t="shared" si="59"/>
        <v>121.53577860880026</v>
      </c>
      <c r="V153" s="41">
        <f t="shared" si="59"/>
        <v>63.714308937768216</v>
      </c>
      <c r="W153" s="41">
        <f t="shared" si="59"/>
        <v>59.936769141878564</v>
      </c>
      <c r="X153" s="41">
        <f t="shared" si="59"/>
        <v>41.043858478341456</v>
      </c>
      <c r="Y153" s="41">
        <f t="shared" si="59"/>
        <v>23.304450643250924</v>
      </c>
      <c r="Z153" s="41">
        <f t="shared" si="59"/>
        <v>9.7864848182540669</v>
      </c>
      <c r="AA153" s="41">
        <f t="shared" si="59"/>
        <v>3.0069566951130495</v>
      </c>
      <c r="AB153" s="41">
        <f t="shared" si="59"/>
        <v>0.91165284763578591</v>
      </c>
      <c r="AC153" s="41">
        <f t="shared" si="59"/>
        <v>0.17709264696518551</v>
      </c>
      <c r="AD153" s="41">
        <f t="shared" si="59"/>
        <v>2.8923417999112817E-2</v>
      </c>
      <c r="AE153" s="41">
        <f t="shared" si="59"/>
        <v>3.3665743920026137E-3</v>
      </c>
      <c r="AF153" s="41">
        <f t="shared" si="59"/>
        <v>3.325913566093797E-4</v>
      </c>
      <c r="AG153" s="41">
        <f t="shared" si="59"/>
        <v>518.98351341621549</v>
      </c>
      <c r="AH153" s="41">
        <f t="shared" si="59"/>
        <v>272.07359253314411</v>
      </c>
      <c r="AI153" s="41">
        <f t="shared" si="59"/>
        <v>255.94269760013196</v>
      </c>
      <c r="AJ153" s="41">
        <f t="shared" si="59"/>
        <v>175.26596794028509</v>
      </c>
      <c r="AK153" s="41">
        <f t="shared" si="59"/>
        <v>99.514939645874705</v>
      </c>
      <c r="AL153" s="41">
        <f t="shared" si="59"/>
        <v>41.790362748407837</v>
      </c>
      <c r="AM153" s="41">
        <f t="shared" si="59"/>
        <v>12.840341899181153</v>
      </c>
      <c r="AN153" s="41">
        <f t="shared" si="59"/>
        <v>3.8929507285656131</v>
      </c>
      <c r="AO153" s="41">
        <f t="shared" si="59"/>
        <v>0.75622310709016605</v>
      </c>
      <c r="AP153" s="41">
        <f t="shared" si="59"/>
        <v>0.12350912023612498</v>
      </c>
      <c r="AQ153" s="41">
        <f t="shared" si="59"/>
        <v>1.4375985624467492E-2</v>
      </c>
      <c r="AR153" s="41">
        <f t="shared" si="59"/>
        <v>1.4202355286717428E-3</v>
      </c>
      <c r="AS153" s="41">
        <f t="shared" si="59"/>
        <v>1069.9339709052974</v>
      </c>
      <c r="AT153" s="41">
        <f t="shared" si="59"/>
        <v>560.90563902749477</v>
      </c>
      <c r="AU153" s="41">
        <f t="shared" si="59"/>
        <v>527.65026188395825</v>
      </c>
      <c r="AV153" s="41">
        <f t="shared" si="59"/>
        <v>361.32749537367226</v>
      </c>
      <c r="AW153" s="41">
        <f t="shared" si="59"/>
        <v>205.15953163683864</v>
      </c>
      <c r="AX153" s="41">
        <f t="shared" si="59"/>
        <v>86.15481533633583</v>
      </c>
      <c r="AY153" s="41">
        <f t="shared" si="59"/>
        <v>26.471588481761025</v>
      </c>
      <c r="AZ153" s="41">
        <f t="shared" si="59"/>
        <v>8.025688916658245</v>
      </c>
      <c r="BA153" s="41">
        <f t="shared" si="59"/>
        <v>1.5590260016803896</v>
      </c>
      <c r="BB153" s="41">
        <f t="shared" si="59"/>
        <v>0.2546258215167575</v>
      </c>
      <c r="BC153" s="41">
        <f t="shared" si="59"/>
        <v>2.9637464364939088E-2</v>
      </c>
      <c r="BD153" s="41">
        <f t="shared" si="59"/>
        <v>2.9279508877074548E-3</v>
      </c>
      <c r="BE153" s="41">
        <f t="shared" si="59"/>
        <v>1181.2216193523725</v>
      </c>
      <c r="BF153" s="41">
        <f t="shared" si="59"/>
        <v>619.24743512474095</v>
      </c>
      <c r="BG153" s="41">
        <f t="shared" si="59"/>
        <v>582.53304759256025</v>
      </c>
      <c r="BH153" s="41">
        <f t="shared" si="59"/>
        <v>398.91045691417139</v>
      </c>
      <c r="BI153" s="41">
        <f t="shared" si="59"/>
        <v>226.4989062648342</v>
      </c>
    </row>
    <row r="154" spans="5:61" x14ac:dyDescent="0.35">
      <c r="E154">
        <v>9</v>
      </c>
      <c r="J154" t="s">
        <v>50</v>
      </c>
      <c r="N154" s="41">
        <f t="shared" ref="N154:BI154" si="60">N138*N125*$I$100</f>
        <v>0</v>
      </c>
      <c r="O154" s="41">
        <f t="shared" si="60"/>
        <v>0</v>
      </c>
      <c r="P154" s="41">
        <f t="shared" si="60"/>
        <v>0</v>
      </c>
      <c r="Q154" s="41">
        <f t="shared" si="60"/>
        <v>0</v>
      </c>
      <c r="R154" s="41">
        <f t="shared" si="60"/>
        <v>0</v>
      </c>
      <c r="S154" s="41">
        <f t="shared" si="60"/>
        <v>0</v>
      </c>
      <c r="T154" s="41">
        <f t="shared" si="60"/>
        <v>0</v>
      </c>
      <c r="U154" s="41">
        <f t="shared" si="60"/>
        <v>0</v>
      </c>
      <c r="V154" s="41">
        <f t="shared" si="60"/>
        <v>198.55624828068886</v>
      </c>
      <c r="W154" s="41">
        <f t="shared" si="60"/>
        <v>109.25843575673031</v>
      </c>
      <c r="X154" s="41">
        <f t="shared" si="60"/>
        <v>96.778687536641968</v>
      </c>
      <c r="Y154" s="41">
        <f t="shared" si="60"/>
        <v>71.012434165281817</v>
      </c>
      <c r="Z154" s="41">
        <f t="shared" si="60"/>
        <v>38.723070020761192</v>
      </c>
      <c r="AA154" s="41">
        <f t="shared" si="60"/>
        <v>15.325070302244667</v>
      </c>
      <c r="AB154" s="41">
        <f t="shared" si="60"/>
        <v>5.9327288672070431</v>
      </c>
      <c r="AC154" s="41">
        <f t="shared" si="60"/>
        <v>1.4940227857113013</v>
      </c>
      <c r="AD154" s="41">
        <f t="shared" si="60"/>
        <v>0.31505517401444333</v>
      </c>
      <c r="AE154" s="41">
        <f t="shared" si="60"/>
        <v>4.7584341600521801E-2</v>
      </c>
      <c r="AF154" s="41">
        <f t="shared" si="60"/>
        <v>6.0692568245979631E-3</v>
      </c>
      <c r="AG154" s="41">
        <f t="shared" si="60"/>
        <v>5.5263943301812055E-4</v>
      </c>
      <c r="AH154" s="41">
        <f t="shared" si="60"/>
        <v>831.18759920794093</v>
      </c>
      <c r="AI154" s="41">
        <f t="shared" si="60"/>
        <v>457.37294946000497</v>
      </c>
      <c r="AJ154" s="41">
        <f t="shared" si="60"/>
        <v>405.1307659397412</v>
      </c>
      <c r="AK154" s="41">
        <f t="shared" si="60"/>
        <v>297.26918784400277</v>
      </c>
      <c r="AL154" s="41">
        <f t="shared" si="60"/>
        <v>162.10084489014713</v>
      </c>
      <c r="AM154" s="41">
        <f t="shared" si="60"/>
        <v>64.153148050060778</v>
      </c>
      <c r="AN154" s="41">
        <f t="shared" si="60"/>
        <v>24.83533359733141</v>
      </c>
      <c r="AO154" s="41">
        <f t="shared" si="60"/>
        <v>6.2542137211509363</v>
      </c>
      <c r="AP154" s="41">
        <f t="shared" si="60"/>
        <v>1.3188703753956561</v>
      </c>
      <c r="AQ154" s="41">
        <f t="shared" si="60"/>
        <v>0.19919551762942411</v>
      </c>
      <c r="AR154" s="41">
        <f t="shared" si="60"/>
        <v>2.5406861041625692E-2</v>
      </c>
      <c r="AS154" s="41">
        <f t="shared" si="60"/>
        <v>2.3134353491037654E-3</v>
      </c>
      <c r="AT154" s="41">
        <f t="shared" si="60"/>
        <v>1053.8893546497154</v>
      </c>
      <c r="AU154" s="41">
        <f t="shared" si="60"/>
        <v>579.91779834055581</v>
      </c>
      <c r="AV154" s="41">
        <f t="shared" si="60"/>
        <v>513.67826212980344</v>
      </c>
      <c r="AW154" s="41">
        <f t="shared" si="60"/>
        <v>376.91711574222444</v>
      </c>
      <c r="AX154" s="41">
        <f t="shared" si="60"/>
        <v>205.5328483873495</v>
      </c>
      <c r="AY154" s="41">
        <f t="shared" si="60"/>
        <v>81.341829283369634</v>
      </c>
      <c r="AZ154" s="41">
        <f t="shared" si="60"/>
        <v>31.489514187102341</v>
      </c>
      <c r="BA154" s="41">
        <f t="shared" si="60"/>
        <v>7.9299177089577828</v>
      </c>
      <c r="BB154" s="41">
        <f t="shared" si="60"/>
        <v>1.6722379521985975</v>
      </c>
      <c r="BC154" s="41">
        <f t="shared" si="60"/>
        <v>0.25256637096563667</v>
      </c>
      <c r="BD154" s="41">
        <f t="shared" si="60"/>
        <v>3.2214172122333656E-2</v>
      </c>
      <c r="BE154" s="41">
        <f t="shared" si="60"/>
        <v>2.9332787079765581E-3</v>
      </c>
      <c r="BF154" s="41">
        <f t="shared" si="60"/>
        <v>1161.9317949424703</v>
      </c>
      <c r="BG154" s="41">
        <f t="shared" si="60"/>
        <v>639.36970742900155</v>
      </c>
      <c r="BH154" s="41">
        <f t="shared" si="60"/>
        <v>566.33943829690872</v>
      </c>
      <c r="BI154" s="41">
        <f t="shared" si="60"/>
        <v>415.55783717396525</v>
      </c>
    </row>
    <row r="155" spans="5:61" x14ac:dyDescent="0.35">
      <c r="E155">
        <v>10</v>
      </c>
      <c r="J155" t="s">
        <v>50</v>
      </c>
      <c r="N155" s="41">
        <f t="shared" ref="N155:BI155" si="61">N139*N126*$I$100</f>
        <v>0</v>
      </c>
      <c r="O155" s="41">
        <f t="shared" si="61"/>
        <v>0</v>
      </c>
      <c r="P155" s="41">
        <f t="shared" si="61"/>
        <v>0</v>
      </c>
      <c r="Q155" s="41">
        <f t="shared" si="61"/>
        <v>0</v>
      </c>
      <c r="R155" s="41">
        <f t="shared" si="61"/>
        <v>0</v>
      </c>
      <c r="S155" s="41">
        <f t="shared" si="61"/>
        <v>0</v>
      </c>
      <c r="T155" s="41">
        <f t="shared" si="61"/>
        <v>0</v>
      </c>
      <c r="U155" s="41">
        <f t="shared" si="61"/>
        <v>0</v>
      </c>
      <c r="V155" s="41">
        <f t="shared" si="61"/>
        <v>0</v>
      </c>
      <c r="W155" s="41">
        <f t="shared" si="61"/>
        <v>266.46188715545122</v>
      </c>
      <c r="X155" s="41">
        <f t="shared" si="61"/>
        <v>139.6908399543</v>
      </c>
      <c r="Y155" s="41">
        <f t="shared" si="61"/>
        <v>131.40874891625657</v>
      </c>
      <c r="Z155" s="41">
        <f t="shared" si="61"/>
        <v>92.259081086881736</v>
      </c>
      <c r="AA155" s="41">
        <f t="shared" si="61"/>
        <v>46.59841862481646</v>
      </c>
      <c r="AB155" s="41">
        <f t="shared" si="61"/>
        <v>22.871394458096539</v>
      </c>
      <c r="AC155" s="41">
        <f t="shared" si="61"/>
        <v>7.4010253317712715</v>
      </c>
      <c r="AD155" s="41">
        <f t="shared" si="61"/>
        <v>1.9987590567349436</v>
      </c>
      <c r="AE155" s="41">
        <f t="shared" si="61"/>
        <v>0.38826789486894819</v>
      </c>
      <c r="AF155" s="41">
        <f t="shared" si="61"/>
        <v>6.3413330882890251E-2</v>
      </c>
      <c r="AG155" s="41">
        <f t="shared" si="61"/>
        <v>7.4429253580421302E-3</v>
      </c>
      <c r="AH155" s="41">
        <f t="shared" si="61"/>
        <v>6.6733400392477446E-4</v>
      </c>
      <c r="AI155" s="41">
        <f t="shared" si="61"/>
        <v>966.12395720806057</v>
      </c>
      <c r="AJ155" s="41">
        <f t="shared" si="61"/>
        <v>506.48394231191725</v>
      </c>
      <c r="AK155" s="41">
        <f t="shared" si="61"/>
        <v>476.45515788405675</v>
      </c>
      <c r="AL155" s="41">
        <f t="shared" si="61"/>
        <v>334.50828356566353</v>
      </c>
      <c r="AM155" s="41">
        <f t="shared" si="61"/>
        <v>168.95417608140463</v>
      </c>
      <c r="AN155" s="41">
        <f t="shared" si="61"/>
        <v>82.925938702189683</v>
      </c>
      <c r="AO155" s="41">
        <f t="shared" si="61"/>
        <v>26.83426120432954</v>
      </c>
      <c r="AP155" s="41">
        <f t="shared" si="61"/>
        <v>7.2469989236083867</v>
      </c>
      <c r="AQ155" s="41">
        <f t="shared" si="61"/>
        <v>1.4077619844701963</v>
      </c>
      <c r="AR155" s="41">
        <f t="shared" si="61"/>
        <v>0.22992082967790656</v>
      </c>
      <c r="AS155" s="41">
        <f t="shared" si="61"/>
        <v>2.6986180188391631E-2</v>
      </c>
      <c r="AT155" s="41">
        <f t="shared" si="61"/>
        <v>2.4195856883471481E-3</v>
      </c>
      <c r="AU155" s="41">
        <f t="shared" si="61"/>
        <v>1150.7512327336767</v>
      </c>
      <c r="AV155" s="41">
        <f t="shared" si="61"/>
        <v>603.27354127471835</v>
      </c>
      <c r="AW155" s="41">
        <f t="shared" si="61"/>
        <v>567.50622545562362</v>
      </c>
      <c r="AX155" s="41">
        <f t="shared" si="61"/>
        <v>398.43315839637683</v>
      </c>
      <c r="AY155" s="41">
        <f t="shared" si="61"/>
        <v>201.24149178852068</v>
      </c>
      <c r="AZ155" s="41">
        <f t="shared" si="61"/>
        <v>98.773170332004611</v>
      </c>
      <c r="BA155" s="41">
        <f t="shared" si="61"/>
        <v>31.962315942994042</v>
      </c>
      <c r="BB155" s="41">
        <f t="shared" si="61"/>
        <v>8.6319078237763005</v>
      </c>
      <c r="BC155" s="41">
        <f t="shared" si="61"/>
        <v>1.6767867383251447</v>
      </c>
      <c r="BD155" s="41">
        <f t="shared" si="61"/>
        <v>0.27385893519046794</v>
      </c>
      <c r="BE155" s="41">
        <f t="shared" si="61"/>
        <v>3.2143266800159727E-2</v>
      </c>
      <c r="BF155" s="41">
        <f t="shared" si="61"/>
        <v>2.881970986017706E-3</v>
      </c>
      <c r="BG155" s="41">
        <f t="shared" si="61"/>
        <v>1267.950856520014</v>
      </c>
      <c r="BH155" s="41">
        <f t="shared" si="61"/>
        <v>664.71465040973817</v>
      </c>
      <c r="BI155" s="41">
        <f t="shared" si="61"/>
        <v>625.30456990040977</v>
      </c>
    </row>
    <row r="156" spans="5:61" x14ac:dyDescent="0.35">
      <c r="E156">
        <v>11</v>
      </c>
      <c r="J156" t="s">
        <v>50</v>
      </c>
      <c r="N156" s="41">
        <f t="shared" ref="N156:BI156" si="62">N140*N127*$I$100</f>
        <v>0</v>
      </c>
      <c r="O156" s="41">
        <f t="shared" si="62"/>
        <v>0</v>
      </c>
      <c r="P156" s="41">
        <f t="shared" si="62"/>
        <v>0</v>
      </c>
      <c r="Q156" s="41">
        <f t="shared" si="62"/>
        <v>0</v>
      </c>
      <c r="R156" s="41">
        <f t="shared" si="62"/>
        <v>0</v>
      </c>
      <c r="S156" s="41">
        <f t="shared" si="62"/>
        <v>0</v>
      </c>
      <c r="T156" s="41">
        <f t="shared" si="62"/>
        <v>0</v>
      </c>
      <c r="U156" s="41">
        <f t="shared" si="62"/>
        <v>0</v>
      </c>
      <c r="V156" s="41">
        <f t="shared" si="62"/>
        <v>0</v>
      </c>
      <c r="W156" s="41">
        <f t="shared" si="62"/>
        <v>0</v>
      </c>
      <c r="X156" s="41">
        <f t="shared" si="62"/>
        <v>306.15603860862751</v>
      </c>
      <c r="Y156" s="41">
        <f t="shared" si="62"/>
        <v>168.4667703258022</v>
      </c>
      <c r="Z156" s="41">
        <f t="shared" si="62"/>
        <v>153.56191246830969</v>
      </c>
      <c r="AA156" s="41">
        <f t="shared" si="62"/>
        <v>99.68527405647086</v>
      </c>
      <c r="AB156" s="41">
        <f t="shared" si="62"/>
        <v>62.581115298509445</v>
      </c>
      <c r="AC156" s="41">
        <f t="shared" si="62"/>
        <v>26.228068890374903</v>
      </c>
      <c r="AD156" s="41">
        <f t="shared" si="62"/>
        <v>9.14773916132566</v>
      </c>
      <c r="AE156" s="41">
        <f t="shared" si="62"/>
        <v>2.3036499814288871</v>
      </c>
      <c r="AF156" s="41">
        <f t="shared" si="62"/>
        <v>0.48578699917344714</v>
      </c>
      <c r="AG156" s="41">
        <f t="shared" si="62"/>
        <v>7.410368370958352E-2</v>
      </c>
      <c r="AH156" s="41">
        <f t="shared" si="62"/>
        <v>8.625383208077186E-3</v>
      </c>
      <c r="AI156" s="41">
        <f t="shared" si="62"/>
        <v>8.5212075196225987E-4</v>
      </c>
      <c r="AJ156" s="41">
        <f t="shared" si="62"/>
        <v>981.43939225986423</v>
      </c>
      <c r="AK156" s="41">
        <f t="shared" si="62"/>
        <v>540.0511629166283</v>
      </c>
      <c r="AL156" s="41">
        <f t="shared" si="62"/>
        <v>492.27090451030301</v>
      </c>
      <c r="AM156" s="41">
        <f t="shared" si="62"/>
        <v>319.55944828613212</v>
      </c>
      <c r="AN156" s="41">
        <f t="shared" si="62"/>
        <v>200.61525503349253</v>
      </c>
      <c r="AO156" s="41">
        <f t="shared" si="62"/>
        <v>84.078890323066787</v>
      </c>
      <c r="AP156" s="41">
        <f t="shared" si="62"/>
        <v>29.324757414045713</v>
      </c>
      <c r="AQ156" s="41">
        <f t="shared" si="62"/>
        <v>7.3847729674971765</v>
      </c>
      <c r="AR156" s="41">
        <f t="shared" si="62"/>
        <v>1.5572794167421518</v>
      </c>
      <c r="AS156" s="41">
        <f t="shared" si="62"/>
        <v>0.23755296362820577</v>
      </c>
      <c r="AT156" s="41">
        <f t="shared" si="62"/>
        <v>2.7650249500926091E-2</v>
      </c>
      <c r="AU156" s="41">
        <f t="shared" si="62"/>
        <v>2.7316295204843025E-3</v>
      </c>
      <c r="AV156" s="41">
        <f t="shared" si="62"/>
        <v>1115.757218047798</v>
      </c>
      <c r="AW156" s="41">
        <f t="shared" si="62"/>
        <v>613.96148136245654</v>
      </c>
      <c r="AX156" s="41">
        <f t="shared" si="62"/>
        <v>559.64211267042549</v>
      </c>
      <c r="AY156" s="41">
        <f t="shared" si="62"/>
        <v>363.29371312438298</v>
      </c>
      <c r="AZ156" s="41">
        <f t="shared" si="62"/>
        <v>228.07105626635746</v>
      </c>
      <c r="BA156" s="41">
        <f t="shared" si="62"/>
        <v>95.585758533086874</v>
      </c>
      <c r="BB156" s="41">
        <f t="shared" si="62"/>
        <v>33.33808486826949</v>
      </c>
      <c r="BC156" s="41">
        <f t="shared" si="62"/>
        <v>8.3954381769379349</v>
      </c>
      <c r="BD156" s="41">
        <f t="shared" si="62"/>
        <v>1.7704055527529257</v>
      </c>
      <c r="BE156" s="41">
        <f t="shared" si="62"/>
        <v>0.27006398553710853</v>
      </c>
      <c r="BF156" s="41">
        <f t="shared" si="62"/>
        <v>3.1434407162365181E-2</v>
      </c>
      <c r="BG156" s="41">
        <f t="shared" si="62"/>
        <v>3.1054748551460256E-3</v>
      </c>
      <c r="BH156" s="41">
        <f t="shared" si="62"/>
        <v>1228.0547585531194</v>
      </c>
      <c r="BI156" s="41">
        <f t="shared" si="62"/>
        <v>675.75482063624656</v>
      </c>
    </row>
    <row r="157" spans="5:61" x14ac:dyDescent="0.35">
      <c r="E157">
        <v>12</v>
      </c>
      <c r="J157" t="s">
        <v>50</v>
      </c>
      <c r="N157" s="41">
        <f t="shared" ref="N157:BI157" si="63">N141*N128*$I$100</f>
        <v>0</v>
      </c>
      <c r="O157" s="41">
        <f t="shared" si="63"/>
        <v>0</v>
      </c>
      <c r="P157" s="41">
        <f t="shared" si="63"/>
        <v>0</v>
      </c>
      <c r="Q157" s="41">
        <f t="shared" si="63"/>
        <v>0</v>
      </c>
      <c r="R157" s="41">
        <f t="shared" si="63"/>
        <v>0</v>
      </c>
      <c r="S157" s="41">
        <f t="shared" si="63"/>
        <v>0</v>
      </c>
      <c r="T157" s="41">
        <f t="shared" si="63"/>
        <v>0</v>
      </c>
      <c r="U157" s="41">
        <f t="shared" si="63"/>
        <v>0</v>
      </c>
      <c r="V157" s="41">
        <f t="shared" si="63"/>
        <v>0</v>
      </c>
      <c r="W157" s="41">
        <f t="shared" si="63"/>
        <v>0</v>
      </c>
      <c r="X157" s="41">
        <f t="shared" si="63"/>
        <v>0</v>
      </c>
      <c r="Y157" s="41">
        <f t="shared" si="63"/>
        <v>374.99677554979951</v>
      </c>
      <c r="Z157" s="41">
        <f t="shared" si="63"/>
        <v>203.1044144704253</v>
      </c>
      <c r="AA157" s="41">
        <f t="shared" si="63"/>
        <v>167.91125750794617</v>
      </c>
      <c r="AB157" s="41">
        <f t="shared" si="63"/>
        <v>133.88569597378475</v>
      </c>
      <c r="AC157" s="41">
        <f t="shared" si="63"/>
        <v>72.038876573106734</v>
      </c>
      <c r="AD157" s="41">
        <f t="shared" si="63"/>
        <v>32.187339306465979</v>
      </c>
      <c r="AE157" s="41">
        <f t="shared" si="63"/>
        <v>10.415600763037055</v>
      </c>
      <c r="AF157" s="41">
        <f t="shared" si="63"/>
        <v>2.8128908392039396</v>
      </c>
      <c r="AG157" s="41">
        <f t="shared" si="63"/>
        <v>0.5528568536758377</v>
      </c>
      <c r="AH157" s="41">
        <f t="shared" si="63"/>
        <v>8.2802546028505342E-2</v>
      </c>
      <c r="AI157" s="41">
        <f t="shared" si="63"/>
        <v>1.0474567450223571E-2</v>
      </c>
      <c r="AJ157" s="41">
        <f t="shared" si="63"/>
        <v>9.3915157007251615E-4</v>
      </c>
      <c r="AK157" s="41">
        <f t="shared" si="63"/>
        <v>1058.1822838710875</v>
      </c>
      <c r="AL157" s="41">
        <f t="shared" si="63"/>
        <v>573.12890985131423</v>
      </c>
      <c r="AM157" s="41">
        <f t="shared" si="63"/>
        <v>473.8193220379539</v>
      </c>
      <c r="AN157" s="41">
        <f t="shared" si="63"/>
        <v>377.80450601339948</v>
      </c>
      <c r="AO157" s="41">
        <f t="shared" si="63"/>
        <v>203.28244910338998</v>
      </c>
      <c r="AP157" s="41">
        <f t="shared" si="63"/>
        <v>90.827640235340155</v>
      </c>
      <c r="AQ157" s="41">
        <f t="shared" si="63"/>
        <v>29.391197263391742</v>
      </c>
      <c r="AR157" s="41">
        <f t="shared" si="63"/>
        <v>7.9375382578818989</v>
      </c>
      <c r="AS157" s="41">
        <f t="shared" si="63"/>
        <v>1.560075622567028</v>
      </c>
      <c r="AT157" s="41">
        <f t="shared" si="63"/>
        <v>0.23365584180909496</v>
      </c>
      <c r="AU157" s="41">
        <f t="shared" si="63"/>
        <v>2.9557592037394411E-2</v>
      </c>
      <c r="AV157" s="41">
        <f t="shared" si="63"/>
        <v>2.6501389294972147E-3</v>
      </c>
      <c r="AW157" s="41">
        <f t="shared" si="63"/>
        <v>1205.6870057953979</v>
      </c>
      <c r="AX157" s="41">
        <f t="shared" si="63"/>
        <v>653.01989060477797</v>
      </c>
      <c r="AY157" s="41">
        <f t="shared" si="63"/>
        <v>539.86709887645554</v>
      </c>
      <c r="AZ157" s="41">
        <f t="shared" si="63"/>
        <v>430.46835178994337</v>
      </c>
      <c r="BA157" s="41">
        <f t="shared" si="63"/>
        <v>231.61889130633017</v>
      </c>
      <c r="BB157" s="41">
        <f t="shared" si="63"/>
        <v>103.48850785726236</v>
      </c>
      <c r="BC157" s="41">
        <f t="shared" si="63"/>
        <v>33.488166609258528</v>
      </c>
      <c r="BD157" s="41">
        <f t="shared" si="63"/>
        <v>9.0439869211587816</v>
      </c>
      <c r="BE157" s="41">
        <f t="shared" si="63"/>
        <v>1.7775414830290037</v>
      </c>
      <c r="BF157" s="41">
        <f t="shared" si="63"/>
        <v>0.26622616593695558</v>
      </c>
      <c r="BG157" s="41">
        <f t="shared" si="63"/>
        <v>3.3677755888823255E-2</v>
      </c>
      <c r="BH157" s="41">
        <f t="shared" si="63"/>
        <v>3.0195535490902016E-3</v>
      </c>
      <c r="BI157" s="41">
        <f t="shared" si="63"/>
        <v>1326.5553228020049</v>
      </c>
    </row>
    <row r="158" spans="5:61" x14ac:dyDescent="0.35"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</row>
    <row r="159" spans="5:61" x14ac:dyDescent="0.35">
      <c r="E159" t="str">
        <f>"Volumes-"&amp;Paramétrage_général!I33</f>
        <v>Volumes-Rejet paiement</v>
      </c>
      <c r="J159" t="s">
        <v>50</v>
      </c>
      <c r="N159" s="41">
        <f>SUM(N146:N157)</f>
        <v>0</v>
      </c>
      <c r="O159" s="41">
        <f t="shared" ref="O159:BI159" si="64">SUM(O146:O157)</f>
        <v>0</v>
      </c>
      <c r="P159" s="41">
        <f t="shared" si="64"/>
        <v>0</v>
      </c>
      <c r="Q159" s="41">
        <f t="shared" si="64"/>
        <v>1.6070698297906718</v>
      </c>
      <c r="R159" s="41">
        <f t="shared" si="64"/>
        <v>12.833108375766358</v>
      </c>
      <c r="S159" s="41">
        <f t="shared" si="64"/>
        <v>48.960499971354771</v>
      </c>
      <c r="T159" s="41">
        <f t="shared" si="64"/>
        <v>109.73421138832163</v>
      </c>
      <c r="U159" s="41">
        <f t="shared" si="64"/>
        <v>190.44863651776768</v>
      </c>
      <c r="V159" s="41">
        <f t="shared" si="64"/>
        <v>317.14502181205376</v>
      </c>
      <c r="W159" s="41">
        <f t="shared" si="64"/>
        <v>472.60704218990105</v>
      </c>
      <c r="X159" s="41">
        <f t="shared" si="64"/>
        <v>602.0507967092592</v>
      </c>
      <c r="Y159" s="41">
        <f t="shared" si="64"/>
        <v>776.88689742816973</v>
      </c>
      <c r="Z159" s="41">
        <f t="shared" si="64"/>
        <v>907.46005605183132</v>
      </c>
      <c r="AA159" s="41">
        <f t="shared" si="64"/>
        <v>1017.6068901638178</v>
      </c>
      <c r="AB159" s="41">
        <f t="shared" si="64"/>
        <v>1317.1674321012172</v>
      </c>
      <c r="AC159" s="41">
        <f t="shared" si="64"/>
        <v>1456.0549397623995</v>
      </c>
      <c r="AD159" s="41">
        <f t="shared" si="64"/>
        <v>1579.2625756316984</v>
      </c>
      <c r="AE159" s="41">
        <f t="shared" si="64"/>
        <v>1702.5218388189501</v>
      </c>
      <c r="AF159" s="41">
        <f t="shared" si="64"/>
        <v>1868.8036138365446</v>
      </c>
      <c r="AG159" s="41">
        <f t="shared" si="64"/>
        <v>1697.7250849160071</v>
      </c>
      <c r="AH159" s="41">
        <f t="shared" si="64"/>
        <v>1897.3054527744257</v>
      </c>
      <c r="AI159" s="41">
        <f t="shared" si="64"/>
        <v>2156.2075526768581</v>
      </c>
      <c r="AJ159" s="41">
        <f t="shared" si="64"/>
        <v>2287.1498705943036</v>
      </c>
      <c r="AK159" s="41">
        <f t="shared" si="64"/>
        <v>2558.0914578990792</v>
      </c>
      <c r="AL159" s="41">
        <f t="shared" si="64"/>
        <v>2677.6013766994683</v>
      </c>
      <c r="AM159" s="41">
        <f t="shared" si="64"/>
        <v>2493.5662556804714</v>
      </c>
      <c r="AN159" s="41">
        <f t="shared" si="64"/>
        <v>2878.3809542353079</v>
      </c>
      <c r="AO159" s="41">
        <f t="shared" si="64"/>
        <v>2857.6767011719307</v>
      </c>
      <c r="AP159" s="41">
        <f t="shared" si="64"/>
        <v>3033.3600821799996</v>
      </c>
      <c r="AQ159" s="41">
        <f t="shared" si="64"/>
        <v>2971.5598116783863</v>
      </c>
      <c r="AR159" s="41">
        <f t="shared" si="64"/>
        <v>3073.5431796904959</v>
      </c>
      <c r="AS159" s="41">
        <f t="shared" si="64"/>
        <v>2999.4660195969532</v>
      </c>
      <c r="AT159" s="41">
        <f t="shared" si="64"/>
        <v>2883.386120906669</v>
      </c>
      <c r="AU159" s="41">
        <f t="shared" si="64"/>
        <v>3005.922011402708</v>
      </c>
      <c r="AV159" s="41">
        <f t="shared" si="64"/>
        <v>2932.370179059978</v>
      </c>
      <c r="AW159" s="41">
        <f t="shared" si="64"/>
        <v>3101.7959110236675</v>
      </c>
      <c r="AX159" s="41">
        <f t="shared" si="64"/>
        <v>3125.7642835612705</v>
      </c>
      <c r="AY159" s="41">
        <f t="shared" si="64"/>
        <v>2843.2625987411629</v>
      </c>
      <c r="AZ159" s="41">
        <f t="shared" si="64"/>
        <v>3232.6662445466295</v>
      </c>
      <c r="BA159" s="41">
        <f t="shared" si="64"/>
        <v>3180.3463937360707</v>
      </c>
      <c r="BB159" s="41">
        <f t="shared" si="64"/>
        <v>3354.1950687878939</v>
      </c>
      <c r="BC159" s="41">
        <f t="shared" si="64"/>
        <v>3277.8611936236161</v>
      </c>
      <c r="BD159" s="41">
        <f t="shared" si="64"/>
        <v>3386.7298151713449</v>
      </c>
      <c r="BE159" s="41">
        <f t="shared" si="64"/>
        <v>3306.1339574405451</v>
      </c>
      <c r="BF159" s="41">
        <f t="shared" si="64"/>
        <v>3178.15866922333</v>
      </c>
      <c r="BG159" s="41">
        <f t="shared" si="64"/>
        <v>3313.2201012896812</v>
      </c>
      <c r="BH159" s="41">
        <f t="shared" si="64"/>
        <v>3230.701173641341</v>
      </c>
      <c r="BI159" s="41">
        <f t="shared" si="64"/>
        <v>3415.7156524499615</v>
      </c>
    </row>
    <row r="160" spans="5:61" x14ac:dyDescent="0.35">
      <c r="E160" t="str">
        <f>"Volumes-"&amp;Paramétrage_général!I32</f>
        <v>Volumes-Paiement du solde</v>
      </c>
      <c r="J160" t="s">
        <v>50</v>
      </c>
      <c r="N160" s="41">
        <f>N143-N159</f>
        <v>0</v>
      </c>
      <c r="O160" s="41">
        <f t="shared" ref="O160:BI160" si="65">O143-O159</f>
        <v>0</v>
      </c>
      <c r="P160" s="41">
        <f t="shared" si="65"/>
        <v>0</v>
      </c>
      <c r="Q160" s="41">
        <f t="shared" si="65"/>
        <v>30.534326766022762</v>
      </c>
      <c r="R160" s="41">
        <f t="shared" si="65"/>
        <v>243.8290591395608</v>
      </c>
      <c r="S160" s="41">
        <f t="shared" si="65"/>
        <v>930.24949945574053</v>
      </c>
      <c r="T160" s="41">
        <f t="shared" si="65"/>
        <v>2084.9500163781113</v>
      </c>
      <c r="U160" s="41">
        <f t="shared" si="65"/>
        <v>3618.524093837586</v>
      </c>
      <c r="V160" s="41">
        <f t="shared" si="65"/>
        <v>6025.7554144290216</v>
      </c>
      <c r="W160" s="41">
        <f t="shared" si="65"/>
        <v>8979.5338016081205</v>
      </c>
      <c r="X160" s="41">
        <f t="shared" si="65"/>
        <v>11438.965137475923</v>
      </c>
      <c r="Y160" s="41">
        <f t="shared" si="65"/>
        <v>14760.851051135223</v>
      </c>
      <c r="Z160" s="41">
        <f t="shared" si="65"/>
        <v>17241.741064984795</v>
      </c>
      <c r="AA160" s="41">
        <f t="shared" si="65"/>
        <v>19334.53091311254</v>
      </c>
      <c r="AB160" s="41">
        <f t="shared" si="65"/>
        <v>25026.181209923121</v>
      </c>
      <c r="AC160" s="41">
        <f t="shared" si="65"/>
        <v>27665.043855485594</v>
      </c>
      <c r="AD160" s="41">
        <f t="shared" si="65"/>
        <v>30005.988937002265</v>
      </c>
      <c r="AE160" s="41">
        <f t="shared" si="65"/>
        <v>32347.914937560057</v>
      </c>
      <c r="AF160" s="41">
        <f t="shared" si="65"/>
        <v>35507.268662894356</v>
      </c>
      <c r="AG160" s="41">
        <f t="shared" si="65"/>
        <v>32256.776613404141</v>
      </c>
      <c r="AH160" s="41">
        <f t="shared" si="65"/>
        <v>36048.803602714084</v>
      </c>
      <c r="AI160" s="41">
        <f t="shared" si="65"/>
        <v>40967.94350086031</v>
      </c>
      <c r="AJ160" s="41">
        <f t="shared" si="65"/>
        <v>43455.847541291776</v>
      </c>
      <c r="AK160" s="41">
        <f t="shared" si="65"/>
        <v>48603.737700082507</v>
      </c>
      <c r="AL160" s="41">
        <f t="shared" si="65"/>
        <v>50874.42615728989</v>
      </c>
      <c r="AM160" s="41">
        <f t="shared" si="65"/>
        <v>47377.758857928959</v>
      </c>
      <c r="AN160" s="41">
        <f t="shared" si="65"/>
        <v>54689.238130470832</v>
      </c>
      <c r="AO160" s="41">
        <f t="shared" si="65"/>
        <v>54295.857322266689</v>
      </c>
      <c r="AP160" s="41">
        <f t="shared" si="65"/>
        <v>57633.841561419991</v>
      </c>
      <c r="AQ160" s="41">
        <f t="shared" si="65"/>
        <v>56459.636421889329</v>
      </c>
      <c r="AR160" s="41">
        <f t="shared" si="65"/>
        <v>58397.320414119422</v>
      </c>
      <c r="AS160" s="41">
        <f t="shared" si="65"/>
        <v>56989.854372342103</v>
      </c>
      <c r="AT160" s="41">
        <f t="shared" si="65"/>
        <v>54784.336297226713</v>
      </c>
      <c r="AU160" s="41">
        <f t="shared" si="65"/>
        <v>57112.51821665145</v>
      </c>
      <c r="AV160" s="41">
        <f t="shared" si="65"/>
        <v>55715.033402139583</v>
      </c>
      <c r="AW160" s="41">
        <f t="shared" si="65"/>
        <v>58934.122309449682</v>
      </c>
      <c r="AX160" s="41">
        <f t="shared" si="65"/>
        <v>59389.521387664136</v>
      </c>
      <c r="AY160" s="41">
        <f t="shared" si="65"/>
        <v>54021.9893760821</v>
      </c>
      <c r="AZ160" s="41">
        <f t="shared" si="65"/>
        <v>61420.658646385957</v>
      </c>
      <c r="BA160" s="41">
        <f t="shared" si="65"/>
        <v>60426.58148098534</v>
      </c>
      <c r="BB160" s="41">
        <f t="shared" si="65"/>
        <v>63729.706306969987</v>
      </c>
      <c r="BC160" s="41">
        <f t="shared" si="65"/>
        <v>62279.362678848709</v>
      </c>
      <c r="BD160" s="41">
        <f t="shared" si="65"/>
        <v>64347.866488255546</v>
      </c>
      <c r="BE160" s="41">
        <f t="shared" si="65"/>
        <v>62816.545191370358</v>
      </c>
      <c r="BF160" s="41">
        <f t="shared" si="65"/>
        <v>60385.014715243255</v>
      </c>
      <c r="BG160" s="41">
        <f t="shared" si="65"/>
        <v>62951.181924503922</v>
      </c>
      <c r="BH160" s="41">
        <f t="shared" si="65"/>
        <v>61383.322299185478</v>
      </c>
      <c r="BI160" s="41">
        <f t="shared" si="65"/>
        <v>64898.597396549259</v>
      </c>
    </row>
    <row r="161" spans="4:61" x14ac:dyDescent="0.35"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</row>
    <row r="162" spans="4:61" x14ac:dyDescent="0.35">
      <c r="D162" s="1" t="s">
        <v>197</v>
      </c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</row>
    <row r="163" spans="4:61" x14ac:dyDescent="0.35"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</row>
    <row r="164" spans="4:61" x14ac:dyDescent="0.35">
      <c r="E164" s="12" t="s">
        <v>193</v>
      </c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</row>
    <row r="165" spans="4:61" x14ac:dyDescent="0.35">
      <c r="E165">
        <v>1</v>
      </c>
      <c r="J165" t="s">
        <v>50</v>
      </c>
      <c r="N165" s="41">
        <f>IFERROR(INDEX($N$101:$BI$101,1,MATCH(N104,$N$98:$BI$98,0)),0)*N117</f>
        <v>0</v>
      </c>
      <c r="O165" s="41">
        <f t="shared" ref="O165:BI165" si="66">IFERROR(INDEX($N$101:$BI$101,1,MATCH(O104,$N$98:$BI$98,0)),0)*O117</f>
        <v>0</v>
      </c>
      <c r="P165" s="41">
        <f t="shared" si="66"/>
        <v>0</v>
      </c>
      <c r="Q165" s="41">
        <f t="shared" si="66"/>
        <v>0</v>
      </c>
      <c r="R165" s="41">
        <f t="shared" si="66"/>
        <v>0</v>
      </c>
      <c r="S165" s="41">
        <f t="shared" si="66"/>
        <v>0</v>
      </c>
      <c r="T165" s="41">
        <f t="shared" si="66"/>
        <v>0</v>
      </c>
      <c r="U165" s="41">
        <f t="shared" si="66"/>
        <v>0</v>
      </c>
      <c r="V165" s="41">
        <f t="shared" si="66"/>
        <v>0</v>
      </c>
      <c r="W165" s="41">
        <f t="shared" si="66"/>
        <v>0</v>
      </c>
      <c r="X165" s="41">
        <f t="shared" si="66"/>
        <v>0</v>
      </c>
      <c r="Y165" s="41">
        <f t="shared" si="66"/>
        <v>0</v>
      </c>
      <c r="Z165" s="41">
        <f t="shared" si="66"/>
        <v>4027.2774639090126</v>
      </c>
      <c r="AA165" s="41">
        <f t="shared" si="66"/>
        <v>1970.7161085636451</v>
      </c>
      <c r="AB165" s="41">
        <f t="shared" si="66"/>
        <v>2013.8062978620244</v>
      </c>
      <c r="AC165" s="41">
        <f t="shared" si="66"/>
        <v>1402.1317188821777</v>
      </c>
      <c r="AD165" s="41">
        <f t="shared" si="66"/>
        <v>809.39500442709982</v>
      </c>
      <c r="AE165" s="41">
        <f t="shared" si="66"/>
        <v>339.22162994984046</v>
      </c>
      <c r="AF165" s="41">
        <f t="shared" si="66"/>
        <v>118.3125986755223</v>
      </c>
      <c r="AG165" s="41">
        <f t="shared" si="66"/>
        <v>30.209038113869703</v>
      </c>
      <c r="AH165" s="41">
        <f t="shared" si="66"/>
        <v>5.8682408942517306</v>
      </c>
      <c r="AI165" s="41">
        <f t="shared" si="66"/>
        <v>0.95842253878162087</v>
      </c>
      <c r="AJ165" s="41">
        <f t="shared" si="66"/>
        <v>0.11155669001081781</v>
      </c>
      <c r="AK165" s="41">
        <f t="shared" si="66"/>
        <v>1.1020933016566807E-2</v>
      </c>
      <c r="AL165" s="41">
        <f t="shared" si="66"/>
        <v>7854.5891097030217</v>
      </c>
      <c r="AM165" s="41">
        <f t="shared" si="66"/>
        <v>3843.5805388029366</v>
      </c>
      <c r="AN165" s="41">
        <f t="shared" si="66"/>
        <v>3927.6213665410814</v>
      </c>
      <c r="AO165" s="41">
        <f t="shared" si="66"/>
        <v>2734.6435968708688</v>
      </c>
      <c r="AP165" s="41">
        <f t="shared" si="66"/>
        <v>1578.6012372364221</v>
      </c>
      <c r="AQ165" s="41">
        <f t="shared" si="66"/>
        <v>661.59993798726816</v>
      </c>
      <c r="AR165" s="41">
        <f t="shared" si="66"/>
        <v>230.75063921605602</v>
      </c>
      <c r="AS165" s="41">
        <f t="shared" si="66"/>
        <v>58.918111282427724</v>
      </c>
      <c r="AT165" s="41">
        <f t="shared" si="66"/>
        <v>11.445106882793345</v>
      </c>
      <c r="AU165" s="41">
        <f t="shared" si="66"/>
        <v>1.8692566636074521</v>
      </c>
      <c r="AV165" s="41">
        <f t="shared" si="66"/>
        <v>0.21757427203016325</v>
      </c>
      <c r="AW165" s="41">
        <f t="shared" si="66"/>
        <v>2.1494645260093224E-2</v>
      </c>
      <c r="AX165" s="41">
        <f t="shared" si="66"/>
        <v>8709.4910415244231</v>
      </c>
      <c r="AY165" s="41">
        <f t="shared" si="66"/>
        <v>4261.9199811137523</v>
      </c>
      <c r="AZ165" s="41">
        <f t="shared" si="66"/>
        <v>4355.1079029877901</v>
      </c>
      <c r="BA165" s="41">
        <f t="shared" si="66"/>
        <v>3032.2851489820937</v>
      </c>
      <c r="BB165" s="41">
        <f t="shared" si="66"/>
        <v>1750.4178947904029</v>
      </c>
      <c r="BC165" s="41">
        <f t="shared" si="66"/>
        <v>733.60918725271063</v>
      </c>
      <c r="BD165" s="41">
        <f t="shared" si="66"/>
        <v>255.86578712253743</v>
      </c>
      <c r="BE165" s="41">
        <f t="shared" si="66"/>
        <v>65.330821922172461</v>
      </c>
      <c r="BF165" s="41">
        <f t="shared" si="66"/>
        <v>12.69080463315885</v>
      </c>
      <c r="BG165" s="41">
        <f t="shared" si="66"/>
        <v>2.0727085705714892</v>
      </c>
      <c r="BH165" s="41">
        <f t="shared" si="66"/>
        <v>0.24125528995170473</v>
      </c>
      <c r="BI165" s="41">
        <f t="shared" si="66"/>
        <v>2.3834145582773272E-2</v>
      </c>
    </row>
    <row r="166" spans="4:61" x14ac:dyDescent="0.35">
      <c r="E166">
        <v>2</v>
      </c>
      <c r="J166" t="s">
        <v>50</v>
      </c>
      <c r="N166" s="41">
        <f t="shared" ref="N166:BI166" si="67">IFERROR(INDEX($N$101:$BI$101,1,MATCH(N105,$N$98:$BI$98,0)),0)*N118</f>
        <v>0</v>
      </c>
      <c r="O166" s="41">
        <f t="shared" si="67"/>
        <v>0</v>
      </c>
      <c r="P166" s="41">
        <f t="shared" si="67"/>
        <v>0</v>
      </c>
      <c r="Q166" s="41">
        <f t="shared" si="67"/>
        <v>0</v>
      </c>
      <c r="R166" s="41">
        <f t="shared" si="67"/>
        <v>0</v>
      </c>
      <c r="S166" s="41">
        <f t="shared" si="67"/>
        <v>0</v>
      </c>
      <c r="T166" s="41">
        <f t="shared" si="67"/>
        <v>0</v>
      </c>
      <c r="U166" s="41">
        <f t="shared" si="67"/>
        <v>0</v>
      </c>
      <c r="V166" s="41">
        <f t="shared" si="67"/>
        <v>0</v>
      </c>
      <c r="W166" s="41">
        <f t="shared" si="67"/>
        <v>0</v>
      </c>
      <c r="X166" s="41">
        <f t="shared" si="67"/>
        <v>0</v>
      </c>
      <c r="Y166" s="41">
        <f t="shared" si="67"/>
        <v>0</v>
      </c>
      <c r="Z166" s="41">
        <f t="shared" si="67"/>
        <v>0</v>
      </c>
      <c r="AA166" s="41">
        <f t="shared" si="67"/>
        <v>5227.577688449288</v>
      </c>
      <c r="AB166" s="41">
        <f t="shared" si="67"/>
        <v>2968.4649995619079</v>
      </c>
      <c r="AC166" s="41">
        <f t="shared" si="67"/>
        <v>2673.3866381873386</v>
      </c>
      <c r="AD166" s="41">
        <f t="shared" si="67"/>
        <v>1994.3699151585531</v>
      </c>
      <c r="AE166" s="41">
        <f t="shared" si="67"/>
        <v>1082.0624194010629</v>
      </c>
      <c r="AF166" s="41">
        <f t="shared" si="67"/>
        <v>487.48093768396427</v>
      </c>
      <c r="AG166" s="41">
        <f t="shared" si="67"/>
        <v>161.66991470688811</v>
      </c>
      <c r="AH166" s="41">
        <f t="shared" si="67"/>
        <v>40.712889758234105</v>
      </c>
      <c r="AI166" s="41">
        <f t="shared" si="67"/>
        <v>8.5854156242365995</v>
      </c>
      <c r="AJ166" s="41">
        <f t="shared" si="67"/>
        <v>1.2966977962641009</v>
      </c>
      <c r="AK166" s="41">
        <f t="shared" si="67"/>
        <v>0.16539037180522281</v>
      </c>
      <c r="AL166" s="41">
        <f t="shared" si="67"/>
        <v>1.5059708946679656E-2</v>
      </c>
      <c r="AM166" s="41">
        <f t="shared" si="67"/>
        <v>8669.3542107708399</v>
      </c>
      <c r="AN166" s="41">
        <f t="shared" si="67"/>
        <v>4922.8679279775251</v>
      </c>
      <c r="AO166" s="41">
        <f t="shared" si="67"/>
        <v>4433.513395697235</v>
      </c>
      <c r="AP166" s="41">
        <f t="shared" si="67"/>
        <v>3307.4399372424</v>
      </c>
      <c r="AQ166" s="41">
        <f t="shared" si="67"/>
        <v>1794.47976692513</v>
      </c>
      <c r="AR166" s="41">
        <f t="shared" si="67"/>
        <v>808.43273340900635</v>
      </c>
      <c r="AS166" s="41">
        <f t="shared" si="67"/>
        <v>268.11151155457753</v>
      </c>
      <c r="AT166" s="41">
        <f t="shared" si="67"/>
        <v>67.517784200141932</v>
      </c>
      <c r="AU166" s="41">
        <f t="shared" si="67"/>
        <v>14.237953700363329</v>
      </c>
      <c r="AV166" s="41">
        <f t="shared" si="67"/>
        <v>2.1504285866431849</v>
      </c>
      <c r="AW166" s="41">
        <f t="shared" si="67"/>
        <v>0.27428147445779899</v>
      </c>
      <c r="AX166" s="41">
        <f t="shared" si="67"/>
        <v>2.497484665954517E-2</v>
      </c>
      <c r="AY166" s="41">
        <f t="shared" si="67"/>
        <v>9559.6104423622783</v>
      </c>
      <c r="AZ166" s="41">
        <f t="shared" si="67"/>
        <v>5428.3973761501065</v>
      </c>
      <c r="BA166" s="41">
        <f t="shared" si="67"/>
        <v>4888.7910129688717</v>
      </c>
      <c r="BB166" s="41">
        <f t="shared" si="67"/>
        <v>3647.0810388928812</v>
      </c>
      <c r="BC166" s="41">
        <f t="shared" si="67"/>
        <v>1978.7549454597722</v>
      </c>
      <c r="BD166" s="41">
        <f t="shared" si="67"/>
        <v>891.45071390006694</v>
      </c>
      <c r="BE166" s="41">
        <f t="shared" si="67"/>
        <v>295.64389033618454</v>
      </c>
      <c r="BF166" s="41">
        <f t="shared" si="67"/>
        <v>74.451187388668217</v>
      </c>
      <c r="BG166" s="41">
        <f t="shared" si="67"/>
        <v>15.700049572638433</v>
      </c>
      <c r="BH166" s="41">
        <f t="shared" si="67"/>
        <v>2.3712561596442936</v>
      </c>
      <c r="BI166" s="41">
        <f t="shared" si="67"/>
        <v>0.3024474469062165</v>
      </c>
    </row>
    <row r="167" spans="4:61" x14ac:dyDescent="0.35">
      <c r="E167">
        <v>3</v>
      </c>
      <c r="J167" t="s">
        <v>50</v>
      </c>
      <c r="N167" s="41">
        <f t="shared" ref="N167:BI167" si="68">IFERROR(INDEX($N$101:$BI$101,1,MATCH(N106,$N$98:$BI$98,0)),0)*N119</f>
        <v>0</v>
      </c>
      <c r="O167" s="41">
        <f t="shared" si="68"/>
        <v>0</v>
      </c>
      <c r="P167" s="41">
        <f t="shared" si="68"/>
        <v>0</v>
      </c>
      <c r="Q167" s="41">
        <f t="shared" si="68"/>
        <v>0</v>
      </c>
      <c r="R167" s="41">
        <f t="shared" si="68"/>
        <v>0</v>
      </c>
      <c r="S167" s="41">
        <f t="shared" si="68"/>
        <v>0</v>
      </c>
      <c r="T167" s="41">
        <f t="shared" si="68"/>
        <v>0</v>
      </c>
      <c r="U167" s="41">
        <f t="shared" si="68"/>
        <v>0</v>
      </c>
      <c r="V167" s="41">
        <f t="shared" si="68"/>
        <v>0</v>
      </c>
      <c r="W167" s="41">
        <f t="shared" si="68"/>
        <v>0</v>
      </c>
      <c r="X167" s="41">
        <f t="shared" si="68"/>
        <v>0</v>
      </c>
      <c r="Y167" s="41">
        <f t="shared" si="68"/>
        <v>0</v>
      </c>
      <c r="Z167" s="41">
        <f t="shared" si="68"/>
        <v>0</v>
      </c>
      <c r="AA167" s="41">
        <f t="shared" si="68"/>
        <v>0</v>
      </c>
      <c r="AB167" s="41">
        <f t="shared" si="68"/>
        <v>7472.3221296703423</v>
      </c>
      <c r="AC167" s="41">
        <f t="shared" si="68"/>
        <v>3917.3142765209141</v>
      </c>
      <c r="AD167" s="41">
        <f t="shared" si="68"/>
        <v>3685.061728870779</v>
      </c>
      <c r="AE167" s="41">
        <f t="shared" si="68"/>
        <v>2523.4785633122301</v>
      </c>
      <c r="AF167" s="41">
        <f t="shared" si="68"/>
        <v>1432.81562231885</v>
      </c>
      <c r="AG167" s="41">
        <f t="shared" si="68"/>
        <v>601.69744182498368</v>
      </c>
      <c r="AH167" s="41">
        <f t="shared" si="68"/>
        <v>191.48011845323188</v>
      </c>
      <c r="AI167" s="41">
        <f t="shared" si="68"/>
        <v>50.866060135292194</v>
      </c>
      <c r="AJ167" s="41">
        <f t="shared" si="68"/>
        <v>9.7167035165123021</v>
      </c>
      <c r="AK167" s="41">
        <f t="shared" si="68"/>
        <v>1.5610219311395717</v>
      </c>
      <c r="AL167" s="41">
        <f t="shared" si="68"/>
        <v>0.18014602842010172</v>
      </c>
      <c r="AM167" s="41">
        <f t="shared" si="68"/>
        <v>1.5630989973883059E-2</v>
      </c>
      <c r="AN167" s="41">
        <f t="shared" si="68"/>
        <v>12499.425130940297</v>
      </c>
      <c r="AO167" s="41">
        <f t="shared" si="68"/>
        <v>6552.7389831488535</v>
      </c>
      <c r="AP167" s="41">
        <f t="shared" si="68"/>
        <v>6164.2354790913969</v>
      </c>
      <c r="AQ167" s="41">
        <f t="shared" si="68"/>
        <v>4221.1819598100692</v>
      </c>
      <c r="AR167" s="41">
        <f t="shared" si="68"/>
        <v>2396.761179032067</v>
      </c>
      <c r="AS167" s="41">
        <f t="shared" si="68"/>
        <v>1006.4973103483546</v>
      </c>
      <c r="AT167" s="41">
        <f t="shared" si="68"/>
        <v>320.30088681085022</v>
      </c>
      <c r="AU167" s="41">
        <f t="shared" si="68"/>
        <v>85.086871167188448</v>
      </c>
      <c r="AV167" s="41">
        <f t="shared" si="68"/>
        <v>16.253743617654766</v>
      </c>
      <c r="AW167" s="41">
        <f t="shared" si="68"/>
        <v>2.6112199684966906</v>
      </c>
      <c r="AX167" s="41">
        <f t="shared" si="68"/>
        <v>0.30134163862293817</v>
      </c>
      <c r="AY167" s="41">
        <f t="shared" si="68"/>
        <v>2.6146944083853256E-2</v>
      </c>
      <c r="AZ167" s="41">
        <f t="shared" si="68"/>
        <v>13769.416993886636</v>
      </c>
      <c r="BA167" s="41">
        <f t="shared" si="68"/>
        <v>7218.52361735661</v>
      </c>
      <c r="BB167" s="41">
        <f t="shared" si="68"/>
        <v>6790.5465948204683</v>
      </c>
      <c r="BC167" s="41">
        <f t="shared" si="68"/>
        <v>4650.0710234922635</v>
      </c>
      <c r="BD167" s="41">
        <f t="shared" si="68"/>
        <v>2640.2817540112956</v>
      </c>
      <c r="BE167" s="41">
        <f t="shared" si="68"/>
        <v>1108.76148496673</v>
      </c>
      <c r="BF167" s="41">
        <f t="shared" si="68"/>
        <v>352.84474508296864</v>
      </c>
      <c r="BG167" s="41">
        <f t="shared" si="68"/>
        <v>93.732039476442026</v>
      </c>
      <c r="BH167" s="41">
        <f t="shared" si="68"/>
        <v>17.905189337805638</v>
      </c>
      <c r="BI167" s="41">
        <f t="shared" si="68"/>
        <v>2.8765304189865302</v>
      </c>
    </row>
    <row r="168" spans="4:61" x14ac:dyDescent="0.35">
      <c r="E168">
        <v>4</v>
      </c>
      <c r="J168" t="s">
        <v>50</v>
      </c>
      <c r="N168" s="41">
        <f t="shared" ref="N168:BI168" si="69">IFERROR(INDEX($N$101:$BI$101,1,MATCH(N107,$N$98:$BI$98,0)),0)*N120</f>
        <v>0</v>
      </c>
      <c r="O168" s="41">
        <f t="shared" si="69"/>
        <v>0</v>
      </c>
      <c r="P168" s="41">
        <f t="shared" si="69"/>
        <v>0</v>
      </c>
      <c r="Q168" s="41">
        <f t="shared" si="69"/>
        <v>85.160708070268797</v>
      </c>
      <c r="R168" s="41">
        <f t="shared" si="69"/>
        <v>46.860906328869554</v>
      </c>
      <c r="S168" s="41">
        <f t="shared" si="69"/>
        <v>41.508346516906371</v>
      </c>
      <c r="T168" s="41">
        <f t="shared" si="69"/>
        <v>30.457209116681881</v>
      </c>
      <c r="U168" s="41">
        <f t="shared" si="69"/>
        <v>16.608311700978827</v>
      </c>
      <c r="V168" s="41">
        <f t="shared" si="69"/>
        <v>6.8455434115930851</v>
      </c>
      <c r="W168" s="41">
        <f t="shared" si="69"/>
        <v>2.3484798459164646</v>
      </c>
      <c r="X168" s="41">
        <f t="shared" si="69"/>
        <v>0.58159793189195641</v>
      </c>
      <c r="Y168" s="41">
        <f t="shared" si="69"/>
        <v>0.12063996024347055</v>
      </c>
      <c r="Z168" s="41">
        <f t="shared" si="69"/>
        <v>1.8094399865958826E-2</v>
      </c>
      <c r="AA168" s="41">
        <f t="shared" si="69"/>
        <v>2.0322991334583772E-3</v>
      </c>
      <c r="AB168" s="41">
        <f t="shared" si="69"/>
        <v>2.3702686684956011E-4</v>
      </c>
      <c r="AC168" s="41">
        <f t="shared" si="69"/>
        <v>9918.8631387461483</v>
      </c>
      <c r="AD168" s="41">
        <f t="shared" si="69"/>
        <v>5457.9973201976363</v>
      </c>
      <c r="AE168" s="41">
        <f t="shared" si="69"/>
        <v>4834.5723931408029</v>
      </c>
      <c r="AF168" s="41">
        <f t="shared" si="69"/>
        <v>3547.421054405349</v>
      </c>
      <c r="AG168" s="41">
        <f t="shared" si="69"/>
        <v>1934.4081849544591</v>
      </c>
      <c r="AH168" s="41">
        <f t="shared" si="69"/>
        <v>797.31615375850049</v>
      </c>
      <c r="AI168" s="41">
        <f t="shared" si="69"/>
        <v>273.53283813150347</v>
      </c>
      <c r="AJ168" s="41">
        <f t="shared" si="69"/>
        <v>67.740046072117067</v>
      </c>
      <c r="AK168" s="41">
        <f t="shared" si="69"/>
        <v>14.051213075065075</v>
      </c>
      <c r="AL168" s="41">
        <f t="shared" si="69"/>
        <v>2.1074962845553258</v>
      </c>
      <c r="AM168" s="41">
        <f t="shared" si="69"/>
        <v>0.23670654482032902</v>
      </c>
      <c r="AN168" s="41">
        <f t="shared" si="69"/>
        <v>2.7607063230928965E-2</v>
      </c>
      <c r="AO168" s="41">
        <f t="shared" si="69"/>
        <v>14012.898173829602</v>
      </c>
      <c r="AP168" s="41">
        <f t="shared" si="69"/>
        <v>7710.7990715388087</v>
      </c>
      <c r="AQ168" s="41">
        <f t="shared" si="69"/>
        <v>6830.0539801231325</v>
      </c>
      <c r="AR168" s="41">
        <f t="shared" si="69"/>
        <v>5011.6277762619911</v>
      </c>
      <c r="AS168" s="41">
        <f t="shared" si="69"/>
        <v>2732.8398973973494</v>
      </c>
      <c r="AT168" s="41">
        <f t="shared" si="69"/>
        <v>1126.410347504773</v>
      </c>
      <c r="AU168" s="41">
        <f t="shared" si="69"/>
        <v>386.43418649084254</v>
      </c>
      <c r="AV168" s="41">
        <f t="shared" si="69"/>
        <v>95.699915869501126</v>
      </c>
      <c r="AW168" s="41">
        <f t="shared" si="69"/>
        <v>19.85088565951925</v>
      </c>
      <c r="AX168" s="41">
        <f t="shared" si="69"/>
        <v>2.9773705337092871</v>
      </c>
      <c r="AY168" s="41">
        <f t="shared" si="69"/>
        <v>0.33440775049000232</v>
      </c>
      <c r="AZ168" s="41">
        <f t="shared" si="69"/>
        <v>3.9001946142628745E-2</v>
      </c>
      <c r="BA168" s="41">
        <f t="shared" si="69"/>
        <v>15432.985188280049</v>
      </c>
      <c r="BB168" s="41">
        <f t="shared" si="69"/>
        <v>8492.2224071467826</v>
      </c>
      <c r="BC168" s="41">
        <f t="shared" si="69"/>
        <v>7522.2213565537086</v>
      </c>
      <c r="BD168" s="41">
        <f t="shared" si="69"/>
        <v>5519.5132570557062</v>
      </c>
      <c r="BE168" s="41">
        <f t="shared" si="69"/>
        <v>3009.7897761964373</v>
      </c>
      <c r="BF168" s="41">
        <f t="shared" si="69"/>
        <v>1240.5623728453659</v>
      </c>
      <c r="BG168" s="41">
        <f t="shared" si="69"/>
        <v>425.5959761055168</v>
      </c>
      <c r="BH168" s="41">
        <f t="shared" si="69"/>
        <v>105.39828134139822</v>
      </c>
      <c r="BI168" s="41">
        <f t="shared" si="69"/>
        <v>21.862602622043912</v>
      </c>
    </row>
    <row r="169" spans="4:61" x14ac:dyDescent="0.35">
      <c r="E169">
        <v>5</v>
      </c>
      <c r="J169" t="s">
        <v>50</v>
      </c>
      <c r="N169" s="41">
        <f t="shared" ref="N169:BI169" si="70">IFERROR(INDEX($N$101:$BI$101,1,MATCH(N108,$N$98:$BI$98,0)),0)*N121</f>
        <v>0</v>
      </c>
      <c r="O169" s="41">
        <f t="shared" si="70"/>
        <v>0</v>
      </c>
      <c r="P169" s="41">
        <f t="shared" si="70"/>
        <v>0</v>
      </c>
      <c r="Q169" s="41">
        <f t="shared" si="70"/>
        <v>0</v>
      </c>
      <c r="R169" s="41">
        <f t="shared" si="70"/>
        <v>597.43708859779929</v>
      </c>
      <c r="S169" s="41">
        <f t="shared" si="70"/>
        <v>313.20234806184658</v>
      </c>
      <c r="T169" s="41">
        <f t="shared" si="70"/>
        <v>294.63298187558985</v>
      </c>
      <c r="U169" s="41">
        <f t="shared" si="70"/>
        <v>206.85508681809728</v>
      </c>
      <c r="V169" s="41">
        <f t="shared" si="70"/>
        <v>109.46383504884726</v>
      </c>
      <c r="W169" s="41">
        <f t="shared" si="70"/>
        <v>48.107718273184382</v>
      </c>
      <c r="X169" s="41">
        <f t="shared" si="70"/>
        <v>15.3094744187785</v>
      </c>
      <c r="Y169" s="41">
        <f t="shared" si="70"/>
        <v>4.0669112423570306</v>
      </c>
      <c r="Z169" s="41">
        <f t="shared" si="70"/>
        <v>0.78594019816262495</v>
      </c>
      <c r="AA169" s="41">
        <f t="shared" si="70"/>
        <v>0.11322050931360443</v>
      </c>
      <c r="AB169" s="41">
        <f t="shared" si="70"/>
        <v>1.6687863709248872E-2</v>
      </c>
      <c r="AC169" s="41">
        <f t="shared" si="70"/>
        <v>1.4962368115127012E-3</v>
      </c>
      <c r="AD169" s="41">
        <f t="shared" si="70"/>
        <v>11621.676831970684</v>
      </c>
      <c r="AE169" s="41">
        <f t="shared" si="70"/>
        <v>6092.5853812193154</v>
      </c>
      <c r="AF169" s="41">
        <f t="shared" si="70"/>
        <v>5731.3637950307102</v>
      </c>
      <c r="AG169" s="41">
        <f t="shared" si="70"/>
        <v>4023.8596095388461</v>
      </c>
      <c r="AH169" s="41">
        <f t="shared" si="70"/>
        <v>2129.3510898555469</v>
      </c>
      <c r="AI169" s="41">
        <f t="shared" si="70"/>
        <v>935.81795567236088</v>
      </c>
      <c r="AJ169" s="41">
        <f t="shared" si="70"/>
        <v>297.808367706051</v>
      </c>
      <c r="AK169" s="41">
        <f t="shared" si="70"/>
        <v>79.111807862334857</v>
      </c>
      <c r="AL169" s="41">
        <f t="shared" si="70"/>
        <v>15.288543625134883</v>
      </c>
      <c r="AM169" s="41">
        <f t="shared" si="70"/>
        <v>2.202427996363741</v>
      </c>
      <c r="AN169" s="41">
        <f t="shared" si="70"/>
        <v>0.32462155889927519</v>
      </c>
      <c r="AO169" s="41">
        <f t="shared" si="70"/>
        <v>2.910562638203594E-2</v>
      </c>
      <c r="AP169" s="41">
        <f t="shared" si="70"/>
        <v>16795.16074934576</v>
      </c>
      <c r="AQ169" s="41">
        <f t="shared" si="70"/>
        <v>8804.7492918748667</v>
      </c>
      <c r="AR169" s="41">
        <f t="shared" si="70"/>
        <v>8282.7269801304992</v>
      </c>
      <c r="AS169" s="41">
        <f t="shared" si="70"/>
        <v>5815.1134257228214</v>
      </c>
      <c r="AT169" s="41">
        <f t="shared" si="70"/>
        <v>3077.2490375516845</v>
      </c>
      <c r="AU169" s="41">
        <f t="shared" si="70"/>
        <v>1352.4049261466396</v>
      </c>
      <c r="AV169" s="41">
        <f t="shared" si="70"/>
        <v>430.3801835518131</v>
      </c>
      <c r="AW169" s="41">
        <f t="shared" si="70"/>
        <v>114.32907225264525</v>
      </c>
      <c r="AX169" s="41">
        <f t="shared" si="70"/>
        <v>22.094363104397623</v>
      </c>
      <c r="AY169" s="41">
        <f t="shared" si="70"/>
        <v>3.1828567230531157</v>
      </c>
      <c r="AZ169" s="41">
        <f t="shared" si="70"/>
        <v>0.4691294847760823</v>
      </c>
      <c r="BA169" s="41">
        <f t="shared" si="70"/>
        <v>4.2062232573180328E-2</v>
      </c>
      <c r="BB169" s="41">
        <f t="shared" si="70"/>
        <v>18494.153225839604</v>
      </c>
      <c r="BC169" s="41">
        <f t="shared" si="70"/>
        <v>9695.4345926924016</v>
      </c>
      <c r="BD169" s="41">
        <f t="shared" si="70"/>
        <v>9120.6046899132089</v>
      </c>
      <c r="BE169" s="41">
        <f t="shared" si="70"/>
        <v>6403.368227669047</v>
      </c>
      <c r="BF169" s="41">
        <f t="shared" si="70"/>
        <v>3388.5424536210662</v>
      </c>
      <c r="BG169" s="41">
        <f t="shared" si="70"/>
        <v>1489.2137265498068</v>
      </c>
      <c r="BH169" s="41">
        <f t="shared" si="70"/>
        <v>473.91728955510359</v>
      </c>
      <c r="BI169" s="41">
        <f t="shared" si="70"/>
        <v>125.89456046086808</v>
      </c>
    </row>
    <row r="170" spans="4:61" x14ac:dyDescent="0.35">
      <c r="E170">
        <v>6</v>
      </c>
      <c r="J170" t="s">
        <v>50</v>
      </c>
      <c r="N170" s="41">
        <f t="shared" ref="N170:BI170" si="71">IFERROR(INDEX($N$101:$BI$101,1,MATCH(N109,$N$98:$BI$98,0)),0)*N122</f>
        <v>0</v>
      </c>
      <c r="O170" s="41">
        <f t="shared" si="71"/>
        <v>0</v>
      </c>
      <c r="P170" s="41">
        <f t="shared" si="71"/>
        <v>0</v>
      </c>
      <c r="Q170" s="41">
        <f t="shared" si="71"/>
        <v>0</v>
      </c>
      <c r="R170" s="41">
        <f t="shared" si="71"/>
        <v>0</v>
      </c>
      <c r="S170" s="41">
        <f t="shared" si="71"/>
        <v>979.49308526158359</v>
      </c>
      <c r="T170" s="41">
        <f t="shared" si="71"/>
        <v>538.98017945488448</v>
      </c>
      <c r="U170" s="41">
        <f t="shared" si="71"/>
        <v>491.2946747868433</v>
      </c>
      <c r="V170" s="41">
        <f t="shared" si="71"/>
        <v>336.43169946951156</v>
      </c>
      <c r="W170" s="41">
        <f t="shared" si="71"/>
        <v>191.0238516987763</v>
      </c>
      <c r="X170" s="41">
        <f t="shared" si="71"/>
        <v>78.735400262064232</v>
      </c>
      <c r="Y170" s="41">
        <f t="shared" si="71"/>
        <v>27.01151531118435</v>
      </c>
      <c r="Z170" s="41">
        <f t="shared" si="71"/>
        <v>6.7814941269692648</v>
      </c>
      <c r="AA170" s="41">
        <f t="shared" si="71"/>
        <v>1.2622508418171472</v>
      </c>
      <c r="AB170" s="41">
        <f t="shared" si="71"/>
        <v>0.23708186882681689</v>
      </c>
      <c r="AC170" s="41">
        <f t="shared" si="71"/>
        <v>2.7595415881517416E-2</v>
      </c>
      <c r="AD170" s="41">
        <f t="shared" si="71"/>
        <v>2.7262123855146263E-3</v>
      </c>
      <c r="AE170" s="41">
        <f t="shared" si="71"/>
        <v>14564.7917234696</v>
      </c>
      <c r="AF170" s="41">
        <f t="shared" si="71"/>
        <v>8014.4864470811481</v>
      </c>
      <c r="AG170" s="41">
        <f t="shared" si="71"/>
        <v>7305.4161594301877</v>
      </c>
      <c r="AH170" s="41">
        <f t="shared" si="71"/>
        <v>5002.6464767106991</v>
      </c>
      <c r="AI170" s="41">
        <f t="shared" si="71"/>
        <v>2840.4719298907562</v>
      </c>
      <c r="AJ170" s="41">
        <f t="shared" si="71"/>
        <v>1170.7736617402704</v>
      </c>
      <c r="AK170" s="41">
        <f t="shared" si="71"/>
        <v>401.65377434761996</v>
      </c>
      <c r="AL170" s="41">
        <f t="shared" si="71"/>
        <v>100.83894518444899</v>
      </c>
      <c r="AM170" s="41">
        <f t="shared" si="71"/>
        <v>18.76932148932034</v>
      </c>
      <c r="AN170" s="41">
        <f t="shared" si="71"/>
        <v>3.5253419271983493</v>
      </c>
      <c r="AO170" s="41">
        <f t="shared" si="71"/>
        <v>0.41033621460379088</v>
      </c>
      <c r="AP170" s="41">
        <f t="shared" si="71"/>
        <v>4.0538025419913672E-2</v>
      </c>
      <c r="AQ170" s="41">
        <f t="shared" si="71"/>
        <v>17637.142698591069</v>
      </c>
      <c r="AR170" s="41">
        <f t="shared" si="71"/>
        <v>9705.0918273908264</v>
      </c>
      <c r="AS170" s="41">
        <f t="shared" si="71"/>
        <v>8846.4476336342505</v>
      </c>
      <c r="AT170" s="41">
        <f t="shared" si="71"/>
        <v>6057.9232065621245</v>
      </c>
      <c r="AU170" s="41">
        <f t="shared" si="71"/>
        <v>3439.6515727786477</v>
      </c>
      <c r="AV170" s="41">
        <f t="shared" si="71"/>
        <v>1417.7409833187887</v>
      </c>
      <c r="AW170" s="41">
        <f t="shared" si="71"/>
        <v>486.3801054004449</v>
      </c>
      <c r="AX170" s="41">
        <f t="shared" si="71"/>
        <v>122.11028482663779</v>
      </c>
      <c r="AY170" s="41">
        <f t="shared" si="71"/>
        <v>22.728591506697878</v>
      </c>
      <c r="AZ170" s="41">
        <f t="shared" si="71"/>
        <v>4.2689905775399346</v>
      </c>
      <c r="BA170" s="41">
        <f t="shared" si="71"/>
        <v>0.49689405168114043</v>
      </c>
      <c r="BB170" s="41">
        <f t="shared" si="71"/>
        <v>4.9089266267915398E-2</v>
      </c>
      <c r="BC170" s="41">
        <f t="shared" si="71"/>
        <v>19418.491648850166</v>
      </c>
      <c r="BD170" s="41">
        <f t="shared" si="71"/>
        <v>10685.304747042024</v>
      </c>
      <c r="BE170" s="41">
        <f t="shared" si="71"/>
        <v>9739.9376095902371</v>
      </c>
      <c r="BF170" s="41">
        <f t="shared" si="71"/>
        <v>6669.7726046861017</v>
      </c>
      <c r="BG170" s="41">
        <f t="shared" si="71"/>
        <v>3787.0559014239989</v>
      </c>
      <c r="BH170" s="41">
        <f t="shared" si="71"/>
        <v>1560.9326247050076</v>
      </c>
      <c r="BI170" s="41">
        <f t="shared" si="71"/>
        <v>535.50442814299447</v>
      </c>
    </row>
    <row r="171" spans="4:61" x14ac:dyDescent="0.35">
      <c r="E171">
        <v>7</v>
      </c>
      <c r="J171" t="s">
        <v>50</v>
      </c>
      <c r="N171" s="41">
        <f t="shared" ref="N171:BI171" si="72">IFERROR(INDEX($N$101:$BI$101,1,MATCH(N110,$N$98:$BI$98,0)),0)*N123</f>
        <v>0</v>
      </c>
      <c r="O171" s="41">
        <f t="shared" si="72"/>
        <v>0</v>
      </c>
      <c r="P171" s="41">
        <f t="shared" si="72"/>
        <v>0</v>
      </c>
      <c r="Q171" s="41">
        <f t="shared" si="72"/>
        <v>0</v>
      </c>
      <c r="R171" s="41">
        <f t="shared" si="72"/>
        <v>0</v>
      </c>
      <c r="S171" s="41">
        <f t="shared" si="72"/>
        <v>0</v>
      </c>
      <c r="T171" s="41">
        <f t="shared" si="72"/>
        <v>2512.2402999812084</v>
      </c>
      <c r="U171" s="41">
        <f t="shared" si="72"/>
        <v>1360.6706201369141</v>
      </c>
      <c r="V171" s="41">
        <f t="shared" si="72"/>
        <v>1195.2945865180297</v>
      </c>
      <c r="W171" s="41">
        <f t="shared" si="72"/>
        <v>869.83164466774929</v>
      </c>
      <c r="X171" s="41">
        <f t="shared" si="72"/>
        <v>460.29860390094058</v>
      </c>
      <c r="Y171" s="41">
        <f t="shared" si="72"/>
        <v>202.29435181149108</v>
      </c>
      <c r="Z171" s="41">
        <f t="shared" si="72"/>
        <v>65.413637480720027</v>
      </c>
      <c r="AA171" s="41">
        <f t="shared" si="72"/>
        <v>15.587109179010763</v>
      </c>
      <c r="AB171" s="41">
        <f t="shared" si="72"/>
        <v>3.7037898949635268</v>
      </c>
      <c r="AC171" s="41">
        <f t="shared" si="72"/>
        <v>0.55472448468089575</v>
      </c>
      <c r="AD171" s="41">
        <f t="shared" si="72"/>
        <v>7.0172951313359988E-2</v>
      </c>
      <c r="AE171" s="41">
        <f t="shared" si="72"/>
        <v>6.291719225232314E-3</v>
      </c>
      <c r="AF171" s="41">
        <f t="shared" si="72"/>
        <v>15704.568084461253</v>
      </c>
      <c r="AG171" s="41">
        <f t="shared" si="72"/>
        <v>8505.8520853383816</v>
      </c>
      <c r="AH171" s="41">
        <f t="shared" si="72"/>
        <v>7472.0500324355007</v>
      </c>
      <c r="AI171" s="41">
        <f t="shared" si="72"/>
        <v>5437.5094157217991</v>
      </c>
      <c r="AJ171" s="41">
        <f t="shared" si="72"/>
        <v>2877.428072544993</v>
      </c>
      <c r="AK171" s="41">
        <f t="shared" si="72"/>
        <v>1264.5866007122343</v>
      </c>
      <c r="AL171" s="41">
        <f t="shared" si="72"/>
        <v>408.91507212742289</v>
      </c>
      <c r="AM171" s="41">
        <f t="shared" si="72"/>
        <v>97.438456561474837</v>
      </c>
      <c r="AN171" s="41">
        <f t="shared" si="72"/>
        <v>23.153207349006141</v>
      </c>
      <c r="AO171" s="41">
        <f t="shared" si="72"/>
        <v>3.4677050749699281</v>
      </c>
      <c r="AP171" s="41">
        <f t="shared" si="72"/>
        <v>0.43866659236239858</v>
      </c>
      <c r="AQ171" s="41">
        <f t="shared" si="72"/>
        <v>3.933092425183761E-2</v>
      </c>
      <c r="AR171" s="41">
        <f t="shared" si="72"/>
        <v>19328.229060738431</v>
      </c>
      <c r="AS171" s="41">
        <f t="shared" si="72"/>
        <v>10468.486403318984</v>
      </c>
      <c r="AT171" s="41">
        <f t="shared" si="72"/>
        <v>9196.1455930206685</v>
      </c>
      <c r="AU171" s="41">
        <f t="shared" si="72"/>
        <v>6692.1565076966781</v>
      </c>
      <c r="AV171" s="41">
        <f t="shared" si="72"/>
        <v>3541.3637989176582</v>
      </c>
      <c r="AW171" s="41">
        <f t="shared" si="72"/>
        <v>1556.3764220864357</v>
      </c>
      <c r="AX171" s="41">
        <f t="shared" si="72"/>
        <v>503.26784779820582</v>
      </c>
      <c r="AY171" s="41">
        <f t="shared" si="72"/>
        <v>119.92133738516659</v>
      </c>
      <c r="AZ171" s="41">
        <f t="shared" si="72"/>
        <v>28.495562101777793</v>
      </c>
      <c r="BA171" s="41">
        <f t="shared" si="72"/>
        <v>4.2678409010446341</v>
      </c>
      <c r="BB171" s="41">
        <f t="shared" si="72"/>
        <v>0.5398842128528919</v>
      </c>
      <c r="BC171" s="41">
        <f t="shared" si="72"/>
        <v>4.8406114005913985E-2</v>
      </c>
      <c r="BD171" s="41">
        <f t="shared" si="72"/>
        <v>21278.046599197307</v>
      </c>
      <c r="BE171" s="41">
        <f t="shared" si="72"/>
        <v>11524.539615755913</v>
      </c>
      <c r="BF171" s="41">
        <f t="shared" si="72"/>
        <v>10123.845999878737</v>
      </c>
      <c r="BG171" s="41">
        <f t="shared" si="72"/>
        <v>7367.2563364401267</v>
      </c>
      <c r="BH171" s="41">
        <f t="shared" si="72"/>
        <v>3898.6139755113945</v>
      </c>
      <c r="BI171" s="41">
        <f t="shared" si="72"/>
        <v>1713.3825313731011</v>
      </c>
    </row>
    <row r="172" spans="4:61" x14ac:dyDescent="0.35">
      <c r="E172">
        <v>8</v>
      </c>
      <c r="J172" t="s">
        <v>50</v>
      </c>
      <c r="N172" s="41">
        <f t="shared" ref="N172:BI172" si="73">IFERROR(INDEX($N$101:$BI$101,1,MATCH(N111,$N$98:$BI$98,0)),0)*N124</f>
        <v>0</v>
      </c>
      <c r="O172" s="41">
        <f t="shared" si="73"/>
        <v>0</v>
      </c>
      <c r="P172" s="41">
        <f t="shared" si="73"/>
        <v>0</v>
      </c>
      <c r="Q172" s="41">
        <f t="shared" si="73"/>
        <v>0</v>
      </c>
      <c r="R172" s="41">
        <f t="shared" si="73"/>
        <v>0</v>
      </c>
      <c r="S172" s="41">
        <f t="shared" si="73"/>
        <v>0</v>
      </c>
      <c r="T172" s="41">
        <f t="shared" si="73"/>
        <v>0</v>
      </c>
      <c r="U172" s="41">
        <f t="shared" si="73"/>
        <v>4199.071905523534</v>
      </c>
      <c r="V172" s="41">
        <f t="shared" si="73"/>
        <v>2201.3350118206031</v>
      </c>
      <c r="W172" s="41">
        <f t="shared" si="73"/>
        <v>2070.8206776015868</v>
      </c>
      <c r="X172" s="41">
        <f t="shared" si="73"/>
        <v>1418.0689423600575</v>
      </c>
      <c r="Y172" s="41">
        <f t="shared" si="73"/>
        <v>805.17083191376435</v>
      </c>
      <c r="Z172" s="41">
        <f t="shared" si="73"/>
        <v>338.12391646773597</v>
      </c>
      <c r="AA172" s="41">
        <f t="shared" si="73"/>
        <v>103.89061989899356</v>
      </c>
      <c r="AB172" s="41">
        <f t="shared" si="73"/>
        <v>31.497686557140035</v>
      </c>
      <c r="AC172" s="41">
        <f t="shared" si="73"/>
        <v>6.1185666234129261</v>
      </c>
      <c r="AD172" s="41">
        <f t="shared" si="73"/>
        <v>0.99930665127605622</v>
      </c>
      <c r="AE172" s="41">
        <f t="shared" si="73"/>
        <v>0.11631544314876789</v>
      </c>
      <c r="AF172" s="41">
        <f t="shared" si="73"/>
        <v>1.1491060801557911E-2</v>
      </c>
      <c r="AG172" s="41">
        <f t="shared" si="73"/>
        <v>16130.265288873099</v>
      </c>
      <c r="AH172" s="41">
        <f t="shared" si="73"/>
        <v>8456.1823491621853</v>
      </c>
      <c r="AI172" s="41">
        <f t="shared" si="73"/>
        <v>7954.8261251394133</v>
      </c>
      <c r="AJ172" s="41">
        <f t="shared" si="73"/>
        <v>5447.3533087372916</v>
      </c>
      <c r="AK172" s="41">
        <f t="shared" si="73"/>
        <v>3092.9737365410501</v>
      </c>
      <c r="AL172" s="41">
        <f t="shared" si="73"/>
        <v>1298.8652244709178</v>
      </c>
      <c r="AM172" s="41">
        <f t="shared" si="73"/>
        <v>399.08420186658145</v>
      </c>
      <c r="AN172" s="41">
        <f t="shared" si="73"/>
        <v>120.99484161824465</v>
      </c>
      <c r="AO172" s="41">
        <f t="shared" si="73"/>
        <v>23.503789657298089</v>
      </c>
      <c r="AP172" s="41">
        <f t="shared" si="73"/>
        <v>3.8387247831633604</v>
      </c>
      <c r="AQ172" s="41">
        <f t="shared" si="73"/>
        <v>0.4468127713446578</v>
      </c>
      <c r="AR172" s="41">
        <f t="shared" si="73"/>
        <v>4.4141625423437525E-2</v>
      </c>
      <c r="AS172" s="41">
        <f t="shared" si="73"/>
        <v>19094.525639977917</v>
      </c>
      <c r="AT172" s="41">
        <f t="shared" si="73"/>
        <v>10010.175765291862</v>
      </c>
      <c r="AU172" s="41">
        <f t="shared" si="73"/>
        <v>9416.6852613899191</v>
      </c>
      <c r="AV172" s="41">
        <f t="shared" si="73"/>
        <v>6448.4139325007645</v>
      </c>
      <c r="AW172" s="41">
        <f t="shared" si="73"/>
        <v>3661.369807531999</v>
      </c>
      <c r="AX172" s="41">
        <f t="shared" si="73"/>
        <v>1537.5578074741193</v>
      </c>
      <c r="AY172" s="41">
        <f t="shared" si="73"/>
        <v>472.42394273007875</v>
      </c>
      <c r="AZ172" s="41">
        <f t="shared" si="73"/>
        <v>143.230074906353</v>
      </c>
      <c r="BA172" s="41">
        <f t="shared" si="73"/>
        <v>27.823083266802243</v>
      </c>
      <c r="BB172" s="41">
        <f t="shared" si="73"/>
        <v>4.5441675932939525</v>
      </c>
      <c r="BC172" s="41">
        <f t="shared" si="73"/>
        <v>0.52892359585650706</v>
      </c>
      <c r="BD172" s="41">
        <f t="shared" si="73"/>
        <v>5.2253536029537521E-2</v>
      </c>
      <c r="BE172" s="41">
        <f t="shared" si="73"/>
        <v>21018.963400517958</v>
      </c>
      <c r="BF172" s="41">
        <f t="shared" si="73"/>
        <v>11019.0492296338</v>
      </c>
      <c r="BG172" s="41">
        <f t="shared" si="73"/>
        <v>10365.743909812074</v>
      </c>
      <c r="BH172" s="41">
        <f t="shared" si="73"/>
        <v>7098.3159777924902</v>
      </c>
      <c r="BI172" s="41">
        <f t="shared" si="73"/>
        <v>4030.3801954184378</v>
      </c>
    </row>
    <row r="173" spans="4:61" x14ac:dyDescent="0.35">
      <c r="E173">
        <v>9</v>
      </c>
      <c r="J173" t="s">
        <v>50</v>
      </c>
      <c r="N173" s="41">
        <f t="shared" ref="N173:BI173" si="74">IFERROR(INDEX($N$101:$BI$101,1,MATCH(N112,$N$98:$BI$98,0)),0)*N125</f>
        <v>0</v>
      </c>
      <c r="O173" s="41">
        <f t="shared" si="74"/>
        <v>0</v>
      </c>
      <c r="P173" s="41">
        <f t="shared" si="74"/>
        <v>0</v>
      </c>
      <c r="Q173" s="41">
        <f t="shared" si="74"/>
        <v>0</v>
      </c>
      <c r="R173" s="41">
        <f t="shared" si="74"/>
        <v>0</v>
      </c>
      <c r="S173" s="41">
        <f t="shared" si="74"/>
        <v>0</v>
      </c>
      <c r="T173" s="41">
        <f t="shared" si="74"/>
        <v>0</v>
      </c>
      <c r="U173" s="41">
        <f t="shared" si="74"/>
        <v>0</v>
      </c>
      <c r="V173" s="41">
        <f t="shared" si="74"/>
        <v>3184.4393456640569</v>
      </c>
      <c r="W173" s="41">
        <f t="shared" si="74"/>
        <v>1752.2836207984456</v>
      </c>
      <c r="X173" s="41">
        <f t="shared" si="74"/>
        <v>1552.1337811426799</v>
      </c>
      <c r="Y173" s="41">
        <f t="shared" si="74"/>
        <v>1138.8953575896878</v>
      </c>
      <c r="Z173" s="41">
        <f t="shared" si="74"/>
        <v>621.03947282836134</v>
      </c>
      <c r="AA173" s="41">
        <f t="shared" si="74"/>
        <v>245.78303260719915</v>
      </c>
      <c r="AB173" s="41">
        <f t="shared" si="74"/>
        <v>95.148933339956201</v>
      </c>
      <c r="AC173" s="41">
        <f t="shared" si="74"/>
        <v>23.96109406444906</v>
      </c>
      <c r="AD173" s="41">
        <f t="shared" si="74"/>
        <v>5.0528457345162563</v>
      </c>
      <c r="AE173" s="41">
        <f t="shared" si="74"/>
        <v>0.76315628917409417</v>
      </c>
      <c r="AF173" s="41">
        <f t="shared" si="74"/>
        <v>9.7338564757065704E-2</v>
      </c>
      <c r="AG173" s="41">
        <f t="shared" si="74"/>
        <v>8.8632151831383003E-3</v>
      </c>
      <c r="AH173" s="41">
        <f t="shared" si="74"/>
        <v>16451.775295814547</v>
      </c>
      <c r="AI173" s="41">
        <f t="shared" si="74"/>
        <v>9052.8263391685796</v>
      </c>
      <c r="AJ173" s="41">
        <f t="shared" si="74"/>
        <v>8018.791826313598</v>
      </c>
      <c r="AK173" s="41">
        <f t="shared" si="74"/>
        <v>5883.8773406138362</v>
      </c>
      <c r="AL173" s="41">
        <f t="shared" si="74"/>
        <v>3208.4774579597815</v>
      </c>
      <c r="AM173" s="41">
        <f t="shared" si="74"/>
        <v>1269.7893679410895</v>
      </c>
      <c r="AN173" s="41">
        <f t="shared" si="74"/>
        <v>491.56812268282255</v>
      </c>
      <c r="AO173" s="41">
        <f t="shared" si="74"/>
        <v>123.79024770151111</v>
      </c>
      <c r="AP173" s="41">
        <f t="shared" si="74"/>
        <v>26.104526921470239</v>
      </c>
      <c r="AQ173" s="41">
        <f t="shared" si="74"/>
        <v>3.9426958475987828</v>
      </c>
      <c r="AR173" s="41">
        <f t="shared" si="74"/>
        <v>0.50288041980790077</v>
      </c>
      <c r="AS173" s="41">
        <f t="shared" si="74"/>
        <v>4.5790046147365343E-2</v>
      </c>
      <c r="AT173" s="41">
        <f t="shared" si="74"/>
        <v>19949.497107496118</v>
      </c>
      <c r="AU173" s="41">
        <f t="shared" si="74"/>
        <v>10977.498149628513</v>
      </c>
      <c r="AV173" s="41">
        <f t="shared" si="74"/>
        <v>9723.6232241364505</v>
      </c>
      <c r="AW173" s="41">
        <f t="shared" si="74"/>
        <v>7134.816266138776</v>
      </c>
      <c r="AX173" s="41">
        <f t="shared" si="74"/>
        <v>3890.6142720852231</v>
      </c>
      <c r="AY173" s="41">
        <f t="shared" si="74"/>
        <v>1539.7523286933449</v>
      </c>
      <c r="AZ173" s="41">
        <f t="shared" si="74"/>
        <v>596.07772810349059</v>
      </c>
      <c r="BA173" s="41">
        <f t="shared" si="74"/>
        <v>150.10861405855675</v>
      </c>
      <c r="BB173" s="41">
        <f t="shared" si="74"/>
        <v>31.654467371974953</v>
      </c>
      <c r="BC173" s="41">
        <f t="shared" si="74"/>
        <v>4.7809308110000286</v>
      </c>
      <c r="BD173" s="41">
        <f t="shared" si="74"/>
        <v>0.60979507074391059</v>
      </c>
      <c r="BE173" s="41">
        <f t="shared" si="74"/>
        <v>5.5525216989887827E-2</v>
      </c>
      <c r="BF173" s="41">
        <f t="shared" si="74"/>
        <v>21956.584994609562</v>
      </c>
      <c r="BG173" s="41">
        <f t="shared" si="74"/>
        <v>12081.927170982173</v>
      </c>
      <c r="BH173" s="41">
        <f t="shared" si="74"/>
        <v>10701.901838722979</v>
      </c>
      <c r="BI173" s="41">
        <f t="shared" si="74"/>
        <v>7852.6390376795289</v>
      </c>
    </row>
    <row r="174" spans="4:61" x14ac:dyDescent="0.35">
      <c r="E174">
        <v>10</v>
      </c>
      <c r="J174" t="s">
        <v>50</v>
      </c>
      <c r="N174" s="41">
        <f t="shared" ref="N174:BI174" si="75">IFERROR(INDEX($N$101:$BI$101,1,MATCH(N113,$N$98:$BI$98,0)),0)*N126</f>
        <v>0</v>
      </c>
      <c r="O174" s="41">
        <f t="shared" si="75"/>
        <v>0</v>
      </c>
      <c r="P174" s="41">
        <f t="shared" si="75"/>
        <v>0</v>
      </c>
      <c r="Q174" s="41">
        <f t="shared" si="75"/>
        <v>0</v>
      </c>
      <c r="R174" s="41">
        <f t="shared" si="75"/>
        <v>0</v>
      </c>
      <c r="S174" s="41">
        <f t="shared" si="75"/>
        <v>0</v>
      </c>
      <c r="T174" s="41">
        <f t="shared" si="75"/>
        <v>0</v>
      </c>
      <c r="U174" s="41">
        <f t="shared" si="75"/>
        <v>0</v>
      </c>
      <c r="V174" s="41">
        <f t="shared" si="75"/>
        <v>0</v>
      </c>
      <c r="W174" s="41">
        <f t="shared" si="75"/>
        <v>3837.2148481891013</v>
      </c>
      <c r="X174" s="41">
        <f t="shared" si="75"/>
        <v>2011.6338998827862</v>
      </c>
      <c r="Y174" s="41">
        <f t="shared" si="75"/>
        <v>1892.3667016935988</v>
      </c>
      <c r="Z174" s="41">
        <f t="shared" si="75"/>
        <v>1328.5874374234027</v>
      </c>
      <c r="AA174" s="41">
        <f t="shared" si="75"/>
        <v>671.04585108999993</v>
      </c>
      <c r="AB174" s="41">
        <f t="shared" si="75"/>
        <v>329.36212885934498</v>
      </c>
      <c r="AC174" s="41">
        <f t="shared" si="75"/>
        <v>106.57931082777517</v>
      </c>
      <c r="AD174" s="41">
        <f t="shared" si="75"/>
        <v>28.783358146755749</v>
      </c>
      <c r="AE174" s="41">
        <f t="shared" si="75"/>
        <v>5.5912961781175081</v>
      </c>
      <c r="AF174" s="41">
        <f t="shared" si="75"/>
        <v>0.91319091609900049</v>
      </c>
      <c r="AG174" s="41">
        <f t="shared" si="75"/>
        <v>0.10718269694299944</v>
      </c>
      <c r="AH174" s="41">
        <f t="shared" si="75"/>
        <v>9.6100195637650009E-3</v>
      </c>
      <c r="AI174" s="41">
        <f t="shared" si="75"/>
        <v>19415.464608579812</v>
      </c>
      <c r="AJ174" s="41">
        <f t="shared" si="75"/>
        <v>10178.425846294669</v>
      </c>
      <c r="AK174" s="41">
        <f t="shared" si="75"/>
        <v>9574.9600105207192</v>
      </c>
      <c r="AL174" s="41">
        <f t="shared" si="75"/>
        <v>6722.3607202685916</v>
      </c>
      <c r="AM174" s="41">
        <f t="shared" si="75"/>
        <v>3395.3446674274278</v>
      </c>
      <c r="AN174" s="41">
        <f t="shared" si="75"/>
        <v>1666.5000551879386</v>
      </c>
      <c r="AO174" s="41">
        <f t="shared" si="75"/>
        <v>539.26791155831575</v>
      </c>
      <c r="AP174" s="41">
        <f t="shared" si="75"/>
        <v>145.63747236570512</v>
      </c>
      <c r="AQ174" s="41">
        <f t="shared" si="75"/>
        <v>28.290731000782948</v>
      </c>
      <c r="AR174" s="41">
        <f t="shared" si="75"/>
        <v>4.6205455294649607</v>
      </c>
      <c r="AS174" s="41">
        <f t="shared" si="75"/>
        <v>0.54232091281806372</v>
      </c>
      <c r="AT174" s="41">
        <f t="shared" si="75"/>
        <v>4.8624588955735223E-2</v>
      </c>
      <c r="AU174" s="41">
        <f t="shared" si="75"/>
        <v>22840.818191483027</v>
      </c>
      <c r="AV174" s="41">
        <f t="shared" si="75"/>
        <v>11974.144266832142</v>
      </c>
      <c r="AW174" s="41">
        <f t="shared" si="75"/>
        <v>11264.212585177042</v>
      </c>
      <c r="AX174" s="41">
        <f t="shared" si="75"/>
        <v>7908.3463684597928</v>
      </c>
      <c r="AY174" s="41">
        <f t="shared" si="75"/>
        <v>3994.3648946654812</v>
      </c>
      <c r="AZ174" s="41">
        <f t="shared" si="75"/>
        <v>1960.5106312945675</v>
      </c>
      <c r="BA174" s="41">
        <f t="shared" si="75"/>
        <v>634.40770399906569</v>
      </c>
      <c r="BB174" s="41">
        <f t="shared" si="75"/>
        <v>171.33141520096373</v>
      </c>
      <c r="BC174" s="41">
        <f t="shared" si="75"/>
        <v>33.281894423864756</v>
      </c>
      <c r="BD174" s="41">
        <f t="shared" si="75"/>
        <v>5.4357205718034374</v>
      </c>
      <c r="BE174" s="41">
        <f t="shared" si="75"/>
        <v>0.63799932789878211</v>
      </c>
      <c r="BF174" s="41">
        <f t="shared" si="75"/>
        <v>5.7203132573131914E-2</v>
      </c>
      <c r="BG174" s="41">
        <f t="shared" si="75"/>
        <v>25135.366424123466</v>
      </c>
      <c r="BH174" s="41">
        <f t="shared" si="75"/>
        <v>13177.045639913706</v>
      </c>
      <c r="BI174" s="41">
        <f t="shared" si="75"/>
        <v>12395.795476066731</v>
      </c>
    </row>
    <row r="175" spans="4:61" x14ac:dyDescent="0.35">
      <c r="E175">
        <v>11</v>
      </c>
      <c r="J175" t="s">
        <v>50</v>
      </c>
      <c r="N175" s="41">
        <f t="shared" ref="N175:BI175" si="76">IFERROR(INDEX($N$101:$BI$101,1,MATCH(N114,$N$98:$BI$98,0)),0)*N127</f>
        <v>0</v>
      </c>
      <c r="O175" s="41">
        <f t="shared" si="76"/>
        <v>0</v>
      </c>
      <c r="P175" s="41">
        <f t="shared" si="76"/>
        <v>0</v>
      </c>
      <c r="Q175" s="41">
        <f t="shared" si="76"/>
        <v>0</v>
      </c>
      <c r="R175" s="41">
        <f t="shared" si="76"/>
        <v>0</v>
      </c>
      <c r="S175" s="41">
        <f t="shared" si="76"/>
        <v>0</v>
      </c>
      <c r="T175" s="41">
        <f t="shared" si="76"/>
        <v>0</v>
      </c>
      <c r="U175" s="41">
        <f t="shared" si="76"/>
        <v>0</v>
      </c>
      <c r="V175" s="41">
        <f t="shared" si="76"/>
        <v>0</v>
      </c>
      <c r="W175" s="41">
        <f t="shared" si="76"/>
        <v>0</v>
      </c>
      <c r="X175" s="41">
        <f t="shared" si="76"/>
        <v>4741.9424482584791</v>
      </c>
      <c r="Y175" s="41">
        <f t="shared" si="76"/>
        <v>2609.3221383431551</v>
      </c>
      <c r="Z175" s="41">
        <f t="shared" si="76"/>
        <v>2378.4660739620326</v>
      </c>
      <c r="AA175" s="41">
        <f t="shared" si="76"/>
        <v>1543.9899035241115</v>
      </c>
      <c r="AB175" s="41">
        <f t="shared" si="76"/>
        <v>969.2967300008612</v>
      </c>
      <c r="AC175" s="41">
        <f t="shared" si="76"/>
        <v>406.23726963656759</v>
      </c>
      <c r="AD175" s="41">
        <f t="shared" si="76"/>
        <v>141.68609194130124</v>
      </c>
      <c r="AE175" s="41">
        <f t="shared" si="76"/>
        <v>35.680418660080164</v>
      </c>
      <c r="AF175" s="41">
        <f t="shared" si="76"/>
        <v>7.5241827751025809</v>
      </c>
      <c r="AG175" s="41">
        <f t="shared" si="76"/>
        <v>1.1477657110791091</v>
      </c>
      <c r="AH175" s="41">
        <f t="shared" si="76"/>
        <v>0.13359550558845162</v>
      </c>
      <c r="AI175" s="41">
        <f t="shared" si="76"/>
        <v>1.3198196524672133E-2</v>
      </c>
      <c r="AJ175" s="41">
        <f t="shared" si="76"/>
        <v>19501.130904904952</v>
      </c>
      <c r="AK175" s="41">
        <f t="shared" si="76"/>
        <v>10730.778188078652</v>
      </c>
      <c r="AL175" s="41">
        <f t="shared" si="76"/>
        <v>9781.387852617956</v>
      </c>
      <c r="AM175" s="41">
        <f t="shared" si="76"/>
        <v>6349.6235040839147</v>
      </c>
      <c r="AN175" s="41">
        <f t="shared" si="76"/>
        <v>3986.210845807539</v>
      </c>
      <c r="AO175" s="41">
        <f t="shared" si="76"/>
        <v>1670.6415693727645</v>
      </c>
      <c r="AP175" s="41">
        <f t="shared" si="76"/>
        <v>582.68084366280425</v>
      </c>
      <c r="AQ175" s="41">
        <f t="shared" si="76"/>
        <v>146.73491351367593</v>
      </c>
      <c r="AR175" s="41">
        <f t="shared" si="76"/>
        <v>30.943031226284575</v>
      </c>
      <c r="AS175" s="41">
        <f t="shared" si="76"/>
        <v>4.7201604878471857</v>
      </c>
      <c r="AT175" s="41">
        <f t="shared" si="76"/>
        <v>0.54940849055309871</v>
      </c>
      <c r="AU175" s="41">
        <f t="shared" si="76"/>
        <v>5.4277284244733479E-2</v>
      </c>
      <c r="AV175" s="41">
        <f t="shared" si="76"/>
        <v>22892.890777083798</v>
      </c>
      <c r="AW175" s="41">
        <f t="shared" si="76"/>
        <v>12597.142914978811</v>
      </c>
      <c r="AX175" s="41">
        <f t="shared" si="76"/>
        <v>11482.628615243813</v>
      </c>
      <c r="AY175" s="41">
        <f t="shared" si="76"/>
        <v>7453.9901333637881</v>
      </c>
      <c r="AZ175" s="41">
        <f t="shared" si="76"/>
        <v>4679.5178162998745</v>
      </c>
      <c r="BA175" s="41">
        <f t="shared" si="76"/>
        <v>1961.2101042656411</v>
      </c>
      <c r="BB175" s="41">
        <f t="shared" si="76"/>
        <v>684.0243766845598</v>
      </c>
      <c r="BC175" s="41">
        <f t="shared" si="76"/>
        <v>172.25597657049278</v>
      </c>
      <c r="BD175" s="41">
        <f t="shared" si="76"/>
        <v>36.324838678820136</v>
      </c>
      <c r="BE175" s="41">
        <f t="shared" si="76"/>
        <v>5.5411206163132443</v>
      </c>
      <c r="BF175" s="41">
        <f t="shared" si="76"/>
        <v>0.64496508574643951</v>
      </c>
      <c r="BG175" s="41">
        <f t="shared" si="76"/>
        <v>6.3717532380590455E-2</v>
      </c>
      <c r="BH175" s="41">
        <f t="shared" si="76"/>
        <v>25190.054230802278</v>
      </c>
      <c r="BI175" s="41">
        <f t="shared" si="76"/>
        <v>13861.19019530416</v>
      </c>
    </row>
    <row r="176" spans="4:61" x14ac:dyDescent="0.35">
      <c r="E176">
        <v>12</v>
      </c>
      <c r="J176" t="s">
        <v>50</v>
      </c>
      <c r="N176" s="41">
        <f t="shared" ref="N176:BI176" si="77">IFERROR(INDEX($N$101:$BI$101,1,MATCH(N115,$N$98:$BI$98,0)),0)*N128</f>
        <v>0</v>
      </c>
      <c r="O176" s="41">
        <f t="shared" si="77"/>
        <v>0</v>
      </c>
      <c r="P176" s="41">
        <f t="shared" si="77"/>
        <v>0</v>
      </c>
      <c r="Q176" s="41">
        <f t="shared" si="77"/>
        <v>0</v>
      </c>
      <c r="R176" s="41">
        <f t="shared" si="77"/>
        <v>0</v>
      </c>
      <c r="S176" s="41">
        <f t="shared" si="77"/>
        <v>0</v>
      </c>
      <c r="T176" s="41">
        <f t="shared" si="77"/>
        <v>0</v>
      </c>
      <c r="U176" s="41">
        <f t="shared" si="77"/>
        <v>0</v>
      </c>
      <c r="V176" s="41">
        <f t="shared" si="77"/>
        <v>0</v>
      </c>
      <c r="W176" s="41">
        <f t="shared" si="77"/>
        <v>0</v>
      </c>
      <c r="X176" s="41">
        <f t="shared" si="77"/>
        <v>0</v>
      </c>
      <c r="Y176" s="41">
        <f t="shared" si="77"/>
        <v>6730.5622159459763</v>
      </c>
      <c r="Z176" s="41">
        <f t="shared" si="77"/>
        <v>3645.3830727537479</v>
      </c>
      <c r="AA176" s="41">
        <f t="shared" si="77"/>
        <v>3013.7250213898851</v>
      </c>
      <c r="AB176" s="41">
        <f t="shared" si="77"/>
        <v>2403.0233466823947</v>
      </c>
      <c r="AC176" s="41">
        <f t="shared" si="77"/>
        <v>1292.9768263507599</v>
      </c>
      <c r="AD176" s="41">
        <f t="shared" si="77"/>
        <v>577.70867349541527</v>
      </c>
      <c r="AE176" s="41">
        <f t="shared" si="77"/>
        <v>186.94253797061154</v>
      </c>
      <c r="AF176" s="41">
        <f t="shared" si="77"/>
        <v>50.486665577774794</v>
      </c>
      <c r="AG176" s="41">
        <f t="shared" si="77"/>
        <v>9.9228518557840584</v>
      </c>
      <c r="AH176" s="41">
        <f t="shared" si="77"/>
        <v>1.4861666126768476</v>
      </c>
      <c r="AI176" s="41">
        <f t="shared" si="77"/>
        <v>0.18800089095563435</v>
      </c>
      <c r="AJ176" s="41">
        <f t="shared" si="77"/>
        <v>1.6856193132084644E-2</v>
      </c>
      <c r="AK176" s="41">
        <f t="shared" si="77"/>
        <v>22086.949376596298</v>
      </c>
      <c r="AL176" s="41">
        <f t="shared" si="77"/>
        <v>11962.654649481865</v>
      </c>
      <c r="AM176" s="41">
        <f t="shared" si="77"/>
        <v>9889.8115561159648</v>
      </c>
      <c r="AN176" s="41">
        <f t="shared" si="77"/>
        <v>7885.7387103869678</v>
      </c>
      <c r="AO176" s="41">
        <f t="shared" si="77"/>
        <v>4243.0205371346647</v>
      </c>
      <c r="AP176" s="41">
        <f t="shared" si="77"/>
        <v>1895.80332467374</v>
      </c>
      <c r="AQ176" s="41">
        <f t="shared" si="77"/>
        <v>613.46886634625685</v>
      </c>
      <c r="AR176" s="41">
        <f t="shared" si="77"/>
        <v>165.67656475525689</v>
      </c>
      <c r="AS176" s="41">
        <f t="shared" si="77"/>
        <v>32.562736897509467</v>
      </c>
      <c r="AT176" s="41">
        <f t="shared" si="77"/>
        <v>4.8769903146594142</v>
      </c>
      <c r="AU176" s="41">
        <f t="shared" si="77"/>
        <v>0.61694194750244724</v>
      </c>
      <c r="AV176" s="41">
        <f t="shared" si="77"/>
        <v>5.5315124122681775E-2</v>
      </c>
      <c r="AW176" s="41">
        <f t="shared" si="77"/>
        <v>25382.884332534693</v>
      </c>
      <c r="AX176" s="41">
        <f t="shared" si="77"/>
        <v>13747.787170626905</v>
      </c>
      <c r="AY176" s="41">
        <f t="shared" si="77"/>
        <v>11365.62313424117</v>
      </c>
      <c r="AZ176" s="41">
        <f t="shared" si="77"/>
        <v>9062.4916166303865</v>
      </c>
      <c r="BA176" s="41">
        <f t="shared" si="77"/>
        <v>4876.1871853964249</v>
      </c>
      <c r="BB176" s="41">
        <f t="shared" si="77"/>
        <v>2178.7054285739446</v>
      </c>
      <c r="BC176" s="41">
        <f t="shared" si="77"/>
        <v>705.01403387912694</v>
      </c>
      <c r="BD176" s="41">
        <f t="shared" si="77"/>
        <v>190.39972465597435</v>
      </c>
      <c r="BE176" s="41">
        <f t="shared" si="77"/>
        <v>37.421925958505341</v>
      </c>
      <c r="BF176" s="41">
        <f t="shared" si="77"/>
        <v>5.604761388146434</v>
      </c>
      <c r="BG176" s="41">
        <f t="shared" si="77"/>
        <v>0.70900538713312122</v>
      </c>
      <c r="BH176" s="41">
        <f t="shared" si="77"/>
        <v>6.356954840189899E-2</v>
      </c>
      <c r="BI176" s="41">
        <f t="shared" si="77"/>
        <v>27927.480480042206</v>
      </c>
    </row>
    <row r="177" spans="5:61" x14ac:dyDescent="0.35"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</row>
    <row r="178" spans="5:61" x14ac:dyDescent="0.35">
      <c r="E178" s="12" t="s">
        <v>194</v>
      </c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</row>
    <row r="179" spans="5:61" x14ac:dyDescent="0.35">
      <c r="E179">
        <v>1</v>
      </c>
      <c r="J179" t="s">
        <v>50</v>
      </c>
      <c r="N179" s="41">
        <f>N165*$I$100</f>
        <v>0</v>
      </c>
      <c r="O179" s="41">
        <f t="shared" ref="O179:BI179" si="78">O165*$I$100</f>
        <v>0</v>
      </c>
      <c r="P179" s="41">
        <f t="shared" si="78"/>
        <v>0</v>
      </c>
      <c r="Q179" s="41">
        <f t="shared" si="78"/>
        <v>0</v>
      </c>
      <c r="R179" s="41">
        <f t="shared" si="78"/>
        <v>0</v>
      </c>
      <c r="S179" s="41">
        <f t="shared" si="78"/>
        <v>0</v>
      </c>
      <c r="T179" s="41">
        <f t="shared" si="78"/>
        <v>0</v>
      </c>
      <c r="U179" s="41">
        <f t="shared" si="78"/>
        <v>0</v>
      </c>
      <c r="V179" s="41">
        <f t="shared" si="78"/>
        <v>0</v>
      </c>
      <c r="W179" s="41">
        <f t="shared" si="78"/>
        <v>0</v>
      </c>
      <c r="X179" s="41">
        <f t="shared" si="78"/>
        <v>0</v>
      </c>
      <c r="Y179" s="41">
        <f t="shared" si="78"/>
        <v>0</v>
      </c>
      <c r="Z179" s="41">
        <f t="shared" si="78"/>
        <v>201.36387319545065</v>
      </c>
      <c r="AA179" s="41">
        <f t="shared" si="78"/>
        <v>98.535805428182258</v>
      </c>
      <c r="AB179" s="41">
        <f t="shared" si="78"/>
        <v>100.69031489310123</v>
      </c>
      <c r="AC179" s="41">
        <f t="shared" si="78"/>
        <v>70.106585944108886</v>
      </c>
      <c r="AD179" s="41">
        <f t="shared" si="78"/>
        <v>40.469750221354992</v>
      </c>
      <c r="AE179" s="41">
        <f t="shared" si="78"/>
        <v>16.961081497492025</v>
      </c>
      <c r="AF179" s="41">
        <f t="shared" si="78"/>
        <v>5.9156299337761151</v>
      </c>
      <c r="AG179" s="41">
        <f t="shared" si="78"/>
        <v>1.5104519056934853</v>
      </c>
      <c r="AH179" s="41">
        <f t="shared" si="78"/>
        <v>0.29341204471258653</v>
      </c>
      <c r="AI179" s="41">
        <f t="shared" si="78"/>
        <v>4.7921126939081043E-2</v>
      </c>
      <c r="AJ179" s="41">
        <f t="shared" si="78"/>
        <v>5.5778345005408903E-3</v>
      </c>
      <c r="AK179" s="41">
        <f t="shared" si="78"/>
        <v>5.5104665082834035E-4</v>
      </c>
      <c r="AL179" s="41">
        <f t="shared" si="78"/>
        <v>392.72945548515111</v>
      </c>
      <c r="AM179" s="41">
        <f t="shared" si="78"/>
        <v>192.17902694014685</v>
      </c>
      <c r="AN179" s="41">
        <f t="shared" si="78"/>
        <v>196.38106832705409</v>
      </c>
      <c r="AO179" s="41">
        <f t="shared" si="78"/>
        <v>136.73217984354343</v>
      </c>
      <c r="AP179" s="41">
        <f t="shared" si="78"/>
        <v>78.930061861821116</v>
      </c>
      <c r="AQ179" s="41">
        <f t="shared" si="78"/>
        <v>33.079996899363408</v>
      </c>
      <c r="AR179" s="41">
        <f t="shared" si="78"/>
        <v>11.537531960802802</v>
      </c>
      <c r="AS179" s="41">
        <f t="shared" si="78"/>
        <v>2.9459055641213863</v>
      </c>
      <c r="AT179" s="41">
        <f t="shared" si="78"/>
        <v>0.57225534413966728</v>
      </c>
      <c r="AU179" s="41">
        <f t="shared" si="78"/>
        <v>9.3462833180372615E-2</v>
      </c>
      <c r="AV179" s="41">
        <f t="shared" si="78"/>
        <v>1.0878713601508163E-2</v>
      </c>
      <c r="AW179" s="41">
        <f t="shared" si="78"/>
        <v>1.0747322630046614E-3</v>
      </c>
      <c r="AX179" s="41">
        <f t="shared" si="78"/>
        <v>435.47455207622119</v>
      </c>
      <c r="AY179" s="41">
        <f t="shared" si="78"/>
        <v>213.09599905568763</v>
      </c>
      <c r="AZ179" s="41">
        <f t="shared" si="78"/>
        <v>217.75539514938953</v>
      </c>
      <c r="BA179" s="41">
        <f t="shared" si="78"/>
        <v>151.61425744910468</v>
      </c>
      <c r="BB179" s="41">
        <f t="shared" si="78"/>
        <v>87.520894739520145</v>
      </c>
      <c r="BC179" s="41">
        <f t="shared" si="78"/>
        <v>36.680459362635531</v>
      </c>
      <c r="BD179" s="41">
        <f t="shared" si="78"/>
        <v>12.793289356126872</v>
      </c>
      <c r="BE179" s="41">
        <f t="shared" si="78"/>
        <v>3.2665410961086234</v>
      </c>
      <c r="BF179" s="41">
        <f t="shared" si="78"/>
        <v>0.63454023165794249</v>
      </c>
      <c r="BG179" s="41">
        <f t="shared" si="78"/>
        <v>0.10363542852857446</v>
      </c>
      <c r="BH179" s="41">
        <f t="shared" si="78"/>
        <v>1.2062764497585237E-2</v>
      </c>
      <c r="BI179" s="41">
        <f t="shared" si="78"/>
        <v>1.1917072791386638E-3</v>
      </c>
    </row>
    <row r="180" spans="5:61" x14ac:dyDescent="0.35">
      <c r="E180">
        <v>2</v>
      </c>
      <c r="J180" t="s">
        <v>50</v>
      </c>
      <c r="N180" s="41">
        <f t="shared" ref="N180:BI180" si="79">N166*$I$100</f>
        <v>0</v>
      </c>
      <c r="O180" s="41">
        <f t="shared" si="79"/>
        <v>0</v>
      </c>
      <c r="P180" s="41">
        <f t="shared" si="79"/>
        <v>0</v>
      </c>
      <c r="Q180" s="41">
        <f t="shared" si="79"/>
        <v>0</v>
      </c>
      <c r="R180" s="41">
        <f t="shared" si="79"/>
        <v>0</v>
      </c>
      <c r="S180" s="41">
        <f t="shared" si="79"/>
        <v>0</v>
      </c>
      <c r="T180" s="41">
        <f t="shared" si="79"/>
        <v>0</v>
      </c>
      <c r="U180" s="41">
        <f t="shared" si="79"/>
        <v>0</v>
      </c>
      <c r="V180" s="41">
        <f t="shared" si="79"/>
        <v>0</v>
      </c>
      <c r="W180" s="41">
        <f t="shared" si="79"/>
        <v>0</v>
      </c>
      <c r="X180" s="41">
        <f t="shared" si="79"/>
        <v>0</v>
      </c>
      <c r="Y180" s="41">
        <f t="shared" si="79"/>
        <v>0</v>
      </c>
      <c r="Z180" s="41">
        <f t="shared" si="79"/>
        <v>0</v>
      </c>
      <c r="AA180" s="41">
        <f t="shared" si="79"/>
        <v>261.37888442246441</v>
      </c>
      <c r="AB180" s="41">
        <f t="shared" si="79"/>
        <v>148.42324997809541</v>
      </c>
      <c r="AC180" s="41">
        <f t="shared" si="79"/>
        <v>133.66933190936695</v>
      </c>
      <c r="AD180" s="41">
        <f t="shared" si="79"/>
        <v>99.718495757927656</v>
      </c>
      <c r="AE180" s="41">
        <f t="shared" si="79"/>
        <v>54.103120970053148</v>
      </c>
      <c r="AF180" s="41">
        <f t="shared" si="79"/>
        <v>24.374046884198215</v>
      </c>
      <c r="AG180" s="41">
        <f t="shared" si="79"/>
        <v>8.083495735344405</v>
      </c>
      <c r="AH180" s="41">
        <f t="shared" si="79"/>
        <v>2.0356444879117053</v>
      </c>
      <c r="AI180" s="41">
        <f t="shared" si="79"/>
        <v>0.42927078121182999</v>
      </c>
      <c r="AJ180" s="41">
        <f t="shared" si="79"/>
        <v>6.4834889813205052E-2</v>
      </c>
      <c r="AK180" s="41">
        <f t="shared" si="79"/>
        <v>8.2695185902611403E-3</v>
      </c>
      <c r="AL180" s="41">
        <f t="shared" si="79"/>
        <v>7.5298544733398286E-4</v>
      </c>
      <c r="AM180" s="41">
        <f t="shared" si="79"/>
        <v>433.46771053854201</v>
      </c>
      <c r="AN180" s="41">
        <f t="shared" si="79"/>
        <v>246.14339639887626</v>
      </c>
      <c r="AO180" s="41">
        <f t="shared" si="79"/>
        <v>221.67566978486175</v>
      </c>
      <c r="AP180" s="41">
        <f t="shared" si="79"/>
        <v>165.37199686212</v>
      </c>
      <c r="AQ180" s="41">
        <f t="shared" si="79"/>
        <v>89.723988346256505</v>
      </c>
      <c r="AR180" s="41">
        <f t="shared" si="79"/>
        <v>40.421636670450319</v>
      </c>
      <c r="AS180" s="41">
        <f t="shared" si="79"/>
        <v>13.405575577728877</v>
      </c>
      <c r="AT180" s="41">
        <f t="shared" si="79"/>
        <v>3.375889210007097</v>
      </c>
      <c r="AU180" s="41">
        <f t="shared" si="79"/>
        <v>0.71189768501816653</v>
      </c>
      <c r="AV180" s="41">
        <f t="shared" si="79"/>
        <v>0.10752142933215925</v>
      </c>
      <c r="AW180" s="41">
        <f t="shared" si="79"/>
        <v>1.371407372288995E-2</v>
      </c>
      <c r="AX180" s="41">
        <f t="shared" si="79"/>
        <v>1.2487423329772586E-3</v>
      </c>
      <c r="AY180" s="41">
        <f t="shared" si="79"/>
        <v>477.98052211811392</v>
      </c>
      <c r="AZ180" s="41">
        <f t="shared" si="79"/>
        <v>271.41986880750534</v>
      </c>
      <c r="BA180" s="41">
        <f t="shared" si="79"/>
        <v>244.4395506484436</v>
      </c>
      <c r="BB180" s="41">
        <f t="shared" si="79"/>
        <v>182.35405194464408</v>
      </c>
      <c r="BC180" s="41">
        <f t="shared" si="79"/>
        <v>98.937747272988616</v>
      </c>
      <c r="BD180" s="41">
        <f t="shared" si="79"/>
        <v>44.572535695003353</v>
      </c>
      <c r="BE180" s="41">
        <f t="shared" si="79"/>
        <v>14.782194516809227</v>
      </c>
      <c r="BF180" s="41">
        <f t="shared" si="79"/>
        <v>3.7225593694334109</v>
      </c>
      <c r="BG180" s="41">
        <f t="shared" si="79"/>
        <v>0.78500247863192163</v>
      </c>
      <c r="BH180" s="41">
        <f t="shared" si="79"/>
        <v>0.11856280798221469</v>
      </c>
      <c r="BI180" s="41">
        <f t="shared" si="79"/>
        <v>1.5122372345310825E-2</v>
      </c>
    </row>
    <row r="181" spans="5:61" x14ac:dyDescent="0.35">
      <c r="E181">
        <v>3</v>
      </c>
      <c r="J181" t="s">
        <v>50</v>
      </c>
      <c r="N181" s="41">
        <f t="shared" ref="N181:BI181" si="80">N167*$I$100</f>
        <v>0</v>
      </c>
      <c r="O181" s="41">
        <f t="shared" si="80"/>
        <v>0</v>
      </c>
      <c r="P181" s="41">
        <f t="shared" si="80"/>
        <v>0</v>
      </c>
      <c r="Q181" s="41">
        <f t="shared" si="80"/>
        <v>0</v>
      </c>
      <c r="R181" s="41">
        <f t="shared" si="80"/>
        <v>0</v>
      </c>
      <c r="S181" s="41">
        <f t="shared" si="80"/>
        <v>0</v>
      </c>
      <c r="T181" s="41">
        <f t="shared" si="80"/>
        <v>0</v>
      </c>
      <c r="U181" s="41">
        <f t="shared" si="80"/>
        <v>0</v>
      </c>
      <c r="V181" s="41">
        <f t="shared" si="80"/>
        <v>0</v>
      </c>
      <c r="W181" s="41">
        <f t="shared" si="80"/>
        <v>0</v>
      </c>
      <c r="X181" s="41">
        <f t="shared" si="80"/>
        <v>0</v>
      </c>
      <c r="Y181" s="41">
        <f t="shared" si="80"/>
        <v>0</v>
      </c>
      <c r="Z181" s="41">
        <f t="shared" si="80"/>
        <v>0</v>
      </c>
      <c r="AA181" s="41">
        <f t="shared" si="80"/>
        <v>0</v>
      </c>
      <c r="AB181" s="41">
        <f t="shared" si="80"/>
        <v>373.61610648351711</v>
      </c>
      <c r="AC181" s="41">
        <f t="shared" si="80"/>
        <v>195.86571382604572</v>
      </c>
      <c r="AD181" s="41">
        <f t="shared" si="80"/>
        <v>184.25308644353896</v>
      </c>
      <c r="AE181" s="41">
        <f t="shared" si="80"/>
        <v>126.17392816561151</v>
      </c>
      <c r="AF181" s="41">
        <f t="shared" si="80"/>
        <v>71.640781115942502</v>
      </c>
      <c r="AG181" s="41">
        <f t="shared" si="80"/>
        <v>30.084872091249185</v>
      </c>
      <c r="AH181" s="41">
        <f t="shared" si="80"/>
        <v>9.5740059226615948</v>
      </c>
      <c r="AI181" s="41">
        <f t="shared" si="80"/>
        <v>2.5433030067646101</v>
      </c>
      <c r="AJ181" s="41">
        <f t="shared" si="80"/>
        <v>0.48583517582561514</v>
      </c>
      <c r="AK181" s="41">
        <f t="shared" si="80"/>
        <v>7.8051096556978589E-2</v>
      </c>
      <c r="AL181" s="41">
        <f t="shared" si="80"/>
        <v>9.0073014210050855E-3</v>
      </c>
      <c r="AM181" s="41">
        <f t="shared" si="80"/>
        <v>7.8154949869415301E-4</v>
      </c>
      <c r="AN181" s="41">
        <f t="shared" si="80"/>
        <v>624.97125654701495</v>
      </c>
      <c r="AO181" s="41">
        <f t="shared" si="80"/>
        <v>327.6369491574427</v>
      </c>
      <c r="AP181" s="41">
        <f t="shared" si="80"/>
        <v>308.21177395456988</v>
      </c>
      <c r="AQ181" s="41">
        <f t="shared" si="80"/>
        <v>211.05909799050346</v>
      </c>
      <c r="AR181" s="41">
        <f t="shared" si="80"/>
        <v>119.83805895160336</v>
      </c>
      <c r="AS181" s="41">
        <f t="shared" si="80"/>
        <v>50.324865517417734</v>
      </c>
      <c r="AT181" s="41">
        <f t="shared" si="80"/>
        <v>16.015044340542513</v>
      </c>
      <c r="AU181" s="41">
        <f t="shared" si="80"/>
        <v>4.2543435583594222</v>
      </c>
      <c r="AV181" s="41">
        <f t="shared" si="80"/>
        <v>0.81268718088273839</v>
      </c>
      <c r="AW181" s="41">
        <f t="shared" si="80"/>
        <v>0.13056099842483454</v>
      </c>
      <c r="AX181" s="41">
        <f t="shared" si="80"/>
        <v>1.5067081931146909E-2</v>
      </c>
      <c r="AY181" s="41">
        <f t="shared" si="80"/>
        <v>1.3073472041926629E-3</v>
      </c>
      <c r="AZ181" s="41">
        <f t="shared" si="80"/>
        <v>688.47084969433183</v>
      </c>
      <c r="BA181" s="41">
        <f t="shared" si="80"/>
        <v>360.92618086783051</v>
      </c>
      <c r="BB181" s="41">
        <f t="shared" si="80"/>
        <v>339.52732974102344</v>
      </c>
      <c r="BC181" s="41">
        <f t="shared" si="80"/>
        <v>232.50355117461319</v>
      </c>
      <c r="BD181" s="41">
        <f t="shared" si="80"/>
        <v>132.01408770056477</v>
      </c>
      <c r="BE181" s="41">
        <f t="shared" si="80"/>
        <v>55.438074248336505</v>
      </c>
      <c r="BF181" s="41">
        <f t="shared" si="80"/>
        <v>17.642237254148434</v>
      </c>
      <c r="BG181" s="41">
        <f t="shared" si="80"/>
        <v>4.6866019738221016</v>
      </c>
      <c r="BH181" s="41">
        <f t="shared" si="80"/>
        <v>0.89525946689028191</v>
      </c>
      <c r="BI181" s="41">
        <f t="shared" si="80"/>
        <v>0.14382652094932652</v>
      </c>
    </row>
    <row r="182" spans="5:61" x14ac:dyDescent="0.35">
      <c r="E182">
        <v>4</v>
      </c>
      <c r="J182" t="s">
        <v>50</v>
      </c>
      <c r="N182" s="41">
        <f t="shared" ref="N182:BI182" si="81">N168*$I$100</f>
        <v>0</v>
      </c>
      <c r="O182" s="41">
        <f t="shared" si="81"/>
        <v>0</v>
      </c>
      <c r="P182" s="41">
        <f t="shared" si="81"/>
        <v>0</v>
      </c>
      <c r="Q182" s="41">
        <f t="shared" si="81"/>
        <v>4.25803540351344</v>
      </c>
      <c r="R182" s="41">
        <f t="shared" si="81"/>
        <v>2.3430453164434777</v>
      </c>
      <c r="S182" s="41">
        <f t="shared" si="81"/>
        <v>2.0754173258453186</v>
      </c>
      <c r="T182" s="41">
        <f t="shared" si="81"/>
        <v>1.5228604558340941</v>
      </c>
      <c r="U182" s="41">
        <f t="shared" si="81"/>
        <v>0.83041558504894142</v>
      </c>
      <c r="V182" s="41">
        <f t="shared" si="81"/>
        <v>0.34227717057965429</v>
      </c>
      <c r="W182" s="41">
        <f t="shared" si="81"/>
        <v>0.11742399229582323</v>
      </c>
      <c r="X182" s="41">
        <f t="shared" si="81"/>
        <v>2.9079896594597823E-2</v>
      </c>
      <c r="Y182" s="41">
        <f t="shared" si="81"/>
        <v>6.031998012173528E-3</v>
      </c>
      <c r="Z182" s="41">
        <f t="shared" si="81"/>
        <v>9.047199932979413E-4</v>
      </c>
      <c r="AA182" s="41">
        <f t="shared" si="81"/>
        <v>1.0161495667291887E-4</v>
      </c>
      <c r="AB182" s="41">
        <f t="shared" si="81"/>
        <v>1.1851343342478006E-5</v>
      </c>
      <c r="AC182" s="41">
        <f t="shared" si="81"/>
        <v>495.94315693730744</v>
      </c>
      <c r="AD182" s="41">
        <f t="shared" si="81"/>
        <v>272.8998660098818</v>
      </c>
      <c r="AE182" s="41">
        <f t="shared" si="81"/>
        <v>241.72861965704016</v>
      </c>
      <c r="AF182" s="41">
        <f t="shared" si="81"/>
        <v>177.37105272026747</v>
      </c>
      <c r="AG182" s="41">
        <f t="shared" si="81"/>
        <v>96.720409247722955</v>
      </c>
      <c r="AH182" s="41">
        <f t="shared" si="81"/>
        <v>39.865807687925027</v>
      </c>
      <c r="AI182" s="41">
        <f t="shared" si="81"/>
        <v>13.676641906575174</v>
      </c>
      <c r="AJ182" s="41">
        <f t="shared" si="81"/>
        <v>3.3870023036058536</v>
      </c>
      <c r="AK182" s="41">
        <f t="shared" si="81"/>
        <v>0.70256065375325383</v>
      </c>
      <c r="AL182" s="41">
        <f t="shared" si="81"/>
        <v>0.10537481422776629</v>
      </c>
      <c r="AM182" s="41">
        <f t="shared" si="81"/>
        <v>1.1835327241016451E-2</v>
      </c>
      <c r="AN182" s="41">
        <f t="shared" si="81"/>
        <v>1.3803531615464483E-3</v>
      </c>
      <c r="AO182" s="41">
        <f t="shared" si="81"/>
        <v>700.64490869148017</v>
      </c>
      <c r="AP182" s="41">
        <f t="shared" si="81"/>
        <v>385.53995357694043</v>
      </c>
      <c r="AQ182" s="41">
        <f t="shared" si="81"/>
        <v>341.50269900615666</v>
      </c>
      <c r="AR182" s="41">
        <f t="shared" si="81"/>
        <v>250.58138881309958</v>
      </c>
      <c r="AS182" s="41">
        <f t="shared" si="81"/>
        <v>136.64199486986749</v>
      </c>
      <c r="AT182" s="41">
        <f t="shared" si="81"/>
        <v>56.320517375238651</v>
      </c>
      <c r="AU182" s="41">
        <f t="shared" si="81"/>
        <v>19.321709324542127</v>
      </c>
      <c r="AV182" s="41">
        <f t="shared" si="81"/>
        <v>4.7849957934750567</v>
      </c>
      <c r="AW182" s="41">
        <f t="shared" si="81"/>
        <v>0.99254428297596253</v>
      </c>
      <c r="AX182" s="41">
        <f t="shared" si="81"/>
        <v>0.14886852668546435</v>
      </c>
      <c r="AY182" s="41">
        <f t="shared" si="81"/>
        <v>1.6720387524500117E-2</v>
      </c>
      <c r="AZ182" s="41">
        <f t="shared" si="81"/>
        <v>1.9500973071314373E-3</v>
      </c>
      <c r="BA182" s="41">
        <f t="shared" si="81"/>
        <v>771.64925941400247</v>
      </c>
      <c r="BB182" s="41">
        <f t="shared" si="81"/>
        <v>424.61112035733913</v>
      </c>
      <c r="BC182" s="41">
        <f t="shared" si="81"/>
        <v>376.11106782768547</v>
      </c>
      <c r="BD182" s="41">
        <f t="shared" si="81"/>
        <v>275.97566285278532</v>
      </c>
      <c r="BE182" s="41">
        <f t="shared" si="81"/>
        <v>150.48948880982186</v>
      </c>
      <c r="BF182" s="41">
        <f t="shared" si="81"/>
        <v>62.028118642268296</v>
      </c>
      <c r="BG182" s="41">
        <f t="shared" si="81"/>
        <v>21.279798805275842</v>
      </c>
      <c r="BH182" s="41">
        <f t="shared" si="81"/>
        <v>5.2699140670699114</v>
      </c>
      <c r="BI182" s="41">
        <f t="shared" si="81"/>
        <v>1.0931301311021957</v>
      </c>
    </row>
    <row r="183" spans="5:61" x14ac:dyDescent="0.35">
      <c r="E183">
        <v>5</v>
      </c>
      <c r="J183" t="s">
        <v>50</v>
      </c>
      <c r="N183" s="41">
        <f t="shared" ref="N183:BI183" si="82">N169*$I$100</f>
        <v>0</v>
      </c>
      <c r="O183" s="41">
        <f t="shared" si="82"/>
        <v>0</v>
      </c>
      <c r="P183" s="41">
        <f t="shared" si="82"/>
        <v>0</v>
      </c>
      <c r="Q183" s="41">
        <f t="shared" si="82"/>
        <v>0</v>
      </c>
      <c r="R183" s="41">
        <f t="shared" si="82"/>
        <v>29.871854429889964</v>
      </c>
      <c r="S183" s="41">
        <f t="shared" si="82"/>
        <v>15.660117403092329</v>
      </c>
      <c r="T183" s="41">
        <f t="shared" si="82"/>
        <v>14.731649093779493</v>
      </c>
      <c r="U183" s="41">
        <f t="shared" si="82"/>
        <v>10.342754340904865</v>
      </c>
      <c r="V183" s="41">
        <f t="shared" si="82"/>
        <v>5.4731917524423634</v>
      </c>
      <c r="W183" s="41">
        <f t="shared" si="82"/>
        <v>2.4053859136592193</v>
      </c>
      <c r="X183" s="41">
        <f t="shared" si="82"/>
        <v>0.76547372093892507</v>
      </c>
      <c r="Y183" s="41">
        <f t="shared" si="82"/>
        <v>0.20334556211785154</v>
      </c>
      <c r="Z183" s="41">
        <f t="shared" si="82"/>
        <v>3.9297009908131252E-2</v>
      </c>
      <c r="AA183" s="41">
        <f t="shared" si="82"/>
        <v>5.6610254656802219E-3</v>
      </c>
      <c r="AB183" s="41">
        <f t="shared" si="82"/>
        <v>8.3439318546244369E-4</v>
      </c>
      <c r="AC183" s="41">
        <f t="shared" si="82"/>
        <v>7.481184057563507E-5</v>
      </c>
      <c r="AD183" s="41">
        <f t="shared" si="82"/>
        <v>581.08384159853426</v>
      </c>
      <c r="AE183" s="41">
        <f t="shared" si="82"/>
        <v>304.62926906096578</v>
      </c>
      <c r="AF183" s="41">
        <f t="shared" si="82"/>
        <v>286.5681897515355</v>
      </c>
      <c r="AG183" s="41">
        <f t="shared" si="82"/>
        <v>201.19298047694232</v>
      </c>
      <c r="AH183" s="41">
        <f t="shared" si="82"/>
        <v>106.46755449277735</v>
      </c>
      <c r="AI183" s="41">
        <f t="shared" si="82"/>
        <v>46.79089778361805</v>
      </c>
      <c r="AJ183" s="41">
        <f t="shared" si="82"/>
        <v>14.890418385302551</v>
      </c>
      <c r="AK183" s="41">
        <f t="shared" si="82"/>
        <v>3.9555903931167431</v>
      </c>
      <c r="AL183" s="41">
        <f t="shared" si="82"/>
        <v>0.76442718125674425</v>
      </c>
      <c r="AM183" s="41">
        <f t="shared" si="82"/>
        <v>0.11012139981818705</v>
      </c>
      <c r="AN183" s="41">
        <f t="shared" si="82"/>
        <v>1.623107794496376E-2</v>
      </c>
      <c r="AO183" s="41">
        <f t="shared" si="82"/>
        <v>1.4552813191017972E-3</v>
      </c>
      <c r="AP183" s="41">
        <f t="shared" si="82"/>
        <v>839.75803746728798</v>
      </c>
      <c r="AQ183" s="41">
        <f t="shared" si="82"/>
        <v>440.23746459374337</v>
      </c>
      <c r="AR183" s="41">
        <f t="shared" si="82"/>
        <v>414.13634900652499</v>
      </c>
      <c r="AS183" s="41">
        <f t="shared" si="82"/>
        <v>290.75567128614108</v>
      </c>
      <c r="AT183" s="41">
        <f t="shared" si="82"/>
        <v>153.86245187758425</v>
      </c>
      <c r="AU183" s="41">
        <f t="shared" si="82"/>
        <v>67.620246307331982</v>
      </c>
      <c r="AV183" s="41">
        <f t="shared" si="82"/>
        <v>21.519009177590657</v>
      </c>
      <c r="AW183" s="41">
        <f t="shared" si="82"/>
        <v>5.7164536126322627</v>
      </c>
      <c r="AX183" s="41">
        <f t="shared" si="82"/>
        <v>1.1047181552198813</v>
      </c>
      <c r="AY183" s="41">
        <f t="shared" si="82"/>
        <v>0.15914283615265579</v>
      </c>
      <c r="AZ183" s="41">
        <f t="shared" si="82"/>
        <v>2.3456474238804117E-2</v>
      </c>
      <c r="BA183" s="41">
        <f t="shared" si="82"/>
        <v>2.1031116286590163E-3</v>
      </c>
      <c r="BB183" s="41">
        <f t="shared" si="82"/>
        <v>924.70766129198023</v>
      </c>
      <c r="BC183" s="41">
        <f t="shared" si="82"/>
        <v>484.7717296346201</v>
      </c>
      <c r="BD183" s="41">
        <f t="shared" si="82"/>
        <v>456.03023449566047</v>
      </c>
      <c r="BE183" s="41">
        <f t="shared" si="82"/>
        <v>320.16841138345239</v>
      </c>
      <c r="BF183" s="41">
        <f t="shared" si="82"/>
        <v>169.42712268105333</v>
      </c>
      <c r="BG183" s="41">
        <f t="shared" si="82"/>
        <v>74.460686327490336</v>
      </c>
      <c r="BH183" s="41">
        <f t="shared" si="82"/>
        <v>23.69586447775518</v>
      </c>
      <c r="BI183" s="41">
        <f t="shared" si="82"/>
        <v>6.2947280230434046</v>
      </c>
    </row>
    <row r="184" spans="5:61" x14ac:dyDescent="0.35">
      <c r="E184">
        <v>6</v>
      </c>
      <c r="J184" t="s">
        <v>50</v>
      </c>
      <c r="N184" s="41">
        <f t="shared" ref="N184:BI184" si="83">N170*$I$100</f>
        <v>0</v>
      </c>
      <c r="O184" s="41">
        <f t="shared" si="83"/>
        <v>0</v>
      </c>
      <c r="P184" s="41">
        <f t="shared" si="83"/>
        <v>0</v>
      </c>
      <c r="Q184" s="41">
        <f t="shared" si="83"/>
        <v>0</v>
      </c>
      <c r="R184" s="41">
        <f t="shared" si="83"/>
        <v>0</v>
      </c>
      <c r="S184" s="41">
        <f t="shared" si="83"/>
        <v>48.974654263079181</v>
      </c>
      <c r="T184" s="41">
        <f t="shared" si="83"/>
        <v>26.949008972744224</v>
      </c>
      <c r="U184" s="41">
        <f t="shared" si="83"/>
        <v>24.564733739342167</v>
      </c>
      <c r="V184" s="41">
        <f t="shared" si="83"/>
        <v>16.821584973475577</v>
      </c>
      <c r="W184" s="41">
        <f t="shared" si="83"/>
        <v>9.551192584938816</v>
      </c>
      <c r="X184" s="41">
        <f t="shared" si="83"/>
        <v>3.936770013103212</v>
      </c>
      <c r="Y184" s="41">
        <f t="shared" si="83"/>
        <v>1.3505757655592177</v>
      </c>
      <c r="Z184" s="41">
        <f t="shared" si="83"/>
        <v>0.33907470634846326</v>
      </c>
      <c r="AA184" s="41">
        <f t="shared" si="83"/>
        <v>6.3112542090857357E-2</v>
      </c>
      <c r="AB184" s="41">
        <f t="shared" si="83"/>
        <v>1.1854093441340845E-2</v>
      </c>
      <c r="AC184" s="41">
        <f t="shared" si="83"/>
        <v>1.3797707940758708E-3</v>
      </c>
      <c r="AD184" s="41">
        <f t="shared" si="83"/>
        <v>1.3631061927573131E-4</v>
      </c>
      <c r="AE184" s="41">
        <f t="shared" si="83"/>
        <v>728.23958617348001</v>
      </c>
      <c r="AF184" s="41">
        <f t="shared" si="83"/>
        <v>400.72432235405745</v>
      </c>
      <c r="AG184" s="41">
        <f t="shared" si="83"/>
        <v>365.27080797150938</v>
      </c>
      <c r="AH184" s="41">
        <f t="shared" si="83"/>
        <v>250.13232383553498</v>
      </c>
      <c r="AI184" s="41">
        <f t="shared" si="83"/>
        <v>142.02359649453783</v>
      </c>
      <c r="AJ184" s="41">
        <f t="shared" si="83"/>
        <v>58.538683087013524</v>
      </c>
      <c r="AK184" s="41">
        <f t="shared" si="83"/>
        <v>20.082688717381</v>
      </c>
      <c r="AL184" s="41">
        <f t="shared" si="83"/>
        <v>5.0419472592224501</v>
      </c>
      <c r="AM184" s="41">
        <f t="shared" si="83"/>
        <v>0.93846607446601704</v>
      </c>
      <c r="AN184" s="41">
        <f t="shared" si="83"/>
        <v>0.17626709635991747</v>
      </c>
      <c r="AO184" s="41">
        <f t="shared" si="83"/>
        <v>2.0516810730189544E-2</v>
      </c>
      <c r="AP184" s="41">
        <f t="shared" si="83"/>
        <v>2.0269012709956836E-3</v>
      </c>
      <c r="AQ184" s="41">
        <f t="shared" si="83"/>
        <v>881.85713492955347</v>
      </c>
      <c r="AR184" s="41">
        <f t="shared" si="83"/>
        <v>485.25459136954134</v>
      </c>
      <c r="AS184" s="41">
        <f t="shared" si="83"/>
        <v>442.32238168171256</v>
      </c>
      <c r="AT184" s="41">
        <f t="shared" si="83"/>
        <v>302.89616032810625</v>
      </c>
      <c r="AU184" s="41">
        <f t="shared" si="83"/>
        <v>171.98257863893241</v>
      </c>
      <c r="AV184" s="41">
        <f t="shared" si="83"/>
        <v>70.887049165939445</v>
      </c>
      <c r="AW184" s="41">
        <f t="shared" si="83"/>
        <v>24.319005270022245</v>
      </c>
      <c r="AX184" s="41">
        <f t="shared" si="83"/>
        <v>6.1055142413318899</v>
      </c>
      <c r="AY184" s="41">
        <f t="shared" si="83"/>
        <v>1.1364295753348939</v>
      </c>
      <c r="AZ184" s="41">
        <f t="shared" si="83"/>
        <v>0.21344952887699675</v>
      </c>
      <c r="BA184" s="41">
        <f t="shared" si="83"/>
        <v>2.4844702584057021E-2</v>
      </c>
      <c r="BB184" s="41">
        <f t="shared" si="83"/>
        <v>2.4544633133957699E-3</v>
      </c>
      <c r="BC184" s="41">
        <f t="shared" si="83"/>
        <v>970.92458244250838</v>
      </c>
      <c r="BD184" s="41">
        <f t="shared" si="83"/>
        <v>534.26523735210128</v>
      </c>
      <c r="BE184" s="41">
        <f t="shared" si="83"/>
        <v>486.9968804795119</v>
      </c>
      <c r="BF184" s="41">
        <f t="shared" si="83"/>
        <v>333.48863023430511</v>
      </c>
      <c r="BG184" s="41">
        <f t="shared" si="83"/>
        <v>189.35279507119995</v>
      </c>
      <c r="BH184" s="41">
        <f t="shared" si="83"/>
        <v>78.046631235250388</v>
      </c>
      <c r="BI184" s="41">
        <f t="shared" si="83"/>
        <v>26.775221407149726</v>
      </c>
    </row>
    <row r="185" spans="5:61" x14ac:dyDescent="0.35">
      <c r="E185">
        <v>7</v>
      </c>
      <c r="J185" t="s">
        <v>50</v>
      </c>
      <c r="N185" s="41">
        <f t="shared" ref="N185:BI185" si="84">N171*$I$100</f>
        <v>0</v>
      </c>
      <c r="O185" s="41">
        <f t="shared" si="84"/>
        <v>0</v>
      </c>
      <c r="P185" s="41">
        <f t="shared" si="84"/>
        <v>0</v>
      </c>
      <c r="Q185" s="41">
        <f t="shared" si="84"/>
        <v>0</v>
      </c>
      <c r="R185" s="41">
        <f t="shared" si="84"/>
        <v>0</v>
      </c>
      <c r="S185" s="41">
        <f t="shared" si="84"/>
        <v>0</v>
      </c>
      <c r="T185" s="41">
        <f t="shared" si="84"/>
        <v>125.61201499906042</v>
      </c>
      <c r="U185" s="41">
        <f t="shared" si="84"/>
        <v>68.033531006845706</v>
      </c>
      <c r="V185" s="41">
        <f t="shared" si="84"/>
        <v>59.764729325901492</v>
      </c>
      <c r="W185" s="41">
        <f t="shared" si="84"/>
        <v>43.491582233387469</v>
      </c>
      <c r="X185" s="41">
        <f t="shared" si="84"/>
        <v>23.014930195047029</v>
      </c>
      <c r="Y185" s="41">
        <f t="shared" si="84"/>
        <v>10.114717590574555</v>
      </c>
      <c r="Z185" s="41">
        <f t="shared" si="84"/>
        <v>3.2706818740360015</v>
      </c>
      <c r="AA185" s="41">
        <f t="shared" si="84"/>
        <v>0.77935545895053826</v>
      </c>
      <c r="AB185" s="41">
        <f t="shared" si="84"/>
        <v>0.18518949474817636</v>
      </c>
      <c r="AC185" s="41">
        <f t="shared" si="84"/>
        <v>2.7736224234044787E-2</v>
      </c>
      <c r="AD185" s="41">
        <f t="shared" si="84"/>
        <v>3.5086475656679996E-3</v>
      </c>
      <c r="AE185" s="41">
        <f t="shared" si="84"/>
        <v>3.145859612616157E-4</v>
      </c>
      <c r="AF185" s="41">
        <f t="shared" si="84"/>
        <v>785.22840422306263</v>
      </c>
      <c r="AG185" s="41">
        <f t="shared" si="84"/>
        <v>425.29260426691911</v>
      </c>
      <c r="AH185" s="41">
        <f t="shared" si="84"/>
        <v>373.60250162177505</v>
      </c>
      <c r="AI185" s="41">
        <f t="shared" si="84"/>
        <v>271.87547078608998</v>
      </c>
      <c r="AJ185" s="41">
        <f t="shared" si="84"/>
        <v>143.87140362724966</v>
      </c>
      <c r="AK185" s="41">
        <f t="shared" si="84"/>
        <v>63.229330035611717</v>
      </c>
      <c r="AL185" s="41">
        <f t="shared" si="84"/>
        <v>20.445753606371145</v>
      </c>
      <c r="AM185" s="41">
        <f t="shared" si="84"/>
        <v>4.8719228280737426</v>
      </c>
      <c r="AN185" s="41">
        <f t="shared" si="84"/>
        <v>1.1576603674503072</v>
      </c>
      <c r="AO185" s="41">
        <f t="shared" si="84"/>
        <v>0.17338525374849642</v>
      </c>
      <c r="AP185" s="41">
        <f t="shared" si="84"/>
        <v>2.1933329618119932E-2</v>
      </c>
      <c r="AQ185" s="41">
        <f t="shared" si="84"/>
        <v>1.9665462125918807E-3</v>
      </c>
      <c r="AR185" s="41">
        <f t="shared" si="84"/>
        <v>966.41145303692156</v>
      </c>
      <c r="AS185" s="41">
        <f t="shared" si="84"/>
        <v>523.42432016594921</v>
      </c>
      <c r="AT185" s="41">
        <f t="shared" si="84"/>
        <v>459.80727965103347</v>
      </c>
      <c r="AU185" s="41">
        <f t="shared" si="84"/>
        <v>334.60782538483392</v>
      </c>
      <c r="AV185" s="41">
        <f t="shared" si="84"/>
        <v>177.06818994588292</v>
      </c>
      <c r="AW185" s="41">
        <f t="shared" si="84"/>
        <v>77.818821104321785</v>
      </c>
      <c r="AX185" s="41">
        <f t="shared" si="84"/>
        <v>25.163392389910292</v>
      </c>
      <c r="AY185" s="41">
        <f t="shared" si="84"/>
        <v>5.9960668692583301</v>
      </c>
      <c r="AZ185" s="41">
        <f t="shared" si="84"/>
        <v>1.4247781050888897</v>
      </c>
      <c r="BA185" s="41">
        <f t="shared" si="84"/>
        <v>0.21339204505223172</v>
      </c>
      <c r="BB185" s="41">
        <f t="shared" si="84"/>
        <v>2.6994210642644595E-2</v>
      </c>
      <c r="BC185" s="41">
        <f t="shared" si="84"/>
        <v>2.4203057002956992E-3</v>
      </c>
      <c r="BD185" s="41">
        <f t="shared" si="84"/>
        <v>1063.9023299598655</v>
      </c>
      <c r="BE185" s="41">
        <f t="shared" si="84"/>
        <v>576.2269807877957</v>
      </c>
      <c r="BF185" s="41">
        <f t="shared" si="84"/>
        <v>506.19229999393684</v>
      </c>
      <c r="BG185" s="41">
        <f t="shared" si="84"/>
        <v>368.36281682200638</v>
      </c>
      <c r="BH185" s="41">
        <f t="shared" si="84"/>
        <v>194.93069877556974</v>
      </c>
      <c r="BI185" s="41">
        <f t="shared" si="84"/>
        <v>85.669126568655059</v>
      </c>
    </row>
    <row r="186" spans="5:61" x14ac:dyDescent="0.35">
      <c r="E186">
        <v>8</v>
      </c>
      <c r="J186" t="s">
        <v>50</v>
      </c>
      <c r="N186" s="41">
        <f t="shared" ref="N186:BI186" si="85">N172*$I$100</f>
        <v>0</v>
      </c>
      <c r="O186" s="41">
        <f t="shared" si="85"/>
        <v>0</v>
      </c>
      <c r="P186" s="41">
        <f t="shared" si="85"/>
        <v>0</v>
      </c>
      <c r="Q186" s="41">
        <f t="shared" si="85"/>
        <v>0</v>
      </c>
      <c r="R186" s="41">
        <f t="shared" si="85"/>
        <v>0</v>
      </c>
      <c r="S186" s="41">
        <f t="shared" si="85"/>
        <v>0</v>
      </c>
      <c r="T186" s="41">
        <f t="shared" si="85"/>
        <v>0</v>
      </c>
      <c r="U186" s="41">
        <f t="shared" si="85"/>
        <v>209.95359527617671</v>
      </c>
      <c r="V186" s="41">
        <f t="shared" si="85"/>
        <v>110.06675059103016</v>
      </c>
      <c r="W186" s="41">
        <f t="shared" si="85"/>
        <v>103.54103388007934</v>
      </c>
      <c r="X186" s="41">
        <f t="shared" si="85"/>
        <v>70.903447118002873</v>
      </c>
      <c r="Y186" s="41">
        <f t="shared" si="85"/>
        <v>40.258541595688222</v>
      </c>
      <c r="Z186" s="41">
        <f t="shared" si="85"/>
        <v>16.906195823386799</v>
      </c>
      <c r="AA186" s="41">
        <f t="shared" si="85"/>
        <v>5.1945309949496785</v>
      </c>
      <c r="AB186" s="41">
        <f t="shared" si="85"/>
        <v>1.5748843278570019</v>
      </c>
      <c r="AC186" s="41">
        <f t="shared" si="85"/>
        <v>0.30592833117064633</v>
      </c>
      <c r="AD186" s="41">
        <f t="shared" si="85"/>
        <v>4.9965332563802811E-2</v>
      </c>
      <c r="AE186" s="41">
        <f t="shared" si="85"/>
        <v>5.8157721574383951E-3</v>
      </c>
      <c r="AF186" s="41">
        <f t="shared" si="85"/>
        <v>5.7455304007789554E-4</v>
      </c>
      <c r="AG186" s="41">
        <f t="shared" si="85"/>
        <v>806.51326444365498</v>
      </c>
      <c r="AH186" s="41">
        <f t="shared" si="85"/>
        <v>422.80911745810931</v>
      </c>
      <c r="AI186" s="41">
        <f t="shared" si="85"/>
        <v>397.74130625697069</v>
      </c>
      <c r="AJ186" s="41">
        <f t="shared" si="85"/>
        <v>272.36766543686457</v>
      </c>
      <c r="AK186" s="41">
        <f t="shared" si="85"/>
        <v>154.64868682705253</v>
      </c>
      <c r="AL186" s="41">
        <f t="shared" si="85"/>
        <v>64.943261223545889</v>
      </c>
      <c r="AM186" s="41">
        <f t="shared" si="85"/>
        <v>19.954210093329074</v>
      </c>
      <c r="AN186" s="41">
        <f t="shared" si="85"/>
        <v>6.0497420809122326</v>
      </c>
      <c r="AO186" s="41">
        <f t="shared" si="85"/>
        <v>1.1751894828649045</v>
      </c>
      <c r="AP186" s="41">
        <f t="shared" si="85"/>
        <v>0.19193623915816804</v>
      </c>
      <c r="AQ186" s="41">
        <f t="shared" si="85"/>
        <v>2.2340638567232892E-2</v>
      </c>
      <c r="AR186" s="41">
        <f t="shared" si="85"/>
        <v>2.2070812711718762E-3</v>
      </c>
      <c r="AS186" s="41">
        <f t="shared" si="85"/>
        <v>954.72628199889596</v>
      </c>
      <c r="AT186" s="41">
        <f t="shared" si="85"/>
        <v>500.50878826459314</v>
      </c>
      <c r="AU186" s="41">
        <f t="shared" si="85"/>
        <v>470.83426306949599</v>
      </c>
      <c r="AV186" s="41">
        <f t="shared" si="85"/>
        <v>322.42069662503826</v>
      </c>
      <c r="AW186" s="41">
        <f t="shared" si="85"/>
        <v>183.06849037659995</v>
      </c>
      <c r="AX186" s="41">
        <f t="shared" si="85"/>
        <v>76.877890373705966</v>
      </c>
      <c r="AY186" s="41">
        <f t="shared" si="85"/>
        <v>23.621197136503937</v>
      </c>
      <c r="AZ186" s="41">
        <f t="shared" si="85"/>
        <v>7.16150374531765</v>
      </c>
      <c r="BA186" s="41">
        <f t="shared" si="85"/>
        <v>1.3911541633401123</v>
      </c>
      <c r="BB186" s="41">
        <f t="shared" si="85"/>
        <v>0.22720837966469765</v>
      </c>
      <c r="BC186" s="41">
        <f t="shared" si="85"/>
        <v>2.6446179792825354E-2</v>
      </c>
      <c r="BD186" s="41">
        <f t="shared" si="85"/>
        <v>2.6126768014768762E-3</v>
      </c>
      <c r="BE186" s="41">
        <f t="shared" si="85"/>
        <v>1050.948170025898</v>
      </c>
      <c r="BF186" s="41">
        <f t="shared" si="85"/>
        <v>550.95246148168997</v>
      </c>
      <c r="BG186" s="41">
        <f t="shared" si="85"/>
        <v>518.28719549060372</v>
      </c>
      <c r="BH186" s="41">
        <f t="shared" si="85"/>
        <v>354.91579888962451</v>
      </c>
      <c r="BI186" s="41">
        <f t="shared" si="85"/>
        <v>201.51900977092191</v>
      </c>
    </row>
    <row r="187" spans="5:61" x14ac:dyDescent="0.35">
      <c r="E187">
        <v>9</v>
      </c>
      <c r="J187" t="s">
        <v>50</v>
      </c>
      <c r="N187" s="41">
        <f t="shared" ref="N187:BI187" si="86">N173*$I$100</f>
        <v>0</v>
      </c>
      <c r="O187" s="41">
        <f t="shared" si="86"/>
        <v>0</v>
      </c>
      <c r="P187" s="41">
        <f t="shared" si="86"/>
        <v>0</v>
      </c>
      <c r="Q187" s="41">
        <f t="shared" si="86"/>
        <v>0</v>
      </c>
      <c r="R187" s="41">
        <f t="shared" si="86"/>
        <v>0</v>
      </c>
      <c r="S187" s="41">
        <f t="shared" si="86"/>
        <v>0</v>
      </c>
      <c r="T187" s="41">
        <f t="shared" si="86"/>
        <v>0</v>
      </c>
      <c r="U187" s="41">
        <f t="shared" si="86"/>
        <v>0</v>
      </c>
      <c r="V187" s="41">
        <f t="shared" si="86"/>
        <v>159.22196728320284</v>
      </c>
      <c r="W187" s="41">
        <f t="shared" si="86"/>
        <v>87.614181039922286</v>
      </c>
      <c r="X187" s="41">
        <f t="shared" si="86"/>
        <v>77.606689057134005</v>
      </c>
      <c r="Y187" s="41">
        <f t="shared" si="86"/>
        <v>56.944767879484395</v>
      </c>
      <c r="Z187" s="41">
        <f t="shared" si="86"/>
        <v>31.051973641418069</v>
      </c>
      <c r="AA187" s="41">
        <f t="shared" si="86"/>
        <v>12.289151630359958</v>
      </c>
      <c r="AB187" s="41">
        <f t="shared" si="86"/>
        <v>4.7574466669978106</v>
      </c>
      <c r="AC187" s="41">
        <f t="shared" si="86"/>
        <v>1.1980547032224531</v>
      </c>
      <c r="AD187" s="41">
        <f t="shared" si="86"/>
        <v>0.25264228672581285</v>
      </c>
      <c r="AE187" s="41">
        <f t="shared" si="86"/>
        <v>3.8157814458704711E-2</v>
      </c>
      <c r="AF187" s="41">
        <f t="shared" si="86"/>
        <v>4.8669282378532852E-3</v>
      </c>
      <c r="AG187" s="41">
        <f t="shared" si="86"/>
        <v>4.4316075915691502E-4</v>
      </c>
      <c r="AH187" s="41">
        <f t="shared" si="86"/>
        <v>822.5887647907274</v>
      </c>
      <c r="AI187" s="41">
        <f t="shared" si="86"/>
        <v>452.641316958429</v>
      </c>
      <c r="AJ187" s="41">
        <f t="shared" si="86"/>
        <v>400.93959131567993</v>
      </c>
      <c r="AK187" s="41">
        <f t="shared" si="86"/>
        <v>294.19386703069182</v>
      </c>
      <c r="AL187" s="41">
        <f t="shared" si="86"/>
        <v>160.4238728979891</v>
      </c>
      <c r="AM187" s="41">
        <f t="shared" si="86"/>
        <v>63.48946839705448</v>
      </c>
      <c r="AN187" s="41">
        <f t="shared" si="86"/>
        <v>24.57840613414113</v>
      </c>
      <c r="AO187" s="41">
        <f t="shared" si="86"/>
        <v>6.189512385075556</v>
      </c>
      <c r="AP187" s="41">
        <f t="shared" si="86"/>
        <v>1.3052263460735121</v>
      </c>
      <c r="AQ187" s="41">
        <f t="shared" si="86"/>
        <v>0.19713479237993914</v>
      </c>
      <c r="AR187" s="41">
        <f t="shared" si="86"/>
        <v>2.514402099039504E-2</v>
      </c>
      <c r="AS187" s="41">
        <f t="shared" si="86"/>
        <v>2.2895023073682672E-3</v>
      </c>
      <c r="AT187" s="41">
        <f t="shared" si="86"/>
        <v>997.47485537480588</v>
      </c>
      <c r="AU187" s="41">
        <f t="shared" si="86"/>
        <v>548.87490748142568</v>
      </c>
      <c r="AV187" s="41">
        <f t="shared" si="86"/>
        <v>486.18116120682254</v>
      </c>
      <c r="AW187" s="41">
        <f t="shared" si="86"/>
        <v>356.74081330693883</v>
      </c>
      <c r="AX187" s="41">
        <f t="shared" si="86"/>
        <v>194.53071360426117</v>
      </c>
      <c r="AY187" s="41">
        <f t="shared" si="86"/>
        <v>76.987616434667245</v>
      </c>
      <c r="AZ187" s="41">
        <f t="shared" si="86"/>
        <v>29.803886405174531</v>
      </c>
      <c r="BA187" s="41">
        <f t="shared" si="86"/>
        <v>7.5054307029278382</v>
      </c>
      <c r="BB187" s="41">
        <f t="shared" si="86"/>
        <v>1.5827233685987476</v>
      </c>
      <c r="BC187" s="41">
        <f t="shared" si="86"/>
        <v>0.23904654055000144</v>
      </c>
      <c r="BD187" s="41">
        <f t="shared" si="86"/>
        <v>3.0489753537195532E-2</v>
      </c>
      <c r="BE187" s="41">
        <f t="shared" si="86"/>
        <v>2.7762608494943915E-3</v>
      </c>
      <c r="BF187" s="41">
        <f t="shared" si="86"/>
        <v>1097.8292497304781</v>
      </c>
      <c r="BG187" s="41">
        <f t="shared" si="86"/>
        <v>604.09635854910869</v>
      </c>
      <c r="BH187" s="41">
        <f t="shared" si="86"/>
        <v>535.09509193614895</v>
      </c>
      <c r="BI187" s="41">
        <f t="shared" si="86"/>
        <v>392.63195188397646</v>
      </c>
    </row>
    <row r="188" spans="5:61" x14ac:dyDescent="0.35">
      <c r="E188">
        <v>10</v>
      </c>
      <c r="J188" t="s">
        <v>50</v>
      </c>
      <c r="N188" s="41">
        <f t="shared" ref="N188:BI188" si="87">N174*$I$100</f>
        <v>0</v>
      </c>
      <c r="O188" s="41">
        <f t="shared" si="87"/>
        <v>0</v>
      </c>
      <c r="P188" s="41">
        <f t="shared" si="87"/>
        <v>0</v>
      </c>
      <c r="Q188" s="41">
        <f t="shared" si="87"/>
        <v>0</v>
      </c>
      <c r="R188" s="41">
        <f t="shared" si="87"/>
        <v>0</v>
      </c>
      <c r="S188" s="41">
        <f t="shared" si="87"/>
        <v>0</v>
      </c>
      <c r="T188" s="41">
        <f t="shared" si="87"/>
        <v>0</v>
      </c>
      <c r="U188" s="41">
        <f t="shared" si="87"/>
        <v>0</v>
      </c>
      <c r="V188" s="41">
        <f t="shared" si="87"/>
        <v>0</v>
      </c>
      <c r="W188" s="41">
        <f t="shared" si="87"/>
        <v>191.86074240945507</v>
      </c>
      <c r="X188" s="41">
        <f t="shared" si="87"/>
        <v>100.58169499413931</v>
      </c>
      <c r="Y188" s="41">
        <f t="shared" si="87"/>
        <v>94.618335084679941</v>
      </c>
      <c r="Z188" s="41">
        <f t="shared" si="87"/>
        <v>66.429371871170133</v>
      </c>
      <c r="AA188" s="41">
        <f t="shared" si="87"/>
        <v>33.552292554499999</v>
      </c>
      <c r="AB188" s="41">
        <f t="shared" si="87"/>
        <v>16.468106442967251</v>
      </c>
      <c r="AC188" s="41">
        <f t="shared" si="87"/>
        <v>5.3289655413887589</v>
      </c>
      <c r="AD188" s="41">
        <f t="shared" si="87"/>
        <v>1.4391679073377874</v>
      </c>
      <c r="AE188" s="41">
        <f t="shared" si="87"/>
        <v>0.27956480890587543</v>
      </c>
      <c r="AF188" s="41">
        <f t="shared" si="87"/>
        <v>4.5659545804950026E-2</v>
      </c>
      <c r="AG188" s="41">
        <f t="shared" si="87"/>
        <v>5.3591348471499723E-3</v>
      </c>
      <c r="AH188" s="41">
        <f t="shared" si="87"/>
        <v>4.8050097818825004E-4</v>
      </c>
      <c r="AI188" s="41">
        <f t="shared" si="87"/>
        <v>970.7732304289907</v>
      </c>
      <c r="AJ188" s="41">
        <f t="shared" si="87"/>
        <v>508.92129231473348</v>
      </c>
      <c r="AK188" s="41">
        <f t="shared" si="87"/>
        <v>478.74800052603598</v>
      </c>
      <c r="AL188" s="41">
        <f t="shared" si="87"/>
        <v>336.11803601342962</v>
      </c>
      <c r="AM188" s="41">
        <f t="shared" si="87"/>
        <v>169.76723337137139</v>
      </c>
      <c r="AN188" s="41">
        <f t="shared" si="87"/>
        <v>83.325002759396938</v>
      </c>
      <c r="AO188" s="41">
        <f t="shared" si="87"/>
        <v>26.96339557791579</v>
      </c>
      <c r="AP188" s="41">
        <f t="shared" si="87"/>
        <v>7.2818736182852568</v>
      </c>
      <c r="AQ188" s="41">
        <f t="shared" si="87"/>
        <v>1.4145365500391476</v>
      </c>
      <c r="AR188" s="41">
        <f t="shared" si="87"/>
        <v>0.23102727647324806</v>
      </c>
      <c r="AS188" s="41">
        <f t="shared" si="87"/>
        <v>2.7116045640903187E-2</v>
      </c>
      <c r="AT188" s="41">
        <f t="shared" si="87"/>
        <v>2.4312294477867613E-3</v>
      </c>
      <c r="AU188" s="41">
        <f t="shared" si="87"/>
        <v>1142.0409095741513</v>
      </c>
      <c r="AV188" s="41">
        <f t="shared" si="87"/>
        <v>598.70721334160714</v>
      </c>
      <c r="AW188" s="41">
        <f t="shared" si="87"/>
        <v>563.21062925885212</v>
      </c>
      <c r="AX188" s="41">
        <f t="shared" si="87"/>
        <v>395.41731842298964</v>
      </c>
      <c r="AY188" s="41">
        <f t="shared" si="87"/>
        <v>199.71824473327408</v>
      </c>
      <c r="AZ188" s="41">
        <f t="shared" si="87"/>
        <v>98.025531564728382</v>
      </c>
      <c r="BA188" s="41">
        <f t="shared" si="87"/>
        <v>31.720385199953284</v>
      </c>
      <c r="BB188" s="41">
        <f t="shared" si="87"/>
        <v>8.5665707600481866</v>
      </c>
      <c r="BC188" s="41">
        <f t="shared" si="87"/>
        <v>1.664094721193238</v>
      </c>
      <c r="BD188" s="41">
        <f t="shared" si="87"/>
        <v>0.27178602859017187</v>
      </c>
      <c r="BE188" s="41">
        <f t="shared" si="87"/>
        <v>3.1899966394939104E-2</v>
      </c>
      <c r="BF188" s="41">
        <f t="shared" si="87"/>
        <v>2.8601566286565959E-3</v>
      </c>
      <c r="BG188" s="41">
        <f t="shared" si="87"/>
        <v>1256.7683212061734</v>
      </c>
      <c r="BH188" s="41">
        <f t="shared" si="87"/>
        <v>658.8522819956853</v>
      </c>
      <c r="BI188" s="41">
        <f t="shared" si="87"/>
        <v>619.78977380333663</v>
      </c>
    </row>
    <row r="189" spans="5:61" x14ac:dyDescent="0.35">
      <c r="E189">
        <v>11</v>
      </c>
      <c r="J189" t="s">
        <v>50</v>
      </c>
      <c r="N189" s="41">
        <f t="shared" ref="N189:BI189" si="88">N175*$I$100</f>
        <v>0</v>
      </c>
      <c r="O189" s="41">
        <f t="shared" si="88"/>
        <v>0</v>
      </c>
      <c r="P189" s="41">
        <f t="shared" si="88"/>
        <v>0</v>
      </c>
      <c r="Q189" s="41">
        <f t="shared" si="88"/>
        <v>0</v>
      </c>
      <c r="R189" s="41">
        <f t="shared" si="88"/>
        <v>0</v>
      </c>
      <c r="S189" s="41">
        <f t="shared" si="88"/>
        <v>0</v>
      </c>
      <c r="T189" s="41">
        <f t="shared" si="88"/>
        <v>0</v>
      </c>
      <c r="U189" s="41">
        <f t="shared" si="88"/>
        <v>0</v>
      </c>
      <c r="V189" s="41">
        <f t="shared" si="88"/>
        <v>0</v>
      </c>
      <c r="W189" s="41">
        <f t="shared" si="88"/>
        <v>0</v>
      </c>
      <c r="X189" s="41">
        <f t="shared" si="88"/>
        <v>237.09712241292397</v>
      </c>
      <c r="Y189" s="41">
        <f t="shared" si="88"/>
        <v>130.46610691715776</v>
      </c>
      <c r="Z189" s="41">
        <f t="shared" si="88"/>
        <v>118.92330369810163</v>
      </c>
      <c r="AA189" s="41">
        <f t="shared" si="88"/>
        <v>77.199495176205573</v>
      </c>
      <c r="AB189" s="41">
        <f t="shared" si="88"/>
        <v>48.464836500043063</v>
      </c>
      <c r="AC189" s="41">
        <f t="shared" si="88"/>
        <v>20.311863481828382</v>
      </c>
      <c r="AD189" s="41">
        <f t="shared" si="88"/>
        <v>7.0843045970650627</v>
      </c>
      <c r="AE189" s="41">
        <f t="shared" si="88"/>
        <v>1.7840209330040082</v>
      </c>
      <c r="AF189" s="41">
        <f t="shared" si="88"/>
        <v>0.37620913875512907</v>
      </c>
      <c r="AG189" s="41">
        <f t="shared" si="88"/>
        <v>5.7388285553955455E-2</v>
      </c>
      <c r="AH189" s="41">
        <f t="shared" si="88"/>
        <v>6.6797752794225812E-3</v>
      </c>
      <c r="AI189" s="41">
        <f t="shared" si="88"/>
        <v>6.5990982623360668E-4</v>
      </c>
      <c r="AJ189" s="41">
        <f t="shared" si="88"/>
        <v>975.05654524524766</v>
      </c>
      <c r="AK189" s="41">
        <f t="shared" si="88"/>
        <v>536.53890940393262</v>
      </c>
      <c r="AL189" s="41">
        <f t="shared" si="88"/>
        <v>489.06939263089782</v>
      </c>
      <c r="AM189" s="41">
        <f t="shared" si="88"/>
        <v>317.48117520419578</v>
      </c>
      <c r="AN189" s="41">
        <f t="shared" si="88"/>
        <v>199.31054229037696</v>
      </c>
      <c r="AO189" s="41">
        <f t="shared" si="88"/>
        <v>83.532078468638232</v>
      </c>
      <c r="AP189" s="41">
        <f t="shared" si="88"/>
        <v>29.134042183140213</v>
      </c>
      <c r="AQ189" s="41">
        <f t="shared" si="88"/>
        <v>7.3367456756837974</v>
      </c>
      <c r="AR189" s="41">
        <f t="shared" si="88"/>
        <v>1.5471515613142288</v>
      </c>
      <c r="AS189" s="41">
        <f t="shared" si="88"/>
        <v>0.23600802439235929</v>
      </c>
      <c r="AT189" s="41">
        <f t="shared" si="88"/>
        <v>2.7470424527654937E-2</v>
      </c>
      <c r="AU189" s="41">
        <f t="shared" si="88"/>
        <v>2.7138642122366743E-3</v>
      </c>
      <c r="AV189" s="41">
        <f t="shared" si="88"/>
        <v>1144.6445388541899</v>
      </c>
      <c r="AW189" s="41">
        <f t="shared" si="88"/>
        <v>629.85714574894064</v>
      </c>
      <c r="AX189" s="41">
        <f t="shared" si="88"/>
        <v>574.13143076219069</v>
      </c>
      <c r="AY189" s="41">
        <f t="shared" si="88"/>
        <v>372.69950666818943</v>
      </c>
      <c r="AZ189" s="41">
        <f t="shared" si="88"/>
        <v>233.97589081499373</v>
      </c>
      <c r="BA189" s="41">
        <f t="shared" si="88"/>
        <v>98.060505213282056</v>
      </c>
      <c r="BB189" s="41">
        <f t="shared" si="88"/>
        <v>34.201218834227994</v>
      </c>
      <c r="BC189" s="41">
        <f t="shared" si="88"/>
        <v>8.6127988285246389</v>
      </c>
      <c r="BD189" s="41">
        <f t="shared" si="88"/>
        <v>1.816241933941007</v>
      </c>
      <c r="BE189" s="41">
        <f t="shared" si="88"/>
        <v>0.27705603081566221</v>
      </c>
      <c r="BF189" s="41">
        <f t="shared" si="88"/>
        <v>3.2248254287321976E-2</v>
      </c>
      <c r="BG189" s="41">
        <f t="shared" si="88"/>
        <v>3.1858766190295228E-3</v>
      </c>
      <c r="BH189" s="41">
        <f t="shared" si="88"/>
        <v>1259.502711540114</v>
      </c>
      <c r="BI189" s="41">
        <f t="shared" si="88"/>
        <v>693.05950976520808</v>
      </c>
    </row>
    <row r="190" spans="5:61" x14ac:dyDescent="0.35">
      <c r="E190">
        <v>12</v>
      </c>
      <c r="J190" t="s">
        <v>50</v>
      </c>
      <c r="N190" s="41">
        <f t="shared" ref="N190:BI190" si="89">N176*$I$100</f>
        <v>0</v>
      </c>
      <c r="O190" s="41">
        <f t="shared" si="89"/>
        <v>0</v>
      </c>
      <c r="P190" s="41">
        <f t="shared" si="89"/>
        <v>0</v>
      </c>
      <c r="Q190" s="41">
        <f t="shared" si="89"/>
        <v>0</v>
      </c>
      <c r="R190" s="41">
        <f t="shared" si="89"/>
        <v>0</v>
      </c>
      <c r="S190" s="41">
        <f t="shared" si="89"/>
        <v>0</v>
      </c>
      <c r="T190" s="41">
        <f t="shared" si="89"/>
        <v>0</v>
      </c>
      <c r="U190" s="41">
        <f t="shared" si="89"/>
        <v>0</v>
      </c>
      <c r="V190" s="41">
        <f t="shared" si="89"/>
        <v>0</v>
      </c>
      <c r="W190" s="41">
        <f t="shared" si="89"/>
        <v>0</v>
      </c>
      <c r="X190" s="41">
        <f t="shared" si="89"/>
        <v>0</v>
      </c>
      <c r="Y190" s="41">
        <f t="shared" si="89"/>
        <v>336.52811079729884</v>
      </c>
      <c r="Z190" s="41">
        <f t="shared" si="89"/>
        <v>182.2691536376874</v>
      </c>
      <c r="AA190" s="41">
        <f t="shared" si="89"/>
        <v>150.68625106949426</v>
      </c>
      <c r="AB190" s="41">
        <f t="shared" si="89"/>
        <v>120.15116733411975</v>
      </c>
      <c r="AC190" s="41">
        <f t="shared" si="89"/>
        <v>64.648841317538</v>
      </c>
      <c r="AD190" s="41">
        <f t="shared" si="89"/>
        <v>28.885433674770766</v>
      </c>
      <c r="AE190" s="41">
        <f t="shared" si="89"/>
        <v>9.3471268985305773</v>
      </c>
      <c r="AF190" s="41">
        <f t="shared" si="89"/>
        <v>2.52433327888874</v>
      </c>
      <c r="AG190" s="41">
        <f t="shared" si="89"/>
        <v>0.49614259278920292</v>
      </c>
      <c r="AH190" s="41">
        <f t="shared" si="89"/>
        <v>7.4308330633842387E-2</v>
      </c>
      <c r="AI190" s="41">
        <f t="shared" si="89"/>
        <v>9.4000445477817191E-3</v>
      </c>
      <c r="AJ190" s="41">
        <f t="shared" si="89"/>
        <v>8.4280965660423228E-4</v>
      </c>
      <c r="AK190" s="41">
        <f t="shared" si="89"/>
        <v>1104.3474688298149</v>
      </c>
      <c r="AL190" s="41">
        <f t="shared" si="89"/>
        <v>598.13273247409325</v>
      </c>
      <c r="AM190" s="41">
        <f t="shared" si="89"/>
        <v>494.49057780579824</v>
      </c>
      <c r="AN190" s="41">
        <f t="shared" si="89"/>
        <v>394.28693551934839</v>
      </c>
      <c r="AO190" s="41">
        <f t="shared" si="89"/>
        <v>212.15102685673324</v>
      </c>
      <c r="AP190" s="41">
        <f t="shared" si="89"/>
        <v>94.790166233687003</v>
      </c>
      <c r="AQ190" s="41">
        <f t="shared" si="89"/>
        <v>30.673443317312845</v>
      </c>
      <c r="AR190" s="41">
        <f t="shared" si="89"/>
        <v>8.2838282377628456</v>
      </c>
      <c r="AS190" s="41">
        <f t="shared" si="89"/>
        <v>1.6281368448754734</v>
      </c>
      <c r="AT190" s="41">
        <f t="shared" si="89"/>
        <v>0.24384951573297073</v>
      </c>
      <c r="AU190" s="41">
        <f t="shared" si="89"/>
        <v>3.0847097375122364E-2</v>
      </c>
      <c r="AV190" s="41">
        <f t="shared" si="89"/>
        <v>2.7657562061340888E-3</v>
      </c>
      <c r="AW190" s="41">
        <f t="shared" si="89"/>
        <v>1269.1442166267348</v>
      </c>
      <c r="AX190" s="41">
        <f t="shared" si="89"/>
        <v>687.38935853134535</v>
      </c>
      <c r="AY190" s="41">
        <f t="shared" si="89"/>
        <v>568.28115671205853</v>
      </c>
      <c r="AZ190" s="41">
        <f t="shared" si="89"/>
        <v>453.12458083151932</v>
      </c>
      <c r="BA190" s="41">
        <f t="shared" si="89"/>
        <v>243.80935926982124</v>
      </c>
      <c r="BB190" s="41">
        <f t="shared" si="89"/>
        <v>108.93527142869723</v>
      </c>
      <c r="BC190" s="41">
        <f t="shared" si="89"/>
        <v>35.250701693956351</v>
      </c>
      <c r="BD190" s="41">
        <f t="shared" si="89"/>
        <v>9.5199862327987184</v>
      </c>
      <c r="BE190" s="41">
        <f t="shared" si="89"/>
        <v>1.8710962979252672</v>
      </c>
      <c r="BF190" s="41">
        <f t="shared" si="89"/>
        <v>0.28023806940732171</v>
      </c>
      <c r="BG190" s="41">
        <f t="shared" si="89"/>
        <v>3.5450269356656065E-2</v>
      </c>
      <c r="BH190" s="41">
        <f t="shared" si="89"/>
        <v>3.1784774200949496E-3</v>
      </c>
      <c r="BI190" s="41">
        <f t="shared" si="89"/>
        <v>1396.3740240021104</v>
      </c>
    </row>
    <row r="191" spans="5:61" x14ac:dyDescent="0.35"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</row>
    <row r="192" spans="5:61" x14ac:dyDescent="0.35">
      <c r="E192" t="str">
        <f>"Volumes-"&amp;Paramétrage_général!I34</f>
        <v>Volumes-Retrait total</v>
      </c>
      <c r="J192" t="s">
        <v>50</v>
      </c>
      <c r="N192" s="41">
        <f>SUM(N179:N190)</f>
        <v>0</v>
      </c>
      <c r="O192" s="41">
        <f t="shared" ref="O192:BI192" si="90">SUM(O179:O190)</f>
        <v>0</v>
      </c>
      <c r="P192" s="41">
        <f t="shared" si="90"/>
        <v>0</v>
      </c>
      <c r="Q192" s="41">
        <f t="shared" si="90"/>
        <v>4.25803540351344</v>
      </c>
      <c r="R192" s="41">
        <f t="shared" si="90"/>
        <v>32.214899746333444</v>
      </c>
      <c r="S192" s="41">
        <f t="shared" si="90"/>
        <v>66.710188992016825</v>
      </c>
      <c r="T192" s="41">
        <f t="shared" si="90"/>
        <v>168.81553352141822</v>
      </c>
      <c r="U192" s="41">
        <f t="shared" si="90"/>
        <v>313.72502994831837</v>
      </c>
      <c r="V192" s="41">
        <f t="shared" si="90"/>
        <v>351.69050109663209</v>
      </c>
      <c r="W192" s="41">
        <f t="shared" si="90"/>
        <v>438.58154205373808</v>
      </c>
      <c r="X192" s="41">
        <f t="shared" si="90"/>
        <v>513.93520740788392</v>
      </c>
      <c r="Y192" s="41">
        <f t="shared" si="90"/>
        <v>670.49053319057293</v>
      </c>
      <c r="Z192" s="41">
        <f t="shared" si="90"/>
        <v>620.59383017750065</v>
      </c>
      <c r="AA192" s="41">
        <f t="shared" si="90"/>
        <v>639.68464191761984</v>
      </c>
      <c r="AB192" s="41">
        <f t="shared" si="90"/>
        <v>814.34400245941697</v>
      </c>
      <c r="AC192" s="41">
        <f t="shared" si="90"/>
        <v>987.40763279884584</v>
      </c>
      <c r="AD192" s="41">
        <f t="shared" si="90"/>
        <v>1216.140198787886</v>
      </c>
      <c r="AE192" s="41">
        <f t="shared" si="90"/>
        <v>1483.2906063376604</v>
      </c>
      <c r="AF192" s="41">
        <f t="shared" si="90"/>
        <v>1754.7740704275664</v>
      </c>
      <c r="AG192" s="41">
        <f t="shared" si="90"/>
        <v>1935.2282193129854</v>
      </c>
      <c r="AH192" s="41">
        <f t="shared" si="90"/>
        <v>2027.4506009490265</v>
      </c>
      <c r="AI192" s="41">
        <f t="shared" si="90"/>
        <v>2298.553015484501</v>
      </c>
      <c r="AJ192" s="41">
        <f t="shared" si="90"/>
        <v>2378.5296924254931</v>
      </c>
      <c r="AK192" s="41">
        <f t="shared" si="90"/>
        <v>2656.5339740791887</v>
      </c>
      <c r="AL192" s="41">
        <f t="shared" si="90"/>
        <v>2067.7840138730535</v>
      </c>
      <c r="AM192" s="41">
        <f t="shared" si="90"/>
        <v>1696.7625295295354</v>
      </c>
      <c r="AN192" s="41">
        <f t="shared" si="90"/>
        <v>1776.3978889520376</v>
      </c>
      <c r="AO192" s="41">
        <f t="shared" si="90"/>
        <v>1716.8962675943537</v>
      </c>
      <c r="AP192" s="41">
        <f t="shared" si="90"/>
        <v>1910.5390285739729</v>
      </c>
      <c r="AQ192" s="41">
        <f t="shared" si="90"/>
        <v>2037.1065492857722</v>
      </c>
      <c r="AR192" s="41">
        <f t="shared" si="90"/>
        <v>2298.2703679867564</v>
      </c>
      <c r="AS192" s="41">
        <f t="shared" si="90"/>
        <v>2416.4405470790507</v>
      </c>
      <c r="AT192" s="41">
        <f t="shared" si="90"/>
        <v>2491.1069929357591</v>
      </c>
      <c r="AU192" s="41">
        <f t="shared" si="90"/>
        <v>2760.3757048188586</v>
      </c>
      <c r="AV192" s="41">
        <f t="shared" si="90"/>
        <v>2827.1467071905681</v>
      </c>
      <c r="AW192" s="41">
        <f t="shared" si="90"/>
        <v>3111.0134693924292</v>
      </c>
      <c r="AX192" s="41">
        <f t="shared" si="90"/>
        <v>2396.3600729081259</v>
      </c>
      <c r="AY192" s="41">
        <f t="shared" si="90"/>
        <v>1939.6939098739695</v>
      </c>
      <c r="AZ192" s="41">
        <f t="shared" si="90"/>
        <v>2001.4011412184725</v>
      </c>
      <c r="BA192" s="41">
        <f t="shared" si="90"/>
        <v>1911.356422787971</v>
      </c>
      <c r="BB192" s="41">
        <f t="shared" si="90"/>
        <v>2112.2634995197</v>
      </c>
      <c r="BC192" s="41">
        <f t="shared" si="90"/>
        <v>2245.7246459847684</v>
      </c>
      <c r="BD192" s="41">
        <f t="shared" si="90"/>
        <v>2531.1944940377762</v>
      </c>
      <c r="BE192" s="41">
        <f t="shared" si="90"/>
        <v>2660.4995699037199</v>
      </c>
      <c r="BF192" s="41">
        <f t="shared" si="90"/>
        <v>2742.2325660992947</v>
      </c>
      <c r="BG192" s="41">
        <f t="shared" si="90"/>
        <v>3038.2218482988169</v>
      </c>
      <c r="BH192" s="41">
        <f t="shared" si="90"/>
        <v>3111.3380564340082</v>
      </c>
      <c r="BI192" s="41">
        <f t="shared" si="90"/>
        <v>3423.366615956078</v>
      </c>
    </row>
    <row r="193" spans="4:61" x14ac:dyDescent="0.35"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</row>
    <row r="194" spans="4:61" x14ac:dyDescent="0.35">
      <c r="D194" s="1" t="s">
        <v>195</v>
      </c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</row>
    <row r="195" spans="4:61" x14ac:dyDescent="0.35"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</row>
    <row r="196" spans="4:61" s="4" customFormat="1" x14ac:dyDescent="0.35">
      <c r="E196" s="4" t="str">
        <f>Time!E19</f>
        <v>Frise mensuelle-début de période</v>
      </c>
      <c r="J196" s="4" t="str">
        <f>Time!J19</f>
        <v>date</v>
      </c>
      <c r="N196" s="5">
        <f>Time!N19</f>
        <v>43831</v>
      </c>
      <c r="O196" s="5">
        <f>Time!O19</f>
        <v>43862</v>
      </c>
      <c r="P196" s="5">
        <f>Time!P19</f>
        <v>43891</v>
      </c>
      <c r="Q196" s="5">
        <f>Time!Q19</f>
        <v>43922</v>
      </c>
      <c r="R196" s="5">
        <f>Time!R19</f>
        <v>43952</v>
      </c>
      <c r="S196" s="5">
        <f>Time!S19</f>
        <v>43983</v>
      </c>
      <c r="T196" s="5">
        <f>Time!T19</f>
        <v>44013</v>
      </c>
      <c r="U196" s="5">
        <f>Time!U19</f>
        <v>44044</v>
      </c>
      <c r="V196" s="5">
        <f>Time!V19</f>
        <v>44075</v>
      </c>
      <c r="W196" s="5">
        <f>Time!W19</f>
        <v>44105</v>
      </c>
      <c r="X196" s="5">
        <f>Time!X19</f>
        <v>44136</v>
      </c>
      <c r="Y196" s="5">
        <f>Time!Y19</f>
        <v>44166</v>
      </c>
      <c r="Z196" s="5">
        <f>Time!Z19</f>
        <v>44197</v>
      </c>
      <c r="AA196" s="5">
        <f>Time!AA19</f>
        <v>44228</v>
      </c>
      <c r="AB196" s="5">
        <f>Time!AB19</f>
        <v>44256</v>
      </c>
      <c r="AC196" s="5">
        <f>Time!AC19</f>
        <v>44287</v>
      </c>
      <c r="AD196" s="5">
        <f>Time!AD19</f>
        <v>44317</v>
      </c>
      <c r="AE196" s="5">
        <f>Time!AE19</f>
        <v>44348</v>
      </c>
      <c r="AF196" s="5">
        <f>Time!AF19</f>
        <v>44378</v>
      </c>
      <c r="AG196" s="5">
        <f>Time!AG19</f>
        <v>44409</v>
      </c>
      <c r="AH196" s="5">
        <f>Time!AH19</f>
        <v>44440</v>
      </c>
      <c r="AI196" s="5">
        <f>Time!AI19</f>
        <v>44470</v>
      </c>
      <c r="AJ196" s="5">
        <f>Time!AJ19</f>
        <v>44501</v>
      </c>
      <c r="AK196" s="5">
        <f>Time!AK19</f>
        <v>44531</v>
      </c>
      <c r="AL196" s="5">
        <f>Time!AL19</f>
        <v>44562</v>
      </c>
      <c r="AM196" s="5">
        <f>Time!AM19</f>
        <v>44593</v>
      </c>
      <c r="AN196" s="5">
        <f>Time!AN19</f>
        <v>44621</v>
      </c>
      <c r="AO196" s="5">
        <f>Time!AO19</f>
        <v>44652</v>
      </c>
      <c r="AP196" s="5">
        <f>Time!AP19</f>
        <v>44682</v>
      </c>
      <c r="AQ196" s="5">
        <f>Time!AQ19</f>
        <v>44713</v>
      </c>
      <c r="AR196" s="5">
        <f>Time!AR19</f>
        <v>44743</v>
      </c>
      <c r="AS196" s="5">
        <f>Time!AS19</f>
        <v>44774</v>
      </c>
      <c r="AT196" s="5">
        <f>Time!AT19</f>
        <v>44805</v>
      </c>
      <c r="AU196" s="5">
        <f>Time!AU19</f>
        <v>44835</v>
      </c>
      <c r="AV196" s="5">
        <f>Time!AV19</f>
        <v>44866</v>
      </c>
      <c r="AW196" s="5">
        <f>Time!AW19</f>
        <v>44896</v>
      </c>
      <c r="AX196" s="5">
        <f>Time!AX19</f>
        <v>44927</v>
      </c>
      <c r="AY196" s="5">
        <f>Time!AY19</f>
        <v>44958</v>
      </c>
      <c r="AZ196" s="5">
        <f>Time!AZ19</f>
        <v>44986</v>
      </c>
      <c r="BA196" s="5">
        <f>Time!BA19</f>
        <v>45017</v>
      </c>
      <c r="BB196" s="5">
        <f>Time!BB19</f>
        <v>45047</v>
      </c>
      <c r="BC196" s="5">
        <f>Time!BC19</f>
        <v>45078</v>
      </c>
      <c r="BD196" s="5">
        <f>Time!BD19</f>
        <v>45108</v>
      </c>
      <c r="BE196" s="5">
        <f>Time!BE19</f>
        <v>45139</v>
      </c>
      <c r="BF196" s="5">
        <f>Time!BF19</f>
        <v>45170</v>
      </c>
      <c r="BG196" s="5">
        <f>Time!BG19</f>
        <v>45200</v>
      </c>
      <c r="BH196" s="5">
        <f>Time!BH19</f>
        <v>45231</v>
      </c>
      <c r="BI196" s="5">
        <f>Time!BI19</f>
        <v>45261</v>
      </c>
    </row>
    <row r="197" spans="4:61" s="4" customFormat="1" x14ac:dyDescent="0.35">
      <c r="E197" s="4" t="str">
        <f>'Demandes de solde'!E245</f>
        <v>Volumes-Demande de solde-Projection</v>
      </c>
      <c r="J197" s="4" t="str">
        <f>'Demandes de solde'!J245</f>
        <v>Volume</v>
      </c>
      <c r="N197" s="85">
        <f>'Demandes de solde'!N245</f>
        <v>0</v>
      </c>
      <c r="O197" s="85">
        <f>'Demandes de solde'!O245</f>
        <v>0</v>
      </c>
      <c r="P197" s="85">
        <f>'Demandes de solde'!P245</f>
        <v>0</v>
      </c>
      <c r="Q197" s="85">
        <f>'Demandes de solde'!Q245</f>
        <v>87</v>
      </c>
      <c r="R197" s="85">
        <f>'Demandes de solde'!R245</f>
        <v>636</v>
      </c>
      <c r="S197" s="85">
        <f>'Demandes de solde'!S245</f>
        <v>2269</v>
      </c>
      <c r="T197" s="85">
        <f>'Demandes de solde'!T245</f>
        <v>4269</v>
      </c>
      <c r="U197" s="85">
        <f>'Demandes de solde'!U245</f>
        <v>6469</v>
      </c>
      <c r="V197" s="85">
        <f>'Demandes de solde'!V245</f>
        <v>10749</v>
      </c>
      <c r="W197" s="85">
        <f>'Demandes de solde'!W245</f>
        <v>14183</v>
      </c>
      <c r="X197" s="85">
        <f>'Demandes de solde'!X245</f>
        <v>16574</v>
      </c>
      <c r="Y197" s="85">
        <f>'Demandes de solde'!Y245</f>
        <v>19960</v>
      </c>
      <c r="Z197" s="85">
        <f>'Demandes de solde'!Z245</f>
        <v>21697</v>
      </c>
      <c r="AA197" s="85">
        <f>'Demandes de solde'!AA245</f>
        <v>27179</v>
      </c>
      <c r="AB197" s="85">
        <f>'Demandes de solde'!AB245</f>
        <v>32553</v>
      </c>
      <c r="AC197" s="85">
        <f>'Demandes de solde'!AC245</f>
        <v>34544</v>
      </c>
      <c r="AD197" s="85">
        <f>'Demandes de solde'!AD245</f>
        <v>32781</v>
      </c>
      <c r="AE197" s="85">
        <f>'Demandes de solde'!AE245</f>
        <v>38664</v>
      </c>
      <c r="AF197" s="85">
        <f>'Demandes de solde'!AF245</f>
        <v>40773</v>
      </c>
      <c r="AG197" s="85">
        <f>'Demandes de solde'!AG245</f>
        <v>27624</v>
      </c>
      <c r="AH197" s="85">
        <f>'Demandes de solde'!AH245</f>
        <v>44997</v>
      </c>
      <c r="AI197" s="85">
        <f>'Demandes de solde'!AI245</f>
        <v>51424</v>
      </c>
      <c r="AJ197" s="85">
        <f>'Demandes de solde'!AJ245</f>
        <v>53131</v>
      </c>
      <c r="AK197" s="85">
        <f>'Demandes de solde'!AK245</f>
        <v>56324</v>
      </c>
      <c r="AL197" s="85">
        <f>'Demandes de solde'!AL245</f>
        <v>55779.354484422802</v>
      </c>
      <c r="AM197" s="85">
        <f>'Demandes de solde'!AM245</f>
        <v>52425.82824647989</v>
      </c>
      <c r="AN197" s="85">
        <f>'Demandes de solde'!AN245</f>
        <v>60235.743482396771</v>
      </c>
      <c r="AO197" s="85">
        <f>'Demandes de solde'!AO245</f>
        <v>59531.72975090504</v>
      </c>
      <c r="AP197" s="85">
        <f>'Demandes de solde'!AP245</f>
        <v>62473.721581154561</v>
      </c>
      <c r="AQ197" s="85">
        <f>'Demandes de solde'!AQ245</f>
        <v>60509.608006077935</v>
      </c>
      <c r="AR197" s="85">
        <f>'Demandes de solde'!AR245</f>
        <v>60763.115116330067</v>
      </c>
      <c r="AS197" s="85">
        <f>'Demandes de solde'!AS245</f>
        <v>56949.508506996957</v>
      </c>
      <c r="AT197" s="85">
        <f>'Demandes de solde'!AT245</f>
        <v>57053.136182929935</v>
      </c>
      <c r="AU197" s="85">
        <f>'Demandes de solde'!AU245</f>
        <v>61251.178951307833</v>
      </c>
      <c r="AV197" s="85">
        <f>'Demandes de solde'!AV245</f>
        <v>60402.402042979265</v>
      </c>
      <c r="AW197" s="85">
        <f>'Demandes de solde'!AW245</f>
        <v>64175.252174882356</v>
      </c>
      <c r="AX197" s="85">
        <f>'Demandes de solde'!AX245</f>
        <v>63005.515505017313</v>
      </c>
      <c r="AY197" s="85">
        <f>'Demandes de solde'!AY245</f>
        <v>58444.060974671265</v>
      </c>
      <c r="AZ197" s="85">
        <f>'Demandes de solde'!AZ245</f>
        <v>66515.865208060728</v>
      </c>
      <c r="BA197" s="85">
        <f>'Demandes de solde'!BA245</f>
        <v>65544.945076049407</v>
      </c>
      <c r="BB197" s="85">
        <f>'Demandes de solde'!BB245</f>
        <v>68579.424332022172</v>
      </c>
      <c r="BC197" s="85">
        <f>'Demandes de solde'!BC245</f>
        <v>66630.538624534631</v>
      </c>
      <c r="BD197" s="85">
        <f>'Demandes de solde'!BD245</f>
        <v>66973.324207001657</v>
      </c>
      <c r="BE197" s="85">
        <f>'Demandes de solde'!BE245</f>
        <v>62873.030008606853</v>
      </c>
      <c r="BF197" s="85">
        <f>'Demandes de solde'!BF245</f>
        <v>62902.09938989528</v>
      </c>
      <c r="BG197" s="85">
        <f>'Demandes de solde'!BG245</f>
        <v>67489.377899406871</v>
      </c>
      <c r="BH197" s="85">
        <f>'Demandes de solde'!BH245</f>
        <v>66481.718475194008</v>
      </c>
      <c r="BI197" s="85">
        <f>'Demandes de solde'!BI245</f>
        <v>70608.725113188964</v>
      </c>
    </row>
    <row r="198" spans="4:61" s="4" customFormat="1" x14ac:dyDescent="0.35">
      <c r="E198" s="4" t="str">
        <f>'Demandes de solde'!E246</f>
        <v>Montant-Demande de solde-Projection</v>
      </c>
      <c r="J198" s="4" t="str">
        <f>'Demandes de solde'!J246</f>
        <v>EUR</v>
      </c>
      <c r="N198" s="85">
        <f>'Demandes de solde'!N246</f>
        <v>0</v>
      </c>
      <c r="O198" s="85">
        <f>'Demandes de solde'!O246</f>
        <v>0</v>
      </c>
      <c r="P198" s="85">
        <f>'Demandes de solde'!P246</f>
        <v>0</v>
      </c>
      <c r="Q198" s="85">
        <f>'Demandes de solde'!Q246</f>
        <v>160504.63</v>
      </c>
      <c r="R198" s="85">
        <f>'Demandes de solde'!R246</f>
        <v>1267129.6000000001</v>
      </c>
      <c r="S198" s="85">
        <f>'Demandes de solde'!S246</f>
        <v>5261271.97</v>
      </c>
      <c r="T198" s="85">
        <f>'Demandes de solde'!T246</f>
        <v>13023606.43</v>
      </c>
      <c r="U198" s="85">
        <f>'Demandes de solde'!U246</f>
        <v>26368978.469999999</v>
      </c>
      <c r="V198" s="85">
        <f>'Demandes de solde'!V246</f>
        <v>44193795.350000001</v>
      </c>
      <c r="W198" s="85">
        <f>'Demandes de solde'!W246</f>
        <v>54588368.890000001</v>
      </c>
      <c r="X198" s="85">
        <f>'Demandes de solde'!X246</f>
        <v>54663927.649999999</v>
      </c>
      <c r="Y198" s="85">
        <f>'Demandes de solde'!Y246</f>
        <v>64527047.490000002</v>
      </c>
      <c r="Z198" s="85">
        <f>'Demandes de solde'!Z246</f>
        <v>68603893.200000003</v>
      </c>
      <c r="AA198" s="85">
        <f>'Demandes de solde'!AA246</f>
        <v>68891145.689999998</v>
      </c>
      <c r="AB198" s="85">
        <f>'Demandes de solde'!AB246</f>
        <v>88522987.609999999</v>
      </c>
      <c r="AC198" s="85">
        <f>'Demandes de solde'!AC246</f>
        <v>85918607.150000006</v>
      </c>
      <c r="AD198" s="85">
        <f>'Demandes de solde'!AD246</f>
        <v>84705685.909999996</v>
      </c>
      <c r="AE198" s="85">
        <f>'Demandes de solde'!AE246</f>
        <v>117137593.17</v>
      </c>
      <c r="AF198" s="85">
        <f>'Demandes de solde'!AF246</f>
        <v>121435745.29000001</v>
      </c>
      <c r="AG198" s="85">
        <f>'Demandes de solde'!AG246</f>
        <v>83392625.019999996</v>
      </c>
      <c r="AH198" s="85">
        <f>'Demandes de solde'!AH246</f>
        <v>129732636.14</v>
      </c>
      <c r="AI198" s="85">
        <f>'Demandes de solde'!AI246</f>
        <v>164989438.21000001</v>
      </c>
      <c r="AJ198" s="85">
        <f>'Demandes de solde'!AJ246</f>
        <v>158424692.24000001</v>
      </c>
      <c r="AK198" s="85">
        <f>'Demandes de solde'!AK246</f>
        <v>166312266.81999999</v>
      </c>
      <c r="AL198" s="85">
        <f>'Demandes de solde'!AL246</f>
        <v>184600654.41982979</v>
      </c>
      <c r="AM198" s="85">
        <f>'Demandes de solde'!AM246</f>
        <v>173130120.42007142</v>
      </c>
      <c r="AN198" s="85">
        <f>'Demandes de solde'!AN246</f>
        <v>198950266.41112623</v>
      </c>
      <c r="AO198" s="85">
        <f>'Demandes de solde'!AO246</f>
        <v>197101298.61384284</v>
      </c>
      <c r="AP198" s="85">
        <f>'Demandes de solde'!AP246</f>
        <v>206659028.58972105</v>
      </c>
      <c r="AQ198" s="85">
        <f>'Demandes de solde'!AQ246</f>
        <v>199799305.46874478</v>
      </c>
      <c r="AR198" s="85">
        <f>'Demandes de solde'!AR246</f>
        <v>199778862.81600019</v>
      </c>
      <c r="AS198" s="85">
        <f>'Demandes de solde'!AS246</f>
        <v>186631202.46530092</v>
      </c>
      <c r="AT198" s="85">
        <f>'Demandes de solde'!AT246</f>
        <v>186365514.21371439</v>
      </c>
      <c r="AU198" s="85">
        <f>'Demandes de solde'!AU246</f>
        <v>199724391.75540212</v>
      </c>
      <c r="AV198" s="85">
        <f>'Demandes de solde'!AV246</f>
        <v>196315095.55029151</v>
      </c>
      <c r="AW198" s="85">
        <f>'Demandes de solde'!AW246</f>
        <v>207808643.41029739</v>
      </c>
      <c r="AX198" s="85">
        <f>'Demandes de solde'!AX246</f>
        <v>205081311.9846147</v>
      </c>
      <c r="AY198" s="85">
        <f>'Demandes de solde'!AY246</f>
        <v>191096920.49873343</v>
      </c>
      <c r="AZ198" s="85">
        <f>'Demandes de solde'!AZ246</f>
        <v>218187492.36831683</v>
      </c>
      <c r="BA198" s="85">
        <f>'Demandes de solde'!BA246</f>
        <v>215539498.3780469</v>
      </c>
      <c r="BB198" s="85">
        <f>'Demandes de solde'!BB246</f>
        <v>226032637.73718202</v>
      </c>
      <c r="BC198" s="85">
        <f>'Demandes de solde'!BC246</f>
        <v>220058364.35968471</v>
      </c>
      <c r="BD198" s="85">
        <f>'Demandes de solde'!BD246</f>
        <v>221553160.58897379</v>
      </c>
      <c r="BE198" s="85">
        <f>'Demandes de solde'!BE246</f>
        <v>208257094.25626764</v>
      </c>
      <c r="BF198" s="85">
        <f>'Demandes de solde'!BF246</f>
        <v>208707034.64173955</v>
      </c>
      <c r="BG198" s="85">
        <f>'Demandes de solde'!BG246</f>
        <v>224251782.08309859</v>
      </c>
      <c r="BH198" s="85">
        <f>'Demandes de solde'!BH246</f>
        <v>221144430.68385324</v>
      </c>
      <c r="BI198" s="85">
        <f>'Demandes de solde'!BI246</f>
        <v>235077065.43479133</v>
      </c>
    </row>
    <row r="199" spans="4:61" x14ac:dyDescent="0.35"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</row>
    <row r="200" spans="4:61" s="6" customFormat="1" x14ac:dyDescent="0.35">
      <c r="E200" s="6" t="s">
        <v>91</v>
      </c>
      <c r="J200" s="6" t="s">
        <v>51</v>
      </c>
      <c r="N200" s="87">
        <f>IFERROR(N198/N197,0)</f>
        <v>0</v>
      </c>
      <c r="O200" s="87">
        <f t="shared" ref="O200:BI200" si="91">IFERROR(O198/O197,0)</f>
        <v>0</v>
      </c>
      <c r="P200" s="87">
        <f t="shared" si="91"/>
        <v>0</v>
      </c>
      <c r="Q200" s="87">
        <f t="shared" si="91"/>
        <v>1844.8808045977012</v>
      </c>
      <c r="R200" s="87">
        <f t="shared" si="91"/>
        <v>1992.3421383647801</v>
      </c>
      <c r="S200" s="87">
        <f t="shared" si="91"/>
        <v>2318.7624371970028</v>
      </c>
      <c r="T200" s="87">
        <f t="shared" si="91"/>
        <v>3050.7393839306628</v>
      </c>
      <c r="U200" s="87">
        <f t="shared" si="91"/>
        <v>4076.2062869067859</v>
      </c>
      <c r="V200" s="87">
        <f t="shared" si="91"/>
        <v>4111.4331891338734</v>
      </c>
      <c r="W200" s="87">
        <f t="shared" si="91"/>
        <v>3848.8591193682578</v>
      </c>
      <c r="X200" s="87">
        <f t="shared" si="91"/>
        <v>3298.1735036804635</v>
      </c>
      <c r="Y200" s="87">
        <f t="shared" si="91"/>
        <v>3232.8180105210422</v>
      </c>
      <c r="Z200" s="87">
        <f t="shared" si="91"/>
        <v>3161.9068626999124</v>
      </c>
      <c r="AA200" s="87">
        <f t="shared" si="91"/>
        <v>2534.7196618712978</v>
      </c>
      <c r="AB200" s="87">
        <f t="shared" si="91"/>
        <v>2719.3496024943938</v>
      </c>
      <c r="AC200" s="87">
        <f t="shared" si="91"/>
        <v>2487.2223005442338</v>
      </c>
      <c r="AD200" s="87">
        <f t="shared" si="91"/>
        <v>2583.9872459656508</v>
      </c>
      <c r="AE200" s="87">
        <f t="shared" si="91"/>
        <v>3029.6294529795159</v>
      </c>
      <c r="AF200" s="87">
        <f t="shared" si="91"/>
        <v>2978.3372646113853</v>
      </c>
      <c r="AG200" s="87">
        <f t="shared" si="91"/>
        <v>3018.8468368085719</v>
      </c>
      <c r="AH200" s="87">
        <f t="shared" si="91"/>
        <v>2883.139679089717</v>
      </c>
      <c r="AI200" s="87">
        <f t="shared" si="91"/>
        <v>3208.4131574751091</v>
      </c>
      <c r="AJ200" s="87">
        <f t="shared" si="91"/>
        <v>2981.7750887429188</v>
      </c>
      <c r="AK200" s="87">
        <f t="shared" si="91"/>
        <v>2952.777977771465</v>
      </c>
      <c r="AL200" s="87">
        <f t="shared" si="91"/>
        <v>3309.4799343972727</v>
      </c>
      <c r="AM200" s="87">
        <f t="shared" si="91"/>
        <v>3302.3821694547319</v>
      </c>
      <c r="AN200" s="87">
        <f t="shared" si="91"/>
        <v>3302.8606423570955</v>
      </c>
      <c r="AO200" s="87">
        <f t="shared" si="91"/>
        <v>3310.8612741232564</v>
      </c>
      <c r="AP200" s="87">
        <f t="shared" si="91"/>
        <v>3307.9352943824069</v>
      </c>
      <c r="AQ200" s="87">
        <f t="shared" si="91"/>
        <v>3301.9434772850582</v>
      </c>
      <c r="AR200" s="87">
        <f t="shared" si="91"/>
        <v>3287.8311527235983</v>
      </c>
      <c r="AS200" s="87">
        <f t="shared" si="91"/>
        <v>3277.1345593328683</v>
      </c>
      <c r="AT200" s="87">
        <f t="shared" si="91"/>
        <v>3266.5253250262899</v>
      </c>
      <c r="AU200" s="87">
        <f t="shared" si="91"/>
        <v>3260.7436326111338</v>
      </c>
      <c r="AV200" s="87">
        <f t="shared" si="91"/>
        <v>3250.1206725289453</v>
      </c>
      <c r="AW200" s="87">
        <f t="shared" si="91"/>
        <v>3238.142996992101</v>
      </c>
      <c r="AX200" s="87">
        <f t="shared" si="91"/>
        <v>3254.9739549116694</v>
      </c>
      <c r="AY200" s="87">
        <f t="shared" si="91"/>
        <v>3269.7406256822542</v>
      </c>
      <c r="AZ200" s="87">
        <f t="shared" si="91"/>
        <v>3280.2323428527811</v>
      </c>
      <c r="BA200" s="87">
        <f t="shared" si="91"/>
        <v>3288.4229001636095</v>
      </c>
      <c r="BB200" s="87">
        <f t="shared" si="91"/>
        <v>3295.9249795224564</v>
      </c>
      <c r="BC200" s="87">
        <f t="shared" si="91"/>
        <v>3302.6652478335968</v>
      </c>
      <c r="BD200" s="87">
        <f t="shared" si="91"/>
        <v>3308.0806905178488</v>
      </c>
      <c r="BE200" s="87">
        <f t="shared" si="91"/>
        <v>3312.3438496245335</v>
      </c>
      <c r="BF200" s="87">
        <f t="shared" si="91"/>
        <v>3317.9661198282147</v>
      </c>
      <c r="BG200" s="87">
        <f t="shared" si="91"/>
        <v>3322.77150957513</v>
      </c>
      <c r="BH200" s="87">
        <f t="shared" si="91"/>
        <v>3326.3946202950178</v>
      </c>
      <c r="BI200" s="87">
        <f t="shared" si="91"/>
        <v>3329.2920252837339</v>
      </c>
    </row>
    <row r="201" spans="4:61" x14ac:dyDescent="0.35"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</row>
    <row r="202" spans="4:61" x14ac:dyDescent="0.35">
      <c r="E202">
        <f t="shared" ref="E202:E213" si="92">E13</f>
        <v>1</v>
      </c>
      <c r="J202" t="str">
        <f t="shared" ref="J202:J213" si="93">J13</f>
        <v>date</v>
      </c>
      <c r="N202" s="7">
        <f t="shared" ref="N202:BI202" si="94">N13</f>
        <v>43831</v>
      </c>
      <c r="O202" s="7">
        <f t="shared" si="94"/>
        <v>43831</v>
      </c>
      <c r="P202" s="7">
        <f t="shared" si="94"/>
        <v>43831</v>
      </c>
      <c r="Q202" s="7">
        <f t="shared" si="94"/>
        <v>43831</v>
      </c>
      <c r="R202" s="7">
        <f t="shared" si="94"/>
        <v>43831</v>
      </c>
      <c r="S202" s="7">
        <f t="shared" si="94"/>
        <v>43831</v>
      </c>
      <c r="T202" s="7">
        <f t="shared" si="94"/>
        <v>43831</v>
      </c>
      <c r="U202" s="7">
        <f t="shared" si="94"/>
        <v>43831</v>
      </c>
      <c r="V202" s="7">
        <f t="shared" si="94"/>
        <v>43831</v>
      </c>
      <c r="W202" s="7">
        <f t="shared" si="94"/>
        <v>43831</v>
      </c>
      <c r="X202" s="7">
        <f t="shared" si="94"/>
        <v>43831</v>
      </c>
      <c r="Y202" s="7">
        <f t="shared" si="94"/>
        <v>43831</v>
      </c>
      <c r="Z202" s="7">
        <f t="shared" si="94"/>
        <v>44197</v>
      </c>
      <c r="AA202" s="7">
        <f t="shared" si="94"/>
        <v>44197</v>
      </c>
      <c r="AB202" s="7">
        <f t="shared" si="94"/>
        <v>44197</v>
      </c>
      <c r="AC202" s="7">
        <f t="shared" si="94"/>
        <v>44197</v>
      </c>
      <c r="AD202" s="7">
        <f t="shared" si="94"/>
        <v>44197</v>
      </c>
      <c r="AE202" s="7">
        <f t="shared" si="94"/>
        <v>44197</v>
      </c>
      <c r="AF202" s="7">
        <f t="shared" si="94"/>
        <v>44197</v>
      </c>
      <c r="AG202" s="7">
        <f t="shared" si="94"/>
        <v>44197</v>
      </c>
      <c r="AH202" s="7">
        <f t="shared" si="94"/>
        <v>44197</v>
      </c>
      <c r="AI202" s="7">
        <f t="shared" si="94"/>
        <v>44197</v>
      </c>
      <c r="AJ202" s="7">
        <f t="shared" si="94"/>
        <v>44197</v>
      </c>
      <c r="AK202" s="7">
        <f t="shared" si="94"/>
        <v>44197</v>
      </c>
      <c r="AL202" s="7">
        <f t="shared" si="94"/>
        <v>44562</v>
      </c>
      <c r="AM202" s="7">
        <f t="shared" si="94"/>
        <v>44562</v>
      </c>
      <c r="AN202" s="7">
        <f t="shared" si="94"/>
        <v>44562</v>
      </c>
      <c r="AO202" s="7">
        <f t="shared" si="94"/>
        <v>44562</v>
      </c>
      <c r="AP202" s="7">
        <f t="shared" si="94"/>
        <v>44562</v>
      </c>
      <c r="AQ202" s="7">
        <f t="shared" si="94"/>
        <v>44562</v>
      </c>
      <c r="AR202" s="7">
        <f t="shared" si="94"/>
        <v>44562</v>
      </c>
      <c r="AS202" s="7">
        <f t="shared" si="94"/>
        <v>44562</v>
      </c>
      <c r="AT202" s="7">
        <f t="shared" si="94"/>
        <v>44562</v>
      </c>
      <c r="AU202" s="7">
        <f t="shared" si="94"/>
        <v>44562</v>
      </c>
      <c r="AV202" s="7">
        <f t="shared" si="94"/>
        <v>44562</v>
      </c>
      <c r="AW202" s="7">
        <f t="shared" si="94"/>
        <v>44562</v>
      </c>
      <c r="AX202" s="7">
        <f t="shared" si="94"/>
        <v>44927</v>
      </c>
      <c r="AY202" s="7">
        <f t="shared" si="94"/>
        <v>44927</v>
      </c>
      <c r="AZ202" s="7">
        <f t="shared" si="94"/>
        <v>44927</v>
      </c>
      <c r="BA202" s="7">
        <f t="shared" si="94"/>
        <v>44927</v>
      </c>
      <c r="BB202" s="7">
        <f t="shared" si="94"/>
        <v>44927</v>
      </c>
      <c r="BC202" s="7">
        <f t="shared" si="94"/>
        <v>44927</v>
      </c>
      <c r="BD202" s="7">
        <f t="shared" si="94"/>
        <v>44927</v>
      </c>
      <c r="BE202" s="7">
        <f t="shared" si="94"/>
        <v>44927</v>
      </c>
      <c r="BF202" s="7">
        <f t="shared" si="94"/>
        <v>44927</v>
      </c>
      <c r="BG202" s="7">
        <f t="shared" si="94"/>
        <v>44927</v>
      </c>
      <c r="BH202" s="7">
        <f t="shared" si="94"/>
        <v>44927</v>
      </c>
      <c r="BI202" s="7">
        <f t="shared" si="94"/>
        <v>44927</v>
      </c>
    </row>
    <row r="203" spans="4:61" x14ac:dyDescent="0.35">
      <c r="E203">
        <f t="shared" si="92"/>
        <v>2</v>
      </c>
      <c r="J203" t="str">
        <f t="shared" si="93"/>
        <v>date</v>
      </c>
      <c r="N203" s="78"/>
      <c r="O203" s="7">
        <f t="shared" ref="O203:BI203" si="95">O14</f>
        <v>43862</v>
      </c>
      <c r="P203" s="7">
        <f t="shared" si="95"/>
        <v>43862</v>
      </c>
      <c r="Q203" s="7">
        <f t="shared" si="95"/>
        <v>43862</v>
      </c>
      <c r="R203" s="7">
        <f t="shared" si="95"/>
        <v>43862</v>
      </c>
      <c r="S203" s="7">
        <f t="shared" si="95"/>
        <v>43862</v>
      </c>
      <c r="T203" s="7">
        <f t="shared" si="95"/>
        <v>43862</v>
      </c>
      <c r="U203" s="7">
        <f t="shared" si="95"/>
        <v>43862</v>
      </c>
      <c r="V203" s="7">
        <f t="shared" si="95"/>
        <v>43862</v>
      </c>
      <c r="W203" s="7">
        <f t="shared" si="95"/>
        <v>43862</v>
      </c>
      <c r="X203" s="7">
        <f t="shared" si="95"/>
        <v>43862</v>
      </c>
      <c r="Y203" s="7">
        <f t="shared" si="95"/>
        <v>43862</v>
      </c>
      <c r="Z203" s="7">
        <f t="shared" si="95"/>
        <v>43862</v>
      </c>
      <c r="AA203" s="7">
        <f t="shared" si="95"/>
        <v>44228</v>
      </c>
      <c r="AB203" s="7">
        <f t="shared" si="95"/>
        <v>44228</v>
      </c>
      <c r="AC203" s="7">
        <f t="shared" si="95"/>
        <v>44228</v>
      </c>
      <c r="AD203" s="7">
        <f t="shared" si="95"/>
        <v>44228</v>
      </c>
      <c r="AE203" s="7">
        <f t="shared" si="95"/>
        <v>44228</v>
      </c>
      <c r="AF203" s="7">
        <f t="shared" si="95"/>
        <v>44228</v>
      </c>
      <c r="AG203" s="7">
        <f t="shared" si="95"/>
        <v>44228</v>
      </c>
      <c r="AH203" s="7">
        <f t="shared" si="95"/>
        <v>44228</v>
      </c>
      <c r="AI203" s="7">
        <f t="shared" si="95"/>
        <v>44228</v>
      </c>
      <c r="AJ203" s="7">
        <f t="shared" si="95"/>
        <v>44228</v>
      </c>
      <c r="AK203" s="7">
        <f t="shared" si="95"/>
        <v>44228</v>
      </c>
      <c r="AL203" s="7">
        <f t="shared" si="95"/>
        <v>44228</v>
      </c>
      <c r="AM203" s="7">
        <f t="shared" si="95"/>
        <v>44593</v>
      </c>
      <c r="AN203" s="7">
        <f t="shared" si="95"/>
        <v>44593</v>
      </c>
      <c r="AO203" s="7">
        <f t="shared" si="95"/>
        <v>44593</v>
      </c>
      <c r="AP203" s="7">
        <f t="shared" si="95"/>
        <v>44593</v>
      </c>
      <c r="AQ203" s="7">
        <f t="shared" si="95"/>
        <v>44593</v>
      </c>
      <c r="AR203" s="7">
        <f t="shared" si="95"/>
        <v>44593</v>
      </c>
      <c r="AS203" s="7">
        <f t="shared" si="95"/>
        <v>44593</v>
      </c>
      <c r="AT203" s="7">
        <f t="shared" si="95"/>
        <v>44593</v>
      </c>
      <c r="AU203" s="7">
        <f t="shared" si="95"/>
        <v>44593</v>
      </c>
      <c r="AV203" s="7">
        <f t="shared" si="95"/>
        <v>44593</v>
      </c>
      <c r="AW203" s="7">
        <f t="shared" si="95"/>
        <v>44593</v>
      </c>
      <c r="AX203" s="7">
        <f t="shared" si="95"/>
        <v>44593</v>
      </c>
      <c r="AY203" s="7">
        <f t="shared" si="95"/>
        <v>44958</v>
      </c>
      <c r="AZ203" s="7">
        <f t="shared" si="95"/>
        <v>44958</v>
      </c>
      <c r="BA203" s="7">
        <f t="shared" si="95"/>
        <v>44958</v>
      </c>
      <c r="BB203" s="7">
        <f t="shared" si="95"/>
        <v>44958</v>
      </c>
      <c r="BC203" s="7">
        <f t="shared" si="95"/>
        <v>44958</v>
      </c>
      <c r="BD203" s="7">
        <f t="shared" si="95"/>
        <v>44958</v>
      </c>
      <c r="BE203" s="7">
        <f t="shared" si="95"/>
        <v>44958</v>
      </c>
      <c r="BF203" s="7">
        <f t="shared" si="95"/>
        <v>44958</v>
      </c>
      <c r="BG203" s="7">
        <f t="shared" si="95"/>
        <v>44958</v>
      </c>
      <c r="BH203" s="7">
        <f t="shared" si="95"/>
        <v>44958</v>
      </c>
      <c r="BI203" s="7">
        <f t="shared" si="95"/>
        <v>44958</v>
      </c>
    </row>
    <row r="204" spans="4:61" x14ac:dyDescent="0.35">
      <c r="E204">
        <f t="shared" si="92"/>
        <v>3</v>
      </c>
      <c r="J204" t="str">
        <f t="shared" si="93"/>
        <v>date</v>
      </c>
      <c r="N204" s="78"/>
      <c r="O204" s="78"/>
      <c r="P204" s="7">
        <f t="shared" ref="P204:BI204" si="96">P15</f>
        <v>43891</v>
      </c>
      <c r="Q204" s="7">
        <f t="shared" si="96"/>
        <v>43891</v>
      </c>
      <c r="R204" s="7">
        <f t="shared" si="96"/>
        <v>43891</v>
      </c>
      <c r="S204" s="7">
        <f t="shared" si="96"/>
        <v>43891</v>
      </c>
      <c r="T204" s="7">
        <f t="shared" si="96"/>
        <v>43891</v>
      </c>
      <c r="U204" s="7">
        <f t="shared" si="96"/>
        <v>43891</v>
      </c>
      <c r="V204" s="7">
        <f t="shared" si="96"/>
        <v>43891</v>
      </c>
      <c r="W204" s="7">
        <f t="shared" si="96"/>
        <v>43891</v>
      </c>
      <c r="X204" s="7">
        <f t="shared" si="96"/>
        <v>43891</v>
      </c>
      <c r="Y204" s="7">
        <f t="shared" si="96"/>
        <v>43891</v>
      </c>
      <c r="Z204" s="7">
        <f t="shared" si="96"/>
        <v>43891</v>
      </c>
      <c r="AA204" s="7">
        <f t="shared" si="96"/>
        <v>43891</v>
      </c>
      <c r="AB204" s="7">
        <f t="shared" si="96"/>
        <v>44256</v>
      </c>
      <c r="AC204" s="7">
        <f t="shared" si="96"/>
        <v>44256</v>
      </c>
      <c r="AD204" s="7">
        <f t="shared" si="96"/>
        <v>44256</v>
      </c>
      <c r="AE204" s="7">
        <f t="shared" si="96"/>
        <v>44256</v>
      </c>
      <c r="AF204" s="7">
        <f t="shared" si="96"/>
        <v>44256</v>
      </c>
      <c r="AG204" s="7">
        <f t="shared" si="96"/>
        <v>44256</v>
      </c>
      <c r="AH204" s="7">
        <f t="shared" si="96"/>
        <v>44256</v>
      </c>
      <c r="AI204" s="7">
        <f t="shared" si="96"/>
        <v>44256</v>
      </c>
      <c r="AJ204" s="7">
        <f t="shared" si="96"/>
        <v>44256</v>
      </c>
      <c r="AK204" s="7">
        <f t="shared" si="96"/>
        <v>44256</v>
      </c>
      <c r="AL204" s="7">
        <f t="shared" si="96"/>
        <v>44256</v>
      </c>
      <c r="AM204" s="7">
        <f t="shared" si="96"/>
        <v>44256</v>
      </c>
      <c r="AN204" s="7">
        <f t="shared" si="96"/>
        <v>44621</v>
      </c>
      <c r="AO204" s="7">
        <f t="shared" si="96"/>
        <v>44621</v>
      </c>
      <c r="AP204" s="7">
        <f t="shared" si="96"/>
        <v>44621</v>
      </c>
      <c r="AQ204" s="7">
        <f t="shared" si="96"/>
        <v>44621</v>
      </c>
      <c r="AR204" s="7">
        <f t="shared" si="96"/>
        <v>44621</v>
      </c>
      <c r="AS204" s="7">
        <f t="shared" si="96"/>
        <v>44621</v>
      </c>
      <c r="AT204" s="7">
        <f t="shared" si="96"/>
        <v>44621</v>
      </c>
      <c r="AU204" s="7">
        <f t="shared" si="96"/>
        <v>44621</v>
      </c>
      <c r="AV204" s="7">
        <f t="shared" si="96"/>
        <v>44621</v>
      </c>
      <c r="AW204" s="7">
        <f t="shared" si="96"/>
        <v>44621</v>
      </c>
      <c r="AX204" s="7">
        <f t="shared" si="96"/>
        <v>44621</v>
      </c>
      <c r="AY204" s="7">
        <f t="shared" si="96"/>
        <v>44621</v>
      </c>
      <c r="AZ204" s="7">
        <f t="shared" si="96"/>
        <v>44986</v>
      </c>
      <c r="BA204" s="7">
        <f t="shared" si="96"/>
        <v>44986</v>
      </c>
      <c r="BB204" s="7">
        <f t="shared" si="96"/>
        <v>44986</v>
      </c>
      <c r="BC204" s="7">
        <f t="shared" si="96"/>
        <v>44986</v>
      </c>
      <c r="BD204" s="7">
        <f t="shared" si="96"/>
        <v>44986</v>
      </c>
      <c r="BE204" s="7">
        <f t="shared" si="96"/>
        <v>44986</v>
      </c>
      <c r="BF204" s="7">
        <f t="shared" si="96"/>
        <v>44986</v>
      </c>
      <c r="BG204" s="7">
        <f t="shared" si="96"/>
        <v>44986</v>
      </c>
      <c r="BH204" s="7">
        <f t="shared" si="96"/>
        <v>44986</v>
      </c>
      <c r="BI204" s="7">
        <f t="shared" si="96"/>
        <v>44986</v>
      </c>
    </row>
    <row r="205" spans="4:61" x14ac:dyDescent="0.35">
      <c r="E205">
        <f t="shared" si="92"/>
        <v>4</v>
      </c>
      <c r="J205" t="str">
        <f t="shared" si="93"/>
        <v>date</v>
      </c>
      <c r="N205" s="78"/>
      <c r="O205" s="78"/>
      <c r="P205" s="78"/>
      <c r="Q205" s="7">
        <f t="shared" ref="Q205:BI205" si="97">Q16</f>
        <v>43922</v>
      </c>
      <c r="R205" s="7">
        <f t="shared" si="97"/>
        <v>43922</v>
      </c>
      <c r="S205" s="7">
        <f t="shared" si="97"/>
        <v>43922</v>
      </c>
      <c r="T205" s="7">
        <f t="shared" si="97"/>
        <v>43922</v>
      </c>
      <c r="U205" s="7">
        <f t="shared" si="97"/>
        <v>43922</v>
      </c>
      <c r="V205" s="7">
        <f t="shared" si="97"/>
        <v>43922</v>
      </c>
      <c r="W205" s="7">
        <f t="shared" si="97"/>
        <v>43922</v>
      </c>
      <c r="X205" s="7">
        <f t="shared" si="97"/>
        <v>43922</v>
      </c>
      <c r="Y205" s="7">
        <f t="shared" si="97"/>
        <v>43922</v>
      </c>
      <c r="Z205" s="7">
        <f t="shared" si="97"/>
        <v>43922</v>
      </c>
      <c r="AA205" s="7">
        <f t="shared" si="97"/>
        <v>43922</v>
      </c>
      <c r="AB205" s="7">
        <f t="shared" si="97"/>
        <v>43922</v>
      </c>
      <c r="AC205" s="7">
        <f t="shared" si="97"/>
        <v>44287</v>
      </c>
      <c r="AD205" s="7">
        <f t="shared" si="97"/>
        <v>44287</v>
      </c>
      <c r="AE205" s="7">
        <f t="shared" si="97"/>
        <v>44287</v>
      </c>
      <c r="AF205" s="7">
        <f t="shared" si="97"/>
        <v>44287</v>
      </c>
      <c r="AG205" s="7">
        <f t="shared" si="97"/>
        <v>44287</v>
      </c>
      <c r="AH205" s="7">
        <f t="shared" si="97"/>
        <v>44287</v>
      </c>
      <c r="AI205" s="7">
        <f t="shared" si="97"/>
        <v>44287</v>
      </c>
      <c r="AJ205" s="7">
        <f t="shared" si="97"/>
        <v>44287</v>
      </c>
      <c r="AK205" s="7">
        <f t="shared" si="97"/>
        <v>44287</v>
      </c>
      <c r="AL205" s="7">
        <f t="shared" si="97"/>
        <v>44287</v>
      </c>
      <c r="AM205" s="7">
        <f t="shared" si="97"/>
        <v>44287</v>
      </c>
      <c r="AN205" s="7">
        <f t="shared" si="97"/>
        <v>44287</v>
      </c>
      <c r="AO205" s="7">
        <f t="shared" si="97"/>
        <v>44652</v>
      </c>
      <c r="AP205" s="7">
        <f t="shared" si="97"/>
        <v>44652</v>
      </c>
      <c r="AQ205" s="7">
        <f t="shared" si="97"/>
        <v>44652</v>
      </c>
      <c r="AR205" s="7">
        <f t="shared" si="97"/>
        <v>44652</v>
      </c>
      <c r="AS205" s="7">
        <f t="shared" si="97"/>
        <v>44652</v>
      </c>
      <c r="AT205" s="7">
        <f t="shared" si="97"/>
        <v>44652</v>
      </c>
      <c r="AU205" s="7">
        <f t="shared" si="97"/>
        <v>44652</v>
      </c>
      <c r="AV205" s="7">
        <f t="shared" si="97"/>
        <v>44652</v>
      </c>
      <c r="AW205" s="7">
        <f t="shared" si="97"/>
        <v>44652</v>
      </c>
      <c r="AX205" s="7">
        <f t="shared" si="97"/>
        <v>44652</v>
      </c>
      <c r="AY205" s="7">
        <f t="shared" si="97"/>
        <v>44652</v>
      </c>
      <c r="AZ205" s="7">
        <f t="shared" si="97"/>
        <v>44652</v>
      </c>
      <c r="BA205" s="7">
        <f t="shared" si="97"/>
        <v>45017</v>
      </c>
      <c r="BB205" s="7">
        <f t="shared" si="97"/>
        <v>45017</v>
      </c>
      <c r="BC205" s="7">
        <f t="shared" si="97"/>
        <v>45017</v>
      </c>
      <c r="BD205" s="7">
        <f t="shared" si="97"/>
        <v>45017</v>
      </c>
      <c r="BE205" s="7">
        <f t="shared" si="97"/>
        <v>45017</v>
      </c>
      <c r="BF205" s="7">
        <f t="shared" si="97"/>
        <v>45017</v>
      </c>
      <c r="BG205" s="7">
        <f t="shared" si="97"/>
        <v>45017</v>
      </c>
      <c r="BH205" s="7">
        <f t="shared" si="97"/>
        <v>45017</v>
      </c>
      <c r="BI205" s="7">
        <f t="shared" si="97"/>
        <v>45017</v>
      </c>
    </row>
    <row r="206" spans="4:61" x14ac:dyDescent="0.35">
      <c r="E206">
        <f t="shared" si="92"/>
        <v>5</v>
      </c>
      <c r="J206" t="str">
        <f t="shared" si="93"/>
        <v>date</v>
      </c>
      <c r="N206" s="78"/>
      <c r="O206" s="78"/>
      <c r="P206" s="78"/>
      <c r="Q206" s="78"/>
      <c r="R206" s="7">
        <f t="shared" ref="R206:BI206" si="98">R17</f>
        <v>43952</v>
      </c>
      <c r="S206" s="7">
        <f t="shared" si="98"/>
        <v>43952</v>
      </c>
      <c r="T206" s="7">
        <f t="shared" si="98"/>
        <v>43952</v>
      </c>
      <c r="U206" s="7">
        <f t="shared" si="98"/>
        <v>43952</v>
      </c>
      <c r="V206" s="7">
        <f t="shared" si="98"/>
        <v>43952</v>
      </c>
      <c r="W206" s="7">
        <f t="shared" si="98"/>
        <v>43952</v>
      </c>
      <c r="X206" s="7">
        <f t="shared" si="98"/>
        <v>43952</v>
      </c>
      <c r="Y206" s="7">
        <f t="shared" si="98"/>
        <v>43952</v>
      </c>
      <c r="Z206" s="7">
        <f t="shared" si="98"/>
        <v>43952</v>
      </c>
      <c r="AA206" s="7">
        <f t="shared" si="98"/>
        <v>43952</v>
      </c>
      <c r="AB206" s="7">
        <f t="shared" si="98"/>
        <v>43952</v>
      </c>
      <c r="AC206" s="7">
        <f t="shared" si="98"/>
        <v>43952</v>
      </c>
      <c r="AD206" s="7">
        <f t="shared" si="98"/>
        <v>44317</v>
      </c>
      <c r="AE206" s="7">
        <f t="shared" si="98"/>
        <v>44317</v>
      </c>
      <c r="AF206" s="7">
        <f t="shared" si="98"/>
        <v>44317</v>
      </c>
      <c r="AG206" s="7">
        <f t="shared" si="98"/>
        <v>44317</v>
      </c>
      <c r="AH206" s="7">
        <f t="shared" si="98"/>
        <v>44317</v>
      </c>
      <c r="AI206" s="7">
        <f t="shared" si="98"/>
        <v>44317</v>
      </c>
      <c r="AJ206" s="7">
        <f t="shared" si="98"/>
        <v>44317</v>
      </c>
      <c r="AK206" s="7">
        <f t="shared" si="98"/>
        <v>44317</v>
      </c>
      <c r="AL206" s="7">
        <f t="shared" si="98"/>
        <v>44317</v>
      </c>
      <c r="AM206" s="7">
        <f t="shared" si="98"/>
        <v>44317</v>
      </c>
      <c r="AN206" s="7">
        <f t="shared" si="98"/>
        <v>44317</v>
      </c>
      <c r="AO206" s="7">
        <f t="shared" si="98"/>
        <v>44317</v>
      </c>
      <c r="AP206" s="7">
        <f t="shared" si="98"/>
        <v>44682</v>
      </c>
      <c r="AQ206" s="7">
        <f t="shared" si="98"/>
        <v>44682</v>
      </c>
      <c r="AR206" s="7">
        <f t="shared" si="98"/>
        <v>44682</v>
      </c>
      <c r="AS206" s="7">
        <f t="shared" si="98"/>
        <v>44682</v>
      </c>
      <c r="AT206" s="7">
        <f t="shared" si="98"/>
        <v>44682</v>
      </c>
      <c r="AU206" s="7">
        <f t="shared" si="98"/>
        <v>44682</v>
      </c>
      <c r="AV206" s="7">
        <f t="shared" si="98"/>
        <v>44682</v>
      </c>
      <c r="AW206" s="7">
        <f t="shared" si="98"/>
        <v>44682</v>
      </c>
      <c r="AX206" s="7">
        <f t="shared" si="98"/>
        <v>44682</v>
      </c>
      <c r="AY206" s="7">
        <f t="shared" si="98"/>
        <v>44682</v>
      </c>
      <c r="AZ206" s="7">
        <f t="shared" si="98"/>
        <v>44682</v>
      </c>
      <c r="BA206" s="7">
        <f t="shared" si="98"/>
        <v>44682</v>
      </c>
      <c r="BB206" s="7">
        <f t="shared" si="98"/>
        <v>45047</v>
      </c>
      <c r="BC206" s="7">
        <f t="shared" si="98"/>
        <v>45047</v>
      </c>
      <c r="BD206" s="7">
        <f t="shared" si="98"/>
        <v>45047</v>
      </c>
      <c r="BE206" s="7">
        <f t="shared" si="98"/>
        <v>45047</v>
      </c>
      <c r="BF206" s="7">
        <f t="shared" si="98"/>
        <v>45047</v>
      </c>
      <c r="BG206" s="7">
        <f t="shared" si="98"/>
        <v>45047</v>
      </c>
      <c r="BH206" s="7">
        <f t="shared" si="98"/>
        <v>45047</v>
      </c>
      <c r="BI206" s="7">
        <f t="shared" si="98"/>
        <v>45047</v>
      </c>
    </row>
    <row r="207" spans="4:61" x14ac:dyDescent="0.35">
      <c r="E207">
        <f t="shared" si="92"/>
        <v>6</v>
      </c>
      <c r="J207" t="str">
        <f t="shared" si="93"/>
        <v>date</v>
      </c>
      <c r="N207" s="78"/>
      <c r="O207" s="78"/>
      <c r="P207" s="78"/>
      <c r="Q207" s="78"/>
      <c r="R207" s="78"/>
      <c r="S207" s="7">
        <f t="shared" ref="S207:BI207" si="99">S18</f>
        <v>43983</v>
      </c>
      <c r="T207" s="7">
        <f t="shared" si="99"/>
        <v>43983</v>
      </c>
      <c r="U207" s="7">
        <f t="shared" si="99"/>
        <v>43983</v>
      </c>
      <c r="V207" s="7">
        <f t="shared" si="99"/>
        <v>43983</v>
      </c>
      <c r="W207" s="7">
        <f t="shared" si="99"/>
        <v>43983</v>
      </c>
      <c r="X207" s="7">
        <f t="shared" si="99"/>
        <v>43983</v>
      </c>
      <c r="Y207" s="7">
        <f t="shared" si="99"/>
        <v>43983</v>
      </c>
      <c r="Z207" s="7">
        <f t="shared" si="99"/>
        <v>43983</v>
      </c>
      <c r="AA207" s="7">
        <f t="shared" si="99"/>
        <v>43983</v>
      </c>
      <c r="AB207" s="7">
        <f t="shared" si="99"/>
        <v>43983</v>
      </c>
      <c r="AC207" s="7">
        <f t="shared" si="99"/>
        <v>43983</v>
      </c>
      <c r="AD207" s="7">
        <f t="shared" si="99"/>
        <v>43983</v>
      </c>
      <c r="AE207" s="7">
        <f t="shared" si="99"/>
        <v>44348</v>
      </c>
      <c r="AF207" s="7">
        <f t="shared" si="99"/>
        <v>44348</v>
      </c>
      <c r="AG207" s="7">
        <f t="shared" si="99"/>
        <v>44348</v>
      </c>
      <c r="AH207" s="7">
        <f t="shared" si="99"/>
        <v>44348</v>
      </c>
      <c r="AI207" s="7">
        <f t="shared" si="99"/>
        <v>44348</v>
      </c>
      <c r="AJ207" s="7">
        <f t="shared" si="99"/>
        <v>44348</v>
      </c>
      <c r="AK207" s="7">
        <f t="shared" si="99"/>
        <v>44348</v>
      </c>
      <c r="AL207" s="7">
        <f t="shared" si="99"/>
        <v>44348</v>
      </c>
      <c r="AM207" s="7">
        <f t="shared" si="99"/>
        <v>44348</v>
      </c>
      <c r="AN207" s="7">
        <f t="shared" si="99"/>
        <v>44348</v>
      </c>
      <c r="AO207" s="7">
        <f t="shared" si="99"/>
        <v>44348</v>
      </c>
      <c r="AP207" s="7">
        <f t="shared" si="99"/>
        <v>44348</v>
      </c>
      <c r="AQ207" s="7">
        <f t="shared" si="99"/>
        <v>44713</v>
      </c>
      <c r="AR207" s="7">
        <f t="shared" si="99"/>
        <v>44713</v>
      </c>
      <c r="AS207" s="7">
        <f t="shared" si="99"/>
        <v>44713</v>
      </c>
      <c r="AT207" s="7">
        <f t="shared" si="99"/>
        <v>44713</v>
      </c>
      <c r="AU207" s="7">
        <f t="shared" si="99"/>
        <v>44713</v>
      </c>
      <c r="AV207" s="7">
        <f t="shared" si="99"/>
        <v>44713</v>
      </c>
      <c r="AW207" s="7">
        <f t="shared" si="99"/>
        <v>44713</v>
      </c>
      <c r="AX207" s="7">
        <f t="shared" si="99"/>
        <v>44713</v>
      </c>
      <c r="AY207" s="7">
        <f t="shared" si="99"/>
        <v>44713</v>
      </c>
      <c r="AZ207" s="7">
        <f t="shared" si="99"/>
        <v>44713</v>
      </c>
      <c r="BA207" s="7">
        <f t="shared" si="99"/>
        <v>44713</v>
      </c>
      <c r="BB207" s="7">
        <f t="shared" si="99"/>
        <v>44713</v>
      </c>
      <c r="BC207" s="7">
        <f t="shared" si="99"/>
        <v>45078</v>
      </c>
      <c r="BD207" s="7">
        <f t="shared" si="99"/>
        <v>45078</v>
      </c>
      <c r="BE207" s="7">
        <f t="shared" si="99"/>
        <v>45078</v>
      </c>
      <c r="BF207" s="7">
        <f t="shared" si="99"/>
        <v>45078</v>
      </c>
      <c r="BG207" s="7">
        <f t="shared" si="99"/>
        <v>45078</v>
      </c>
      <c r="BH207" s="7">
        <f t="shared" si="99"/>
        <v>45078</v>
      </c>
      <c r="BI207" s="7">
        <f t="shared" si="99"/>
        <v>45078</v>
      </c>
    </row>
    <row r="208" spans="4:61" x14ac:dyDescent="0.35">
      <c r="E208">
        <f t="shared" si="92"/>
        <v>7</v>
      </c>
      <c r="J208" t="str">
        <f t="shared" si="93"/>
        <v>date</v>
      </c>
      <c r="N208" s="78"/>
      <c r="O208" s="78"/>
      <c r="P208" s="78"/>
      <c r="Q208" s="78"/>
      <c r="R208" s="78"/>
      <c r="S208" s="78"/>
      <c r="T208" s="7">
        <f t="shared" ref="T208:BI208" si="100">T19</f>
        <v>44013</v>
      </c>
      <c r="U208" s="7">
        <f t="shared" si="100"/>
        <v>44013</v>
      </c>
      <c r="V208" s="7">
        <f t="shared" si="100"/>
        <v>44013</v>
      </c>
      <c r="W208" s="7">
        <f t="shared" si="100"/>
        <v>44013</v>
      </c>
      <c r="X208" s="7">
        <f t="shared" si="100"/>
        <v>44013</v>
      </c>
      <c r="Y208" s="7">
        <f t="shared" si="100"/>
        <v>44013</v>
      </c>
      <c r="Z208" s="7">
        <f t="shared" si="100"/>
        <v>44013</v>
      </c>
      <c r="AA208" s="7">
        <f t="shared" si="100"/>
        <v>44013</v>
      </c>
      <c r="AB208" s="7">
        <f t="shared" si="100"/>
        <v>44013</v>
      </c>
      <c r="AC208" s="7">
        <f t="shared" si="100"/>
        <v>44013</v>
      </c>
      <c r="AD208" s="7">
        <f t="shared" si="100"/>
        <v>44013</v>
      </c>
      <c r="AE208" s="7">
        <f t="shared" si="100"/>
        <v>44013</v>
      </c>
      <c r="AF208" s="7">
        <f t="shared" si="100"/>
        <v>44378</v>
      </c>
      <c r="AG208" s="7">
        <f t="shared" si="100"/>
        <v>44378</v>
      </c>
      <c r="AH208" s="7">
        <f t="shared" si="100"/>
        <v>44378</v>
      </c>
      <c r="AI208" s="7">
        <f t="shared" si="100"/>
        <v>44378</v>
      </c>
      <c r="AJ208" s="7">
        <f t="shared" si="100"/>
        <v>44378</v>
      </c>
      <c r="AK208" s="7">
        <f t="shared" si="100"/>
        <v>44378</v>
      </c>
      <c r="AL208" s="7">
        <f t="shared" si="100"/>
        <v>44378</v>
      </c>
      <c r="AM208" s="7">
        <f t="shared" si="100"/>
        <v>44378</v>
      </c>
      <c r="AN208" s="7">
        <f t="shared" si="100"/>
        <v>44378</v>
      </c>
      <c r="AO208" s="7">
        <f t="shared" si="100"/>
        <v>44378</v>
      </c>
      <c r="AP208" s="7">
        <f t="shared" si="100"/>
        <v>44378</v>
      </c>
      <c r="AQ208" s="7">
        <f t="shared" si="100"/>
        <v>44378</v>
      </c>
      <c r="AR208" s="7">
        <f t="shared" si="100"/>
        <v>44743</v>
      </c>
      <c r="AS208" s="7">
        <f t="shared" si="100"/>
        <v>44743</v>
      </c>
      <c r="AT208" s="7">
        <f t="shared" si="100"/>
        <v>44743</v>
      </c>
      <c r="AU208" s="7">
        <f t="shared" si="100"/>
        <v>44743</v>
      </c>
      <c r="AV208" s="7">
        <f t="shared" si="100"/>
        <v>44743</v>
      </c>
      <c r="AW208" s="7">
        <f t="shared" si="100"/>
        <v>44743</v>
      </c>
      <c r="AX208" s="7">
        <f t="shared" si="100"/>
        <v>44743</v>
      </c>
      <c r="AY208" s="7">
        <f t="shared" si="100"/>
        <v>44743</v>
      </c>
      <c r="AZ208" s="7">
        <f t="shared" si="100"/>
        <v>44743</v>
      </c>
      <c r="BA208" s="7">
        <f t="shared" si="100"/>
        <v>44743</v>
      </c>
      <c r="BB208" s="7">
        <f t="shared" si="100"/>
        <v>44743</v>
      </c>
      <c r="BC208" s="7">
        <f t="shared" si="100"/>
        <v>44743</v>
      </c>
      <c r="BD208" s="7">
        <f t="shared" si="100"/>
        <v>45108</v>
      </c>
      <c r="BE208" s="7">
        <f t="shared" si="100"/>
        <v>45108</v>
      </c>
      <c r="BF208" s="7">
        <f t="shared" si="100"/>
        <v>45108</v>
      </c>
      <c r="BG208" s="7">
        <f t="shared" si="100"/>
        <v>45108</v>
      </c>
      <c r="BH208" s="7">
        <f t="shared" si="100"/>
        <v>45108</v>
      </c>
      <c r="BI208" s="7">
        <f t="shared" si="100"/>
        <v>45108</v>
      </c>
    </row>
    <row r="209" spans="5:61" x14ac:dyDescent="0.35">
      <c r="E209">
        <f t="shared" si="92"/>
        <v>8</v>
      </c>
      <c r="J209" t="str">
        <f t="shared" si="93"/>
        <v>date</v>
      </c>
      <c r="N209" s="78"/>
      <c r="O209" s="78"/>
      <c r="P209" s="78"/>
      <c r="Q209" s="78"/>
      <c r="R209" s="78"/>
      <c r="S209" s="78"/>
      <c r="T209" s="78"/>
      <c r="U209" s="7">
        <f t="shared" ref="U209:BI209" si="101">U20</f>
        <v>44044</v>
      </c>
      <c r="V209" s="7">
        <f t="shared" si="101"/>
        <v>44044</v>
      </c>
      <c r="W209" s="7">
        <f t="shared" si="101"/>
        <v>44044</v>
      </c>
      <c r="X209" s="7">
        <f t="shared" si="101"/>
        <v>44044</v>
      </c>
      <c r="Y209" s="7">
        <f t="shared" si="101"/>
        <v>44044</v>
      </c>
      <c r="Z209" s="7">
        <f t="shared" si="101"/>
        <v>44044</v>
      </c>
      <c r="AA209" s="7">
        <f t="shared" si="101"/>
        <v>44044</v>
      </c>
      <c r="AB209" s="7">
        <f t="shared" si="101"/>
        <v>44044</v>
      </c>
      <c r="AC209" s="7">
        <f t="shared" si="101"/>
        <v>44044</v>
      </c>
      <c r="AD209" s="7">
        <f t="shared" si="101"/>
        <v>44044</v>
      </c>
      <c r="AE209" s="7">
        <f t="shared" si="101"/>
        <v>44044</v>
      </c>
      <c r="AF209" s="7">
        <f t="shared" si="101"/>
        <v>44044</v>
      </c>
      <c r="AG209" s="7">
        <f t="shared" si="101"/>
        <v>44409</v>
      </c>
      <c r="AH209" s="7">
        <f t="shared" si="101"/>
        <v>44409</v>
      </c>
      <c r="AI209" s="7">
        <f t="shared" si="101"/>
        <v>44409</v>
      </c>
      <c r="AJ209" s="7">
        <f t="shared" si="101"/>
        <v>44409</v>
      </c>
      <c r="AK209" s="7">
        <f t="shared" si="101"/>
        <v>44409</v>
      </c>
      <c r="AL209" s="7">
        <f t="shared" si="101"/>
        <v>44409</v>
      </c>
      <c r="AM209" s="7">
        <f t="shared" si="101"/>
        <v>44409</v>
      </c>
      <c r="AN209" s="7">
        <f t="shared" si="101"/>
        <v>44409</v>
      </c>
      <c r="AO209" s="7">
        <f t="shared" si="101"/>
        <v>44409</v>
      </c>
      <c r="AP209" s="7">
        <f t="shared" si="101"/>
        <v>44409</v>
      </c>
      <c r="AQ209" s="7">
        <f t="shared" si="101"/>
        <v>44409</v>
      </c>
      <c r="AR209" s="7">
        <f t="shared" si="101"/>
        <v>44409</v>
      </c>
      <c r="AS209" s="7">
        <f t="shared" si="101"/>
        <v>44774</v>
      </c>
      <c r="AT209" s="7">
        <f t="shared" si="101"/>
        <v>44774</v>
      </c>
      <c r="AU209" s="7">
        <f t="shared" si="101"/>
        <v>44774</v>
      </c>
      <c r="AV209" s="7">
        <f t="shared" si="101"/>
        <v>44774</v>
      </c>
      <c r="AW209" s="7">
        <f t="shared" si="101"/>
        <v>44774</v>
      </c>
      <c r="AX209" s="7">
        <f t="shared" si="101"/>
        <v>44774</v>
      </c>
      <c r="AY209" s="7">
        <f t="shared" si="101"/>
        <v>44774</v>
      </c>
      <c r="AZ209" s="7">
        <f t="shared" si="101"/>
        <v>44774</v>
      </c>
      <c r="BA209" s="7">
        <f t="shared" si="101"/>
        <v>44774</v>
      </c>
      <c r="BB209" s="7">
        <f t="shared" si="101"/>
        <v>44774</v>
      </c>
      <c r="BC209" s="7">
        <f t="shared" si="101"/>
        <v>44774</v>
      </c>
      <c r="BD209" s="7">
        <f t="shared" si="101"/>
        <v>44774</v>
      </c>
      <c r="BE209" s="7">
        <f t="shared" si="101"/>
        <v>45139</v>
      </c>
      <c r="BF209" s="7">
        <f t="shared" si="101"/>
        <v>45139</v>
      </c>
      <c r="BG209" s="7">
        <f t="shared" si="101"/>
        <v>45139</v>
      </c>
      <c r="BH209" s="7">
        <f t="shared" si="101"/>
        <v>45139</v>
      </c>
      <c r="BI209" s="7">
        <f t="shared" si="101"/>
        <v>45139</v>
      </c>
    </row>
    <row r="210" spans="5:61" x14ac:dyDescent="0.35">
      <c r="E210">
        <f t="shared" si="92"/>
        <v>9</v>
      </c>
      <c r="J210" t="str">
        <f t="shared" si="93"/>
        <v>date</v>
      </c>
      <c r="N210" s="78"/>
      <c r="O210" s="78"/>
      <c r="P210" s="78"/>
      <c r="Q210" s="78"/>
      <c r="R210" s="78"/>
      <c r="S210" s="78"/>
      <c r="T210" s="78"/>
      <c r="U210" s="78"/>
      <c r="V210" s="7">
        <f t="shared" ref="V210:BI210" si="102">V21</f>
        <v>44075</v>
      </c>
      <c r="W210" s="7">
        <f t="shared" si="102"/>
        <v>44075</v>
      </c>
      <c r="X210" s="7">
        <f t="shared" si="102"/>
        <v>44075</v>
      </c>
      <c r="Y210" s="7">
        <f t="shared" si="102"/>
        <v>44075</v>
      </c>
      <c r="Z210" s="7">
        <f t="shared" si="102"/>
        <v>44075</v>
      </c>
      <c r="AA210" s="7">
        <f t="shared" si="102"/>
        <v>44075</v>
      </c>
      <c r="AB210" s="7">
        <f t="shared" si="102"/>
        <v>44075</v>
      </c>
      <c r="AC210" s="7">
        <f t="shared" si="102"/>
        <v>44075</v>
      </c>
      <c r="AD210" s="7">
        <f t="shared" si="102"/>
        <v>44075</v>
      </c>
      <c r="AE210" s="7">
        <f t="shared" si="102"/>
        <v>44075</v>
      </c>
      <c r="AF210" s="7">
        <f t="shared" si="102"/>
        <v>44075</v>
      </c>
      <c r="AG210" s="7">
        <f t="shared" si="102"/>
        <v>44075</v>
      </c>
      <c r="AH210" s="7">
        <f t="shared" si="102"/>
        <v>44440</v>
      </c>
      <c r="AI210" s="7">
        <f t="shared" si="102"/>
        <v>44440</v>
      </c>
      <c r="AJ210" s="7">
        <f t="shared" si="102"/>
        <v>44440</v>
      </c>
      <c r="AK210" s="7">
        <f t="shared" si="102"/>
        <v>44440</v>
      </c>
      <c r="AL210" s="7">
        <f t="shared" si="102"/>
        <v>44440</v>
      </c>
      <c r="AM210" s="7">
        <f t="shared" si="102"/>
        <v>44440</v>
      </c>
      <c r="AN210" s="7">
        <f t="shared" si="102"/>
        <v>44440</v>
      </c>
      <c r="AO210" s="7">
        <f t="shared" si="102"/>
        <v>44440</v>
      </c>
      <c r="AP210" s="7">
        <f t="shared" si="102"/>
        <v>44440</v>
      </c>
      <c r="AQ210" s="7">
        <f t="shared" si="102"/>
        <v>44440</v>
      </c>
      <c r="AR210" s="7">
        <f t="shared" si="102"/>
        <v>44440</v>
      </c>
      <c r="AS210" s="7">
        <f t="shared" si="102"/>
        <v>44440</v>
      </c>
      <c r="AT210" s="7">
        <f t="shared" si="102"/>
        <v>44805</v>
      </c>
      <c r="AU210" s="7">
        <f t="shared" si="102"/>
        <v>44805</v>
      </c>
      <c r="AV210" s="7">
        <f t="shared" si="102"/>
        <v>44805</v>
      </c>
      <c r="AW210" s="7">
        <f t="shared" si="102"/>
        <v>44805</v>
      </c>
      <c r="AX210" s="7">
        <f t="shared" si="102"/>
        <v>44805</v>
      </c>
      <c r="AY210" s="7">
        <f t="shared" si="102"/>
        <v>44805</v>
      </c>
      <c r="AZ210" s="7">
        <f t="shared" si="102"/>
        <v>44805</v>
      </c>
      <c r="BA210" s="7">
        <f t="shared" si="102"/>
        <v>44805</v>
      </c>
      <c r="BB210" s="7">
        <f t="shared" si="102"/>
        <v>44805</v>
      </c>
      <c r="BC210" s="7">
        <f t="shared" si="102"/>
        <v>44805</v>
      </c>
      <c r="BD210" s="7">
        <f t="shared" si="102"/>
        <v>44805</v>
      </c>
      <c r="BE210" s="7">
        <f t="shared" si="102"/>
        <v>44805</v>
      </c>
      <c r="BF210" s="7">
        <f t="shared" si="102"/>
        <v>45170</v>
      </c>
      <c r="BG210" s="7">
        <f t="shared" si="102"/>
        <v>45170</v>
      </c>
      <c r="BH210" s="7">
        <f t="shared" si="102"/>
        <v>45170</v>
      </c>
      <c r="BI210" s="7">
        <f t="shared" si="102"/>
        <v>45170</v>
      </c>
    </row>
    <row r="211" spans="5:61" x14ac:dyDescent="0.35">
      <c r="E211">
        <f t="shared" si="92"/>
        <v>10</v>
      </c>
      <c r="J211" t="str">
        <f t="shared" si="93"/>
        <v>date</v>
      </c>
      <c r="N211" s="78"/>
      <c r="O211" s="78"/>
      <c r="P211" s="78"/>
      <c r="Q211" s="78"/>
      <c r="R211" s="78"/>
      <c r="S211" s="78"/>
      <c r="T211" s="78"/>
      <c r="U211" s="78"/>
      <c r="V211" s="78"/>
      <c r="W211" s="7">
        <f t="shared" ref="W211:BI211" si="103">W22</f>
        <v>44105</v>
      </c>
      <c r="X211" s="7">
        <f t="shared" si="103"/>
        <v>44105</v>
      </c>
      <c r="Y211" s="7">
        <f t="shared" si="103"/>
        <v>44105</v>
      </c>
      <c r="Z211" s="7">
        <f t="shared" si="103"/>
        <v>44105</v>
      </c>
      <c r="AA211" s="7">
        <f t="shared" si="103"/>
        <v>44105</v>
      </c>
      <c r="AB211" s="7">
        <f t="shared" si="103"/>
        <v>44105</v>
      </c>
      <c r="AC211" s="7">
        <f t="shared" si="103"/>
        <v>44105</v>
      </c>
      <c r="AD211" s="7">
        <f t="shared" si="103"/>
        <v>44105</v>
      </c>
      <c r="AE211" s="7">
        <f t="shared" si="103"/>
        <v>44105</v>
      </c>
      <c r="AF211" s="7">
        <f t="shared" si="103"/>
        <v>44105</v>
      </c>
      <c r="AG211" s="7">
        <f t="shared" si="103"/>
        <v>44105</v>
      </c>
      <c r="AH211" s="7">
        <f t="shared" si="103"/>
        <v>44105</v>
      </c>
      <c r="AI211" s="7">
        <f t="shared" si="103"/>
        <v>44470</v>
      </c>
      <c r="AJ211" s="7">
        <f t="shared" si="103"/>
        <v>44470</v>
      </c>
      <c r="AK211" s="7">
        <f t="shared" si="103"/>
        <v>44470</v>
      </c>
      <c r="AL211" s="7">
        <f t="shared" si="103"/>
        <v>44470</v>
      </c>
      <c r="AM211" s="7">
        <f t="shared" si="103"/>
        <v>44470</v>
      </c>
      <c r="AN211" s="7">
        <f t="shared" si="103"/>
        <v>44470</v>
      </c>
      <c r="AO211" s="7">
        <f t="shared" si="103"/>
        <v>44470</v>
      </c>
      <c r="AP211" s="7">
        <f t="shared" si="103"/>
        <v>44470</v>
      </c>
      <c r="AQ211" s="7">
        <f t="shared" si="103"/>
        <v>44470</v>
      </c>
      <c r="AR211" s="7">
        <f t="shared" si="103"/>
        <v>44470</v>
      </c>
      <c r="AS211" s="7">
        <f t="shared" si="103"/>
        <v>44470</v>
      </c>
      <c r="AT211" s="7">
        <f t="shared" si="103"/>
        <v>44470</v>
      </c>
      <c r="AU211" s="7">
        <f t="shared" si="103"/>
        <v>44835</v>
      </c>
      <c r="AV211" s="7">
        <f t="shared" si="103"/>
        <v>44835</v>
      </c>
      <c r="AW211" s="7">
        <f t="shared" si="103"/>
        <v>44835</v>
      </c>
      <c r="AX211" s="7">
        <f t="shared" si="103"/>
        <v>44835</v>
      </c>
      <c r="AY211" s="7">
        <f t="shared" si="103"/>
        <v>44835</v>
      </c>
      <c r="AZ211" s="7">
        <f t="shared" si="103"/>
        <v>44835</v>
      </c>
      <c r="BA211" s="7">
        <f t="shared" si="103"/>
        <v>44835</v>
      </c>
      <c r="BB211" s="7">
        <f t="shared" si="103"/>
        <v>44835</v>
      </c>
      <c r="BC211" s="7">
        <f t="shared" si="103"/>
        <v>44835</v>
      </c>
      <c r="BD211" s="7">
        <f t="shared" si="103"/>
        <v>44835</v>
      </c>
      <c r="BE211" s="7">
        <f t="shared" si="103"/>
        <v>44835</v>
      </c>
      <c r="BF211" s="7">
        <f t="shared" si="103"/>
        <v>44835</v>
      </c>
      <c r="BG211" s="7">
        <f t="shared" si="103"/>
        <v>45200</v>
      </c>
      <c r="BH211" s="7">
        <f t="shared" si="103"/>
        <v>45200</v>
      </c>
      <c r="BI211" s="7">
        <f t="shared" si="103"/>
        <v>45200</v>
      </c>
    </row>
    <row r="212" spans="5:61" x14ac:dyDescent="0.35">
      <c r="E212">
        <f t="shared" si="92"/>
        <v>11</v>
      </c>
      <c r="J212" t="str">
        <f t="shared" si="93"/>
        <v>date</v>
      </c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">
        <f t="shared" ref="X212:BI212" si="104">X23</f>
        <v>44136</v>
      </c>
      <c r="Y212" s="7">
        <f t="shared" si="104"/>
        <v>44136</v>
      </c>
      <c r="Z212" s="7">
        <f t="shared" si="104"/>
        <v>44136</v>
      </c>
      <c r="AA212" s="7">
        <f t="shared" si="104"/>
        <v>44136</v>
      </c>
      <c r="AB212" s="7">
        <f t="shared" si="104"/>
        <v>44136</v>
      </c>
      <c r="AC212" s="7">
        <f t="shared" si="104"/>
        <v>44136</v>
      </c>
      <c r="AD212" s="7">
        <f t="shared" si="104"/>
        <v>44136</v>
      </c>
      <c r="AE212" s="7">
        <f t="shared" si="104"/>
        <v>44136</v>
      </c>
      <c r="AF212" s="7">
        <f t="shared" si="104"/>
        <v>44136</v>
      </c>
      <c r="AG212" s="7">
        <f t="shared" si="104"/>
        <v>44136</v>
      </c>
      <c r="AH212" s="7">
        <f t="shared" si="104"/>
        <v>44136</v>
      </c>
      <c r="AI212" s="7">
        <f t="shared" si="104"/>
        <v>44136</v>
      </c>
      <c r="AJ212" s="7">
        <f t="shared" si="104"/>
        <v>44501</v>
      </c>
      <c r="AK212" s="7">
        <f t="shared" si="104"/>
        <v>44501</v>
      </c>
      <c r="AL212" s="7">
        <f t="shared" si="104"/>
        <v>44501</v>
      </c>
      <c r="AM212" s="7">
        <f t="shared" si="104"/>
        <v>44501</v>
      </c>
      <c r="AN212" s="7">
        <f t="shared" si="104"/>
        <v>44501</v>
      </c>
      <c r="AO212" s="7">
        <f t="shared" si="104"/>
        <v>44501</v>
      </c>
      <c r="AP212" s="7">
        <f t="shared" si="104"/>
        <v>44501</v>
      </c>
      <c r="AQ212" s="7">
        <f t="shared" si="104"/>
        <v>44501</v>
      </c>
      <c r="AR212" s="7">
        <f t="shared" si="104"/>
        <v>44501</v>
      </c>
      <c r="AS212" s="7">
        <f t="shared" si="104"/>
        <v>44501</v>
      </c>
      <c r="AT212" s="7">
        <f t="shared" si="104"/>
        <v>44501</v>
      </c>
      <c r="AU212" s="7">
        <f t="shared" si="104"/>
        <v>44501</v>
      </c>
      <c r="AV212" s="7">
        <f t="shared" si="104"/>
        <v>44866</v>
      </c>
      <c r="AW212" s="7">
        <f t="shared" si="104"/>
        <v>44866</v>
      </c>
      <c r="AX212" s="7">
        <f t="shared" si="104"/>
        <v>44866</v>
      </c>
      <c r="AY212" s="7">
        <f t="shared" si="104"/>
        <v>44866</v>
      </c>
      <c r="AZ212" s="7">
        <f t="shared" si="104"/>
        <v>44866</v>
      </c>
      <c r="BA212" s="7">
        <f t="shared" si="104"/>
        <v>44866</v>
      </c>
      <c r="BB212" s="7">
        <f t="shared" si="104"/>
        <v>44866</v>
      </c>
      <c r="BC212" s="7">
        <f t="shared" si="104"/>
        <v>44866</v>
      </c>
      <c r="BD212" s="7">
        <f t="shared" si="104"/>
        <v>44866</v>
      </c>
      <c r="BE212" s="7">
        <f t="shared" si="104"/>
        <v>44866</v>
      </c>
      <c r="BF212" s="7">
        <f t="shared" si="104"/>
        <v>44866</v>
      </c>
      <c r="BG212" s="7">
        <f t="shared" si="104"/>
        <v>44866</v>
      </c>
      <c r="BH212" s="7">
        <f t="shared" si="104"/>
        <v>45231</v>
      </c>
      <c r="BI212" s="7">
        <f t="shared" si="104"/>
        <v>45231</v>
      </c>
    </row>
    <row r="213" spans="5:61" x14ac:dyDescent="0.35">
      <c r="E213">
        <f t="shared" si="92"/>
        <v>12</v>
      </c>
      <c r="J213" t="str">
        <f t="shared" si="93"/>
        <v>date</v>
      </c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">
        <f t="shared" ref="Y213:BI213" si="105">Y24</f>
        <v>44166</v>
      </c>
      <c r="Z213" s="7">
        <f t="shared" si="105"/>
        <v>44166</v>
      </c>
      <c r="AA213" s="7">
        <f t="shared" si="105"/>
        <v>44166</v>
      </c>
      <c r="AB213" s="7">
        <f t="shared" si="105"/>
        <v>44166</v>
      </c>
      <c r="AC213" s="7">
        <f t="shared" si="105"/>
        <v>44166</v>
      </c>
      <c r="AD213" s="7">
        <f t="shared" si="105"/>
        <v>44166</v>
      </c>
      <c r="AE213" s="7">
        <f t="shared" si="105"/>
        <v>44166</v>
      </c>
      <c r="AF213" s="7">
        <f t="shared" si="105"/>
        <v>44166</v>
      </c>
      <c r="AG213" s="7">
        <f t="shared" si="105"/>
        <v>44166</v>
      </c>
      <c r="AH213" s="7">
        <f t="shared" si="105"/>
        <v>44166</v>
      </c>
      <c r="AI213" s="7">
        <f t="shared" si="105"/>
        <v>44166</v>
      </c>
      <c r="AJ213" s="7">
        <f t="shared" si="105"/>
        <v>44166</v>
      </c>
      <c r="AK213" s="7">
        <f t="shared" si="105"/>
        <v>44531</v>
      </c>
      <c r="AL213" s="7">
        <f t="shared" si="105"/>
        <v>44531</v>
      </c>
      <c r="AM213" s="7">
        <f t="shared" si="105"/>
        <v>44531</v>
      </c>
      <c r="AN213" s="7">
        <f t="shared" si="105"/>
        <v>44531</v>
      </c>
      <c r="AO213" s="7">
        <f t="shared" si="105"/>
        <v>44531</v>
      </c>
      <c r="AP213" s="7">
        <f t="shared" si="105"/>
        <v>44531</v>
      </c>
      <c r="AQ213" s="7">
        <f t="shared" si="105"/>
        <v>44531</v>
      </c>
      <c r="AR213" s="7">
        <f t="shared" si="105"/>
        <v>44531</v>
      </c>
      <c r="AS213" s="7">
        <f t="shared" si="105"/>
        <v>44531</v>
      </c>
      <c r="AT213" s="7">
        <f t="shared" si="105"/>
        <v>44531</v>
      </c>
      <c r="AU213" s="7">
        <f t="shared" si="105"/>
        <v>44531</v>
      </c>
      <c r="AV213" s="7">
        <f t="shared" si="105"/>
        <v>44531</v>
      </c>
      <c r="AW213" s="7">
        <f t="shared" si="105"/>
        <v>44896</v>
      </c>
      <c r="AX213" s="7">
        <f t="shared" si="105"/>
        <v>44896</v>
      </c>
      <c r="AY213" s="7">
        <f t="shared" si="105"/>
        <v>44896</v>
      </c>
      <c r="AZ213" s="7">
        <f t="shared" si="105"/>
        <v>44896</v>
      </c>
      <c r="BA213" s="7">
        <f t="shared" si="105"/>
        <v>44896</v>
      </c>
      <c r="BB213" s="7">
        <f t="shared" si="105"/>
        <v>44896</v>
      </c>
      <c r="BC213" s="7">
        <f t="shared" si="105"/>
        <v>44896</v>
      </c>
      <c r="BD213" s="7">
        <f t="shared" si="105"/>
        <v>44896</v>
      </c>
      <c r="BE213" s="7">
        <f t="shared" si="105"/>
        <v>44896</v>
      </c>
      <c r="BF213" s="7">
        <f t="shared" si="105"/>
        <v>44896</v>
      </c>
      <c r="BG213" s="7">
        <f t="shared" si="105"/>
        <v>44896</v>
      </c>
      <c r="BH213" s="7">
        <f t="shared" si="105"/>
        <v>44896</v>
      </c>
      <c r="BI213" s="7">
        <f t="shared" si="105"/>
        <v>45261</v>
      </c>
    </row>
    <row r="214" spans="5:61" x14ac:dyDescent="0.35"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</row>
    <row r="215" spans="5:61" x14ac:dyDescent="0.35">
      <c r="E215" s="12" t="s">
        <v>92</v>
      </c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</row>
    <row r="216" spans="5:61" x14ac:dyDescent="0.35">
      <c r="E216">
        <v>1</v>
      </c>
      <c r="J216" t="s">
        <v>51</v>
      </c>
      <c r="N216" s="41">
        <f t="shared" ref="N216:BI216" si="106">IFERROR(INDEX($N$200:$BI$200,1,MATCH(N202,$N$196:$BI$196,0)),0)</f>
        <v>0</v>
      </c>
      <c r="O216" s="41">
        <f t="shared" si="106"/>
        <v>0</v>
      </c>
      <c r="P216" s="41">
        <f t="shared" si="106"/>
        <v>0</v>
      </c>
      <c r="Q216" s="41">
        <f t="shared" si="106"/>
        <v>0</v>
      </c>
      <c r="R216" s="41">
        <f t="shared" si="106"/>
        <v>0</v>
      </c>
      <c r="S216" s="41">
        <f t="shared" si="106"/>
        <v>0</v>
      </c>
      <c r="T216" s="41">
        <f t="shared" si="106"/>
        <v>0</v>
      </c>
      <c r="U216" s="41">
        <f t="shared" si="106"/>
        <v>0</v>
      </c>
      <c r="V216" s="41">
        <f t="shared" si="106"/>
        <v>0</v>
      </c>
      <c r="W216" s="41">
        <f t="shared" si="106"/>
        <v>0</v>
      </c>
      <c r="X216" s="41">
        <f t="shared" si="106"/>
        <v>0</v>
      </c>
      <c r="Y216" s="41">
        <f t="shared" si="106"/>
        <v>0</v>
      </c>
      <c r="Z216" s="41">
        <f t="shared" si="106"/>
        <v>3161.9068626999124</v>
      </c>
      <c r="AA216" s="41">
        <f t="shared" si="106"/>
        <v>3161.9068626999124</v>
      </c>
      <c r="AB216" s="41">
        <f t="shared" si="106"/>
        <v>3161.9068626999124</v>
      </c>
      <c r="AC216" s="41">
        <f t="shared" si="106"/>
        <v>3161.9068626999124</v>
      </c>
      <c r="AD216" s="41">
        <f t="shared" si="106"/>
        <v>3161.9068626999124</v>
      </c>
      <c r="AE216" s="41">
        <f t="shared" si="106"/>
        <v>3161.9068626999124</v>
      </c>
      <c r="AF216" s="41">
        <f t="shared" si="106"/>
        <v>3161.9068626999124</v>
      </c>
      <c r="AG216" s="41">
        <f t="shared" si="106"/>
        <v>3161.9068626999124</v>
      </c>
      <c r="AH216" s="41">
        <f t="shared" si="106"/>
        <v>3161.9068626999124</v>
      </c>
      <c r="AI216" s="41">
        <f t="shared" si="106"/>
        <v>3161.9068626999124</v>
      </c>
      <c r="AJ216" s="41">
        <f t="shared" si="106"/>
        <v>3161.9068626999124</v>
      </c>
      <c r="AK216" s="41">
        <f t="shared" si="106"/>
        <v>3161.9068626999124</v>
      </c>
      <c r="AL216" s="41">
        <f t="shared" si="106"/>
        <v>3309.4799343972727</v>
      </c>
      <c r="AM216" s="41">
        <f t="shared" si="106"/>
        <v>3309.4799343972727</v>
      </c>
      <c r="AN216" s="41">
        <f t="shared" si="106"/>
        <v>3309.4799343972727</v>
      </c>
      <c r="AO216" s="41">
        <f t="shared" si="106"/>
        <v>3309.4799343972727</v>
      </c>
      <c r="AP216" s="41">
        <f t="shared" si="106"/>
        <v>3309.4799343972727</v>
      </c>
      <c r="AQ216" s="41">
        <f t="shared" si="106"/>
        <v>3309.4799343972727</v>
      </c>
      <c r="AR216" s="41">
        <f t="shared" si="106"/>
        <v>3309.4799343972727</v>
      </c>
      <c r="AS216" s="41">
        <f t="shared" si="106"/>
        <v>3309.4799343972727</v>
      </c>
      <c r="AT216" s="41">
        <f t="shared" si="106"/>
        <v>3309.4799343972727</v>
      </c>
      <c r="AU216" s="41">
        <f t="shared" si="106"/>
        <v>3309.4799343972727</v>
      </c>
      <c r="AV216" s="41">
        <f t="shared" si="106"/>
        <v>3309.4799343972727</v>
      </c>
      <c r="AW216" s="41">
        <f t="shared" si="106"/>
        <v>3309.4799343972727</v>
      </c>
      <c r="AX216" s="41">
        <f t="shared" si="106"/>
        <v>3254.9739549116694</v>
      </c>
      <c r="AY216" s="41">
        <f t="shared" si="106"/>
        <v>3254.9739549116694</v>
      </c>
      <c r="AZ216" s="41">
        <f t="shared" si="106"/>
        <v>3254.9739549116694</v>
      </c>
      <c r="BA216" s="41">
        <f t="shared" si="106"/>
        <v>3254.9739549116694</v>
      </c>
      <c r="BB216" s="41">
        <f t="shared" si="106"/>
        <v>3254.9739549116694</v>
      </c>
      <c r="BC216" s="41">
        <f t="shared" si="106"/>
        <v>3254.9739549116694</v>
      </c>
      <c r="BD216" s="41">
        <f t="shared" si="106"/>
        <v>3254.9739549116694</v>
      </c>
      <c r="BE216" s="41">
        <f t="shared" si="106"/>
        <v>3254.9739549116694</v>
      </c>
      <c r="BF216" s="41">
        <f t="shared" si="106"/>
        <v>3254.9739549116694</v>
      </c>
      <c r="BG216" s="41">
        <f t="shared" si="106"/>
        <v>3254.9739549116694</v>
      </c>
      <c r="BH216" s="41">
        <f t="shared" si="106"/>
        <v>3254.9739549116694</v>
      </c>
      <c r="BI216" s="41">
        <f t="shared" si="106"/>
        <v>3254.9739549116694</v>
      </c>
    </row>
    <row r="217" spans="5:61" x14ac:dyDescent="0.35">
      <c r="E217">
        <v>2</v>
      </c>
      <c r="J217" t="s">
        <v>51</v>
      </c>
      <c r="N217" s="41">
        <f t="shared" ref="N217:BI217" si="107">IFERROR(INDEX($N$200:$BI$200,1,MATCH(N203,$N$196:$BI$196,0)),0)</f>
        <v>0</v>
      </c>
      <c r="O217" s="41">
        <f t="shared" si="107"/>
        <v>0</v>
      </c>
      <c r="P217" s="41">
        <f t="shared" si="107"/>
        <v>0</v>
      </c>
      <c r="Q217" s="41">
        <f t="shared" si="107"/>
        <v>0</v>
      </c>
      <c r="R217" s="41">
        <f t="shared" si="107"/>
        <v>0</v>
      </c>
      <c r="S217" s="41">
        <f t="shared" si="107"/>
        <v>0</v>
      </c>
      <c r="T217" s="41">
        <f t="shared" si="107"/>
        <v>0</v>
      </c>
      <c r="U217" s="41">
        <f t="shared" si="107"/>
        <v>0</v>
      </c>
      <c r="V217" s="41">
        <f t="shared" si="107"/>
        <v>0</v>
      </c>
      <c r="W217" s="41">
        <f t="shared" si="107"/>
        <v>0</v>
      </c>
      <c r="X217" s="41">
        <f t="shared" si="107"/>
        <v>0</v>
      </c>
      <c r="Y217" s="41">
        <f t="shared" si="107"/>
        <v>0</v>
      </c>
      <c r="Z217" s="41">
        <f t="shared" si="107"/>
        <v>0</v>
      </c>
      <c r="AA217" s="41">
        <f t="shared" si="107"/>
        <v>2534.7196618712978</v>
      </c>
      <c r="AB217" s="41">
        <f t="shared" si="107"/>
        <v>2534.7196618712978</v>
      </c>
      <c r="AC217" s="41">
        <f t="shared" si="107"/>
        <v>2534.7196618712978</v>
      </c>
      <c r="AD217" s="41">
        <f t="shared" si="107"/>
        <v>2534.7196618712978</v>
      </c>
      <c r="AE217" s="41">
        <f t="shared" si="107"/>
        <v>2534.7196618712978</v>
      </c>
      <c r="AF217" s="41">
        <f t="shared" si="107"/>
        <v>2534.7196618712978</v>
      </c>
      <c r="AG217" s="41">
        <f t="shared" si="107"/>
        <v>2534.7196618712978</v>
      </c>
      <c r="AH217" s="41">
        <f t="shared" si="107"/>
        <v>2534.7196618712978</v>
      </c>
      <c r="AI217" s="41">
        <f t="shared" si="107"/>
        <v>2534.7196618712978</v>
      </c>
      <c r="AJ217" s="41">
        <f t="shared" si="107"/>
        <v>2534.7196618712978</v>
      </c>
      <c r="AK217" s="41">
        <f t="shared" si="107"/>
        <v>2534.7196618712978</v>
      </c>
      <c r="AL217" s="41">
        <f t="shared" si="107"/>
        <v>2534.7196618712978</v>
      </c>
      <c r="AM217" s="41">
        <f t="shared" si="107"/>
        <v>3302.3821694547319</v>
      </c>
      <c r="AN217" s="41">
        <f t="shared" si="107"/>
        <v>3302.3821694547319</v>
      </c>
      <c r="AO217" s="41">
        <f t="shared" si="107"/>
        <v>3302.3821694547319</v>
      </c>
      <c r="AP217" s="41">
        <f t="shared" si="107"/>
        <v>3302.3821694547319</v>
      </c>
      <c r="AQ217" s="41">
        <f t="shared" si="107"/>
        <v>3302.3821694547319</v>
      </c>
      <c r="AR217" s="41">
        <f t="shared" si="107"/>
        <v>3302.3821694547319</v>
      </c>
      <c r="AS217" s="41">
        <f t="shared" si="107"/>
        <v>3302.3821694547319</v>
      </c>
      <c r="AT217" s="41">
        <f t="shared" si="107"/>
        <v>3302.3821694547319</v>
      </c>
      <c r="AU217" s="41">
        <f t="shared" si="107"/>
        <v>3302.3821694547319</v>
      </c>
      <c r="AV217" s="41">
        <f t="shared" si="107"/>
        <v>3302.3821694547319</v>
      </c>
      <c r="AW217" s="41">
        <f t="shared" si="107"/>
        <v>3302.3821694547319</v>
      </c>
      <c r="AX217" s="41">
        <f t="shared" si="107"/>
        <v>3302.3821694547319</v>
      </c>
      <c r="AY217" s="41">
        <f t="shared" si="107"/>
        <v>3269.7406256822542</v>
      </c>
      <c r="AZ217" s="41">
        <f t="shared" si="107"/>
        <v>3269.7406256822542</v>
      </c>
      <c r="BA217" s="41">
        <f t="shared" si="107"/>
        <v>3269.7406256822542</v>
      </c>
      <c r="BB217" s="41">
        <f t="shared" si="107"/>
        <v>3269.7406256822542</v>
      </c>
      <c r="BC217" s="41">
        <f t="shared" si="107"/>
        <v>3269.7406256822542</v>
      </c>
      <c r="BD217" s="41">
        <f t="shared" si="107"/>
        <v>3269.7406256822542</v>
      </c>
      <c r="BE217" s="41">
        <f t="shared" si="107"/>
        <v>3269.7406256822542</v>
      </c>
      <c r="BF217" s="41">
        <f t="shared" si="107"/>
        <v>3269.7406256822542</v>
      </c>
      <c r="BG217" s="41">
        <f t="shared" si="107"/>
        <v>3269.7406256822542</v>
      </c>
      <c r="BH217" s="41">
        <f t="shared" si="107"/>
        <v>3269.7406256822542</v>
      </c>
      <c r="BI217" s="41">
        <f t="shared" si="107"/>
        <v>3269.7406256822542</v>
      </c>
    </row>
    <row r="218" spans="5:61" x14ac:dyDescent="0.35">
      <c r="E218">
        <v>3</v>
      </c>
      <c r="J218" t="s">
        <v>51</v>
      </c>
      <c r="N218" s="41">
        <f t="shared" ref="N218:BI218" si="108">IFERROR(INDEX($N$200:$BI$200,1,MATCH(N204,$N$196:$BI$196,0)),0)</f>
        <v>0</v>
      </c>
      <c r="O218" s="41">
        <f t="shared" si="108"/>
        <v>0</v>
      </c>
      <c r="P218" s="41">
        <f t="shared" si="108"/>
        <v>0</v>
      </c>
      <c r="Q218" s="41">
        <f t="shared" si="108"/>
        <v>0</v>
      </c>
      <c r="R218" s="41">
        <f t="shared" si="108"/>
        <v>0</v>
      </c>
      <c r="S218" s="41">
        <f t="shared" si="108"/>
        <v>0</v>
      </c>
      <c r="T218" s="41">
        <f t="shared" si="108"/>
        <v>0</v>
      </c>
      <c r="U218" s="41">
        <f t="shared" si="108"/>
        <v>0</v>
      </c>
      <c r="V218" s="41">
        <f t="shared" si="108"/>
        <v>0</v>
      </c>
      <c r="W218" s="41">
        <f t="shared" si="108"/>
        <v>0</v>
      </c>
      <c r="X218" s="41">
        <f t="shared" si="108"/>
        <v>0</v>
      </c>
      <c r="Y218" s="41">
        <f t="shared" si="108"/>
        <v>0</v>
      </c>
      <c r="Z218" s="41">
        <f t="shared" si="108"/>
        <v>0</v>
      </c>
      <c r="AA218" s="41">
        <f t="shared" si="108"/>
        <v>0</v>
      </c>
      <c r="AB218" s="41">
        <f t="shared" si="108"/>
        <v>2719.3496024943938</v>
      </c>
      <c r="AC218" s="41">
        <f t="shared" si="108"/>
        <v>2719.3496024943938</v>
      </c>
      <c r="AD218" s="41">
        <f t="shared" si="108"/>
        <v>2719.3496024943938</v>
      </c>
      <c r="AE218" s="41">
        <f t="shared" si="108"/>
        <v>2719.3496024943938</v>
      </c>
      <c r="AF218" s="41">
        <f t="shared" si="108"/>
        <v>2719.3496024943938</v>
      </c>
      <c r="AG218" s="41">
        <f t="shared" si="108"/>
        <v>2719.3496024943938</v>
      </c>
      <c r="AH218" s="41">
        <f t="shared" si="108"/>
        <v>2719.3496024943938</v>
      </c>
      <c r="AI218" s="41">
        <f t="shared" si="108"/>
        <v>2719.3496024943938</v>
      </c>
      <c r="AJ218" s="41">
        <f t="shared" si="108"/>
        <v>2719.3496024943938</v>
      </c>
      <c r="AK218" s="41">
        <f t="shared" si="108"/>
        <v>2719.3496024943938</v>
      </c>
      <c r="AL218" s="41">
        <f t="shared" si="108"/>
        <v>2719.3496024943938</v>
      </c>
      <c r="AM218" s="41">
        <f t="shared" si="108"/>
        <v>2719.3496024943938</v>
      </c>
      <c r="AN218" s="41">
        <f t="shared" si="108"/>
        <v>3302.8606423570955</v>
      </c>
      <c r="AO218" s="41">
        <f t="shared" si="108"/>
        <v>3302.8606423570955</v>
      </c>
      <c r="AP218" s="41">
        <f t="shared" si="108"/>
        <v>3302.8606423570955</v>
      </c>
      <c r="AQ218" s="41">
        <f t="shared" si="108"/>
        <v>3302.8606423570955</v>
      </c>
      <c r="AR218" s="41">
        <f t="shared" si="108"/>
        <v>3302.8606423570955</v>
      </c>
      <c r="AS218" s="41">
        <f t="shared" si="108"/>
        <v>3302.8606423570955</v>
      </c>
      <c r="AT218" s="41">
        <f t="shared" si="108"/>
        <v>3302.8606423570955</v>
      </c>
      <c r="AU218" s="41">
        <f t="shared" si="108"/>
        <v>3302.8606423570955</v>
      </c>
      <c r="AV218" s="41">
        <f t="shared" si="108"/>
        <v>3302.8606423570955</v>
      </c>
      <c r="AW218" s="41">
        <f t="shared" si="108"/>
        <v>3302.8606423570955</v>
      </c>
      <c r="AX218" s="41">
        <f t="shared" si="108"/>
        <v>3302.8606423570955</v>
      </c>
      <c r="AY218" s="41">
        <f t="shared" si="108"/>
        <v>3302.8606423570955</v>
      </c>
      <c r="AZ218" s="41">
        <f t="shared" si="108"/>
        <v>3280.2323428527811</v>
      </c>
      <c r="BA218" s="41">
        <f t="shared" si="108"/>
        <v>3280.2323428527811</v>
      </c>
      <c r="BB218" s="41">
        <f t="shared" si="108"/>
        <v>3280.2323428527811</v>
      </c>
      <c r="BC218" s="41">
        <f t="shared" si="108"/>
        <v>3280.2323428527811</v>
      </c>
      <c r="BD218" s="41">
        <f t="shared" si="108"/>
        <v>3280.2323428527811</v>
      </c>
      <c r="BE218" s="41">
        <f t="shared" si="108"/>
        <v>3280.2323428527811</v>
      </c>
      <c r="BF218" s="41">
        <f t="shared" si="108"/>
        <v>3280.2323428527811</v>
      </c>
      <c r="BG218" s="41">
        <f t="shared" si="108"/>
        <v>3280.2323428527811</v>
      </c>
      <c r="BH218" s="41">
        <f t="shared" si="108"/>
        <v>3280.2323428527811</v>
      </c>
      <c r="BI218" s="41">
        <f t="shared" si="108"/>
        <v>3280.2323428527811</v>
      </c>
    </row>
    <row r="219" spans="5:61" x14ac:dyDescent="0.35">
      <c r="E219">
        <v>4</v>
      </c>
      <c r="J219" t="s">
        <v>51</v>
      </c>
      <c r="N219" s="41">
        <f t="shared" ref="N219:BI219" si="109">IFERROR(INDEX($N$200:$BI$200,1,MATCH(N205,$N$196:$BI$196,0)),0)</f>
        <v>0</v>
      </c>
      <c r="O219" s="41">
        <f t="shared" si="109"/>
        <v>0</v>
      </c>
      <c r="P219" s="41">
        <f t="shared" si="109"/>
        <v>0</v>
      </c>
      <c r="Q219" s="41">
        <f t="shared" si="109"/>
        <v>1844.8808045977012</v>
      </c>
      <c r="R219" s="41">
        <f t="shared" si="109"/>
        <v>1844.8808045977012</v>
      </c>
      <c r="S219" s="41">
        <f t="shared" si="109"/>
        <v>1844.8808045977012</v>
      </c>
      <c r="T219" s="41">
        <f t="shared" si="109"/>
        <v>1844.8808045977012</v>
      </c>
      <c r="U219" s="41">
        <f t="shared" si="109"/>
        <v>1844.8808045977012</v>
      </c>
      <c r="V219" s="41">
        <f t="shared" si="109"/>
        <v>1844.8808045977012</v>
      </c>
      <c r="W219" s="41">
        <f t="shared" si="109"/>
        <v>1844.8808045977012</v>
      </c>
      <c r="X219" s="41">
        <f t="shared" si="109"/>
        <v>1844.8808045977012</v>
      </c>
      <c r="Y219" s="41">
        <f t="shared" si="109"/>
        <v>1844.8808045977012</v>
      </c>
      <c r="Z219" s="41">
        <f t="shared" si="109"/>
        <v>1844.8808045977012</v>
      </c>
      <c r="AA219" s="41">
        <f t="shared" si="109"/>
        <v>1844.8808045977012</v>
      </c>
      <c r="AB219" s="41">
        <f t="shared" si="109"/>
        <v>1844.8808045977012</v>
      </c>
      <c r="AC219" s="41">
        <f t="shared" si="109"/>
        <v>2487.2223005442338</v>
      </c>
      <c r="AD219" s="41">
        <f t="shared" si="109"/>
        <v>2487.2223005442338</v>
      </c>
      <c r="AE219" s="41">
        <f t="shared" si="109"/>
        <v>2487.2223005442338</v>
      </c>
      <c r="AF219" s="41">
        <f t="shared" si="109"/>
        <v>2487.2223005442338</v>
      </c>
      <c r="AG219" s="41">
        <f t="shared" si="109"/>
        <v>2487.2223005442338</v>
      </c>
      <c r="AH219" s="41">
        <f t="shared" si="109"/>
        <v>2487.2223005442338</v>
      </c>
      <c r="AI219" s="41">
        <f t="shared" si="109"/>
        <v>2487.2223005442338</v>
      </c>
      <c r="AJ219" s="41">
        <f t="shared" si="109"/>
        <v>2487.2223005442338</v>
      </c>
      <c r="AK219" s="41">
        <f t="shared" si="109"/>
        <v>2487.2223005442338</v>
      </c>
      <c r="AL219" s="41">
        <f t="shared" si="109"/>
        <v>2487.2223005442338</v>
      </c>
      <c r="AM219" s="41">
        <f t="shared" si="109"/>
        <v>2487.2223005442338</v>
      </c>
      <c r="AN219" s="41">
        <f t="shared" si="109"/>
        <v>2487.2223005442338</v>
      </c>
      <c r="AO219" s="41">
        <f t="shared" si="109"/>
        <v>3310.8612741232564</v>
      </c>
      <c r="AP219" s="41">
        <f t="shared" si="109"/>
        <v>3310.8612741232564</v>
      </c>
      <c r="AQ219" s="41">
        <f t="shared" si="109"/>
        <v>3310.8612741232564</v>
      </c>
      <c r="AR219" s="41">
        <f t="shared" si="109"/>
        <v>3310.8612741232564</v>
      </c>
      <c r="AS219" s="41">
        <f t="shared" si="109"/>
        <v>3310.8612741232564</v>
      </c>
      <c r="AT219" s="41">
        <f t="shared" si="109"/>
        <v>3310.8612741232564</v>
      </c>
      <c r="AU219" s="41">
        <f t="shared" si="109"/>
        <v>3310.8612741232564</v>
      </c>
      <c r="AV219" s="41">
        <f t="shared" si="109"/>
        <v>3310.8612741232564</v>
      </c>
      <c r="AW219" s="41">
        <f t="shared" si="109"/>
        <v>3310.8612741232564</v>
      </c>
      <c r="AX219" s="41">
        <f t="shared" si="109"/>
        <v>3310.8612741232564</v>
      </c>
      <c r="AY219" s="41">
        <f t="shared" si="109"/>
        <v>3310.8612741232564</v>
      </c>
      <c r="AZ219" s="41">
        <f t="shared" si="109"/>
        <v>3310.8612741232564</v>
      </c>
      <c r="BA219" s="41">
        <f t="shared" si="109"/>
        <v>3288.4229001636095</v>
      </c>
      <c r="BB219" s="41">
        <f t="shared" si="109"/>
        <v>3288.4229001636095</v>
      </c>
      <c r="BC219" s="41">
        <f t="shared" si="109"/>
        <v>3288.4229001636095</v>
      </c>
      <c r="BD219" s="41">
        <f t="shared" si="109"/>
        <v>3288.4229001636095</v>
      </c>
      <c r="BE219" s="41">
        <f t="shared" si="109"/>
        <v>3288.4229001636095</v>
      </c>
      <c r="BF219" s="41">
        <f t="shared" si="109"/>
        <v>3288.4229001636095</v>
      </c>
      <c r="BG219" s="41">
        <f t="shared" si="109"/>
        <v>3288.4229001636095</v>
      </c>
      <c r="BH219" s="41">
        <f t="shared" si="109"/>
        <v>3288.4229001636095</v>
      </c>
      <c r="BI219" s="41">
        <f t="shared" si="109"/>
        <v>3288.4229001636095</v>
      </c>
    </row>
    <row r="220" spans="5:61" x14ac:dyDescent="0.35">
      <c r="E220">
        <v>5</v>
      </c>
      <c r="J220" t="s">
        <v>51</v>
      </c>
      <c r="N220" s="41">
        <f t="shared" ref="N220:BI220" si="110">IFERROR(INDEX($N$200:$BI$200,1,MATCH(N206,$N$196:$BI$196,0)),0)</f>
        <v>0</v>
      </c>
      <c r="O220" s="41">
        <f t="shared" si="110"/>
        <v>0</v>
      </c>
      <c r="P220" s="41">
        <f t="shared" si="110"/>
        <v>0</v>
      </c>
      <c r="Q220" s="41">
        <f t="shared" si="110"/>
        <v>0</v>
      </c>
      <c r="R220" s="41">
        <f t="shared" si="110"/>
        <v>1992.3421383647801</v>
      </c>
      <c r="S220" s="41">
        <f t="shared" si="110"/>
        <v>1992.3421383647801</v>
      </c>
      <c r="T220" s="41">
        <f t="shared" si="110"/>
        <v>1992.3421383647801</v>
      </c>
      <c r="U220" s="41">
        <f t="shared" si="110"/>
        <v>1992.3421383647801</v>
      </c>
      <c r="V220" s="41">
        <f t="shared" si="110"/>
        <v>1992.3421383647801</v>
      </c>
      <c r="W220" s="41">
        <f t="shared" si="110"/>
        <v>1992.3421383647801</v>
      </c>
      <c r="X220" s="41">
        <f t="shared" si="110"/>
        <v>1992.3421383647801</v>
      </c>
      <c r="Y220" s="41">
        <f t="shared" si="110"/>
        <v>1992.3421383647801</v>
      </c>
      <c r="Z220" s="41">
        <f t="shared" si="110"/>
        <v>1992.3421383647801</v>
      </c>
      <c r="AA220" s="41">
        <f t="shared" si="110"/>
        <v>1992.3421383647801</v>
      </c>
      <c r="AB220" s="41">
        <f t="shared" si="110"/>
        <v>1992.3421383647801</v>
      </c>
      <c r="AC220" s="41">
        <f t="shared" si="110"/>
        <v>1992.3421383647801</v>
      </c>
      <c r="AD220" s="41">
        <f t="shared" si="110"/>
        <v>2583.9872459656508</v>
      </c>
      <c r="AE220" s="41">
        <f t="shared" si="110"/>
        <v>2583.9872459656508</v>
      </c>
      <c r="AF220" s="41">
        <f t="shared" si="110"/>
        <v>2583.9872459656508</v>
      </c>
      <c r="AG220" s="41">
        <f t="shared" si="110"/>
        <v>2583.9872459656508</v>
      </c>
      <c r="AH220" s="41">
        <f t="shared" si="110"/>
        <v>2583.9872459656508</v>
      </c>
      <c r="AI220" s="41">
        <f t="shared" si="110"/>
        <v>2583.9872459656508</v>
      </c>
      <c r="AJ220" s="41">
        <f t="shared" si="110"/>
        <v>2583.9872459656508</v>
      </c>
      <c r="AK220" s="41">
        <f t="shared" si="110"/>
        <v>2583.9872459656508</v>
      </c>
      <c r="AL220" s="41">
        <f t="shared" si="110"/>
        <v>2583.9872459656508</v>
      </c>
      <c r="AM220" s="41">
        <f t="shared" si="110"/>
        <v>2583.9872459656508</v>
      </c>
      <c r="AN220" s="41">
        <f t="shared" si="110"/>
        <v>2583.9872459656508</v>
      </c>
      <c r="AO220" s="41">
        <f t="shared" si="110"/>
        <v>2583.9872459656508</v>
      </c>
      <c r="AP220" s="41">
        <f t="shared" si="110"/>
        <v>3307.9352943824069</v>
      </c>
      <c r="AQ220" s="41">
        <f t="shared" si="110"/>
        <v>3307.9352943824069</v>
      </c>
      <c r="AR220" s="41">
        <f t="shared" si="110"/>
        <v>3307.9352943824069</v>
      </c>
      <c r="AS220" s="41">
        <f t="shared" si="110"/>
        <v>3307.9352943824069</v>
      </c>
      <c r="AT220" s="41">
        <f t="shared" si="110"/>
        <v>3307.9352943824069</v>
      </c>
      <c r="AU220" s="41">
        <f t="shared" si="110"/>
        <v>3307.9352943824069</v>
      </c>
      <c r="AV220" s="41">
        <f t="shared" si="110"/>
        <v>3307.9352943824069</v>
      </c>
      <c r="AW220" s="41">
        <f t="shared" si="110"/>
        <v>3307.9352943824069</v>
      </c>
      <c r="AX220" s="41">
        <f t="shared" si="110"/>
        <v>3307.9352943824069</v>
      </c>
      <c r="AY220" s="41">
        <f t="shared" si="110"/>
        <v>3307.9352943824069</v>
      </c>
      <c r="AZ220" s="41">
        <f t="shared" si="110"/>
        <v>3307.9352943824069</v>
      </c>
      <c r="BA220" s="41">
        <f t="shared" si="110"/>
        <v>3307.9352943824069</v>
      </c>
      <c r="BB220" s="41">
        <f t="shared" si="110"/>
        <v>3295.9249795224564</v>
      </c>
      <c r="BC220" s="41">
        <f t="shared" si="110"/>
        <v>3295.9249795224564</v>
      </c>
      <c r="BD220" s="41">
        <f t="shared" si="110"/>
        <v>3295.9249795224564</v>
      </c>
      <c r="BE220" s="41">
        <f t="shared" si="110"/>
        <v>3295.9249795224564</v>
      </c>
      <c r="BF220" s="41">
        <f t="shared" si="110"/>
        <v>3295.9249795224564</v>
      </c>
      <c r="BG220" s="41">
        <f t="shared" si="110"/>
        <v>3295.9249795224564</v>
      </c>
      <c r="BH220" s="41">
        <f t="shared" si="110"/>
        <v>3295.9249795224564</v>
      </c>
      <c r="BI220" s="41">
        <f t="shared" si="110"/>
        <v>3295.9249795224564</v>
      </c>
    </row>
    <row r="221" spans="5:61" x14ac:dyDescent="0.35">
      <c r="E221">
        <v>6</v>
      </c>
      <c r="J221" t="s">
        <v>51</v>
      </c>
      <c r="N221" s="41">
        <f t="shared" ref="N221:BI221" si="111">IFERROR(INDEX($N$200:$BI$200,1,MATCH(N207,$N$196:$BI$196,0)),0)</f>
        <v>0</v>
      </c>
      <c r="O221" s="41">
        <f t="shared" si="111"/>
        <v>0</v>
      </c>
      <c r="P221" s="41">
        <f t="shared" si="111"/>
        <v>0</v>
      </c>
      <c r="Q221" s="41">
        <f t="shared" si="111"/>
        <v>0</v>
      </c>
      <c r="R221" s="41">
        <f t="shared" si="111"/>
        <v>0</v>
      </c>
      <c r="S221" s="41">
        <f t="shared" si="111"/>
        <v>2318.7624371970028</v>
      </c>
      <c r="T221" s="41">
        <f t="shared" si="111"/>
        <v>2318.7624371970028</v>
      </c>
      <c r="U221" s="41">
        <f t="shared" si="111"/>
        <v>2318.7624371970028</v>
      </c>
      <c r="V221" s="41">
        <f t="shared" si="111"/>
        <v>2318.7624371970028</v>
      </c>
      <c r="W221" s="41">
        <f t="shared" si="111"/>
        <v>2318.7624371970028</v>
      </c>
      <c r="X221" s="41">
        <f t="shared" si="111"/>
        <v>2318.7624371970028</v>
      </c>
      <c r="Y221" s="41">
        <f t="shared" si="111"/>
        <v>2318.7624371970028</v>
      </c>
      <c r="Z221" s="41">
        <f t="shared" si="111"/>
        <v>2318.7624371970028</v>
      </c>
      <c r="AA221" s="41">
        <f t="shared" si="111"/>
        <v>2318.7624371970028</v>
      </c>
      <c r="AB221" s="41">
        <f t="shared" si="111"/>
        <v>2318.7624371970028</v>
      </c>
      <c r="AC221" s="41">
        <f t="shared" si="111"/>
        <v>2318.7624371970028</v>
      </c>
      <c r="AD221" s="41">
        <f t="shared" si="111"/>
        <v>2318.7624371970028</v>
      </c>
      <c r="AE221" s="41">
        <f t="shared" si="111"/>
        <v>3029.6294529795159</v>
      </c>
      <c r="AF221" s="41">
        <f t="shared" si="111"/>
        <v>3029.6294529795159</v>
      </c>
      <c r="AG221" s="41">
        <f t="shared" si="111"/>
        <v>3029.6294529795159</v>
      </c>
      <c r="AH221" s="41">
        <f t="shared" si="111"/>
        <v>3029.6294529795159</v>
      </c>
      <c r="AI221" s="41">
        <f t="shared" si="111"/>
        <v>3029.6294529795159</v>
      </c>
      <c r="AJ221" s="41">
        <f t="shared" si="111"/>
        <v>3029.6294529795159</v>
      </c>
      <c r="AK221" s="41">
        <f t="shared" si="111"/>
        <v>3029.6294529795159</v>
      </c>
      <c r="AL221" s="41">
        <f t="shared" si="111"/>
        <v>3029.6294529795159</v>
      </c>
      <c r="AM221" s="41">
        <f t="shared" si="111"/>
        <v>3029.6294529795159</v>
      </c>
      <c r="AN221" s="41">
        <f t="shared" si="111"/>
        <v>3029.6294529795159</v>
      </c>
      <c r="AO221" s="41">
        <f t="shared" si="111"/>
        <v>3029.6294529795159</v>
      </c>
      <c r="AP221" s="41">
        <f t="shared" si="111"/>
        <v>3029.6294529795159</v>
      </c>
      <c r="AQ221" s="41">
        <f t="shared" si="111"/>
        <v>3301.9434772850582</v>
      </c>
      <c r="AR221" s="41">
        <f t="shared" si="111"/>
        <v>3301.9434772850582</v>
      </c>
      <c r="AS221" s="41">
        <f t="shared" si="111"/>
        <v>3301.9434772850582</v>
      </c>
      <c r="AT221" s="41">
        <f t="shared" si="111"/>
        <v>3301.9434772850582</v>
      </c>
      <c r="AU221" s="41">
        <f t="shared" si="111"/>
        <v>3301.9434772850582</v>
      </c>
      <c r="AV221" s="41">
        <f t="shared" si="111"/>
        <v>3301.9434772850582</v>
      </c>
      <c r="AW221" s="41">
        <f t="shared" si="111"/>
        <v>3301.9434772850582</v>
      </c>
      <c r="AX221" s="41">
        <f t="shared" si="111"/>
        <v>3301.9434772850582</v>
      </c>
      <c r="AY221" s="41">
        <f t="shared" si="111"/>
        <v>3301.9434772850582</v>
      </c>
      <c r="AZ221" s="41">
        <f t="shared" si="111"/>
        <v>3301.9434772850582</v>
      </c>
      <c r="BA221" s="41">
        <f t="shared" si="111"/>
        <v>3301.9434772850582</v>
      </c>
      <c r="BB221" s="41">
        <f t="shared" si="111"/>
        <v>3301.9434772850582</v>
      </c>
      <c r="BC221" s="41">
        <f t="shared" si="111"/>
        <v>3302.6652478335968</v>
      </c>
      <c r="BD221" s="41">
        <f t="shared" si="111"/>
        <v>3302.6652478335968</v>
      </c>
      <c r="BE221" s="41">
        <f t="shared" si="111"/>
        <v>3302.6652478335968</v>
      </c>
      <c r="BF221" s="41">
        <f t="shared" si="111"/>
        <v>3302.6652478335968</v>
      </c>
      <c r="BG221" s="41">
        <f t="shared" si="111"/>
        <v>3302.6652478335968</v>
      </c>
      <c r="BH221" s="41">
        <f t="shared" si="111"/>
        <v>3302.6652478335968</v>
      </c>
      <c r="BI221" s="41">
        <f t="shared" si="111"/>
        <v>3302.6652478335968</v>
      </c>
    </row>
    <row r="222" spans="5:61" x14ac:dyDescent="0.35">
      <c r="E222">
        <v>7</v>
      </c>
      <c r="J222" t="s">
        <v>51</v>
      </c>
      <c r="N222" s="41">
        <f t="shared" ref="N222:BI222" si="112">IFERROR(INDEX($N$200:$BI$200,1,MATCH(N208,$N$196:$BI$196,0)),0)</f>
        <v>0</v>
      </c>
      <c r="O222" s="41">
        <f t="shared" si="112"/>
        <v>0</v>
      </c>
      <c r="P222" s="41">
        <f t="shared" si="112"/>
        <v>0</v>
      </c>
      <c r="Q222" s="41">
        <f t="shared" si="112"/>
        <v>0</v>
      </c>
      <c r="R222" s="41">
        <f t="shared" si="112"/>
        <v>0</v>
      </c>
      <c r="S222" s="41">
        <f t="shared" si="112"/>
        <v>0</v>
      </c>
      <c r="T222" s="41">
        <f t="shared" si="112"/>
        <v>3050.7393839306628</v>
      </c>
      <c r="U222" s="41">
        <f t="shared" si="112"/>
        <v>3050.7393839306628</v>
      </c>
      <c r="V222" s="41">
        <f t="shared" si="112"/>
        <v>3050.7393839306628</v>
      </c>
      <c r="W222" s="41">
        <f t="shared" si="112"/>
        <v>3050.7393839306628</v>
      </c>
      <c r="X222" s="41">
        <f t="shared" si="112"/>
        <v>3050.7393839306628</v>
      </c>
      <c r="Y222" s="41">
        <f t="shared" si="112"/>
        <v>3050.7393839306628</v>
      </c>
      <c r="Z222" s="41">
        <f t="shared" si="112"/>
        <v>3050.7393839306628</v>
      </c>
      <c r="AA222" s="41">
        <f t="shared" si="112"/>
        <v>3050.7393839306628</v>
      </c>
      <c r="AB222" s="41">
        <f t="shared" si="112"/>
        <v>3050.7393839306628</v>
      </c>
      <c r="AC222" s="41">
        <f t="shared" si="112"/>
        <v>3050.7393839306628</v>
      </c>
      <c r="AD222" s="41">
        <f t="shared" si="112"/>
        <v>3050.7393839306628</v>
      </c>
      <c r="AE222" s="41">
        <f t="shared" si="112"/>
        <v>3050.7393839306628</v>
      </c>
      <c r="AF222" s="41">
        <f t="shared" si="112"/>
        <v>2978.3372646113853</v>
      </c>
      <c r="AG222" s="41">
        <f t="shared" si="112"/>
        <v>2978.3372646113853</v>
      </c>
      <c r="AH222" s="41">
        <f t="shared" si="112"/>
        <v>2978.3372646113853</v>
      </c>
      <c r="AI222" s="41">
        <f t="shared" si="112"/>
        <v>2978.3372646113853</v>
      </c>
      <c r="AJ222" s="41">
        <f t="shared" si="112"/>
        <v>2978.3372646113853</v>
      </c>
      <c r="AK222" s="41">
        <f t="shared" si="112"/>
        <v>2978.3372646113853</v>
      </c>
      <c r="AL222" s="41">
        <f t="shared" si="112"/>
        <v>2978.3372646113853</v>
      </c>
      <c r="AM222" s="41">
        <f t="shared" si="112"/>
        <v>2978.3372646113853</v>
      </c>
      <c r="AN222" s="41">
        <f t="shared" si="112"/>
        <v>2978.3372646113853</v>
      </c>
      <c r="AO222" s="41">
        <f t="shared" si="112"/>
        <v>2978.3372646113853</v>
      </c>
      <c r="AP222" s="41">
        <f t="shared" si="112"/>
        <v>2978.3372646113853</v>
      </c>
      <c r="AQ222" s="41">
        <f t="shared" si="112"/>
        <v>2978.3372646113853</v>
      </c>
      <c r="AR222" s="41">
        <f t="shared" si="112"/>
        <v>3287.8311527235983</v>
      </c>
      <c r="AS222" s="41">
        <f t="shared" si="112"/>
        <v>3287.8311527235983</v>
      </c>
      <c r="AT222" s="41">
        <f t="shared" si="112"/>
        <v>3287.8311527235983</v>
      </c>
      <c r="AU222" s="41">
        <f t="shared" si="112"/>
        <v>3287.8311527235983</v>
      </c>
      <c r="AV222" s="41">
        <f t="shared" si="112"/>
        <v>3287.8311527235983</v>
      </c>
      <c r="AW222" s="41">
        <f t="shared" si="112"/>
        <v>3287.8311527235983</v>
      </c>
      <c r="AX222" s="41">
        <f t="shared" si="112"/>
        <v>3287.8311527235983</v>
      </c>
      <c r="AY222" s="41">
        <f t="shared" si="112"/>
        <v>3287.8311527235983</v>
      </c>
      <c r="AZ222" s="41">
        <f t="shared" si="112"/>
        <v>3287.8311527235983</v>
      </c>
      <c r="BA222" s="41">
        <f t="shared" si="112"/>
        <v>3287.8311527235983</v>
      </c>
      <c r="BB222" s="41">
        <f t="shared" si="112"/>
        <v>3287.8311527235983</v>
      </c>
      <c r="BC222" s="41">
        <f t="shared" si="112"/>
        <v>3287.8311527235983</v>
      </c>
      <c r="BD222" s="41">
        <f t="shared" si="112"/>
        <v>3308.0806905178488</v>
      </c>
      <c r="BE222" s="41">
        <f t="shared" si="112"/>
        <v>3308.0806905178488</v>
      </c>
      <c r="BF222" s="41">
        <f t="shared" si="112"/>
        <v>3308.0806905178488</v>
      </c>
      <c r="BG222" s="41">
        <f t="shared" si="112"/>
        <v>3308.0806905178488</v>
      </c>
      <c r="BH222" s="41">
        <f t="shared" si="112"/>
        <v>3308.0806905178488</v>
      </c>
      <c r="BI222" s="41">
        <f t="shared" si="112"/>
        <v>3308.0806905178488</v>
      </c>
    </row>
    <row r="223" spans="5:61" x14ac:dyDescent="0.35">
      <c r="E223">
        <v>8</v>
      </c>
      <c r="J223" t="s">
        <v>51</v>
      </c>
      <c r="N223" s="41">
        <f t="shared" ref="N223:BI223" si="113">IFERROR(INDEX($N$200:$BI$200,1,MATCH(N209,$N$196:$BI$196,0)),0)</f>
        <v>0</v>
      </c>
      <c r="O223" s="41">
        <f t="shared" si="113"/>
        <v>0</v>
      </c>
      <c r="P223" s="41">
        <f t="shared" si="113"/>
        <v>0</v>
      </c>
      <c r="Q223" s="41">
        <f t="shared" si="113"/>
        <v>0</v>
      </c>
      <c r="R223" s="41">
        <f t="shared" si="113"/>
        <v>0</v>
      </c>
      <c r="S223" s="41">
        <f t="shared" si="113"/>
        <v>0</v>
      </c>
      <c r="T223" s="41">
        <f t="shared" si="113"/>
        <v>0</v>
      </c>
      <c r="U223" s="41">
        <f t="shared" si="113"/>
        <v>4076.2062869067859</v>
      </c>
      <c r="V223" s="41">
        <f t="shared" si="113"/>
        <v>4076.2062869067859</v>
      </c>
      <c r="W223" s="41">
        <f t="shared" si="113"/>
        <v>4076.2062869067859</v>
      </c>
      <c r="X223" s="41">
        <f t="shared" si="113"/>
        <v>4076.2062869067859</v>
      </c>
      <c r="Y223" s="41">
        <f t="shared" si="113"/>
        <v>4076.2062869067859</v>
      </c>
      <c r="Z223" s="41">
        <f t="shared" si="113"/>
        <v>4076.2062869067859</v>
      </c>
      <c r="AA223" s="41">
        <f t="shared" si="113"/>
        <v>4076.2062869067859</v>
      </c>
      <c r="AB223" s="41">
        <f t="shared" si="113"/>
        <v>4076.2062869067859</v>
      </c>
      <c r="AC223" s="41">
        <f t="shared" si="113"/>
        <v>4076.2062869067859</v>
      </c>
      <c r="AD223" s="41">
        <f t="shared" si="113"/>
        <v>4076.2062869067859</v>
      </c>
      <c r="AE223" s="41">
        <f t="shared" si="113"/>
        <v>4076.2062869067859</v>
      </c>
      <c r="AF223" s="41">
        <f t="shared" si="113"/>
        <v>4076.2062869067859</v>
      </c>
      <c r="AG223" s="41">
        <f t="shared" si="113"/>
        <v>3018.8468368085719</v>
      </c>
      <c r="AH223" s="41">
        <f t="shared" si="113"/>
        <v>3018.8468368085719</v>
      </c>
      <c r="AI223" s="41">
        <f t="shared" si="113"/>
        <v>3018.8468368085719</v>
      </c>
      <c r="AJ223" s="41">
        <f t="shared" si="113"/>
        <v>3018.8468368085719</v>
      </c>
      <c r="AK223" s="41">
        <f t="shared" si="113"/>
        <v>3018.8468368085719</v>
      </c>
      <c r="AL223" s="41">
        <f t="shared" si="113"/>
        <v>3018.8468368085719</v>
      </c>
      <c r="AM223" s="41">
        <f t="shared" si="113"/>
        <v>3018.8468368085719</v>
      </c>
      <c r="AN223" s="41">
        <f t="shared" si="113"/>
        <v>3018.8468368085719</v>
      </c>
      <c r="AO223" s="41">
        <f t="shared" si="113"/>
        <v>3018.8468368085719</v>
      </c>
      <c r="AP223" s="41">
        <f t="shared" si="113"/>
        <v>3018.8468368085719</v>
      </c>
      <c r="AQ223" s="41">
        <f t="shared" si="113"/>
        <v>3018.8468368085719</v>
      </c>
      <c r="AR223" s="41">
        <f t="shared" si="113"/>
        <v>3018.8468368085719</v>
      </c>
      <c r="AS223" s="41">
        <f t="shared" si="113"/>
        <v>3277.1345593328683</v>
      </c>
      <c r="AT223" s="41">
        <f t="shared" si="113"/>
        <v>3277.1345593328683</v>
      </c>
      <c r="AU223" s="41">
        <f t="shared" si="113"/>
        <v>3277.1345593328683</v>
      </c>
      <c r="AV223" s="41">
        <f t="shared" si="113"/>
        <v>3277.1345593328683</v>
      </c>
      <c r="AW223" s="41">
        <f t="shared" si="113"/>
        <v>3277.1345593328683</v>
      </c>
      <c r="AX223" s="41">
        <f t="shared" si="113"/>
        <v>3277.1345593328683</v>
      </c>
      <c r="AY223" s="41">
        <f t="shared" si="113"/>
        <v>3277.1345593328683</v>
      </c>
      <c r="AZ223" s="41">
        <f t="shared" si="113"/>
        <v>3277.1345593328683</v>
      </c>
      <c r="BA223" s="41">
        <f t="shared" si="113"/>
        <v>3277.1345593328683</v>
      </c>
      <c r="BB223" s="41">
        <f t="shared" si="113"/>
        <v>3277.1345593328683</v>
      </c>
      <c r="BC223" s="41">
        <f t="shared" si="113"/>
        <v>3277.1345593328683</v>
      </c>
      <c r="BD223" s="41">
        <f t="shared" si="113"/>
        <v>3277.1345593328683</v>
      </c>
      <c r="BE223" s="41">
        <f t="shared" si="113"/>
        <v>3312.3438496245335</v>
      </c>
      <c r="BF223" s="41">
        <f t="shared" si="113"/>
        <v>3312.3438496245335</v>
      </c>
      <c r="BG223" s="41">
        <f t="shared" si="113"/>
        <v>3312.3438496245335</v>
      </c>
      <c r="BH223" s="41">
        <f t="shared" si="113"/>
        <v>3312.3438496245335</v>
      </c>
      <c r="BI223" s="41">
        <f t="shared" si="113"/>
        <v>3312.3438496245335</v>
      </c>
    </row>
    <row r="224" spans="5:61" x14ac:dyDescent="0.35">
      <c r="E224">
        <v>9</v>
      </c>
      <c r="J224" t="s">
        <v>51</v>
      </c>
      <c r="N224" s="41">
        <f t="shared" ref="N224:BI224" si="114">IFERROR(INDEX($N$200:$BI$200,1,MATCH(N210,$N$196:$BI$196,0)),0)</f>
        <v>0</v>
      </c>
      <c r="O224" s="41">
        <f t="shared" si="114"/>
        <v>0</v>
      </c>
      <c r="P224" s="41">
        <f t="shared" si="114"/>
        <v>0</v>
      </c>
      <c r="Q224" s="41">
        <f t="shared" si="114"/>
        <v>0</v>
      </c>
      <c r="R224" s="41">
        <f t="shared" si="114"/>
        <v>0</v>
      </c>
      <c r="S224" s="41">
        <f t="shared" si="114"/>
        <v>0</v>
      </c>
      <c r="T224" s="41">
        <f t="shared" si="114"/>
        <v>0</v>
      </c>
      <c r="U224" s="41">
        <f t="shared" si="114"/>
        <v>0</v>
      </c>
      <c r="V224" s="41">
        <f t="shared" si="114"/>
        <v>4111.4331891338734</v>
      </c>
      <c r="W224" s="41">
        <f t="shared" si="114"/>
        <v>4111.4331891338734</v>
      </c>
      <c r="X224" s="41">
        <f t="shared" si="114"/>
        <v>4111.4331891338734</v>
      </c>
      <c r="Y224" s="41">
        <f t="shared" si="114"/>
        <v>4111.4331891338734</v>
      </c>
      <c r="Z224" s="41">
        <f t="shared" si="114"/>
        <v>4111.4331891338734</v>
      </c>
      <c r="AA224" s="41">
        <f t="shared" si="114"/>
        <v>4111.4331891338734</v>
      </c>
      <c r="AB224" s="41">
        <f t="shared" si="114"/>
        <v>4111.4331891338734</v>
      </c>
      <c r="AC224" s="41">
        <f t="shared" si="114"/>
        <v>4111.4331891338734</v>
      </c>
      <c r="AD224" s="41">
        <f t="shared" si="114"/>
        <v>4111.4331891338734</v>
      </c>
      <c r="AE224" s="41">
        <f t="shared" si="114"/>
        <v>4111.4331891338734</v>
      </c>
      <c r="AF224" s="41">
        <f t="shared" si="114"/>
        <v>4111.4331891338734</v>
      </c>
      <c r="AG224" s="41">
        <f t="shared" si="114"/>
        <v>4111.4331891338734</v>
      </c>
      <c r="AH224" s="41">
        <f t="shared" si="114"/>
        <v>2883.139679089717</v>
      </c>
      <c r="AI224" s="41">
        <f t="shared" si="114"/>
        <v>2883.139679089717</v>
      </c>
      <c r="AJ224" s="41">
        <f t="shared" si="114"/>
        <v>2883.139679089717</v>
      </c>
      <c r="AK224" s="41">
        <f t="shared" si="114"/>
        <v>2883.139679089717</v>
      </c>
      <c r="AL224" s="41">
        <f t="shared" si="114"/>
        <v>2883.139679089717</v>
      </c>
      <c r="AM224" s="41">
        <f t="shared" si="114"/>
        <v>2883.139679089717</v>
      </c>
      <c r="AN224" s="41">
        <f t="shared" si="114"/>
        <v>2883.139679089717</v>
      </c>
      <c r="AO224" s="41">
        <f t="shared" si="114"/>
        <v>2883.139679089717</v>
      </c>
      <c r="AP224" s="41">
        <f t="shared" si="114"/>
        <v>2883.139679089717</v>
      </c>
      <c r="AQ224" s="41">
        <f t="shared" si="114"/>
        <v>2883.139679089717</v>
      </c>
      <c r="AR224" s="41">
        <f t="shared" si="114"/>
        <v>2883.139679089717</v>
      </c>
      <c r="AS224" s="41">
        <f t="shared" si="114"/>
        <v>2883.139679089717</v>
      </c>
      <c r="AT224" s="41">
        <f t="shared" si="114"/>
        <v>3266.5253250262899</v>
      </c>
      <c r="AU224" s="41">
        <f t="shared" si="114"/>
        <v>3266.5253250262899</v>
      </c>
      <c r="AV224" s="41">
        <f t="shared" si="114"/>
        <v>3266.5253250262899</v>
      </c>
      <c r="AW224" s="41">
        <f t="shared" si="114"/>
        <v>3266.5253250262899</v>
      </c>
      <c r="AX224" s="41">
        <f t="shared" si="114"/>
        <v>3266.5253250262899</v>
      </c>
      <c r="AY224" s="41">
        <f t="shared" si="114"/>
        <v>3266.5253250262899</v>
      </c>
      <c r="AZ224" s="41">
        <f t="shared" si="114"/>
        <v>3266.5253250262899</v>
      </c>
      <c r="BA224" s="41">
        <f t="shared" si="114"/>
        <v>3266.5253250262899</v>
      </c>
      <c r="BB224" s="41">
        <f t="shared" si="114"/>
        <v>3266.5253250262899</v>
      </c>
      <c r="BC224" s="41">
        <f t="shared" si="114"/>
        <v>3266.5253250262899</v>
      </c>
      <c r="BD224" s="41">
        <f t="shared" si="114"/>
        <v>3266.5253250262899</v>
      </c>
      <c r="BE224" s="41">
        <f t="shared" si="114"/>
        <v>3266.5253250262899</v>
      </c>
      <c r="BF224" s="41">
        <f t="shared" si="114"/>
        <v>3317.9661198282147</v>
      </c>
      <c r="BG224" s="41">
        <f t="shared" si="114"/>
        <v>3317.9661198282147</v>
      </c>
      <c r="BH224" s="41">
        <f t="shared" si="114"/>
        <v>3317.9661198282147</v>
      </c>
      <c r="BI224" s="41">
        <f t="shared" si="114"/>
        <v>3317.9661198282147</v>
      </c>
    </row>
    <row r="225" spans="5:61" x14ac:dyDescent="0.35">
      <c r="E225">
        <v>10</v>
      </c>
      <c r="J225" t="s">
        <v>51</v>
      </c>
      <c r="N225" s="41">
        <f t="shared" ref="N225:BI225" si="115">IFERROR(INDEX($N$200:$BI$200,1,MATCH(N211,$N$196:$BI$196,0)),0)</f>
        <v>0</v>
      </c>
      <c r="O225" s="41">
        <f t="shared" si="115"/>
        <v>0</v>
      </c>
      <c r="P225" s="41">
        <f t="shared" si="115"/>
        <v>0</v>
      </c>
      <c r="Q225" s="41">
        <f t="shared" si="115"/>
        <v>0</v>
      </c>
      <c r="R225" s="41">
        <f t="shared" si="115"/>
        <v>0</v>
      </c>
      <c r="S225" s="41">
        <f t="shared" si="115"/>
        <v>0</v>
      </c>
      <c r="T225" s="41">
        <f t="shared" si="115"/>
        <v>0</v>
      </c>
      <c r="U225" s="41">
        <f t="shared" si="115"/>
        <v>0</v>
      </c>
      <c r="V225" s="41">
        <f t="shared" si="115"/>
        <v>0</v>
      </c>
      <c r="W225" s="41">
        <f t="shared" si="115"/>
        <v>3848.8591193682578</v>
      </c>
      <c r="X225" s="41">
        <f t="shared" si="115"/>
        <v>3848.8591193682578</v>
      </c>
      <c r="Y225" s="41">
        <f t="shared" si="115"/>
        <v>3848.8591193682578</v>
      </c>
      <c r="Z225" s="41">
        <f t="shared" si="115"/>
        <v>3848.8591193682578</v>
      </c>
      <c r="AA225" s="41">
        <f t="shared" si="115"/>
        <v>3848.8591193682578</v>
      </c>
      <c r="AB225" s="41">
        <f t="shared" si="115"/>
        <v>3848.8591193682578</v>
      </c>
      <c r="AC225" s="41">
        <f t="shared" si="115"/>
        <v>3848.8591193682578</v>
      </c>
      <c r="AD225" s="41">
        <f t="shared" si="115"/>
        <v>3848.8591193682578</v>
      </c>
      <c r="AE225" s="41">
        <f t="shared" si="115"/>
        <v>3848.8591193682578</v>
      </c>
      <c r="AF225" s="41">
        <f t="shared" si="115"/>
        <v>3848.8591193682578</v>
      </c>
      <c r="AG225" s="41">
        <f t="shared" si="115"/>
        <v>3848.8591193682578</v>
      </c>
      <c r="AH225" s="41">
        <f t="shared" si="115"/>
        <v>3848.8591193682578</v>
      </c>
      <c r="AI225" s="41">
        <f t="shared" si="115"/>
        <v>3208.4131574751091</v>
      </c>
      <c r="AJ225" s="41">
        <f t="shared" si="115"/>
        <v>3208.4131574751091</v>
      </c>
      <c r="AK225" s="41">
        <f t="shared" si="115"/>
        <v>3208.4131574751091</v>
      </c>
      <c r="AL225" s="41">
        <f t="shared" si="115"/>
        <v>3208.4131574751091</v>
      </c>
      <c r="AM225" s="41">
        <f t="shared" si="115"/>
        <v>3208.4131574751091</v>
      </c>
      <c r="AN225" s="41">
        <f t="shared" si="115"/>
        <v>3208.4131574751091</v>
      </c>
      <c r="AO225" s="41">
        <f t="shared" si="115"/>
        <v>3208.4131574751091</v>
      </c>
      <c r="AP225" s="41">
        <f t="shared" si="115"/>
        <v>3208.4131574751091</v>
      </c>
      <c r="AQ225" s="41">
        <f t="shared" si="115"/>
        <v>3208.4131574751091</v>
      </c>
      <c r="AR225" s="41">
        <f t="shared" si="115"/>
        <v>3208.4131574751091</v>
      </c>
      <c r="AS225" s="41">
        <f t="shared" si="115"/>
        <v>3208.4131574751091</v>
      </c>
      <c r="AT225" s="41">
        <f t="shared" si="115"/>
        <v>3208.4131574751091</v>
      </c>
      <c r="AU225" s="41">
        <f t="shared" si="115"/>
        <v>3260.7436326111338</v>
      </c>
      <c r="AV225" s="41">
        <f t="shared" si="115"/>
        <v>3260.7436326111338</v>
      </c>
      <c r="AW225" s="41">
        <f t="shared" si="115"/>
        <v>3260.7436326111338</v>
      </c>
      <c r="AX225" s="41">
        <f t="shared" si="115"/>
        <v>3260.7436326111338</v>
      </c>
      <c r="AY225" s="41">
        <f t="shared" si="115"/>
        <v>3260.7436326111338</v>
      </c>
      <c r="AZ225" s="41">
        <f t="shared" si="115"/>
        <v>3260.7436326111338</v>
      </c>
      <c r="BA225" s="41">
        <f t="shared" si="115"/>
        <v>3260.7436326111338</v>
      </c>
      <c r="BB225" s="41">
        <f t="shared" si="115"/>
        <v>3260.7436326111338</v>
      </c>
      <c r="BC225" s="41">
        <f t="shared" si="115"/>
        <v>3260.7436326111338</v>
      </c>
      <c r="BD225" s="41">
        <f t="shared" si="115"/>
        <v>3260.7436326111338</v>
      </c>
      <c r="BE225" s="41">
        <f t="shared" si="115"/>
        <v>3260.7436326111338</v>
      </c>
      <c r="BF225" s="41">
        <f t="shared" si="115"/>
        <v>3260.7436326111338</v>
      </c>
      <c r="BG225" s="41">
        <f t="shared" si="115"/>
        <v>3322.77150957513</v>
      </c>
      <c r="BH225" s="41">
        <f t="shared" si="115"/>
        <v>3322.77150957513</v>
      </c>
      <c r="BI225" s="41">
        <f t="shared" si="115"/>
        <v>3322.77150957513</v>
      </c>
    </row>
    <row r="226" spans="5:61" x14ac:dyDescent="0.35">
      <c r="E226">
        <v>11</v>
      </c>
      <c r="J226" t="s">
        <v>51</v>
      </c>
      <c r="N226" s="41">
        <f t="shared" ref="N226:BI226" si="116">IFERROR(INDEX($N$200:$BI$200,1,MATCH(N212,$N$196:$BI$196,0)),0)</f>
        <v>0</v>
      </c>
      <c r="O226" s="41">
        <f t="shared" si="116"/>
        <v>0</v>
      </c>
      <c r="P226" s="41">
        <f t="shared" si="116"/>
        <v>0</v>
      </c>
      <c r="Q226" s="41">
        <f t="shared" si="116"/>
        <v>0</v>
      </c>
      <c r="R226" s="41">
        <f t="shared" si="116"/>
        <v>0</v>
      </c>
      <c r="S226" s="41">
        <f t="shared" si="116"/>
        <v>0</v>
      </c>
      <c r="T226" s="41">
        <f t="shared" si="116"/>
        <v>0</v>
      </c>
      <c r="U226" s="41">
        <f t="shared" si="116"/>
        <v>0</v>
      </c>
      <c r="V226" s="41">
        <f t="shared" si="116"/>
        <v>0</v>
      </c>
      <c r="W226" s="41">
        <f t="shared" si="116"/>
        <v>0</v>
      </c>
      <c r="X226" s="41">
        <f t="shared" si="116"/>
        <v>3298.1735036804635</v>
      </c>
      <c r="Y226" s="41">
        <f t="shared" si="116"/>
        <v>3298.1735036804635</v>
      </c>
      <c r="Z226" s="41">
        <f t="shared" si="116"/>
        <v>3298.1735036804635</v>
      </c>
      <c r="AA226" s="41">
        <f t="shared" si="116"/>
        <v>3298.1735036804635</v>
      </c>
      <c r="AB226" s="41">
        <f t="shared" si="116"/>
        <v>3298.1735036804635</v>
      </c>
      <c r="AC226" s="41">
        <f t="shared" si="116"/>
        <v>3298.1735036804635</v>
      </c>
      <c r="AD226" s="41">
        <f t="shared" si="116"/>
        <v>3298.1735036804635</v>
      </c>
      <c r="AE226" s="41">
        <f t="shared" si="116"/>
        <v>3298.1735036804635</v>
      </c>
      <c r="AF226" s="41">
        <f t="shared" si="116"/>
        <v>3298.1735036804635</v>
      </c>
      <c r="AG226" s="41">
        <f t="shared" si="116"/>
        <v>3298.1735036804635</v>
      </c>
      <c r="AH226" s="41">
        <f t="shared" si="116"/>
        <v>3298.1735036804635</v>
      </c>
      <c r="AI226" s="41">
        <f t="shared" si="116"/>
        <v>3298.1735036804635</v>
      </c>
      <c r="AJ226" s="41">
        <f t="shared" si="116"/>
        <v>2981.7750887429188</v>
      </c>
      <c r="AK226" s="41">
        <f t="shared" si="116"/>
        <v>2981.7750887429188</v>
      </c>
      <c r="AL226" s="41">
        <f t="shared" si="116"/>
        <v>2981.7750887429188</v>
      </c>
      <c r="AM226" s="41">
        <f t="shared" si="116"/>
        <v>2981.7750887429188</v>
      </c>
      <c r="AN226" s="41">
        <f t="shared" si="116"/>
        <v>2981.7750887429188</v>
      </c>
      <c r="AO226" s="41">
        <f t="shared" si="116"/>
        <v>2981.7750887429188</v>
      </c>
      <c r="AP226" s="41">
        <f t="shared" si="116"/>
        <v>2981.7750887429188</v>
      </c>
      <c r="AQ226" s="41">
        <f t="shared" si="116"/>
        <v>2981.7750887429188</v>
      </c>
      <c r="AR226" s="41">
        <f t="shared" si="116"/>
        <v>2981.7750887429188</v>
      </c>
      <c r="AS226" s="41">
        <f t="shared" si="116"/>
        <v>2981.7750887429188</v>
      </c>
      <c r="AT226" s="41">
        <f t="shared" si="116"/>
        <v>2981.7750887429188</v>
      </c>
      <c r="AU226" s="41">
        <f t="shared" si="116"/>
        <v>2981.7750887429188</v>
      </c>
      <c r="AV226" s="41">
        <f t="shared" si="116"/>
        <v>3250.1206725289453</v>
      </c>
      <c r="AW226" s="41">
        <f t="shared" si="116"/>
        <v>3250.1206725289453</v>
      </c>
      <c r="AX226" s="41">
        <f t="shared" si="116"/>
        <v>3250.1206725289453</v>
      </c>
      <c r="AY226" s="41">
        <f t="shared" si="116"/>
        <v>3250.1206725289453</v>
      </c>
      <c r="AZ226" s="41">
        <f t="shared" si="116"/>
        <v>3250.1206725289453</v>
      </c>
      <c r="BA226" s="41">
        <f t="shared" si="116"/>
        <v>3250.1206725289453</v>
      </c>
      <c r="BB226" s="41">
        <f t="shared" si="116"/>
        <v>3250.1206725289453</v>
      </c>
      <c r="BC226" s="41">
        <f t="shared" si="116"/>
        <v>3250.1206725289453</v>
      </c>
      <c r="BD226" s="41">
        <f t="shared" si="116"/>
        <v>3250.1206725289453</v>
      </c>
      <c r="BE226" s="41">
        <f t="shared" si="116"/>
        <v>3250.1206725289453</v>
      </c>
      <c r="BF226" s="41">
        <f t="shared" si="116"/>
        <v>3250.1206725289453</v>
      </c>
      <c r="BG226" s="41">
        <f t="shared" si="116"/>
        <v>3250.1206725289453</v>
      </c>
      <c r="BH226" s="41">
        <f t="shared" si="116"/>
        <v>3326.3946202950178</v>
      </c>
      <c r="BI226" s="41">
        <f t="shared" si="116"/>
        <v>3326.3946202950178</v>
      </c>
    </row>
    <row r="227" spans="5:61" x14ac:dyDescent="0.35">
      <c r="E227">
        <v>12</v>
      </c>
      <c r="J227" t="s">
        <v>51</v>
      </c>
      <c r="N227" s="41">
        <f t="shared" ref="N227:BI227" si="117">IFERROR(INDEX($N$200:$BI$200,1,MATCH(N213,$N$196:$BI$196,0)),0)</f>
        <v>0</v>
      </c>
      <c r="O227" s="41">
        <f t="shared" si="117"/>
        <v>0</v>
      </c>
      <c r="P227" s="41">
        <f t="shared" si="117"/>
        <v>0</v>
      </c>
      <c r="Q227" s="41">
        <f t="shared" si="117"/>
        <v>0</v>
      </c>
      <c r="R227" s="41">
        <f t="shared" si="117"/>
        <v>0</v>
      </c>
      <c r="S227" s="41">
        <f t="shared" si="117"/>
        <v>0</v>
      </c>
      <c r="T227" s="41">
        <f t="shared" si="117"/>
        <v>0</v>
      </c>
      <c r="U227" s="41">
        <f t="shared" si="117"/>
        <v>0</v>
      </c>
      <c r="V227" s="41">
        <f t="shared" si="117"/>
        <v>0</v>
      </c>
      <c r="W227" s="41">
        <f t="shared" si="117"/>
        <v>0</v>
      </c>
      <c r="X227" s="41">
        <f t="shared" si="117"/>
        <v>0</v>
      </c>
      <c r="Y227" s="41">
        <f t="shared" si="117"/>
        <v>3232.8180105210422</v>
      </c>
      <c r="Z227" s="41">
        <f t="shared" si="117"/>
        <v>3232.8180105210422</v>
      </c>
      <c r="AA227" s="41">
        <f t="shared" si="117"/>
        <v>3232.8180105210422</v>
      </c>
      <c r="AB227" s="41">
        <f t="shared" si="117"/>
        <v>3232.8180105210422</v>
      </c>
      <c r="AC227" s="41">
        <f t="shared" si="117"/>
        <v>3232.8180105210422</v>
      </c>
      <c r="AD227" s="41">
        <f t="shared" si="117"/>
        <v>3232.8180105210422</v>
      </c>
      <c r="AE227" s="41">
        <f t="shared" si="117"/>
        <v>3232.8180105210422</v>
      </c>
      <c r="AF227" s="41">
        <f t="shared" si="117"/>
        <v>3232.8180105210422</v>
      </c>
      <c r="AG227" s="41">
        <f t="shared" si="117"/>
        <v>3232.8180105210422</v>
      </c>
      <c r="AH227" s="41">
        <f t="shared" si="117"/>
        <v>3232.8180105210422</v>
      </c>
      <c r="AI227" s="41">
        <f t="shared" si="117"/>
        <v>3232.8180105210422</v>
      </c>
      <c r="AJ227" s="41">
        <f t="shared" si="117"/>
        <v>3232.8180105210422</v>
      </c>
      <c r="AK227" s="41">
        <f t="shared" si="117"/>
        <v>2952.777977771465</v>
      </c>
      <c r="AL227" s="41">
        <f t="shared" si="117"/>
        <v>2952.777977771465</v>
      </c>
      <c r="AM227" s="41">
        <f t="shared" si="117"/>
        <v>2952.777977771465</v>
      </c>
      <c r="AN227" s="41">
        <f t="shared" si="117"/>
        <v>2952.777977771465</v>
      </c>
      <c r="AO227" s="41">
        <f t="shared" si="117"/>
        <v>2952.777977771465</v>
      </c>
      <c r="AP227" s="41">
        <f t="shared" si="117"/>
        <v>2952.777977771465</v>
      </c>
      <c r="AQ227" s="41">
        <f t="shared" si="117"/>
        <v>2952.777977771465</v>
      </c>
      <c r="AR227" s="41">
        <f t="shared" si="117"/>
        <v>2952.777977771465</v>
      </c>
      <c r="AS227" s="41">
        <f t="shared" si="117"/>
        <v>2952.777977771465</v>
      </c>
      <c r="AT227" s="41">
        <f t="shared" si="117"/>
        <v>2952.777977771465</v>
      </c>
      <c r="AU227" s="41">
        <f t="shared" si="117"/>
        <v>2952.777977771465</v>
      </c>
      <c r="AV227" s="41">
        <f t="shared" si="117"/>
        <v>2952.777977771465</v>
      </c>
      <c r="AW227" s="41">
        <f t="shared" si="117"/>
        <v>3238.142996992101</v>
      </c>
      <c r="AX227" s="41">
        <f t="shared" si="117"/>
        <v>3238.142996992101</v>
      </c>
      <c r="AY227" s="41">
        <f t="shared" si="117"/>
        <v>3238.142996992101</v>
      </c>
      <c r="AZ227" s="41">
        <f t="shared" si="117"/>
        <v>3238.142996992101</v>
      </c>
      <c r="BA227" s="41">
        <f t="shared" si="117"/>
        <v>3238.142996992101</v>
      </c>
      <c r="BB227" s="41">
        <f t="shared" si="117"/>
        <v>3238.142996992101</v>
      </c>
      <c r="BC227" s="41">
        <f t="shared" si="117"/>
        <v>3238.142996992101</v>
      </c>
      <c r="BD227" s="41">
        <f t="shared" si="117"/>
        <v>3238.142996992101</v>
      </c>
      <c r="BE227" s="41">
        <f t="shared" si="117"/>
        <v>3238.142996992101</v>
      </c>
      <c r="BF227" s="41">
        <f t="shared" si="117"/>
        <v>3238.142996992101</v>
      </c>
      <c r="BG227" s="41">
        <f t="shared" si="117"/>
        <v>3238.142996992101</v>
      </c>
      <c r="BH227" s="41">
        <f t="shared" si="117"/>
        <v>3238.142996992101</v>
      </c>
      <c r="BI227" s="41">
        <f t="shared" si="117"/>
        <v>3329.2920252837339</v>
      </c>
    </row>
    <row r="228" spans="5:61" x14ac:dyDescent="0.35"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</row>
    <row r="229" spans="5:61" x14ac:dyDescent="0.35">
      <c r="E229" s="12" t="s">
        <v>125</v>
      </c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</row>
    <row r="230" spans="5:61" x14ac:dyDescent="0.35">
      <c r="E230">
        <v>1</v>
      </c>
      <c r="J230" t="s">
        <v>50</v>
      </c>
      <c r="N230" s="41">
        <f>N130*N117-N146</f>
        <v>0</v>
      </c>
      <c r="O230" s="41">
        <f t="shared" ref="O230:BI230" si="118">O130*O117-O146</f>
        <v>0</v>
      </c>
      <c r="P230" s="41">
        <f t="shared" si="118"/>
        <v>0</v>
      </c>
      <c r="Q230" s="41">
        <f t="shared" si="118"/>
        <v>0</v>
      </c>
      <c r="R230" s="41">
        <f t="shared" si="118"/>
        <v>0</v>
      </c>
      <c r="S230" s="41">
        <f t="shared" si="118"/>
        <v>0</v>
      </c>
      <c r="T230" s="41">
        <f t="shared" si="118"/>
        <v>0</v>
      </c>
      <c r="U230" s="41">
        <f t="shared" si="118"/>
        <v>0</v>
      </c>
      <c r="V230" s="41">
        <f t="shared" si="118"/>
        <v>0</v>
      </c>
      <c r="W230" s="41">
        <f t="shared" si="118"/>
        <v>0</v>
      </c>
      <c r="X230" s="41">
        <f t="shared" si="118"/>
        <v>0</v>
      </c>
      <c r="Y230" s="41">
        <f t="shared" si="118"/>
        <v>0</v>
      </c>
      <c r="Z230" s="41">
        <f t="shared" si="118"/>
        <v>7744.9797466420841</v>
      </c>
      <c r="AA230" s="41">
        <f t="shared" si="118"/>
        <v>3789.9440711472103</v>
      </c>
      <c r="AB230" s="41">
        <f t="shared" si="118"/>
        <v>3872.8121244128988</v>
      </c>
      <c r="AC230" s="41">
        <f t="shared" si="118"/>
        <v>2696.482142634974</v>
      </c>
      <c r="AD230" s="41">
        <f t="shared" si="118"/>
        <v>1556.5721439606268</v>
      </c>
      <c r="AE230" s="41">
        <f t="shared" si="118"/>
        <v>652.36743113158082</v>
      </c>
      <c r="AF230" s="41">
        <f t="shared" si="118"/>
        <v>227.53055599628178</v>
      </c>
      <c r="AG230" s="41">
        <f t="shared" si="118"/>
        <v>58.095919750799084</v>
      </c>
      <c r="AH230" s="41">
        <f t="shared" si="118"/>
        <v>11.285392496965368</v>
      </c>
      <c r="AI230" s="41">
        <f t="shared" si="118"/>
        <v>1.8431715266978306</v>
      </c>
      <c r="AJ230" s="41">
        <f t="shared" si="118"/>
        <v>0.21453806261900346</v>
      </c>
      <c r="AK230" s="41">
        <f t="shared" si="118"/>
        <v>2.1194691393216957E-2</v>
      </c>
      <c r="AL230" s="41">
        <f t="shared" si="118"/>
        <v>19911.046262737884</v>
      </c>
      <c r="AM230" s="41">
        <f t="shared" si="118"/>
        <v>9743.3116938128187</v>
      </c>
      <c r="AN230" s="41">
        <f t="shared" si="118"/>
        <v>9956.351584974771</v>
      </c>
      <c r="AO230" s="41">
        <f t="shared" si="118"/>
        <v>6932.2041431973148</v>
      </c>
      <c r="AP230" s="41">
        <f t="shared" si="118"/>
        <v>4001.6863805391436</v>
      </c>
      <c r="AQ230" s="41">
        <f t="shared" si="118"/>
        <v>1677.1274459686006</v>
      </c>
      <c r="AR230" s="41">
        <f t="shared" si="118"/>
        <v>584.94296626051585</v>
      </c>
      <c r="AS230" s="41">
        <f t="shared" si="118"/>
        <v>149.35488325014526</v>
      </c>
      <c r="AT230" s="41">
        <f t="shared" si="118"/>
        <v>29.012854707290252</v>
      </c>
      <c r="AU230" s="41">
        <f t="shared" si="118"/>
        <v>4.7384854110371499</v>
      </c>
      <c r="AV230" s="41">
        <f t="shared" si="118"/>
        <v>0.55154144099307234</v>
      </c>
      <c r="AW230" s="41">
        <f t="shared" si="118"/>
        <v>5.4488003152979379E-2</v>
      </c>
      <c r="AX230" s="41">
        <f t="shared" si="118"/>
        <v>22490.502904231133</v>
      </c>
      <c r="AY230" s="41">
        <f t="shared" si="118"/>
        <v>11005.548229608423</v>
      </c>
      <c r="AZ230" s="41">
        <f t="shared" si="118"/>
        <v>11246.187231078764</v>
      </c>
      <c r="BA230" s="41">
        <f t="shared" si="118"/>
        <v>7830.2644350274304</v>
      </c>
      <c r="BB230" s="41">
        <f t="shared" si="118"/>
        <v>4520.1009517900775</v>
      </c>
      <c r="BC230" s="41">
        <f t="shared" si="118"/>
        <v>1894.3976723569676</v>
      </c>
      <c r="BD230" s="41">
        <f t="shared" si="118"/>
        <v>660.72175755583453</v>
      </c>
      <c r="BE230" s="41">
        <f t="shared" si="118"/>
        <v>168.70366283989551</v>
      </c>
      <c r="BF230" s="41">
        <f t="shared" si="118"/>
        <v>32.77144176373497</v>
      </c>
      <c r="BG230" s="41">
        <f t="shared" si="118"/>
        <v>5.3523515787328471</v>
      </c>
      <c r="BH230" s="41">
        <f t="shared" si="118"/>
        <v>0.62299309723731389</v>
      </c>
      <c r="BI230" s="41">
        <f t="shared" si="118"/>
        <v>6.1546870866911921E-2</v>
      </c>
    </row>
    <row r="231" spans="5:61" x14ac:dyDescent="0.35">
      <c r="E231">
        <v>2</v>
      </c>
      <c r="J231" t="s">
        <v>50</v>
      </c>
      <c r="N231" s="41">
        <f t="shared" ref="N231:BI231" si="119">N131*N118-N147</f>
        <v>0</v>
      </c>
      <c r="O231" s="41">
        <f t="shared" si="119"/>
        <v>0</v>
      </c>
      <c r="P231" s="41">
        <f t="shared" si="119"/>
        <v>0</v>
      </c>
      <c r="Q231" s="41">
        <f t="shared" si="119"/>
        <v>0</v>
      </c>
      <c r="R231" s="41">
        <f t="shared" si="119"/>
        <v>0</v>
      </c>
      <c r="S231" s="41">
        <f t="shared" si="119"/>
        <v>0</v>
      </c>
      <c r="T231" s="41">
        <f t="shared" si="119"/>
        <v>0</v>
      </c>
      <c r="U231" s="41">
        <f t="shared" si="119"/>
        <v>0</v>
      </c>
      <c r="V231" s="41">
        <f t="shared" si="119"/>
        <v>0</v>
      </c>
      <c r="W231" s="41">
        <f t="shared" si="119"/>
        <v>0</v>
      </c>
      <c r="X231" s="41">
        <f t="shared" si="119"/>
        <v>0</v>
      </c>
      <c r="Y231" s="41">
        <f t="shared" si="119"/>
        <v>0</v>
      </c>
      <c r="Z231" s="41">
        <f t="shared" si="119"/>
        <v>0</v>
      </c>
      <c r="AA231" s="41">
        <f t="shared" si="119"/>
        <v>9216.0495112540484</v>
      </c>
      <c r="AB231" s="41">
        <f t="shared" si="119"/>
        <v>5233.30728663023</v>
      </c>
      <c r="AC231" s="41">
        <f t="shared" si="119"/>
        <v>4713.0937288027526</v>
      </c>
      <c r="AD231" s="41">
        <f t="shared" si="119"/>
        <v>3516.0093215772145</v>
      </c>
      <c r="AE231" s="41">
        <f t="shared" si="119"/>
        <v>1907.6408665340641</v>
      </c>
      <c r="AF231" s="41">
        <f t="shared" si="119"/>
        <v>859.41304467168356</v>
      </c>
      <c r="AG231" s="41">
        <f t="shared" si="119"/>
        <v>285.0188035868066</v>
      </c>
      <c r="AH231" s="41">
        <f t="shared" si="119"/>
        <v>71.775501029314512</v>
      </c>
      <c r="AI231" s="41">
        <f t="shared" si="119"/>
        <v>15.135808625568195</v>
      </c>
      <c r="AJ231" s="41">
        <f t="shared" si="119"/>
        <v>2.2860360579450236</v>
      </c>
      <c r="AK231" s="41">
        <f t="shared" si="119"/>
        <v>0.29157784849560076</v>
      </c>
      <c r="AL231" s="41">
        <f t="shared" si="119"/>
        <v>2.6549777267651918E-2</v>
      </c>
      <c r="AM231" s="41">
        <f t="shared" si="119"/>
        <v>17776.924419149334</v>
      </c>
      <c r="AN231" s="41">
        <f t="shared" si="119"/>
        <v>10094.575553549732</v>
      </c>
      <c r="AO231" s="41">
        <f t="shared" si="119"/>
        <v>9091.1307382822979</v>
      </c>
      <c r="AP231" s="41">
        <f t="shared" si="119"/>
        <v>6782.0633873957577</v>
      </c>
      <c r="AQ231" s="41">
        <f t="shared" si="119"/>
        <v>3679.6663756900889</v>
      </c>
      <c r="AR231" s="41">
        <f t="shared" si="119"/>
        <v>1657.729889721551</v>
      </c>
      <c r="AS231" s="41">
        <f t="shared" si="119"/>
        <v>549.77544589054446</v>
      </c>
      <c r="AT231" s="41">
        <f t="shared" si="119"/>
        <v>138.44843773751361</v>
      </c>
      <c r="AU231" s="41">
        <f t="shared" si="119"/>
        <v>29.195603347276467</v>
      </c>
      <c r="AV231" s="41">
        <f t="shared" si="119"/>
        <v>4.4095564126379099</v>
      </c>
      <c r="AW231" s="41">
        <f t="shared" si="119"/>
        <v>0.56242724918902454</v>
      </c>
      <c r="AX231" s="41">
        <f t="shared" si="119"/>
        <v>5.1212114611141529E-2</v>
      </c>
      <c r="AY231" s="41">
        <f t="shared" si="119"/>
        <v>19817.629772299239</v>
      </c>
      <c r="AZ231" s="41">
        <f t="shared" si="119"/>
        <v>11253.384236322476</v>
      </c>
      <c r="BA231" s="41">
        <f t="shared" si="119"/>
        <v>10134.748786397176</v>
      </c>
      <c r="BB231" s="41">
        <f t="shared" si="119"/>
        <v>7560.6116184470084</v>
      </c>
      <c r="BC231" s="41">
        <f t="shared" si="119"/>
        <v>4102.0743633500706</v>
      </c>
      <c r="BD231" s="41">
        <f t="shared" si="119"/>
        <v>1848.029301490848</v>
      </c>
      <c r="BE231" s="41">
        <f t="shared" si="119"/>
        <v>612.88702070551437</v>
      </c>
      <c r="BF231" s="41">
        <f t="shared" si="119"/>
        <v>154.34165196088293</v>
      </c>
      <c r="BG231" s="41">
        <f t="shared" si="119"/>
        <v>32.547118076958789</v>
      </c>
      <c r="BH231" s="41">
        <f t="shared" si="119"/>
        <v>4.9157522631751016</v>
      </c>
      <c r="BI231" s="41">
        <f t="shared" si="119"/>
        <v>0.62699119012253401</v>
      </c>
    </row>
    <row r="232" spans="5:61" x14ac:dyDescent="0.35">
      <c r="E232">
        <v>3</v>
      </c>
      <c r="J232" t="s">
        <v>50</v>
      </c>
      <c r="N232" s="41">
        <f t="shared" ref="N232:BI232" si="120">N132*N119-N148</f>
        <v>0</v>
      </c>
      <c r="O232" s="41">
        <f t="shared" si="120"/>
        <v>0</v>
      </c>
      <c r="P232" s="41">
        <f t="shared" si="120"/>
        <v>0</v>
      </c>
      <c r="Q232" s="41">
        <f t="shared" si="120"/>
        <v>0</v>
      </c>
      <c r="R232" s="41">
        <f t="shared" si="120"/>
        <v>0</v>
      </c>
      <c r="S232" s="41">
        <f t="shared" si="120"/>
        <v>0</v>
      </c>
      <c r="T232" s="41">
        <f t="shared" si="120"/>
        <v>0</v>
      </c>
      <c r="U232" s="41">
        <f t="shared" si="120"/>
        <v>0</v>
      </c>
      <c r="V232" s="41">
        <f t="shared" si="120"/>
        <v>0</v>
      </c>
      <c r="W232" s="41">
        <f t="shared" si="120"/>
        <v>0</v>
      </c>
      <c r="X232" s="41">
        <f t="shared" si="120"/>
        <v>0</v>
      </c>
      <c r="Y232" s="41">
        <f t="shared" si="120"/>
        <v>0</v>
      </c>
      <c r="Z232" s="41">
        <f t="shared" si="120"/>
        <v>0</v>
      </c>
      <c r="AA232" s="41">
        <f t="shared" si="120"/>
        <v>0</v>
      </c>
      <c r="AB232" s="41">
        <f t="shared" si="120"/>
        <v>11620.146826401795</v>
      </c>
      <c r="AC232" s="41">
        <f t="shared" si="120"/>
        <v>6091.7832861604893</v>
      </c>
      <c r="AD232" s="41">
        <f t="shared" si="120"/>
        <v>5730.6092551609036</v>
      </c>
      <c r="AE232" s="41">
        <f t="shared" si="120"/>
        <v>3924.2408062859076</v>
      </c>
      <c r="AF232" s="41">
        <f t="shared" si="120"/>
        <v>2228.1598166648937</v>
      </c>
      <c r="AG232" s="41">
        <f t="shared" si="120"/>
        <v>935.69475428719534</v>
      </c>
      <c r="AH232" s="41">
        <f t="shared" si="120"/>
        <v>297.76916093170684</v>
      </c>
      <c r="AI232" s="41">
        <f t="shared" si="120"/>
        <v>79.101392712409037</v>
      </c>
      <c r="AJ232" s="41">
        <f t="shared" si="120"/>
        <v>15.110365903814269</v>
      </c>
      <c r="AK232" s="41">
        <f t="shared" si="120"/>
        <v>2.4275323954583512</v>
      </c>
      <c r="AL232" s="41">
        <f t="shared" si="120"/>
        <v>0.28014361052808145</v>
      </c>
      <c r="AM232" s="41">
        <f t="shared" si="120"/>
        <v>2.4307624241374708E-2</v>
      </c>
      <c r="AN232" s="41">
        <f t="shared" si="120"/>
        <v>21501.802705216891</v>
      </c>
      <c r="AO232" s="41">
        <f t="shared" si="120"/>
        <v>11272.174465502882</v>
      </c>
      <c r="AP232" s="41">
        <f t="shared" si="120"/>
        <v>10603.861674552914</v>
      </c>
      <c r="AQ232" s="41">
        <f t="shared" si="120"/>
        <v>7261.3756818293796</v>
      </c>
      <c r="AR232" s="41">
        <f t="shared" si="120"/>
        <v>4122.9644934233638</v>
      </c>
      <c r="AS232" s="41">
        <f t="shared" si="120"/>
        <v>1731.4001535055995</v>
      </c>
      <c r="AT232" s="41">
        <f t="shared" si="120"/>
        <v>550.9890576859525</v>
      </c>
      <c r="AU232" s="41">
        <f t="shared" si="120"/>
        <v>146.36842074539982</v>
      </c>
      <c r="AV232" s="41">
        <f t="shared" si="120"/>
        <v>27.960068949322977</v>
      </c>
      <c r="AW232" s="41">
        <f t="shared" si="120"/>
        <v>4.4918815060988972</v>
      </c>
      <c r="AX232" s="41">
        <f t="shared" si="120"/>
        <v>0.51837491665904778</v>
      </c>
      <c r="AY232" s="41">
        <f t="shared" si="120"/>
        <v>4.4978583186493913E-2</v>
      </c>
      <c r="AZ232" s="41">
        <f t="shared" si="120"/>
        <v>23743.56034782713</v>
      </c>
      <c r="BA232" s="41">
        <f t="shared" si="120"/>
        <v>12447.400729240573</v>
      </c>
      <c r="BB232" s="41">
        <f t="shared" si="120"/>
        <v>11709.410277895984</v>
      </c>
      <c r="BC232" s="41">
        <f t="shared" si="120"/>
        <v>8018.4398523910231</v>
      </c>
      <c r="BD232" s="41">
        <f t="shared" si="120"/>
        <v>4552.8208775627245</v>
      </c>
      <c r="BE232" s="41">
        <f t="shared" si="120"/>
        <v>1911.9142982845387</v>
      </c>
      <c r="BF232" s="41">
        <f t="shared" si="120"/>
        <v>608.43465645718527</v>
      </c>
      <c r="BG232" s="41">
        <f t="shared" si="120"/>
        <v>161.62865405426464</v>
      </c>
      <c r="BH232" s="41">
        <f t="shared" si="120"/>
        <v>30.8751593310167</v>
      </c>
      <c r="BI232" s="41">
        <f t="shared" si="120"/>
        <v>4.9602008295551396</v>
      </c>
    </row>
    <row r="233" spans="5:61" x14ac:dyDescent="0.35">
      <c r="E233">
        <v>4</v>
      </c>
      <c r="J233" t="s">
        <v>50</v>
      </c>
      <c r="N233" s="41">
        <f t="shared" ref="N233:BI233" si="121">N133*N120-N149</f>
        <v>0</v>
      </c>
      <c r="O233" s="41">
        <f t="shared" si="121"/>
        <v>0</v>
      </c>
      <c r="P233" s="41">
        <f t="shared" si="121"/>
        <v>0</v>
      </c>
      <c r="Q233" s="41">
        <f t="shared" si="121"/>
        <v>30.534326766022762</v>
      </c>
      <c r="R233" s="41">
        <f t="shared" si="121"/>
        <v>16.801953140373538</v>
      </c>
      <c r="S233" s="41">
        <f t="shared" si="121"/>
        <v>14.882795655230176</v>
      </c>
      <c r="T233" s="41">
        <f t="shared" si="121"/>
        <v>10.92041619454934</v>
      </c>
      <c r="U233" s="41">
        <f t="shared" si="121"/>
        <v>5.9549013623888962</v>
      </c>
      <c r="V233" s="41">
        <f t="shared" si="121"/>
        <v>2.454465963905621</v>
      </c>
      <c r="W233" s="41">
        <f t="shared" si="121"/>
        <v>0.84204620468235825</v>
      </c>
      <c r="X233" s="41">
        <f t="shared" si="121"/>
        <v>0.20853163038732347</v>
      </c>
      <c r="Y233" s="41">
        <f t="shared" si="121"/>
        <v>4.3255393838137417E-2</v>
      </c>
      <c r="Z233" s="41">
        <f t="shared" si="121"/>
        <v>6.4877374867101821E-3</v>
      </c>
      <c r="AA233" s="41">
        <f t="shared" si="121"/>
        <v>7.2867977772236858E-4</v>
      </c>
      <c r="AB233" s="41">
        <f t="shared" si="121"/>
        <v>8.4985857547581475E-5</v>
      </c>
      <c r="AC233" s="41">
        <f t="shared" si="121"/>
        <v>12123.882572476899</v>
      </c>
      <c r="AD233" s="41">
        <f t="shared" si="121"/>
        <v>6671.341026219121</v>
      </c>
      <c r="AE233" s="41">
        <f t="shared" si="121"/>
        <v>5909.3252082100134</v>
      </c>
      <c r="AF233" s="41">
        <f t="shared" si="121"/>
        <v>4336.0328393622112</v>
      </c>
      <c r="AG233" s="41">
        <f t="shared" si="121"/>
        <v>2364.4380765788742</v>
      </c>
      <c r="AH233" s="41">
        <f t="shared" si="121"/>
        <v>974.56404893282502</v>
      </c>
      <c r="AI233" s="41">
        <f t="shared" si="121"/>
        <v>334.34073671893543</v>
      </c>
      <c r="AJ233" s="41">
        <f t="shared" si="121"/>
        <v>82.799041840226465</v>
      </c>
      <c r="AK233" s="41">
        <f t="shared" si="121"/>
        <v>17.174877295915163</v>
      </c>
      <c r="AL233" s="41">
        <f t="shared" si="121"/>
        <v>2.57600464070019</v>
      </c>
      <c r="AM233" s="41">
        <f t="shared" si="121"/>
        <v>0.28932774990392529</v>
      </c>
      <c r="AN233" s="41">
        <f t="shared" si="121"/>
        <v>3.3744269691076488E-2</v>
      </c>
      <c r="AO233" s="41">
        <f t="shared" si="121"/>
        <v>20893.807921387281</v>
      </c>
      <c r="AP233" s="41">
        <f t="shared" si="121"/>
        <v>11497.118777472273</v>
      </c>
      <c r="AQ233" s="41">
        <f t="shared" si="121"/>
        <v>10183.891596380534</v>
      </c>
      <c r="AR233" s="41">
        <f t="shared" si="121"/>
        <v>7472.5432834634266</v>
      </c>
      <c r="AS233" s="41">
        <f t="shared" si="121"/>
        <v>4074.7767655061152</v>
      </c>
      <c r="AT233" s="41">
        <f t="shared" si="121"/>
        <v>1679.5241890347595</v>
      </c>
      <c r="AU233" s="41">
        <f t="shared" si="121"/>
        <v>576.18927695316586</v>
      </c>
      <c r="AV233" s="41">
        <f t="shared" si="121"/>
        <v>142.69251338774436</v>
      </c>
      <c r="AW233" s="41">
        <f t="shared" si="121"/>
        <v>29.598487542999539</v>
      </c>
      <c r="AX233" s="41">
        <f t="shared" si="121"/>
        <v>4.4393820086626032</v>
      </c>
      <c r="AY233" s="41">
        <f t="shared" si="121"/>
        <v>0.49861571956686895</v>
      </c>
      <c r="AZ233" s="41">
        <f t="shared" si="121"/>
        <v>5.8153506944500388E-2</v>
      </c>
      <c r="BA233" s="41">
        <f t="shared" si="121"/>
        <v>23004.261733483992</v>
      </c>
      <c r="BB233" s="41">
        <f t="shared" si="121"/>
        <v>12658.426388001602</v>
      </c>
      <c r="BC233" s="41">
        <f t="shared" si="121"/>
        <v>11212.551997702627</v>
      </c>
      <c r="BD233" s="41">
        <f t="shared" si="121"/>
        <v>8227.3342491877793</v>
      </c>
      <c r="BE233" s="41">
        <f t="shared" si="121"/>
        <v>4486.3641693226664</v>
      </c>
      <c r="BF233" s="41">
        <f t="shared" si="121"/>
        <v>1849.1705378761678</v>
      </c>
      <c r="BG233" s="41">
        <f t="shared" si="121"/>
        <v>634.3893360620807</v>
      </c>
      <c r="BH233" s="41">
        <f t="shared" si="121"/>
        <v>157.10568115351899</v>
      </c>
      <c r="BI233" s="41">
        <f t="shared" si="121"/>
        <v>32.588188659351758</v>
      </c>
    </row>
    <row r="234" spans="5:61" x14ac:dyDescent="0.35">
      <c r="E234">
        <v>5</v>
      </c>
      <c r="J234" t="s">
        <v>50</v>
      </c>
      <c r="N234" s="41">
        <f t="shared" ref="N234:BI234" si="122">N134*N121-N150</f>
        <v>0</v>
      </c>
      <c r="O234" s="41">
        <f t="shared" si="122"/>
        <v>0</v>
      </c>
      <c r="P234" s="41">
        <f t="shared" si="122"/>
        <v>0</v>
      </c>
      <c r="Q234" s="41">
        <f t="shared" si="122"/>
        <v>0</v>
      </c>
      <c r="R234" s="41">
        <f t="shared" si="122"/>
        <v>227.02710599918726</v>
      </c>
      <c r="S234" s="41">
        <f t="shared" si="122"/>
        <v>119.01742297170986</v>
      </c>
      <c r="T234" s="41">
        <f t="shared" si="122"/>
        <v>111.96103235592217</v>
      </c>
      <c r="U234" s="41">
        <f t="shared" si="122"/>
        <v>78.605283498123015</v>
      </c>
      <c r="V234" s="41">
        <f t="shared" si="122"/>
        <v>41.596442800427333</v>
      </c>
      <c r="W234" s="41">
        <f t="shared" si="122"/>
        <v>18.281014460315678</v>
      </c>
      <c r="X234" s="41">
        <f t="shared" si="122"/>
        <v>5.8176262203964466</v>
      </c>
      <c r="Y234" s="41">
        <f t="shared" si="122"/>
        <v>1.5454331633057523</v>
      </c>
      <c r="Z234" s="41">
        <f t="shared" si="122"/>
        <v>0.29865860704441333</v>
      </c>
      <c r="AA234" s="41">
        <f t="shared" si="122"/>
        <v>4.3023985386561624E-2</v>
      </c>
      <c r="AB234" s="41">
        <f t="shared" si="122"/>
        <v>6.3414164863978776E-3</v>
      </c>
      <c r="AC234" s="41">
        <f t="shared" si="122"/>
        <v>5.6857252368518467E-4</v>
      </c>
      <c r="AD234" s="41">
        <f t="shared" si="122"/>
        <v>11701.533902137355</v>
      </c>
      <c r="AE234" s="41">
        <f t="shared" si="122"/>
        <v>6134.4499094899702</v>
      </c>
      <c r="AF234" s="41">
        <f t="shared" si="122"/>
        <v>5770.7462290243475</v>
      </c>
      <c r="AG234" s="41">
        <f t="shared" si="122"/>
        <v>4051.5091169056141</v>
      </c>
      <c r="AH234" s="41">
        <f t="shared" si="122"/>
        <v>2143.9826909446674</v>
      </c>
      <c r="AI234" s="41">
        <f t="shared" si="122"/>
        <v>942.24832550881797</v>
      </c>
      <c r="AJ234" s="41">
        <f t="shared" si="122"/>
        <v>299.85472504845268</v>
      </c>
      <c r="AK234" s="41">
        <f t="shared" si="122"/>
        <v>79.655415921896022</v>
      </c>
      <c r="AL234" s="41">
        <f t="shared" si="122"/>
        <v>15.39359716591653</v>
      </c>
      <c r="AM234" s="41">
        <f t="shared" si="122"/>
        <v>2.2175617373535799</v>
      </c>
      <c r="AN234" s="41">
        <f t="shared" si="122"/>
        <v>0.3268521601267434</v>
      </c>
      <c r="AO234" s="41">
        <f t="shared" si="122"/>
        <v>2.9305622482584965E-2</v>
      </c>
      <c r="AP234" s="41">
        <f t="shared" si="122"/>
        <v>22300.6732886297</v>
      </c>
      <c r="AQ234" s="41">
        <f t="shared" si="122"/>
        <v>11690.976959184138</v>
      </c>
      <c r="AR234" s="41">
        <f t="shared" si="122"/>
        <v>10997.833904626603</v>
      </c>
      <c r="AS234" s="41">
        <f t="shared" si="122"/>
        <v>7721.3279812412893</v>
      </c>
      <c r="AT234" s="41">
        <f t="shared" si="122"/>
        <v>4085.9820538998715</v>
      </c>
      <c r="AU234" s="41">
        <f t="shared" si="122"/>
        <v>1795.7279993943746</v>
      </c>
      <c r="AV234" s="41">
        <f t="shared" si="122"/>
        <v>571.46031565451597</v>
      </c>
      <c r="AW234" s="41">
        <f t="shared" si="122"/>
        <v>151.80654271485304</v>
      </c>
      <c r="AX234" s="41">
        <f t="shared" si="122"/>
        <v>29.336972742622837</v>
      </c>
      <c r="AY234" s="41">
        <f t="shared" si="122"/>
        <v>4.2262083087291096</v>
      </c>
      <c r="AZ234" s="41">
        <f t="shared" si="122"/>
        <v>0.62291177358705085</v>
      </c>
      <c r="BA234" s="41">
        <f t="shared" si="122"/>
        <v>5.5850379785224266E-2</v>
      </c>
      <c r="BB234" s="41">
        <f t="shared" si="122"/>
        <v>24480.170184259809</v>
      </c>
      <c r="BC234" s="41">
        <f t="shared" si="122"/>
        <v>12833.563447925557</v>
      </c>
      <c r="BD234" s="41">
        <f t="shared" si="122"/>
        <v>12072.677903440333</v>
      </c>
      <c r="BE234" s="41">
        <f t="shared" si="122"/>
        <v>8475.9514021331433</v>
      </c>
      <c r="BF234" s="41">
        <f t="shared" si="122"/>
        <v>4485.3146250207465</v>
      </c>
      <c r="BG234" s="41">
        <f t="shared" si="122"/>
        <v>1971.2286916569531</v>
      </c>
      <c r="BH234" s="41">
        <f t="shared" si="122"/>
        <v>627.31046725419219</v>
      </c>
      <c r="BI234" s="41">
        <f t="shared" si="122"/>
        <v>166.64295075962971</v>
      </c>
    </row>
    <row r="235" spans="5:61" x14ac:dyDescent="0.35">
      <c r="E235">
        <v>6</v>
      </c>
      <c r="J235" t="s">
        <v>50</v>
      </c>
      <c r="N235" s="41">
        <f t="shared" ref="N235:BI235" si="123">N135*N122-N151</f>
        <v>0</v>
      </c>
      <c r="O235" s="41">
        <f t="shared" si="123"/>
        <v>0</v>
      </c>
      <c r="P235" s="41">
        <f t="shared" si="123"/>
        <v>0</v>
      </c>
      <c r="Q235" s="41">
        <f t="shared" si="123"/>
        <v>0</v>
      </c>
      <c r="R235" s="41">
        <f t="shared" si="123"/>
        <v>0</v>
      </c>
      <c r="S235" s="41">
        <f t="shared" si="123"/>
        <v>796.34928082880049</v>
      </c>
      <c r="T235" s="41">
        <f t="shared" si="123"/>
        <v>438.20266293686848</v>
      </c>
      <c r="U235" s="41">
        <f t="shared" si="123"/>
        <v>399.43330568488591</v>
      </c>
      <c r="V235" s="41">
        <f t="shared" si="123"/>
        <v>273.52632290304194</v>
      </c>
      <c r="W235" s="41">
        <f t="shared" si="123"/>
        <v>155.30656541678627</v>
      </c>
      <c r="X235" s="41">
        <f t="shared" si="123"/>
        <v>64.01360082875695</v>
      </c>
      <c r="Y235" s="41">
        <f t="shared" si="123"/>
        <v>21.960952165796218</v>
      </c>
      <c r="Z235" s="41">
        <f t="shared" si="123"/>
        <v>5.5135029049382895</v>
      </c>
      <c r="AA235" s="41">
        <f t="shared" si="123"/>
        <v>1.0262375153349719</v>
      </c>
      <c r="AB235" s="41">
        <f t="shared" si="123"/>
        <v>0.19275273973716997</v>
      </c>
      <c r="AC235" s="41">
        <f t="shared" si="123"/>
        <v>2.2435676088054517E-2</v>
      </c>
      <c r="AD235" s="41">
        <f t="shared" si="123"/>
        <v>2.216470238798418E-3</v>
      </c>
      <c r="AE235" s="41">
        <f t="shared" si="123"/>
        <v>13569.875977948323</v>
      </c>
      <c r="AF235" s="41">
        <f t="shared" si="123"/>
        <v>7467.0197266597988</v>
      </c>
      <c r="AG235" s="41">
        <f t="shared" si="123"/>
        <v>6806.3857783166268</v>
      </c>
      <c r="AH235" s="41">
        <f t="shared" si="123"/>
        <v>4660.9174740957305</v>
      </c>
      <c r="AI235" s="41">
        <f t="shared" si="123"/>
        <v>2646.4403020161417</v>
      </c>
      <c r="AJ235" s="41">
        <f t="shared" si="123"/>
        <v>1090.7985290626084</v>
      </c>
      <c r="AK235" s="41">
        <f t="shared" si="123"/>
        <v>374.21694779124942</v>
      </c>
      <c r="AL235" s="41">
        <f t="shared" si="123"/>
        <v>93.95067268247422</v>
      </c>
      <c r="AM235" s="41">
        <f t="shared" si="123"/>
        <v>17.48719581000941</v>
      </c>
      <c r="AN235" s="41">
        <f t="shared" si="123"/>
        <v>3.2845270732472192</v>
      </c>
      <c r="AO235" s="41">
        <f t="shared" si="123"/>
        <v>0.38230629363972668</v>
      </c>
      <c r="AP235" s="41">
        <f t="shared" si="123"/>
        <v>3.7768887312870002E-2</v>
      </c>
      <c r="AQ235" s="41">
        <f t="shared" si="123"/>
        <v>21237.013141856674</v>
      </c>
      <c r="AR235" s="41">
        <f t="shared" si="123"/>
        <v>11685.972393798769</v>
      </c>
      <c r="AS235" s="41">
        <f t="shared" si="123"/>
        <v>10652.072609768333</v>
      </c>
      <c r="AT235" s="41">
        <f t="shared" si="123"/>
        <v>7294.3898537712485</v>
      </c>
      <c r="AU235" s="41">
        <f t="shared" si="123"/>
        <v>4141.7097373909373</v>
      </c>
      <c r="AV235" s="41">
        <f t="shared" si="123"/>
        <v>1707.1123372435559</v>
      </c>
      <c r="AW235" s="41">
        <f t="shared" si="123"/>
        <v>585.65385940615135</v>
      </c>
      <c r="AX235" s="41">
        <f t="shared" si="123"/>
        <v>147.03389136984919</v>
      </c>
      <c r="AY235" s="41">
        <f t="shared" si="123"/>
        <v>27.367664069656474</v>
      </c>
      <c r="AZ235" s="41">
        <f t="shared" si="123"/>
        <v>5.140322927983128</v>
      </c>
      <c r="BA235" s="41">
        <f t="shared" si="123"/>
        <v>0.59831377939158881</v>
      </c>
      <c r="BB235" s="41">
        <f t="shared" si="123"/>
        <v>5.9108746278902703E-2</v>
      </c>
      <c r="BC235" s="41">
        <f t="shared" si="123"/>
        <v>23385.271712156795</v>
      </c>
      <c r="BD235" s="41">
        <f t="shared" si="123"/>
        <v>12868.082617095173</v>
      </c>
      <c r="BE235" s="41">
        <f t="shared" si="123"/>
        <v>11729.597312632146</v>
      </c>
      <c r="BF235" s="41">
        <f t="shared" si="123"/>
        <v>8032.263650514793</v>
      </c>
      <c r="BG235" s="41">
        <f t="shared" si="123"/>
        <v>4560.669945194797</v>
      </c>
      <c r="BH235" s="41">
        <f t="shared" si="123"/>
        <v>1879.797577133553</v>
      </c>
      <c r="BI235" s="41">
        <f t="shared" si="123"/>
        <v>644.89646166357079</v>
      </c>
    </row>
    <row r="236" spans="5:61" x14ac:dyDescent="0.35">
      <c r="E236">
        <v>7</v>
      </c>
      <c r="J236" t="s">
        <v>50</v>
      </c>
      <c r="N236" s="41">
        <f t="shared" ref="N236:BI236" si="124">N136*N123-N152</f>
        <v>0</v>
      </c>
      <c r="O236" s="41">
        <f t="shared" si="124"/>
        <v>0</v>
      </c>
      <c r="P236" s="41">
        <f t="shared" si="124"/>
        <v>0</v>
      </c>
      <c r="Q236" s="41">
        <f t="shared" si="124"/>
        <v>0</v>
      </c>
      <c r="R236" s="41">
        <f t="shared" si="124"/>
        <v>0</v>
      </c>
      <c r="S236" s="41">
        <f t="shared" si="124"/>
        <v>0</v>
      </c>
      <c r="T236" s="41">
        <f t="shared" si="124"/>
        <v>1523.8659048907709</v>
      </c>
      <c r="U236" s="41">
        <f t="shared" si="124"/>
        <v>825.35080972498315</v>
      </c>
      <c r="V236" s="41">
        <f t="shared" si="124"/>
        <v>725.03759561096206</v>
      </c>
      <c r="W236" s="41">
        <f t="shared" si="124"/>
        <v>527.61942649919365</v>
      </c>
      <c r="X236" s="41">
        <f t="shared" si="124"/>
        <v>279.20631181607592</v>
      </c>
      <c r="Y236" s="41">
        <f t="shared" si="124"/>
        <v>122.70699800485475</v>
      </c>
      <c r="Z236" s="41">
        <f t="shared" si="124"/>
        <v>39.678374665234017</v>
      </c>
      <c r="AA236" s="41">
        <f t="shared" si="124"/>
        <v>9.4547739855467459</v>
      </c>
      <c r="AB236" s="41">
        <f t="shared" si="124"/>
        <v>2.2466318766783999</v>
      </c>
      <c r="AC236" s="41">
        <f t="shared" si="124"/>
        <v>0.33648283120832145</v>
      </c>
      <c r="AD236" s="41">
        <f t="shared" si="124"/>
        <v>4.2565262547849904E-2</v>
      </c>
      <c r="AE236" s="41">
        <f t="shared" si="124"/>
        <v>3.81640896794348E-3</v>
      </c>
      <c r="AF236" s="41">
        <f t="shared" si="124"/>
        <v>14554.365083183744</v>
      </c>
      <c r="AG236" s="41">
        <f t="shared" si="124"/>
        <v>7882.8832431287738</v>
      </c>
      <c r="AH236" s="41">
        <f t="shared" si="124"/>
        <v>6924.796881200692</v>
      </c>
      <c r="AI236" s="41">
        <f t="shared" si="124"/>
        <v>5039.2660755801408</v>
      </c>
      <c r="AJ236" s="41">
        <f t="shared" si="124"/>
        <v>2666.6851608519237</v>
      </c>
      <c r="AK236" s="41">
        <f t="shared" si="124"/>
        <v>1171.9682430667472</v>
      </c>
      <c r="AL236" s="41">
        <f t="shared" si="124"/>
        <v>378.96612092424141</v>
      </c>
      <c r="AM236" s="41">
        <f t="shared" si="124"/>
        <v>90.302061305387085</v>
      </c>
      <c r="AN236" s="41">
        <f t="shared" si="124"/>
        <v>21.457465801782241</v>
      </c>
      <c r="AO236" s="41">
        <f t="shared" si="124"/>
        <v>3.2137302592777917</v>
      </c>
      <c r="AP236" s="41">
        <f t="shared" si="124"/>
        <v>0.40653863899355447</v>
      </c>
      <c r="AQ236" s="41">
        <f t="shared" si="124"/>
        <v>3.6450326270779924E-2</v>
      </c>
      <c r="AR236" s="41">
        <f t="shared" si="124"/>
        <v>21690.053736408619</v>
      </c>
      <c r="AS236" s="41">
        <f t="shared" si="124"/>
        <v>11747.689450146496</v>
      </c>
      <c r="AT236" s="41">
        <f t="shared" si="124"/>
        <v>10319.87418266012</v>
      </c>
      <c r="AU236" s="41">
        <f t="shared" si="124"/>
        <v>7509.9086319940398</v>
      </c>
      <c r="AV236" s="41">
        <f t="shared" si="124"/>
        <v>3974.1028967173033</v>
      </c>
      <c r="AW236" s="41">
        <f t="shared" si="124"/>
        <v>1746.5587831689561</v>
      </c>
      <c r="AX236" s="41">
        <f t="shared" si="124"/>
        <v>564.76496777055263</v>
      </c>
      <c r="AY236" s="41">
        <f t="shared" si="124"/>
        <v>134.5751979579901</v>
      </c>
      <c r="AZ236" s="41">
        <f t="shared" si="124"/>
        <v>31.977594599818755</v>
      </c>
      <c r="BA236" s="41">
        <f t="shared" si="124"/>
        <v>4.7893523090606465</v>
      </c>
      <c r="BB236" s="41">
        <f t="shared" si="124"/>
        <v>0.60585569176664711</v>
      </c>
      <c r="BC236" s="41">
        <f t="shared" si="124"/>
        <v>5.4321128472743986E-2</v>
      </c>
      <c r="BD236" s="41">
        <f t="shared" si="124"/>
        <v>23906.855304812732</v>
      </c>
      <c r="BE236" s="41">
        <f t="shared" si="124"/>
        <v>12948.34559948996</v>
      </c>
      <c r="BF236" s="41">
        <f t="shared" si="124"/>
        <v>11374.60247203512</v>
      </c>
      <c r="BG236" s="41">
        <f t="shared" si="124"/>
        <v>8277.4483272060843</v>
      </c>
      <c r="BH236" s="41">
        <f t="shared" si="124"/>
        <v>4380.2705181305346</v>
      </c>
      <c r="BI236" s="41">
        <f t="shared" si="124"/>
        <v>1925.0633778044139</v>
      </c>
    </row>
    <row r="237" spans="5:61" x14ac:dyDescent="0.35">
      <c r="E237">
        <v>8</v>
      </c>
      <c r="J237" t="s">
        <v>50</v>
      </c>
      <c r="N237" s="41">
        <f t="shared" ref="N237:BI237" si="125">N137*N124-N153</f>
        <v>0</v>
      </c>
      <c r="O237" s="41">
        <f t="shared" si="125"/>
        <v>0</v>
      </c>
      <c r="P237" s="41">
        <f t="shared" si="125"/>
        <v>0</v>
      </c>
      <c r="Q237" s="41">
        <f t="shared" si="125"/>
        <v>0</v>
      </c>
      <c r="R237" s="41">
        <f t="shared" si="125"/>
        <v>0</v>
      </c>
      <c r="S237" s="41">
        <f t="shared" si="125"/>
        <v>0</v>
      </c>
      <c r="T237" s="41">
        <f t="shared" si="125"/>
        <v>0</v>
      </c>
      <c r="U237" s="41">
        <f t="shared" si="125"/>
        <v>2309.1797935672048</v>
      </c>
      <c r="V237" s="41">
        <f t="shared" si="125"/>
        <v>1210.5718698175961</v>
      </c>
      <c r="W237" s="41">
        <f t="shared" si="125"/>
        <v>1138.7986136956927</v>
      </c>
      <c r="X237" s="41">
        <f t="shared" si="125"/>
        <v>779.83331108848756</v>
      </c>
      <c r="Y237" s="41">
        <f t="shared" si="125"/>
        <v>442.78456222176754</v>
      </c>
      <c r="Z237" s="41">
        <f t="shared" si="125"/>
        <v>185.94321154682723</v>
      </c>
      <c r="AA237" s="41">
        <f t="shared" si="125"/>
        <v>57.13217720714794</v>
      </c>
      <c r="AB237" s="41">
        <f t="shared" si="125"/>
        <v>17.321404105079932</v>
      </c>
      <c r="AC237" s="41">
        <f t="shared" si="125"/>
        <v>3.3647602923385245</v>
      </c>
      <c r="AD237" s="41">
        <f t="shared" si="125"/>
        <v>0.54954494198314352</v>
      </c>
      <c r="AE237" s="41">
        <f t="shared" si="125"/>
        <v>6.3964913448049665E-2</v>
      </c>
      <c r="AF237" s="41">
        <f t="shared" si="125"/>
        <v>6.3192357755782139E-3</v>
      </c>
      <c r="AG237" s="41">
        <f t="shared" si="125"/>
        <v>9860.6867549080944</v>
      </c>
      <c r="AH237" s="41">
        <f t="shared" si="125"/>
        <v>5169.3982581297378</v>
      </c>
      <c r="AI237" s="41">
        <f t="shared" si="125"/>
        <v>4862.9112544025065</v>
      </c>
      <c r="AJ237" s="41">
        <f t="shared" si="125"/>
        <v>3330.0533908654165</v>
      </c>
      <c r="AK237" s="41">
        <f t="shared" si="125"/>
        <v>1890.7838532716194</v>
      </c>
      <c r="AL237" s="41">
        <f t="shared" si="125"/>
        <v>794.01689221974891</v>
      </c>
      <c r="AM237" s="41">
        <f t="shared" si="125"/>
        <v>243.9664960844419</v>
      </c>
      <c r="AN237" s="41">
        <f t="shared" si="125"/>
        <v>73.966063842746649</v>
      </c>
      <c r="AO237" s="41">
        <f t="shared" si="125"/>
        <v>14.368239034713154</v>
      </c>
      <c r="AP237" s="41">
        <f t="shared" si="125"/>
        <v>2.3466732844863745</v>
      </c>
      <c r="AQ237" s="41">
        <f t="shared" si="125"/>
        <v>0.27314372686488231</v>
      </c>
      <c r="AR237" s="41">
        <f t="shared" si="125"/>
        <v>2.6984475044763111E-2</v>
      </c>
      <c r="AS237" s="41">
        <f t="shared" si="125"/>
        <v>20328.74544720065</v>
      </c>
      <c r="AT237" s="41">
        <f t="shared" si="125"/>
        <v>10657.2071415224</v>
      </c>
      <c r="AU237" s="41">
        <f t="shared" si="125"/>
        <v>10025.354975795206</v>
      </c>
      <c r="AV237" s="41">
        <f t="shared" si="125"/>
        <v>6865.2224120997726</v>
      </c>
      <c r="AW237" s="41">
        <f t="shared" si="125"/>
        <v>3898.0311010999339</v>
      </c>
      <c r="AX237" s="41">
        <f t="shared" si="125"/>
        <v>1636.9414913903806</v>
      </c>
      <c r="AY237" s="41">
        <f t="shared" si="125"/>
        <v>502.96018115345942</v>
      </c>
      <c r="AZ237" s="41">
        <f t="shared" si="125"/>
        <v>152.48808941650665</v>
      </c>
      <c r="BA237" s="41">
        <f t="shared" si="125"/>
        <v>29.621494031927401</v>
      </c>
      <c r="BB237" s="41">
        <f t="shared" si="125"/>
        <v>4.8378906088183919</v>
      </c>
      <c r="BC237" s="41">
        <f t="shared" si="125"/>
        <v>0.56311182293384265</v>
      </c>
      <c r="BD237" s="41">
        <f t="shared" si="125"/>
        <v>5.5631066866441641E-2</v>
      </c>
      <c r="BE237" s="41">
        <f t="shared" si="125"/>
        <v>22443.210767695076</v>
      </c>
      <c r="BF237" s="41">
        <f t="shared" si="125"/>
        <v>11765.701267370077</v>
      </c>
      <c r="BG237" s="41">
        <f t="shared" si="125"/>
        <v>11068.127904258645</v>
      </c>
      <c r="BH237" s="41">
        <f t="shared" si="125"/>
        <v>7579.2986813692569</v>
      </c>
      <c r="BI237" s="41">
        <f t="shared" si="125"/>
        <v>4303.4792190318494</v>
      </c>
    </row>
    <row r="238" spans="5:61" x14ac:dyDescent="0.35">
      <c r="E238">
        <v>9</v>
      </c>
      <c r="J238" t="s">
        <v>50</v>
      </c>
      <c r="N238" s="41">
        <f t="shared" ref="N238:BI238" si="126">N138*N125-N154</f>
        <v>0</v>
      </c>
      <c r="O238" s="41">
        <f t="shared" si="126"/>
        <v>0</v>
      </c>
      <c r="P238" s="41">
        <f t="shared" si="126"/>
        <v>0</v>
      </c>
      <c r="Q238" s="41">
        <f t="shared" si="126"/>
        <v>0</v>
      </c>
      <c r="R238" s="41">
        <f t="shared" si="126"/>
        <v>0</v>
      </c>
      <c r="S238" s="41">
        <f t="shared" si="126"/>
        <v>0</v>
      </c>
      <c r="T238" s="41">
        <f t="shared" si="126"/>
        <v>0</v>
      </c>
      <c r="U238" s="41">
        <f t="shared" si="126"/>
        <v>0</v>
      </c>
      <c r="V238" s="41">
        <f t="shared" si="126"/>
        <v>3772.568717333088</v>
      </c>
      <c r="W238" s="41">
        <f t="shared" si="126"/>
        <v>2075.9102793778757</v>
      </c>
      <c r="X238" s="41">
        <f t="shared" si="126"/>
        <v>1838.7950631961974</v>
      </c>
      <c r="Y238" s="41">
        <f t="shared" si="126"/>
        <v>1349.2362491403546</v>
      </c>
      <c r="Z238" s="41">
        <f t="shared" si="126"/>
        <v>735.73833039446265</v>
      </c>
      <c r="AA238" s="41">
        <f t="shared" si="126"/>
        <v>291.17633574264863</v>
      </c>
      <c r="AB238" s="41">
        <f t="shared" si="126"/>
        <v>112.7218484769338</v>
      </c>
      <c r="AC238" s="41">
        <f t="shared" si="126"/>
        <v>28.386432928514722</v>
      </c>
      <c r="AD238" s="41">
        <f t="shared" si="126"/>
        <v>5.986048306274423</v>
      </c>
      <c r="AE238" s="41">
        <f t="shared" si="126"/>
        <v>0.90410249040991419</v>
      </c>
      <c r="AF238" s="41">
        <f t="shared" si="126"/>
        <v>0.11531587966736129</v>
      </c>
      <c r="AG238" s="41">
        <f t="shared" si="126"/>
        <v>1.0500149227344291E-2</v>
      </c>
      <c r="AH238" s="41">
        <f t="shared" si="126"/>
        <v>15792.564384950878</v>
      </c>
      <c r="AI238" s="41">
        <f t="shared" si="126"/>
        <v>8690.0860397400938</v>
      </c>
      <c r="AJ238" s="41">
        <f t="shared" si="126"/>
        <v>7697.4845528550832</v>
      </c>
      <c r="AK238" s="41">
        <f t="shared" si="126"/>
        <v>5648.1145690360527</v>
      </c>
      <c r="AL238" s="41">
        <f t="shared" si="126"/>
        <v>3079.9160529127953</v>
      </c>
      <c r="AM238" s="41">
        <f t="shared" si="126"/>
        <v>1218.9098129511549</v>
      </c>
      <c r="AN238" s="41">
        <f t="shared" si="126"/>
        <v>471.87133834929676</v>
      </c>
      <c r="AO238" s="41">
        <f t="shared" si="126"/>
        <v>118.83006070186779</v>
      </c>
      <c r="AP238" s="41">
        <f t="shared" si="126"/>
        <v>25.058537132517465</v>
      </c>
      <c r="AQ238" s="41">
        <f t="shared" si="126"/>
        <v>3.7847148349590576</v>
      </c>
      <c r="AR238" s="41">
        <f t="shared" si="126"/>
        <v>0.48273035979088808</v>
      </c>
      <c r="AS238" s="41">
        <f t="shared" si="126"/>
        <v>4.395527163297154E-2</v>
      </c>
      <c r="AT238" s="41">
        <f t="shared" si="126"/>
        <v>20023.897738344589</v>
      </c>
      <c r="AU238" s="41">
        <f t="shared" si="126"/>
        <v>11018.43816847056</v>
      </c>
      <c r="AV238" s="41">
        <f t="shared" si="126"/>
        <v>9759.8869804662645</v>
      </c>
      <c r="AW238" s="41">
        <f t="shared" si="126"/>
        <v>7161.4251991022638</v>
      </c>
      <c r="AX238" s="41">
        <f t="shared" si="126"/>
        <v>3905.1241193596402</v>
      </c>
      <c r="AY238" s="41">
        <f t="shared" si="126"/>
        <v>1545.494756384023</v>
      </c>
      <c r="AZ238" s="41">
        <f t="shared" si="126"/>
        <v>598.3007695549444</v>
      </c>
      <c r="BA238" s="41">
        <f t="shared" si="126"/>
        <v>150.66843647019786</v>
      </c>
      <c r="BB238" s="41">
        <f t="shared" si="126"/>
        <v>31.772521091773353</v>
      </c>
      <c r="BC238" s="41">
        <f t="shared" si="126"/>
        <v>4.7987610483470968</v>
      </c>
      <c r="BD238" s="41">
        <f t="shared" si="126"/>
        <v>0.61206927032433944</v>
      </c>
      <c r="BE238" s="41">
        <f t="shared" si="126"/>
        <v>5.57322954515546E-2</v>
      </c>
      <c r="BF238" s="41">
        <f t="shared" si="126"/>
        <v>22076.704103906937</v>
      </c>
      <c r="BG238" s="41">
        <f t="shared" si="126"/>
        <v>12148.024441151028</v>
      </c>
      <c r="BH238" s="41">
        <f t="shared" si="126"/>
        <v>10760.449327641265</v>
      </c>
      <c r="BI238" s="41">
        <f t="shared" si="126"/>
        <v>7895.5989063053403</v>
      </c>
    </row>
    <row r="239" spans="5:61" x14ac:dyDescent="0.35">
      <c r="E239">
        <v>10</v>
      </c>
      <c r="J239" t="s">
        <v>50</v>
      </c>
      <c r="N239" s="41">
        <f t="shared" ref="N239:BI239" si="127">N139*N126-N155</f>
        <v>0</v>
      </c>
      <c r="O239" s="41">
        <f t="shared" si="127"/>
        <v>0</v>
      </c>
      <c r="P239" s="41">
        <f t="shared" si="127"/>
        <v>0</v>
      </c>
      <c r="Q239" s="41">
        <f t="shared" si="127"/>
        <v>0</v>
      </c>
      <c r="R239" s="41">
        <f t="shared" si="127"/>
        <v>0</v>
      </c>
      <c r="S239" s="41">
        <f t="shared" si="127"/>
        <v>0</v>
      </c>
      <c r="T239" s="41">
        <f t="shared" si="127"/>
        <v>0</v>
      </c>
      <c r="U239" s="41">
        <f t="shared" si="127"/>
        <v>0</v>
      </c>
      <c r="V239" s="41">
        <f t="shared" si="127"/>
        <v>0</v>
      </c>
      <c r="W239" s="41">
        <f t="shared" si="127"/>
        <v>5062.7758559535732</v>
      </c>
      <c r="X239" s="41">
        <f t="shared" si="127"/>
        <v>2654.1259591316998</v>
      </c>
      <c r="Y239" s="41">
        <f t="shared" si="127"/>
        <v>2496.7662294088746</v>
      </c>
      <c r="Z239" s="41">
        <f t="shared" si="127"/>
        <v>1752.9225406507528</v>
      </c>
      <c r="AA239" s="41">
        <f t="shared" si="127"/>
        <v>885.36995387151273</v>
      </c>
      <c r="AB239" s="41">
        <f t="shared" si="127"/>
        <v>434.55649470383423</v>
      </c>
      <c r="AC239" s="41">
        <f t="shared" si="127"/>
        <v>140.61948130365414</v>
      </c>
      <c r="AD239" s="41">
        <f t="shared" si="127"/>
        <v>37.976422077963932</v>
      </c>
      <c r="AE239" s="41">
        <f t="shared" si="127"/>
        <v>7.3770900025100161</v>
      </c>
      <c r="AF239" s="41">
        <f t="shared" si="127"/>
        <v>1.2048532867749149</v>
      </c>
      <c r="AG239" s="41">
        <f t="shared" si="127"/>
        <v>0.14141558180280045</v>
      </c>
      <c r="AH239" s="41">
        <f t="shared" si="127"/>
        <v>1.2679346074570714E-2</v>
      </c>
      <c r="AI239" s="41">
        <f t="shared" si="127"/>
        <v>18356.355186953151</v>
      </c>
      <c r="AJ239" s="41">
        <f t="shared" si="127"/>
        <v>9623.1949039264273</v>
      </c>
      <c r="AK239" s="41">
        <f t="shared" si="127"/>
        <v>9052.6479997970782</v>
      </c>
      <c r="AL239" s="41">
        <f t="shared" si="127"/>
        <v>6355.6573877476076</v>
      </c>
      <c r="AM239" s="41">
        <f t="shared" si="127"/>
        <v>3210.1293455466875</v>
      </c>
      <c r="AN239" s="41">
        <f t="shared" si="127"/>
        <v>1575.5928353416039</v>
      </c>
      <c r="AO239" s="41">
        <f t="shared" si="127"/>
        <v>509.85096288226123</v>
      </c>
      <c r="AP239" s="41">
        <f t="shared" si="127"/>
        <v>137.69297954855935</v>
      </c>
      <c r="AQ239" s="41">
        <f t="shared" si="127"/>
        <v>26.747477704933729</v>
      </c>
      <c r="AR239" s="41">
        <f t="shared" si="127"/>
        <v>4.3684957638802242</v>
      </c>
      <c r="AS239" s="41">
        <f t="shared" si="127"/>
        <v>0.51273742357944097</v>
      </c>
      <c r="AT239" s="41">
        <f t="shared" si="127"/>
        <v>4.5972128078595811E-2</v>
      </c>
      <c r="AU239" s="41">
        <f t="shared" si="127"/>
        <v>21864.273421939855</v>
      </c>
      <c r="AV239" s="41">
        <f t="shared" si="127"/>
        <v>11462.197284219648</v>
      </c>
      <c r="AW239" s="41">
        <f t="shared" si="127"/>
        <v>10782.61828365685</v>
      </c>
      <c r="AX239" s="41">
        <f t="shared" si="127"/>
        <v>7570.2300095311593</v>
      </c>
      <c r="AY239" s="41">
        <f t="shared" si="127"/>
        <v>3823.5883439818926</v>
      </c>
      <c r="AZ239" s="41">
        <f t="shared" si="127"/>
        <v>1876.6902363080874</v>
      </c>
      <c r="BA239" s="41">
        <f t="shared" si="127"/>
        <v>607.28400291688683</v>
      </c>
      <c r="BB239" s="41">
        <f t="shared" si="127"/>
        <v>164.00624865174973</v>
      </c>
      <c r="BC239" s="41">
        <f t="shared" si="127"/>
        <v>31.858948028177746</v>
      </c>
      <c r="BD239" s="41">
        <f t="shared" si="127"/>
        <v>5.2033197686188908</v>
      </c>
      <c r="BE239" s="41">
        <f t="shared" si="127"/>
        <v>0.61072206920303473</v>
      </c>
      <c r="BF239" s="41">
        <f t="shared" si="127"/>
        <v>5.4757448734336411E-2</v>
      </c>
      <c r="BG239" s="41">
        <f t="shared" si="127"/>
        <v>24091.066273880264</v>
      </c>
      <c r="BH239" s="41">
        <f t="shared" si="127"/>
        <v>12629.578357785023</v>
      </c>
      <c r="BI239" s="41">
        <f t="shared" si="127"/>
        <v>11880.786828107784</v>
      </c>
    </row>
    <row r="240" spans="5:61" x14ac:dyDescent="0.35">
      <c r="E240">
        <v>11</v>
      </c>
      <c r="J240" t="s">
        <v>50</v>
      </c>
      <c r="N240" s="41">
        <f t="shared" ref="N240:BI240" si="128">N140*N127-N156</f>
        <v>0</v>
      </c>
      <c r="O240" s="41">
        <f t="shared" si="128"/>
        <v>0</v>
      </c>
      <c r="P240" s="41">
        <f t="shared" si="128"/>
        <v>0</v>
      </c>
      <c r="Q240" s="41">
        <f t="shared" si="128"/>
        <v>0</v>
      </c>
      <c r="R240" s="41">
        <f t="shared" si="128"/>
        <v>0</v>
      </c>
      <c r="S240" s="41">
        <f t="shared" si="128"/>
        <v>0</v>
      </c>
      <c r="T240" s="41">
        <f t="shared" si="128"/>
        <v>0</v>
      </c>
      <c r="U240" s="41">
        <f t="shared" si="128"/>
        <v>0</v>
      </c>
      <c r="V240" s="41">
        <f t="shared" si="128"/>
        <v>0</v>
      </c>
      <c r="W240" s="41">
        <f t="shared" si="128"/>
        <v>0</v>
      </c>
      <c r="X240" s="41">
        <f t="shared" si="128"/>
        <v>5816.9647335639229</v>
      </c>
      <c r="Y240" s="41">
        <f t="shared" si="128"/>
        <v>3200.8686361902414</v>
      </c>
      <c r="Z240" s="41">
        <f t="shared" si="128"/>
        <v>2917.6763368978836</v>
      </c>
      <c r="AA240" s="41">
        <f t="shared" si="128"/>
        <v>1894.0202070729463</v>
      </c>
      <c r="AB240" s="41">
        <f t="shared" si="128"/>
        <v>1189.0411906716793</v>
      </c>
      <c r="AC240" s="41">
        <f t="shared" si="128"/>
        <v>498.33330891712313</v>
      </c>
      <c r="AD240" s="41">
        <f t="shared" si="128"/>
        <v>173.80704406518754</v>
      </c>
      <c r="AE240" s="41">
        <f t="shared" si="128"/>
        <v>43.76934964714885</v>
      </c>
      <c r="AF240" s="41">
        <f t="shared" si="128"/>
        <v>9.2299529842954957</v>
      </c>
      <c r="AG240" s="41">
        <f t="shared" si="128"/>
        <v>1.407969990482087</v>
      </c>
      <c r="AH240" s="41">
        <f t="shared" si="128"/>
        <v>0.16388228095346655</v>
      </c>
      <c r="AI240" s="41">
        <f t="shared" si="128"/>
        <v>1.6190294287282934E-2</v>
      </c>
      <c r="AJ240" s="41">
        <f t="shared" si="128"/>
        <v>18647.348452937418</v>
      </c>
      <c r="AK240" s="41">
        <f t="shared" si="128"/>
        <v>10260.972095415937</v>
      </c>
      <c r="AL240" s="41">
        <f t="shared" si="128"/>
        <v>9353.147185695756</v>
      </c>
      <c r="AM240" s="41">
        <f t="shared" si="128"/>
        <v>6071.6295174365096</v>
      </c>
      <c r="AN240" s="41">
        <f t="shared" si="128"/>
        <v>3811.6898456363579</v>
      </c>
      <c r="AO240" s="41">
        <f t="shared" si="128"/>
        <v>1597.4989161382689</v>
      </c>
      <c r="AP240" s="41">
        <f t="shared" si="128"/>
        <v>557.1703908668685</v>
      </c>
      <c r="AQ240" s="41">
        <f t="shared" si="128"/>
        <v>140.31068638244633</v>
      </c>
      <c r="AR240" s="41">
        <f t="shared" si="128"/>
        <v>29.588308918100882</v>
      </c>
      <c r="AS240" s="41">
        <f t="shared" si="128"/>
        <v>4.5135063089359093</v>
      </c>
      <c r="AT240" s="41">
        <f t="shared" si="128"/>
        <v>0.52535474051759568</v>
      </c>
      <c r="AU240" s="41">
        <f t="shared" si="128"/>
        <v>5.1900960889201743E-2</v>
      </c>
      <c r="AV240" s="41">
        <f t="shared" si="128"/>
        <v>21199.387142908159</v>
      </c>
      <c r="AW240" s="41">
        <f t="shared" si="128"/>
        <v>11665.268145886674</v>
      </c>
      <c r="AX240" s="41">
        <f t="shared" si="128"/>
        <v>10633.200140738083</v>
      </c>
      <c r="AY240" s="41">
        <f t="shared" si="128"/>
        <v>6902.5805493632761</v>
      </c>
      <c r="AZ240" s="41">
        <f t="shared" si="128"/>
        <v>4333.3500690607916</v>
      </c>
      <c r="BA240" s="41">
        <f t="shared" si="128"/>
        <v>1816.1294121286505</v>
      </c>
      <c r="BB240" s="41">
        <f t="shared" si="128"/>
        <v>633.4236124971203</v>
      </c>
      <c r="BC240" s="41">
        <f t="shared" si="128"/>
        <v>159.51332536182076</v>
      </c>
      <c r="BD240" s="41">
        <f t="shared" si="128"/>
        <v>33.637705502305586</v>
      </c>
      <c r="BE240" s="41">
        <f t="shared" si="128"/>
        <v>5.1312157252050623</v>
      </c>
      <c r="BF240" s="41">
        <f t="shared" si="128"/>
        <v>0.59725373608493837</v>
      </c>
      <c r="BG240" s="41">
        <f t="shared" si="128"/>
        <v>5.9004022247774485E-2</v>
      </c>
      <c r="BH240" s="41">
        <f t="shared" si="128"/>
        <v>23333.040412509268</v>
      </c>
      <c r="BI240" s="41">
        <f t="shared" si="128"/>
        <v>12839.341592088684</v>
      </c>
    </row>
    <row r="241" spans="4:61" x14ac:dyDescent="0.35">
      <c r="E241">
        <v>12</v>
      </c>
      <c r="J241" t="s">
        <v>50</v>
      </c>
      <c r="N241" s="41">
        <f t="shared" ref="N241:BI241" si="129">N141*N128-N157</f>
        <v>0</v>
      </c>
      <c r="O241" s="41">
        <f t="shared" si="129"/>
        <v>0</v>
      </c>
      <c r="P241" s="41">
        <f t="shared" si="129"/>
        <v>0</v>
      </c>
      <c r="Q241" s="41">
        <f t="shared" si="129"/>
        <v>0</v>
      </c>
      <c r="R241" s="41">
        <f t="shared" si="129"/>
        <v>0</v>
      </c>
      <c r="S241" s="41">
        <f t="shared" si="129"/>
        <v>0</v>
      </c>
      <c r="T241" s="41">
        <f t="shared" si="129"/>
        <v>0</v>
      </c>
      <c r="U241" s="41">
        <f t="shared" si="129"/>
        <v>0</v>
      </c>
      <c r="V241" s="41">
        <f t="shared" si="129"/>
        <v>0</v>
      </c>
      <c r="W241" s="41">
        <f t="shared" si="129"/>
        <v>0</v>
      </c>
      <c r="X241" s="41">
        <f t="shared" si="129"/>
        <v>0</v>
      </c>
      <c r="Y241" s="41">
        <f t="shared" si="129"/>
        <v>7124.9387354461905</v>
      </c>
      <c r="Z241" s="41">
        <f t="shared" si="129"/>
        <v>3858.9838749380806</v>
      </c>
      <c r="AA241" s="41">
        <f t="shared" si="129"/>
        <v>3190.3138926509769</v>
      </c>
      <c r="AB241" s="41">
        <f t="shared" si="129"/>
        <v>2543.8282235019105</v>
      </c>
      <c r="AC241" s="41">
        <f t="shared" si="129"/>
        <v>1368.7386548890279</v>
      </c>
      <c r="AD241" s="41">
        <f t="shared" si="129"/>
        <v>611.55944682285349</v>
      </c>
      <c r="AE241" s="41">
        <f t="shared" si="129"/>
        <v>197.89641449770406</v>
      </c>
      <c r="AF241" s="41">
        <f t="shared" si="129"/>
        <v>53.444925944874853</v>
      </c>
      <c r="AG241" s="41">
        <f t="shared" si="129"/>
        <v>10.504280219840915</v>
      </c>
      <c r="AH241" s="41">
        <f t="shared" si="129"/>
        <v>1.5732483745416015</v>
      </c>
      <c r="AI241" s="41">
        <f t="shared" si="129"/>
        <v>0.19901678155424785</v>
      </c>
      <c r="AJ241" s="41">
        <f t="shared" si="129"/>
        <v>1.7843879831377807E-2</v>
      </c>
      <c r="AK241" s="41">
        <f t="shared" si="129"/>
        <v>20105.463393550664</v>
      </c>
      <c r="AL241" s="41">
        <f t="shared" si="129"/>
        <v>10889.449287174972</v>
      </c>
      <c r="AM241" s="41">
        <f t="shared" si="129"/>
        <v>9002.5671187211228</v>
      </c>
      <c r="AN241" s="41">
        <f t="shared" si="129"/>
        <v>7178.2856142545897</v>
      </c>
      <c r="AO241" s="41">
        <f t="shared" si="129"/>
        <v>3862.3665329644095</v>
      </c>
      <c r="AP241" s="41">
        <f t="shared" si="129"/>
        <v>1725.7251644714629</v>
      </c>
      <c r="AQ241" s="41">
        <f t="shared" si="129"/>
        <v>558.43274800444306</v>
      </c>
      <c r="AR241" s="41">
        <f t="shared" si="129"/>
        <v>150.81322689975607</v>
      </c>
      <c r="AS241" s="41">
        <f t="shared" si="129"/>
        <v>29.641436828773532</v>
      </c>
      <c r="AT241" s="41">
        <f t="shared" si="129"/>
        <v>4.4394609943728041</v>
      </c>
      <c r="AU241" s="41">
        <f t="shared" si="129"/>
        <v>0.56159424871049379</v>
      </c>
      <c r="AV241" s="41">
        <f t="shared" si="129"/>
        <v>5.0352639660447077E-2</v>
      </c>
      <c r="AW241" s="41">
        <f t="shared" si="129"/>
        <v>22908.05311011256</v>
      </c>
      <c r="AX241" s="41">
        <f t="shared" si="129"/>
        <v>12407.377921490781</v>
      </c>
      <c r="AY241" s="41">
        <f t="shared" si="129"/>
        <v>10257.474878652656</v>
      </c>
      <c r="AZ241" s="41">
        <f t="shared" si="129"/>
        <v>8178.8986840089237</v>
      </c>
      <c r="BA241" s="41">
        <f t="shared" si="129"/>
        <v>4400.7589348202728</v>
      </c>
      <c r="BB241" s="41">
        <f t="shared" si="129"/>
        <v>1966.2816492879847</v>
      </c>
      <c r="BC241" s="41">
        <f t="shared" si="129"/>
        <v>636.27516557591196</v>
      </c>
      <c r="BD241" s="41">
        <f t="shared" si="129"/>
        <v>171.83575150201685</v>
      </c>
      <c r="BE241" s="41">
        <f t="shared" si="129"/>
        <v>33.773288177551066</v>
      </c>
      <c r="BF241" s="41">
        <f t="shared" si="129"/>
        <v>5.0582971528021563</v>
      </c>
      <c r="BG241" s="41">
        <f t="shared" si="129"/>
        <v>0.63987736188764177</v>
      </c>
      <c r="BH241" s="41">
        <f t="shared" si="129"/>
        <v>5.7371517432713834E-2</v>
      </c>
      <c r="BI241" s="41">
        <f t="shared" si="129"/>
        <v>25204.551133238092</v>
      </c>
    </row>
    <row r="242" spans="4:61" x14ac:dyDescent="0.35"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</row>
    <row r="243" spans="4:61" x14ac:dyDescent="0.35">
      <c r="E243" t="s">
        <v>126</v>
      </c>
      <c r="J243" t="s">
        <v>51</v>
      </c>
      <c r="N243" s="41">
        <f>SUMPRODUCT(N216:N227,N230:N241)</f>
        <v>0</v>
      </c>
      <c r="O243" s="41">
        <f t="shared" ref="O243:BI243" si="130">SUMPRODUCT(O216:O227,O230:O241)</f>
        <v>0</v>
      </c>
      <c r="P243" s="41">
        <f t="shared" si="130"/>
        <v>0</v>
      </c>
      <c r="Q243" s="41">
        <f t="shared" si="130"/>
        <v>56332.193331949195</v>
      </c>
      <c r="R243" s="41">
        <f t="shared" si="130"/>
        <v>483313.27066161355</v>
      </c>
      <c r="S243" s="41">
        <f t="shared" si="130"/>
        <v>2111125.2102838759</v>
      </c>
      <c r="T243" s="41">
        <f t="shared" si="130"/>
        <v>5908217.1554101901</v>
      </c>
      <c r="U243" s="41">
        <f t="shared" si="130"/>
        <v>13024409.060139528</v>
      </c>
      <c r="V243" s="41">
        <f t="shared" si="130"/>
        <v>23378750.753067117</v>
      </c>
      <c r="W243" s="41">
        <f t="shared" si="130"/>
        <v>34670579.416077301</v>
      </c>
      <c r="X243" s="41">
        <f t="shared" si="130"/>
        <v>41151753.796715856</v>
      </c>
      <c r="Y243" s="41">
        <f t="shared" si="130"/>
        <v>50980955.909540288</v>
      </c>
      <c r="Z243" s="41">
        <f t="shared" si="130"/>
        <v>57251373.639353074</v>
      </c>
      <c r="AA243" s="41">
        <f t="shared" si="130"/>
        <v>56773073.069289804</v>
      </c>
      <c r="AB243" s="41">
        <f t="shared" si="130"/>
        <v>71468991.929954827</v>
      </c>
      <c r="AC243" s="41">
        <f t="shared" si="130"/>
        <v>73934077.616140589</v>
      </c>
      <c r="AD243" s="41">
        <f t="shared" si="130"/>
        <v>78970545.010713279</v>
      </c>
      <c r="AE243" s="41">
        <f t="shared" si="130"/>
        <v>90046789.165045395</v>
      </c>
      <c r="AF243" s="41">
        <f t="shared" si="130"/>
        <v>100831626.9776902</v>
      </c>
      <c r="AG243" s="41">
        <f t="shared" si="130"/>
        <v>93706353.179903999</v>
      </c>
      <c r="AH243" s="41">
        <f t="shared" si="130"/>
        <v>104880033.33794081</v>
      </c>
      <c r="AI243" s="41">
        <f t="shared" si="130"/>
        <v>125182586.54743209</v>
      </c>
      <c r="AJ243" s="41">
        <f t="shared" si="130"/>
        <v>130998612.93412621</v>
      </c>
      <c r="AK243" s="41">
        <f t="shared" si="130"/>
        <v>145880014.64260763</v>
      </c>
      <c r="AL243" s="41">
        <f t="shared" si="130"/>
        <v>159067071.4600448</v>
      </c>
      <c r="AM243" s="41">
        <f t="shared" si="130"/>
        <v>150516959.90326425</v>
      </c>
      <c r="AN243" s="41">
        <f t="shared" si="130"/>
        <v>176579138.47087181</v>
      </c>
      <c r="AO243" s="41">
        <f t="shared" si="130"/>
        <v>177571990.04623222</v>
      </c>
      <c r="AP243" s="41">
        <f t="shared" si="130"/>
        <v>189777565.71407464</v>
      </c>
      <c r="AQ243" s="41">
        <f t="shared" si="130"/>
        <v>186364225.63462418</v>
      </c>
      <c r="AR243" s="41">
        <f t="shared" si="130"/>
        <v>192597256.44384262</v>
      </c>
      <c r="AS243" s="41">
        <f t="shared" si="130"/>
        <v>187580852.90264377</v>
      </c>
      <c r="AT243" s="41">
        <f t="shared" si="130"/>
        <v>179814063.48618349</v>
      </c>
      <c r="AU243" s="41">
        <f t="shared" si="130"/>
        <v>186952417.19965738</v>
      </c>
      <c r="AV243" s="41">
        <f t="shared" si="130"/>
        <v>181829669.68999392</v>
      </c>
      <c r="AW243" s="41">
        <f t="shared" si="130"/>
        <v>191713006.78743351</v>
      </c>
      <c r="AX243" s="41">
        <f t="shared" si="130"/>
        <v>193203266.05465394</v>
      </c>
      <c r="AY243" s="41">
        <f t="shared" si="130"/>
        <v>175983685.93713325</v>
      </c>
      <c r="AZ243" s="41">
        <f t="shared" si="130"/>
        <v>200552300.28743276</v>
      </c>
      <c r="BA243" s="41">
        <f t="shared" si="130"/>
        <v>197843680.90923622</v>
      </c>
      <c r="BB243" s="41">
        <f t="shared" si="130"/>
        <v>209237113.72183108</v>
      </c>
      <c r="BC243" s="41">
        <f t="shared" si="130"/>
        <v>204985449.97613019</v>
      </c>
      <c r="BD243" s="41">
        <f t="shared" si="130"/>
        <v>212242793.264671</v>
      </c>
      <c r="BE243" s="41">
        <f t="shared" si="130"/>
        <v>207554743.2470682</v>
      </c>
      <c r="BF243" s="41">
        <f t="shared" si="130"/>
        <v>199867534.14435929</v>
      </c>
      <c r="BG243" s="41">
        <f t="shared" si="130"/>
        <v>208701568.69994476</v>
      </c>
      <c r="BH243" s="41">
        <f t="shared" si="130"/>
        <v>203790546.0678497</v>
      </c>
      <c r="BI243" s="41">
        <f t="shared" si="130"/>
        <v>215724170.03626588</v>
      </c>
    </row>
    <row r="244" spans="4:61" x14ac:dyDescent="0.35"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</row>
    <row r="245" spans="4:61" x14ac:dyDescent="0.35">
      <c r="D245" s="1" t="s">
        <v>198</v>
      </c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</row>
    <row r="246" spans="4:61" x14ac:dyDescent="0.35"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</row>
    <row r="247" spans="4:61" x14ac:dyDescent="0.35">
      <c r="E247" s="12" t="s">
        <v>125</v>
      </c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</row>
    <row r="248" spans="4:61" x14ac:dyDescent="0.35">
      <c r="E248">
        <v>1</v>
      </c>
      <c r="J248" t="s">
        <v>50</v>
      </c>
      <c r="N248" s="41">
        <f>N165-N179</f>
        <v>0</v>
      </c>
      <c r="O248" s="41">
        <f t="shared" ref="O248:BI248" si="131">O165-O179</f>
        <v>0</v>
      </c>
      <c r="P248" s="41">
        <f t="shared" si="131"/>
        <v>0</v>
      </c>
      <c r="Q248" s="41">
        <f t="shared" si="131"/>
        <v>0</v>
      </c>
      <c r="R248" s="41">
        <f t="shared" si="131"/>
        <v>0</v>
      </c>
      <c r="S248" s="41">
        <f t="shared" si="131"/>
        <v>0</v>
      </c>
      <c r="T248" s="41">
        <f t="shared" si="131"/>
        <v>0</v>
      </c>
      <c r="U248" s="41">
        <f t="shared" si="131"/>
        <v>0</v>
      </c>
      <c r="V248" s="41">
        <f t="shared" si="131"/>
        <v>0</v>
      </c>
      <c r="W248" s="41">
        <f t="shared" si="131"/>
        <v>0</v>
      </c>
      <c r="X248" s="41">
        <f t="shared" si="131"/>
        <v>0</v>
      </c>
      <c r="Y248" s="41">
        <f t="shared" si="131"/>
        <v>0</v>
      </c>
      <c r="Z248" s="41">
        <f t="shared" si="131"/>
        <v>3825.9135907135619</v>
      </c>
      <c r="AA248" s="41">
        <f t="shared" si="131"/>
        <v>1872.1803031354627</v>
      </c>
      <c r="AB248" s="41">
        <f t="shared" si="131"/>
        <v>1913.1159829689232</v>
      </c>
      <c r="AC248" s="41">
        <f t="shared" si="131"/>
        <v>1332.0251329380687</v>
      </c>
      <c r="AD248" s="41">
        <f t="shared" si="131"/>
        <v>768.92525420574486</v>
      </c>
      <c r="AE248" s="41">
        <f t="shared" si="131"/>
        <v>322.26054845234842</v>
      </c>
      <c r="AF248" s="41">
        <f t="shared" si="131"/>
        <v>112.39696874174618</v>
      </c>
      <c r="AG248" s="41">
        <f t="shared" si="131"/>
        <v>28.698586208176216</v>
      </c>
      <c r="AH248" s="41">
        <f t="shared" si="131"/>
        <v>5.574828849539144</v>
      </c>
      <c r="AI248" s="41">
        <f t="shared" si="131"/>
        <v>0.91050141184253985</v>
      </c>
      <c r="AJ248" s="41">
        <f t="shared" si="131"/>
        <v>0.10597885551027691</v>
      </c>
      <c r="AK248" s="41">
        <f t="shared" si="131"/>
        <v>1.0469886365738467E-2</v>
      </c>
      <c r="AL248" s="41">
        <f t="shared" si="131"/>
        <v>7461.8596542178702</v>
      </c>
      <c r="AM248" s="41">
        <f t="shared" si="131"/>
        <v>3651.4015118627899</v>
      </c>
      <c r="AN248" s="41">
        <f t="shared" si="131"/>
        <v>3731.2402982140275</v>
      </c>
      <c r="AO248" s="41">
        <f t="shared" si="131"/>
        <v>2597.9114170273256</v>
      </c>
      <c r="AP248" s="41">
        <f t="shared" si="131"/>
        <v>1499.671175374601</v>
      </c>
      <c r="AQ248" s="41">
        <f t="shared" si="131"/>
        <v>628.51994108790473</v>
      </c>
      <c r="AR248" s="41">
        <f t="shared" si="131"/>
        <v>219.21310725525322</v>
      </c>
      <c r="AS248" s="41">
        <f t="shared" si="131"/>
        <v>55.972205718306334</v>
      </c>
      <c r="AT248" s="41">
        <f t="shared" si="131"/>
        <v>10.872851538653677</v>
      </c>
      <c r="AU248" s="41">
        <f t="shared" si="131"/>
        <v>1.7757938304270795</v>
      </c>
      <c r="AV248" s="41">
        <f t="shared" si="131"/>
        <v>0.20669555842865509</v>
      </c>
      <c r="AW248" s="41">
        <f t="shared" si="131"/>
        <v>2.0419912997088563E-2</v>
      </c>
      <c r="AX248" s="41">
        <f t="shared" si="131"/>
        <v>8274.0164894482023</v>
      </c>
      <c r="AY248" s="41">
        <f t="shared" si="131"/>
        <v>4048.8239820580648</v>
      </c>
      <c r="AZ248" s="41">
        <f t="shared" si="131"/>
        <v>4137.3525078384009</v>
      </c>
      <c r="BA248" s="41">
        <f t="shared" si="131"/>
        <v>2880.6708915329891</v>
      </c>
      <c r="BB248" s="41">
        <f t="shared" si="131"/>
        <v>1662.8970000508828</v>
      </c>
      <c r="BC248" s="41">
        <f t="shared" si="131"/>
        <v>696.92872789007515</v>
      </c>
      <c r="BD248" s="41">
        <f t="shared" si="131"/>
        <v>243.07249776641055</v>
      </c>
      <c r="BE248" s="41">
        <f t="shared" si="131"/>
        <v>62.064280826063836</v>
      </c>
      <c r="BF248" s="41">
        <f t="shared" si="131"/>
        <v>12.056264401500908</v>
      </c>
      <c r="BG248" s="41">
        <f t="shared" si="131"/>
        <v>1.9690731420429146</v>
      </c>
      <c r="BH248" s="41">
        <f t="shared" si="131"/>
        <v>0.2291925254541195</v>
      </c>
      <c r="BI248" s="41">
        <f t="shared" si="131"/>
        <v>2.2642438303634608E-2</v>
      </c>
    </row>
    <row r="249" spans="4:61" x14ac:dyDescent="0.35">
      <c r="E249">
        <v>2</v>
      </c>
      <c r="J249" t="s">
        <v>50</v>
      </c>
      <c r="N249" s="41">
        <f t="shared" ref="N249:BI249" si="132">N166-N180</f>
        <v>0</v>
      </c>
      <c r="O249" s="41">
        <f t="shared" si="132"/>
        <v>0</v>
      </c>
      <c r="P249" s="41">
        <f t="shared" si="132"/>
        <v>0</v>
      </c>
      <c r="Q249" s="41">
        <f t="shared" si="132"/>
        <v>0</v>
      </c>
      <c r="R249" s="41">
        <f t="shared" si="132"/>
        <v>0</v>
      </c>
      <c r="S249" s="41">
        <f t="shared" si="132"/>
        <v>0</v>
      </c>
      <c r="T249" s="41">
        <f t="shared" si="132"/>
        <v>0</v>
      </c>
      <c r="U249" s="41">
        <f t="shared" si="132"/>
        <v>0</v>
      </c>
      <c r="V249" s="41">
        <f t="shared" si="132"/>
        <v>0</v>
      </c>
      <c r="W249" s="41">
        <f t="shared" si="132"/>
        <v>0</v>
      </c>
      <c r="X249" s="41">
        <f t="shared" si="132"/>
        <v>0</v>
      </c>
      <c r="Y249" s="41">
        <f t="shared" si="132"/>
        <v>0</v>
      </c>
      <c r="Z249" s="41">
        <f t="shared" si="132"/>
        <v>0</v>
      </c>
      <c r="AA249" s="41">
        <f t="shared" si="132"/>
        <v>4966.1988040268234</v>
      </c>
      <c r="AB249" s="41">
        <f t="shared" si="132"/>
        <v>2820.0417495838124</v>
      </c>
      <c r="AC249" s="41">
        <f t="shared" si="132"/>
        <v>2539.7173062779716</v>
      </c>
      <c r="AD249" s="41">
        <f t="shared" si="132"/>
        <v>1894.6514194006254</v>
      </c>
      <c r="AE249" s="41">
        <f t="shared" si="132"/>
        <v>1027.9592984310098</v>
      </c>
      <c r="AF249" s="41">
        <f t="shared" si="132"/>
        <v>463.10689079976606</v>
      </c>
      <c r="AG249" s="41">
        <f t="shared" si="132"/>
        <v>153.58641897154371</v>
      </c>
      <c r="AH249" s="41">
        <f t="shared" si="132"/>
        <v>38.677245270322402</v>
      </c>
      <c r="AI249" s="41">
        <f t="shared" si="132"/>
        <v>8.1561448430247694</v>
      </c>
      <c r="AJ249" s="41">
        <f t="shared" si="132"/>
        <v>1.2318629064508959</v>
      </c>
      <c r="AK249" s="41">
        <f t="shared" si="132"/>
        <v>0.15712085321496166</v>
      </c>
      <c r="AL249" s="41">
        <f t="shared" si="132"/>
        <v>1.4306723499345673E-2</v>
      </c>
      <c r="AM249" s="41">
        <f t="shared" si="132"/>
        <v>8235.8865002322982</v>
      </c>
      <c r="AN249" s="41">
        <f t="shared" si="132"/>
        <v>4676.7245315786486</v>
      </c>
      <c r="AO249" s="41">
        <f t="shared" si="132"/>
        <v>4211.8377259123736</v>
      </c>
      <c r="AP249" s="41">
        <f t="shared" si="132"/>
        <v>3142.0679403802801</v>
      </c>
      <c r="AQ249" s="41">
        <f t="shared" si="132"/>
        <v>1704.7557785788736</v>
      </c>
      <c r="AR249" s="41">
        <f t="shared" si="132"/>
        <v>768.01109673855603</v>
      </c>
      <c r="AS249" s="41">
        <f t="shared" si="132"/>
        <v>254.70593597684865</v>
      </c>
      <c r="AT249" s="41">
        <f t="shared" si="132"/>
        <v>64.14189499013483</v>
      </c>
      <c r="AU249" s="41">
        <f t="shared" si="132"/>
        <v>13.526056015345162</v>
      </c>
      <c r="AV249" s="41">
        <f t="shared" si="132"/>
        <v>2.0429071573110256</v>
      </c>
      <c r="AW249" s="41">
        <f t="shared" si="132"/>
        <v>0.26056740073490903</v>
      </c>
      <c r="AX249" s="41">
        <f t="shared" si="132"/>
        <v>2.3726104326567913E-2</v>
      </c>
      <c r="AY249" s="41">
        <f t="shared" si="132"/>
        <v>9081.6299202441642</v>
      </c>
      <c r="AZ249" s="41">
        <f t="shared" si="132"/>
        <v>5156.9775073426008</v>
      </c>
      <c r="BA249" s="41">
        <f t="shared" si="132"/>
        <v>4644.3514623204283</v>
      </c>
      <c r="BB249" s="41">
        <f t="shared" si="132"/>
        <v>3464.726986948237</v>
      </c>
      <c r="BC249" s="41">
        <f t="shared" si="132"/>
        <v>1879.8171981867836</v>
      </c>
      <c r="BD249" s="41">
        <f t="shared" si="132"/>
        <v>846.87817820506359</v>
      </c>
      <c r="BE249" s="41">
        <f t="shared" si="132"/>
        <v>280.86169581937531</v>
      </c>
      <c r="BF249" s="41">
        <f t="shared" si="132"/>
        <v>70.728628019234804</v>
      </c>
      <c r="BG249" s="41">
        <f t="shared" si="132"/>
        <v>14.915047094006511</v>
      </c>
      <c r="BH249" s="41">
        <f t="shared" si="132"/>
        <v>2.2526933516620788</v>
      </c>
      <c r="BI249" s="41">
        <f t="shared" si="132"/>
        <v>0.28732507456090567</v>
      </c>
    </row>
    <row r="250" spans="4:61" x14ac:dyDescent="0.35">
      <c r="E250">
        <v>3</v>
      </c>
      <c r="J250" t="s">
        <v>50</v>
      </c>
      <c r="N250" s="41">
        <f t="shared" ref="N250:BI250" si="133">N167-N181</f>
        <v>0</v>
      </c>
      <c r="O250" s="41">
        <f t="shared" si="133"/>
        <v>0</v>
      </c>
      <c r="P250" s="41">
        <f t="shared" si="133"/>
        <v>0</v>
      </c>
      <c r="Q250" s="41">
        <f t="shared" si="133"/>
        <v>0</v>
      </c>
      <c r="R250" s="41">
        <f t="shared" si="133"/>
        <v>0</v>
      </c>
      <c r="S250" s="41">
        <f t="shared" si="133"/>
        <v>0</v>
      </c>
      <c r="T250" s="41">
        <f t="shared" si="133"/>
        <v>0</v>
      </c>
      <c r="U250" s="41">
        <f t="shared" si="133"/>
        <v>0</v>
      </c>
      <c r="V250" s="41">
        <f t="shared" si="133"/>
        <v>0</v>
      </c>
      <c r="W250" s="41">
        <f t="shared" si="133"/>
        <v>0</v>
      </c>
      <c r="X250" s="41">
        <f t="shared" si="133"/>
        <v>0</v>
      </c>
      <c r="Y250" s="41">
        <f t="shared" si="133"/>
        <v>0</v>
      </c>
      <c r="Z250" s="41">
        <f t="shared" si="133"/>
        <v>0</v>
      </c>
      <c r="AA250" s="41">
        <f t="shared" si="133"/>
        <v>0</v>
      </c>
      <c r="AB250" s="41">
        <f t="shared" si="133"/>
        <v>7098.7060231868254</v>
      </c>
      <c r="AC250" s="41">
        <f t="shared" si="133"/>
        <v>3721.4485626948685</v>
      </c>
      <c r="AD250" s="41">
        <f t="shared" si="133"/>
        <v>3500.8086424272401</v>
      </c>
      <c r="AE250" s="41">
        <f t="shared" si="133"/>
        <v>2397.3046351466187</v>
      </c>
      <c r="AF250" s="41">
        <f t="shared" si="133"/>
        <v>1361.1748412029076</v>
      </c>
      <c r="AG250" s="41">
        <f t="shared" si="133"/>
        <v>571.61256973373452</v>
      </c>
      <c r="AH250" s="41">
        <f t="shared" si="133"/>
        <v>181.90611253057028</v>
      </c>
      <c r="AI250" s="41">
        <f t="shared" si="133"/>
        <v>48.322757128527584</v>
      </c>
      <c r="AJ250" s="41">
        <f t="shared" si="133"/>
        <v>9.2308683406866869</v>
      </c>
      <c r="AK250" s="41">
        <f t="shared" si="133"/>
        <v>1.4829708345825932</v>
      </c>
      <c r="AL250" s="41">
        <f t="shared" si="133"/>
        <v>0.17113872699909663</v>
      </c>
      <c r="AM250" s="41">
        <f t="shared" si="133"/>
        <v>1.4849440475188906E-2</v>
      </c>
      <c r="AN250" s="41">
        <f t="shared" si="133"/>
        <v>11874.453874393283</v>
      </c>
      <c r="AO250" s="41">
        <f t="shared" si="133"/>
        <v>6225.1020339914112</v>
      </c>
      <c r="AP250" s="41">
        <f t="shared" si="133"/>
        <v>5856.0237051368267</v>
      </c>
      <c r="AQ250" s="41">
        <f t="shared" si="133"/>
        <v>4010.1228618195655</v>
      </c>
      <c r="AR250" s="41">
        <f t="shared" si="133"/>
        <v>2276.9231200804638</v>
      </c>
      <c r="AS250" s="41">
        <f t="shared" si="133"/>
        <v>956.17244483093691</v>
      </c>
      <c r="AT250" s="41">
        <f t="shared" si="133"/>
        <v>304.28584247030773</v>
      </c>
      <c r="AU250" s="41">
        <f t="shared" si="133"/>
        <v>80.832527608829025</v>
      </c>
      <c r="AV250" s="41">
        <f t="shared" si="133"/>
        <v>15.441056436772028</v>
      </c>
      <c r="AW250" s="41">
        <f t="shared" si="133"/>
        <v>2.4806589700718562</v>
      </c>
      <c r="AX250" s="41">
        <f t="shared" si="133"/>
        <v>0.28627455669179125</v>
      </c>
      <c r="AY250" s="41">
        <f t="shared" si="133"/>
        <v>2.4839596879660593E-2</v>
      </c>
      <c r="AZ250" s="41">
        <f t="shared" si="133"/>
        <v>13080.946144192305</v>
      </c>
      <c r="BA250" s="41">
        <f t="shared" si="133"/>
        <v>6857.5974364887797</v>
      </c>
      <c r="BB250" s="41">
        <f t="shared" si="133"/>
        <v>6451.0192650794452</v>
      </c>
      <c r="BC250" s="41">
        <f t="shared" si="133"/>
        <v>4417.5674723176508</v>
      </c>
      <c r="BD250" s="41">
        <f t="shared" si="133"/>
        <v>2508.2676663107309</v>
      </c>
      <c r="BE250" s="41">
        <f t="shared" si="133"/>
        <v>1053.3234107183935</v>
      </c>
      <c r="BF250" s="41">
        <f t="shared" si="133"/>
        <v>335.20250782882022</v>
      </c>
      <c r="BG250" s="41">
        <f t="shared" si="133"/>
        <v>89.045437502619919</v>
      </c>
      <c r="BH250" s="41">
        <f t="shared" si="133"/>
        <v>17.009929870915357</v>
      </c>
      <c r="BI250" s="41">
        <f t="shared" si="133"/>
        <v>2.7327038980372036</v>
      </c>
    </row>
    <row r="251" spans="4:61" x14ac:dyDescent="0.35">
      <c r="E251">
        <v>4</v>
      </c>
      <c r="J251" t="s">
        <v>50</v>
      </c>
      <c r="N251" s="41">
        <f t="shared" ref="N251:BI251" si="134">N168-N182</f>
        <v>0</v>
      </c>
      <c r="O251" s="41">
        <f t="shared" si="134"/>
        <v>0</v>
      </c>
      <c r="P251" s="41">
        <f t="shared" si="134"/>
        <v>0</v>
      </c>
      <c r="Q251" s="41">
        <f t="shared" si="134"/>
        <v>80.90267266675535</v>
      </c>
      <c r="R251" s="41">
        <f t="shared" si="134"/>
        <v>44.517861012426074</v>
      </c>
      <c r="S251" s="41">
        <f t="shared" si="134"/>
        <v>39.432929191061049</v>
      </c>
      <c r="T251" s="41">
        <f t="shared" si="134"/>
        <v>28.934348660847785</v>
      </c>
      <c r="U251" s="41">
        <f t="shared" si="134"/>
        <v>15.777896115929886</v>
      </c>
      <c r="V251" s="41">
        <f t="shared" si="134"/>
        <v>6.5032662410134305</v>
      </c>
      <c r="W251" s="41">
        <f t="shared" si="134"/>
        <v>2.2310558536206413</v>
      </c>
      <c r="X251" s="41">
        <f t="shared" si="134"/>
        <v>0.55251803529735855</v>
      </c>
      <c r="Y251" s="41">
        <f t="shared" si="134"/>
        <v>0.11460796223129703</v>
      </c>
      <c r="Z251" s="41">
        <f t="shared" si="134"/>
        <v>1.7189679872660884E-2</v>
      </c>
      <c r="AA251" s="41">
        <f t="shared" si="134"/>
        <v>1.9306841767854582E-3</v>
      </c>
      <c r="AB251" s="41">
        <f t="shared" si="134"/>
        <v>2.251755235070821E-4</v>
      </c>
      <c r="AC251" s="41">
        <f t="shared" si="134"/>
        <v>9422.91998180884</v>
      </c>
      <c r="AD251" s="41">
        <f t="shared" si="134"/>
        <v>5185.0974541877549</v>
      </c>
      <c r="AE251" s="41">
        <f t="shared" si="134"/>
        <v>4592.8437734837626</v>
      </c>
      <c r="AF251" s="41">
        <f t="shared" si="134"/>
        <v>3370.0500016850815</v>
      </c>
      <c r="AG251" s="41">
        <f t="shared" si="134"/>
        <v>1837.6877757067361</v>
      </c>
      <c r="AH251" s="41">
        <f t="shared" si="134"/>
        <v>757.45034607057551</v>
      </c>
      <c r="AI251" s="41">
        <f t="shared" si="134"/>
        <v>259.85619622492828</v>
      </c>
      <c r="AJ251" s="41">
        <f t="shared" si="134"/>
        <v>64.353043768511213</v>
      </c>
      <c r="AK251" s="41">
        <f t="shared" si="134"/>
        <v>13.348652421311821</v>
      </c>
      <c r="AL251" s="41">
        <f t="shared" si="134"/>
        <v>2.0021214703275594</v>
      </c>
      <c r="AM251" s="41">
        <f t="shared" si="134"/>
        <v>0.22487121757931255</v>
      </c>
      <c r="AN251" s="41">
        <f t="shared" si="134"/>
        <v>2.6226710069382517E-2</v>
      </c>
      <c r="AO251" s="41">
        <f t="shared" si="134"/>
        <v>13312.253265138123</v>
      </c>
      <c r="AP251" s="41">
        <f t="shared" si="134"/>
        <v>7325.2591179618685</v>
      </c>
      <c r="AQ251" s="41">
        <f t="shared" si="134"/>
        <v>6488.5512811169756</v>
      </c>
      <c r="AR251" s="41">
        <f t="shared" si="134"/>
        <v>4761.0463874488914</v>
      </c>
      <c r="AS251" s="41">
        <f t="shared" si="134"/>
        <v>2596.1979025274818</v>
      </c>
      <c r="AT251" s="41">
        <f t="shared" si="134"/>
        <v>1070.0898301295342</v>
      </c>
      <c r="AU251" s="41">
        <f t="shared" si="134"/>
        <v>367.11247716630044</v>
      </c>
      <c r="AV251" s="41">
        <f t="shared" si="134"/>
        <v>90.914920076026064</v>
      </c>
      <c r="AW251" s="41">
        <f t="shared" si="134"/>
        <v>18.858341376543287</v>
      </c>
      <c r="AX251" s="41">
        <f t="shared" si="134"/>
        <v>2.8285020070238227</v>
      </c>
      <c r="AY251" s="41">
        <f t="shared" si="134"/>
        <v>0.31768736296550221</v>
      </c>
      <c r="AZ251" s="41">
        <f t="shared" si="134"/>
        <v>3.7051848835497309E-2</v>
      </c>
      <c r="BA251" s="41">
        <f t="shared" si="134"/>
        <v>14661.335928866047</v>
      </c>
      <c r="BB251" s="41">
        <f t="shared" si="134"/>
        <v>8067.6112867894435</v>
      </c>
      <c r="BC251" s="41">
        <f t="shared" si="134"/>
        <v>7146.1102887260231</v>
      </c>
      <c r="BD251" s="41">
        <f t="shared" si="134"/>
        <v>5243.5375942029204</v>
      </c>
      <c r="BE251" s="41">
        <f t="shared" si="134"/>
        <v>2859.3002873866153</v>
      </c>
      <c r="BF251" s="41">
        <f t="shared" si="134"/>
        <v>1178.5342542030976</v>
      </c>
      <c r="BG251" s="41">
        <f t="shared" si="134"/>
        <v>404.31617730024095</v>
      </c>
      <c r="BH251" s="41">
        <f t="shared" si="134"/>
        <v>100.12836727432831</v>
      </c>
      <c r="BI251" s="41">
        <f t="shared" si="134"/>
        <v>20.769472490941716</v>
      </c>
    </row>
    <row r="252" spans="4:61" x14ac:dyDescent="0.35">
      <c r="E252">
        <v>5</v>
      </c>
      <c r="J252" t="s">
        <v>50</v>
      </c>
      <c r="N252" s="41">
        <f t="shared" ref="N252:BI252" si="135">N169-N183</f>
        <v>0</v>
      </c>
      <c r="O252" s="41">
        <f t="shared" si="135"/>
        <v>0</v>
      </c>
      <c r="P252" s="41">
        <f t="shared" si="135"/>
        <v>0</v>
      </c>
      <c r="Q252" s="41">
        <f t="shared" si="135"/>
        <v>0</v>
      </c>
      <c r="R252" s="41">
        <f t="shared" si="135"/>
        <v>567.56523416790935</v>
      </c>
      <c r="S252" s="41">
        <f t="shared" si="135"/>
        <v>297.54223065875425</v>
      </c>
      <c r="T252" s="41">
        <f t="shared" si="135"/>
        <v>279.90133278181037</v>
      </c>
      <c r="U252" s="41">
        <f t="shared" si="135"/>
        <v>196.51233247719242</v>
      </c>
      <c r="V252" s="41">
        <f t="shared" si="135"/>
        <v>103.9906432964049</v>
      </c>
      <c r="W252" s="41">
        <f t="shared" si="135"/>
        <v>45.702332359525165</v>
      </c>
      <c r="X252" s="41">
        <f t="shared" si="135"/>
        <v>14.544000697839575</v>
      </c>
      <c r="Y252" s="41">
        <f t="shared" si="135"/>
        <v>3.8635656802391791</v>
      </c>
      <c r="Z252" s="41">
        <f t="shared" si="135"/>
        <v>0.74664318825449372</v>
      </c>
      <c r="AA252" s="41">
        <f t="shared" si="135"/>
        <v>0.10755948384792421</v>
      </c>
      <c r="AB252" s="41">
        <f t="shared" si="135"/>
        <v>1.5853470523786429E-2</v>
      </c>
      <c r="AC252" s="41">
        <f t="shared" si="135"/>
        <v>1.4214249709370661E-3</v>
      </c>
      <c r="AD252" s="41">
        <f t="shared" si="135"/>
        <v>11040.59299037215</v>
      </c>
      <c r="AE252" s="41">
        <f t="shared" si="135"/>
        <v>5787.9561121583492</v>
      </c>
      <c r="AF252" s="41">
        <f t="shared" si="135"/>
        <v>5444.7956052791751</v>
      </c>
      <c r="AG252" s="41">
        <f t="shared" si="135"/>
        <v>3822.6666290619037</v>
      </c>
      <c r="AH252" s="41">
        <f t="shared" si="135"/>
        <v>2022.8835353627696</v>
      </c>
      <c r="AI252" s="41">
        <f t="shared" si="135"/>
        <v>889.02705788874277</v>
      </c>
      <c r="AJ252" s="41">
        <f t="shared" si="135"/>
        <v>282.91794932074845</v>
      </c>
      <c r="AK252" s="41">
        <f t="shared" si="135"/>
        <v>75.15621746921812</v>
      </c>
      <c r="AL252" s="41">
        <f t="shared" si="135"/>
        <v>14.524116443878139</v>
      </c>
      <c r="AM252" s="41">
        <f t="shared" si="135"/>
        <v>2.0923065965455541</v>
      </c>
      <c r="AN252" s="41">
        <f t="shared" si="135"/>
        <v>0.30839048095431143</v>
      </c>
      <c r="AO252" s="41">
        <f t="shared" si="135"/>
        <v>2.7650345062934144E-2</v>
      </c>
      <c r="AP252" s="41">
        <f t="shared" si="135"/>
        <v>15955.402711878472</v>
      </c>
      <c r="AQ252" s="41">
        <f t="shared" si="135"/>
        <v>8364.5118272811233</v>
      </c>
      <c r="AR252" s="41">
        <f t="shared" si="135"/>
        <v>7868.5906311239742</v>
      </c>
      <c r="AS252" s="41">
        <f t="shared" si="135"/>
        <v>5524.3577544366799</v>
      </c>
      <c r="AT252" s="41">
        <f t="shared" si="135"/>
        <v>2923.3865856741004</v>
      </c>
      <c r="AU252" s="41">
        <f t="shared" si="135"/>
        <v>1284.7846798393075</v>
      </c>
      <c r="AV252" s="41">
        <f t="shared" si="135"/>
        <v>408.86117437422246</v>
      </c>
      <c r="AW252" s="41">
        <f t="shared" si="135"/>
        <v>108.61261864001298</v>
      </c>
      <c r="AX252" s="41">
        <f t="shared" si="135"/>
        <v>20.989644949177741</v>
      </c>
      <c r="AY252" s="41">
        <f t="shared" si="135"/>
        <v>3.0237138869004601</v>
      </c>
      <c r="AZ252" s="41">
        <f t="shared" si="135"/>
        <v>0.4456730105372782</v>
      </c>
      <c r="BA252" s="41">
        <f t="shared" si="135"/>
        <v>3.9959120944521309E-2</v>
      </c>
      <c r="BB252" s="41">
        <f t="shared" si="135"/>
        <v>17569.445564547623</v>
      </c>
      <c r="BC252" s="41">
        <f t="shared" si="135"/>
        <v>9210.6628630577816</v>
      </c>
      <c r="BD252" s="41">
        <f t="shared" si="135"/>
        <v>8664.574455417549</v>
      </c>
      <c r="BE252" s="41">
        <f t="shared" si="135"/>
        <v>6083.1998162855944</v>
      </c>
      <c r="BF252" s="41">
        <f t="shared" si="135"/>
        <v>3219.1153309400129</v>
      </c>
      <c r="BG252" s="41">
        <f t="shared" si="135"/>
        <v>1414.7530402223165</v>
      </c>
      <c r="BH252" s="41">
        <f t="shared" si="135"/>
        <v>450.22142507734839</v>
      </c>
      <c r="BI252" s="41">
        <f t="shared" si="135"/>
        <v>119.59983243782467</v>
      </c>
    </row>
    <row r="253" spans="4:61" x14ac:dyDescent="0.35">
      <c r="E253">
        <v>6</v>
      </c>
      <c r="J253" t="s">
        <v>50</v>
      </c>
      <c r="N253" s="41">
        <f t="shared" ref="N253:BI253" si="136">N170-N184</f>
        <v>0</v>
      </c>
      <c r="O253" s="41">
        <f t="shared" si="136"/>
        <v>0</v>
      </c>
      <c r="P253" s="41">
        <f t="shared" si="136"/>
        <v>0</v>
      </c>
      <c r="Q253" s="41">
        <f t="shared" si="136"/>
        <v>0</v>
      </c>
      <c r="R253" s="41">
        <f t="shared" si="136"/>
        <v>0</v>
      </c>
      <c r="S253" s="41">
        <f t="shared" si="136"/>
        <v>930.51843099850441</v>
      </c>
      <c r="T253" s="41">
        <f t="shared" si="136"/>
        <v>512.03117048214028</v>
      </c>
      <c r="U253" s="41">
        <f t="shared" si="136"/>
        <v>466.72994104750114</v>
      </c>
      <c r="V253" s="41">
        <f t="shared" si="136"/>
        <v>319.61011449603598</v>
      </c>
      <c r="W253" s="41">
        <f t="shared" si="136"/>
        <v>181.47265911383749</v>
      </c>
      <c r="X253" s="41">
        <f t="shared" si="136"/>
        <v>74.798630248961018</v>
      </c>
      <c r="Y253" s="41">
        <f t="shared" si="136"/>
        <v>25.660939545625133</v>
      </c>
      <c r="Z253" s="41">
        <f t="shared" si="136"/>
        <v>6.4424194206208014</v>
      </c>
      <c r="AA253" s="41">
        <f t="shared" si="136"/>
        <v>1.1991382997262898</v>
      </c>
      <c r="AB253" s="41">
        <f t="shared" si="136"/>
        <v>0.22522777538547606</v>
      </c>
      <c r="AC253" s="41">
        <f t="shared" si="136"/>
        <v>2.6215645087441546E-2</v>
      </c>
      <c r="AD253" s="41">
        <f t="shared" si="136"/>
        <v>2.5899017662388952E-3</v>
      </c>
      <c r="AE253" s="41">
        <f t="shared" si="136"/>
        <v>13836.552137296119</v>
      </c>
      <c r="AF253" s="41">
        <f t="shared" si="136"/>
        <v>7613.7621247270908</v>
      </c>
      <c r="AG253" s="41">
        <f t="shared" si="136"/>
        <v>6940.1453514586783</v>
      </c>
      <c r="AH253" s="41">
        <f t="shared" si="136"/>
        <v>4752.5141528751637</v>
      </c>
      <c r="AI253" s="41">
        <f t="shared" si="136"/>
        <v>2698.4483333962185</v>
      </c>
      <c r="AJ253" s="41">
        <f t="shared" si="136"/>
        <v>1112.2349786532568</v>
      </c>
      <c r="AK253" s="41">
        <f t="shared" si="136"/>
        <v>381.57108563023894</v>
      </c>
      <c r="AL253" s="41">
        <f t="shared" si="136"/>
        <v>95.796997925226535</v>
      </c>
      <c r="AM253" s="41">
        <f t="shared" si="136"/>
        <v>17.830855414854323</v>
      </c>
      <c r="AN253" s="41">
        <f t="shared" si="136"/>
        <v>3.3490748308384317</v>
      </c>
      <c r="AO253" s="41">
        <f t="shared" si="136"/>
        <v>0.38981940387360137</v>
      </c>
      <c r="AP253" s="41">
        <f t="shared" si="136"/>
        <v>3.851112414891799E-2</v>
      </c>
      <c r="AQ253" s="41">
        <f t="shared" si="136"/>
        <v>16755.285563661517</v>
      </c>
      <c r="AR253" s="41">
        <f t="shared" si="136"/>
        <v>9219.8372360212852</v>
      </c>
      <c r="AS253" s="41">
        <f t="shared" si="136"/>
        <v>8404.1252519525387</v>
      </c>
      <c r="AT253" s="41">
        <f t="shared" si="136"/>
        <v>5755.0270462340186</v>
      </c>
      <c r="AU253" s="41">
        <f t="shared" si="136"/>
        <v>3267.6689941397153</v>
      </c>
      <c r="AV253" s="41">
        <f t="shared" si="136"/>
        <v>1346.8539341528492</v>
      </c>
      <c r="AW253" s="41">
        <f t="shared" si="136"/>
        <v>462.06110013042269</v>
      </c>
      <c r="AX253" s="41">
        <f t="shared" si="136"/>
        <v>116.00477058530591</v>
      </c>
      <c r="AY253" s="41">
        <f t="shared" si="136"/>
        <v>21.592161931362984</v>
      </c>
      <c r="AZ253" s="41">
        <f t="shared" si="136"/>
        <v>4.0555410486629375</v>
      </c>
      <c r="BA253" s="41">
        <f t="shared" si="136"/>
        <v>0.4720493490970834</v>
      </c>
      <c r="BB253" s="41">
        <f t="shared" si="136"/>
        <v>4.6634802954519626E-2</v>
      </c>
      <c r="BC253" s="41">
        <f t="shared" si="136"/>
        <v>18447.567066407657</v>
      </c>
      <c r="BD253" s="41">
        <f t="shared" si="136"/>
        <v>10151.039509689923</v>
      </c>
      <c r="BE253" s="41">
        <f t="shared" si="136"/>
        <v>9252.9407291107254</v>
      </c>
      <c r="BF253" s="41">
        <f t="shared" si="136"/>
        <v>6336.2839744517969</v>
      </c>
      <c r="BG253" s="41">
        <f t="shared" si="136"/>
        <v>3597.7031063527988</v>
      </c>
      <c r="BH253" s="41">
        <f t="shared" si="136"/>
        <v>1482.8859934697573</v>
      </c>
      <c r="BI253" s="41">
        <f t="shared" si="136"/>
        <v>508.72920673584474</v>
      </c>
    </row>
    <row r="254" spans="4:61" x14ac:dyDescent="0.35">
      <c r="E254">
        <v>7</v>
      </c>
      <c r="J254" t="s">
        <v>50</v>
      </c>
      <c r="N254" s="41">
        <f t="shared" ref="N254:BI254" si="137">N171-N185</f>
        <v>0</v>
      </c>
      <c r="O254" s="41">
        <f t="shared" si="137"/>
        <v>0</v>
      </c>
      <c r="P254" s="41">
        <f t="shared" si="137"/>
        <v>0</v>
      </c>
      <c r="Q254" s="41">
        <f t="shared" si="137"/>
        <v>0</v>
      </c>
      <c r="R254" s="41">
        <f t="shared" si="137"/>
        <v>0</v>
      </c>
      <c r="S254" s="41">
        <f t="shared" si="137"/>
        <v>0</v>
      </c>
      <c r="T254" s="41">
        <f t="shared" si="137"/>
        <v>2386.6282849821482</v>
      </c>
      <c r="U254" s="41">
        <f t="shared" si="137"/>
        <v>1292.6370891300683</v>
      </c>
      <c r="V254" s="41">
        <f t="shared" si="137"/>
        <v>1135.5298571921282</v>
      </c>
      <c r="W254" s="41">
        <f t="shared" si="137"/>
        <v>826.34006243436181</v>
      </c>
      <c r="X254" s="41">
        <f t="shared" si="137"/>
        <v>437.28367370589353</v>
      </c>
      <c r="Y254" s="41">
        <f t="shared" si="137"/>
        <v>192.17963422091654</v>
      </c>
      <c r="Z254" s="41">
        <f t="shared" si="137"/>
        <v>62.142955606684026</v>
      </c>
      <c r="AA254" s="41">
        <f t="shared" si="137"/>
        <v>14.807753720060225</v>
      </c>
      <c r="AB254" s="41">
        <f t="shared" si="137"/>
        <v>3.5186004002153504</v>
      </c>
      <c r="AC254" s="41">
        <f t="shared" si="137"/>
        <v>0.52698826044685099</v>
      </c>
      <c r="AD254" s="41">
        <f t="shared" si="137"/>
        <v>6.6664303747691986E-2</v>
      </c>
      <c r="AE254" s="41">
        <f t="shared" si="137"/>
        <v>5.9771332639706985E-3</v>
      </c>
      <c r="AF254" s="41">
        <f t="shared" si="137"/>
        <v>14919.33968023819</v>
      </c>
      <c r="AG254" s="41">
        <f t="shared" si="137"/>
        <v>8080.5594810714629</v>
      </c>
      <c r="AH254" s="41">
        <f t="shared" si="137"/>
        <v>7098.4475308137253</v>
      </c>
      <c r="AI254" s="41">
        <f t="shared" si="137"/>
        <v>5165.6339449357092</v>
      </c>
      <c r="AJ254" s="41">
        <f t="shared" si="137"/>
        <v>2733.5566689177435</v>
      </c>
      <c r="AK254" s="41">
        <f t="shared" si="137"/>
        <v>1201.3572706766226</v>
      </c>
      <c r="AL254" s="41">
        <f t="shared" si="137"/>
        <v>388.46931852105172</v>
      </c>
      <c r="AM254" s="41">
        <f t="shared" si="137"/>
        <v>92.566533733401087</v>
      </c>
      <c r="AN254" s="41">
        <f t="shared" si="137"/>
        <v>21.995546981555833</v>
      </c>
      <c r="AO254" s="41">
        <f t="shared" si="137"/>
        <v>3.2943198212214315</v>
      </c>
      <c r="AP254" s="41">
        <f t="shared" si="137"/>
        <v>0.41673326274427863</v>
      </c>
      <c r="AQ254" s="41">
        <f t="shared" si="137"/>
        <v>3.7364378039245728E-2</v>
      </c>
      <c r="AR254" s="41">
        <f t="shared" si="137"/>
        <v>18361.817607701509</v>
      </c>
      <c r="AS254" s="41">
        <f t="shared" si="137"/>
        <v>9945.0620831530359</v>
      </c>
      <c r="AT254" s="41">
        <f t="shared" si="137"/>
        <v>8736.3383133696352</v>
      </c>
      <c r="AU254" s="41">
        <f t="shared" si="137"/>
        <v>6357.5486823118445</v>
      </c>
      <c r="AV254" s="41">
        <f t="shared" si="137"/>
        <v>3364.2956089717754</v>
      </c>
      <c r="AW254" s="41">
        <f t="shared" si="137"/>
        <v>1478.5576009821139</v>
      </c>
      <c r="AX254" s="41">
        <f t="shared" si="137"/>
        <v>478.10445540829551</v>
      </c>
      <c r="AY254" s="41">
        <f t="shared" si="137"/>
        <v>113.92527051590827</v>
      </c>
      <c r="AZ254" s="41">
        <f t="shared" si="137"/>
        <v>27.070783996688903</v>
      </c>
      <c r="BA254" s="41">
        <f t="shared" si="137"/>
        <v>4.0544488559924021</v>
      </c>
      <c r="BB254" s="41">
        <f t="shared" si="137"/>
        <v>0.51289000221024728</v>
      </c>
      <c r="BC254" s="41">
        <f t="shared" si="137"/>
        <v>4.5985808305618284E-2</v>
      </c>
      <c r="BD254" s="41">
        <f t="shared" si="137"/>
        <v>20214.14426923744</v>
      </c>
      <c r="BE254" s="41">
        <f t="shared" si="137"/>
        <v>10948.312634968117</v>
      </c>
      <c r="BF254" s="41">
        <f t="shared" si="137"/>
        <v>9617.6536998848005</v>
      </c>
      <c r="BG254" s="41">
        <f t="shared" si="137"/>
        <v>6998.8935196181201</v>
      </c>
      <c r="BH254" s="41">
        <f t="shared" si="137"/>
        <v>3703.6832767358246</v>
      </c>
      <c r="BI254" s="41">
        <f t="shared" si="137"/>
        <v>1627.7134048044461</v>
      </c>
    </row>
    <row r="255" spans="4:61" x14ac:dyDescent="0.35">
      <c r="E255">
        <v>8</v>
      </c>
      <c r="J255" t="s">
        <v>50</v>
      </c>
      <c r="N255" s="41">
        <f t="shared" ref="N255:BI255" si="138">N172-N186</f>
        <v>0</v>
      </c>
      <c r="O255" s="41">
        <f t="shared" si="138"/>
        <v>0</v>
      </c>
      <c r="P255" s="41">
        <f t="shared" si="138"/>
        <v>0</v>
      </c>
      <c r="Q255" s="41">
        <f t="shared" si="138"/>
        <v>0</v>
      </c>
      <c r="R255" s="41">
        <f t="shared" si="138"/>
        <v>0</v>
      </c>
      <c r="S255" s="41">
        <f t="shared" si="138"/>
        <v>0</v>
      </c>
      <c r="T255" s="41">
        <f t="shared" si="138"/>
        <v>0</v>
      </c>
      <c r="U255" s="41">
        <f t="shared" si="138"/>
        <v>3989.1183102473574</v>
      </c>
      <c r="V255" s="41">
        <f t="shared" si="138"/>
        <v>2091.268261229573</v>
      </c>
      <c r="W255" s="41">
        <f t="shared" si="138"/>
        <v>1967.2796437215075</v>
      </c>
      <c r="X255" s="41">
        <f t="shared" si="138"/>
        <v>1347.1654952420545</v>
      </c>
      <c r="Y255" s="41">
        <f t="shared" si="138"/>
        <v>764.91229031807609</v>
      </c>
      <c r="Z255" s="41">
        <f t="shared" si="138"/>
        <v>321.21772064434919</v>
      </c>
      <c r="AA255" s="41">
        <f t="shared" si="138"/>
        <v>98.69608890404389</v>
      </c>
      <c r="AB255" s="41">
        <f t="shared" si="138"/>
        <v>29.922802229283032</v>
      </c>
      <c r="AC255" s="41">
        <f t="shared" si="138"/>
        <v>5.8126382922422799</v>
      </c>
      <c r="AD255" s="41">
        <f t="shared" si="138"/>
        <v>0.94934131871225347</v>
      </c>
      <c r="AE255" s="41">
        <f t="shared" si="138"/>
        <v>0.1104996709913295</v>
      </c>
      <c r="AF255" s="41">
        <f t="shared" si="138"/>
        <v>1.0916507761480015E-2</v>
      </c>
      <c r="AG255" s="41">
        <f t="shared" si="138"/>
        <v>15323.752024429445</v>
      </c>
      <c r="AH255" s="41">
        <f t="shared" si="138"/>
        <v>8033.3732317040758</v>
      </c>
      <c r="AI255" s="41">
        <f t="shared" si="138"/>
        <v>7557.084818882443</v>
      </c>
      <c r="AJ255" s="41">
        <f t="shared" si="138"/>
        <v>5174.985643300427</v>
      </c>
      <c r="AK255" s="41">
        <f t="shared" si="138"/>
        <v>2938.3250497139975</v>
      </c>
      <c r="AL255" s="41">
        <f t="shared" si="138"/>
        <v>1233.9219632473719</v>
      </c>
      <c r="AM255" s="41">
        <f t="shared" si="138"/>
        <v>379.12999177325236</v>
      </c>
      <c r="AN255" s="41">
        <f t="shared" si="138"/>
        <v>114.94509953733241</v>
      </c>
      <c r="AO255" s="41">
        <f t="shared" si="138"/>
        <v>22.328600174433184</v>
      </c>
      <c r="AP255" s="41">
        <f t="shared" si="138"/>
        <v>3.6467885440051924</v>
      </c>
      <c r="AQ255" s="41">
        <f t="shared" si="138"/>
        <v>0.4244721327774249</v>
      </c>
      <c r="AR255" s="41">
        <f t="shared" si="138"/>
        <v>4.1934544152265649E-2</v>
      </c>
      <c r="AS255" s="41">
        <f t="shared" si="138"/>
        <v>18139.79935797902</v>
      </c>
      <c r="AT255" s="41">
        <f t="shared" si="138"/>
        <v>9509.6669770272692</v>
      </c>
      <c r="AU255" s="41">
        <f t="shared" si="138"/>
        <v>8945.850998320424</v>
      </c>
      <c r="AV255" s="41">
        <f t="shared" si="138"/>
        <v>6125.993235875726</v>
      </c>
      <c r="AW255" s="41">
        <f t="shared" si="138"/>
        <v>3478.3013171553989</v>
      </c>
      <c r="AX255" s="41">
        <f t="shared" si="138"/>
        <v>1460.6799171004134</v>
      </c>
      <c r="AY255" s="41">
        <f t="shared" si="138"/>
        <v>448.8027455935748</v>
      </c>
      <c r="AZ255" s="41">
        <f t="shared" si="138"/>
        <v>136.06857116103535</v>
      </c>
      <c r="BA255" s="41">
        <f t="shared" si="138"/>
        <v>26.431929103462132</v>
      </c>
      <c r="BB255" s="41">
        <f t="shared" si="138"/>
        <v>4.3169592136292545</v>
      </c>
      <c r="BC255" s="41">
        <f t="shared" si="138"/>
        <v>0.50247741606368168</v>
      </c>
      <c r="BD255" s="41">
        <f t="shared" si="138"/>
        <v>4.9640859228060642E-2</v>
      </c>
      <c r="BE255" s="41">
        <f t="shared" si="138"/>
        <v>19968.015230492059</v>
      </c>
      <c r="BF255" s="41">
        <f t="shared" si="138"/>
        <v>10468.096768152111</v>
      </c>
      <c r="BG255" s="41">
        <f t="shared" si="138"/>
        <v>9847.4567143214699</v>
      </c>
      <c r="BH255" s="41">
        <f t="shared" si="138"/>
        <v>6743.4001789028662</v>
      </c>
      <c r="BI255" s="41">
        <f t="shared" si="138"/>
        <v>3828.8611856475159</v>
      </c>
    </row>
    <row r="256" spans="4:61" x14ac:dyDescent="0.35">
      <c r="E256">
        <v>9</v>
      </c>
      <c r="J256" t="s">
        <v>50</v>
      </c>
      <c r="N256" s="41">
        <f t="shared" ref="N256:BI256" si="139">N173-N187</f>
        <v>0</v>
      </c>
      <c r="O256" s="41">
        <f t="shared" si="139"/>
        <v>0</v>
      </c>
      <c r="P256" s="41">
        <f t="shared" si="139"/>
        <v>0</v>
      </c>
      <c r="Q256" s="41">
        <f t="shared" si="139"/>
        <v>0</v>
      </c>
      <c r="R256" s="41">
        <f t="shared" si="139"/>
        <v>0</v>
      </c>
      <c r="S256" s="41">
        <f t="shared" si="139"/>
        <v>0</v>
      </c>
      <c r="T256" s="41">
        <f t="shared" si="139"/>
        <v>0</v>
      </c>
      <c r="U256" s="41">
        <f t="shared" si="139"/>
        <v>0</v>
      </c>
      <c r="V256" s="41">
        <f t="shared" si="139"/>
        <v>3025.2173783808539</v>
      </c>
      <c r="W256" s="41">
        <f t="shared" si="139"/>
        <v>1664.6694397585234</v>
      </c>
      <c r="X256" s="41">
        <f t="shared" si="139"/>
        <v>1474.527092085546</v>
      </c>
      <c r="Y256" s="41">
        <f t="shared" si="139"/>
        <v>1081.9505897102035</v>
      </c>
      <c r="Z256" s="41">
        <f t="shared" si="139"/>
        <v>589.9874991869433</v>
      </c>
      <c r="AA256" s="41">
        <f t="shared" si="139"/>
        <v>233.49388097683919</v>
      </c>
      <c r="AB256" s="41">
        <f t="shared" si="139"/>
        <v>90.391486672958393</v>
      </c>
      <c r="AC256" s="41">
        <f t="shared" si="139"/>
        <v>22.763039361226607</v>
      </c>
      <c r="AD256" s="41">
        <f t="shared" si="139"/>
        <v>4.8002034477904436</v>
      </c>
      <c r="AE256" s="41">
        <f t="shared" si="139"/>
        <v>0.72499847471538947</v>
      </c>
      <c r="AF256" s="41">
        <f t="shared" si="139"/>
        <v>9.2471636519212419E-2</v>
      </c>
      <c r="AG256" s="41">
        <f t="shared" si="139"/>
        <v>8.4200544239813845E-3</v>
      </c>
      <c r="AH256" s="41">
        <f t="shared" si="139"/>
        <v>15629.186531023819</v>
      </c>
      <c r="AI256" s="41">
        <f t="shared" si="139"/>
        <v>8600.1850222101511</v>
      </c>
      <c r="AJ256" s="41">
        <f t="shared" si="139"/>
        <v>7617.8522349979185</v>
      </c>
      <c r="AK256" s="41">
        <f t="shared" si="139"/>
        <v>5589.6834735831444</v>
      </c>
      <c r="AL256" s="41">
        <f t="shared" si="139"/>
        <v>3048.0535850617925</v>
      </c>
      <c r="AM256" s="41">
        <f t="shared" si="139"/>
        <v>1206.299899544035</v>
      </c>
      <c r="AN256" s="41">
        <f t="shared" si="139"/>
        <v>466.98971654868143</v>
      </c>
      <c r="AO256" s="41">
        <f t="shared" si="139"/>
        <v>117.60073531643555</v>
      </c>
      <c r="AP256" s="41">
        <f t="shared" si="139"/>
        <v>24.799300575396728</v>
      </c>
      <c r="AQ256" s="41">
        <f t="shared" si="139"/>
        <v>3.7455610552188436</v>
      </c>
      <c r="AR256" s="41">
        <f t="shared" si="139"/>
        <v>0.47773639881750574</v>
      </c>
      <c r="AS256" s="41">
        <f t="shared" si="139"/>
        <v>4.3500543839997075E-2</v>
      </c>
      <c r="AT256" s="41">
        <f t="shared" si="139"/>
        <v>18952.022252121311</v>
      </c>
      <c r="AU256" s="41">
        <f t="shared" si="139"/>
        <v>10428.623242147087</v>
      </c>
      <c r="AV256" s="41">
        <f t="shared" si="139"/>
        <v>9237.4420629296274</v>
      </c>
      <c r="AW256" s="41">
        <f t="shared" si="139"/>
        <v>6778.0754528318375</v>
      </c>
      <c r="AX256" s="41">
        <f t="shared" si="139"/>
        <v>3696.083558480962</v>
      </c>
      <c r="AY256" s="41">
        <f t="shared" si="139"/>
        <v>1462.7647122586777</v>
      </c>
      <c r="AZ256" s="41">
        <f t="shared" si="139"/>
        <v>566.27384169831601</v>
      </c>
      <c r="BA256" s="41">
        <f t="shared" si="139"/>
        <v>142.60318335562891</v>
      </c>
      <c r="BB256" s="41">
        <f t="shared" si="139"/>
        <v>30.071744003376203</v>
      </c>
      <c r="BC256" s="41">
        <f t="shared" si="139"/>
        <v>4.5418842704500273</v>
      </c>
      <c r="BD256" s="41">
        <f t="shared" si="139"/>
        <v>0.57930531720671508</v>
      </c>
      <c r="BE256" s="41">
        <f t="shared" si="139"/>
        <v>5.2748956140393433E-2</v>
      </c>
      <c r="BF256" s="41">
        <f t="shared" si="139"/>
        <v>20858.755744879083</v>
      </c>
      <c r="BG256" s="41">
        <f t="shared" si="139"/>
        <v>11477.830812433065</v>
      </c>
      <c r="BH256" s="41">
        <f t="shared" si="139"/>
        <v>10166.80674678683</v>
      </c>
      <c r="BI256" s="41">
        <f t="shared" si="139"/>
        <v>7460.0070857955525</v>
      </c>
    </row>
    <row r="257" spans="4:61" x14ac:dyDescent="0.35">
      <c r="E257">
        <v>10</v>
      </c>
      <c r="J257" t="s">
        <v>50</v>
      </c>
      <c r="N257" s="41">
        <f t="shared" ref="N257:BI257" si="140">N174-N188</f>
        <v>0</v>
      </c>
      <c r="O257" s="41">
        <f t="shared" si="140"/>
        <v>0</v>
      </c>
      <c r="P257" s="41">
        <f t="shared" si="140"/>
        <v>0</v>
      </c>
      <c r="Q257" s="41">
        <f t="shared" si="140"/>
        <v>0</v>
      </c>
      <c r="R257" s="41">
        <f t="shared" si="140"/>
        <v>0</v>
      </c>
      <c r="S257" s="41">
        <f t="shared" si="140"/>
        <v>0</v>
      </c>
      <c r="T257" s="41">
        <f t="shared" si="140"/>
        <v>0</v>
      </c>
      <c r="U257" s="41">
        <f t="shared" si="140"/>
        <v>0</v>
      </c>
      <c r="V257" s="41">
        <f t="shared" si="140"/>
        <v>0</v>
      </c>
      <c r="W257" s="41">
        <f t="shared" si="140"/>
        <v>3645.354105779646</v>
      </c>
      <c r="X257" s="41">
        <f t="shared" si="140"/>
        <v>1911.0522048886469</v>
      </c>
      <c r="Y257" s="41">
        <f t="shared" si="140"/>
        <v>1797.7483666089188</v>
      </c>
      <c r="Z257" s="41">
        <f t="shared" si="140"/>
        <v>1262.1580655522325</v>
      </c>
      <c r="AA257" s="41">
        <f t="shared" si="140"/>
        <v>637.49355853549991</v>
      </c>
      <c r="AB257" s="41">
        <f t="shared" si="140"/>
        <v>312.89402241637771</v>
      </c>
      <c r="AC257" s="41">
        <f t="shared" si="140"/>
        <v>101.25034528638642</v>
      </c>
      <c r="AD257" s="41">
        <f t="shared" si="140"/>
        <v>27.344190239417962</v>
      </c>
      <c r="AE257" s="41">
        <f t="shared" si="140"/>
        <v>5.3117313692116328</v>
      </c>
      <c r="AF257" s="41">
        <f t="shared" si="140"/>
        <v>0.86753137029405047</v>
      </c>
      <c r="AG257" s="41">
        <f t="shared" si="140"/>
        <v>0.10182356209584946</v>
      </c>
      <c r="AH257" s="41">
        <f t="shared" si="140"/>
        <v>9.1295185855767499E-3</v>
      </c>
      <c r="AI257" s="41">
        <f t="shared" si="140"/>
        <v>18444.691378150823</v>
      </c>
      <c r="AJ257" s="41">
        <f t="shared" si="140"/>
        <v>9669.5045539799357</v>
      </c>
      <c r="AK257" s="41">
        <f t="shared" si="140"/>
        <v>9096.2120099946824</v>
      </c>
      <c r="AL257" s="41">
        <f t="shared" si="140"/>
        <v>6386.2426842551622</v>
      </c>
      <c r="AM257" s="41">
        <f t="shared" si="140"/>
        <v>3225.5774340560565</v>
      </c>
      <c r="AN257" s="41">
        <f t="shared" si="140"/>
        <v>1583.1750524285417</v>
      </c>
      <c r="AO257" s="41">
        <f t="shared" si="140"/>
        <v>512.30451598039997</v>
      </c>
      <c r="AP257" s="41">
        <f t="shared" si="140"/>
        <v>138.35559874741986</v>
      </c>
      <c r="AQ257" s="41">
        <f t="shared" si="140"/>
        <v>26.8761944507438</v>
      </c>
      <c r="AR257" s="41">
        <f t="shared" si="140"/>
        <v>4.3895182529917127</v>
      </c>
      <c r="AS257" s="41">
        <f t="shared" si="140"/>
        <v>0.51520486717716052</v>
      </c>
      <c r="AT257" s="41">
        <f t="shared" si="140"/>
        <v>4.6193359507948464E-2</v>
      </c>
      <c r="AU257" s="41">
        <f t="shared" si="140"/>
        <v>21698.777281908875</v>
      </c>
      <c r="AV257" s="41">
        <f t="shared" si="140"/>
        <v>11375.437053490534</v>
      </c>
      <c r="AW257" s="41">
        <f t="shared" si="140"/>
        <v>10701.001955918189</v>
      </c>
      <c r="AX257" s="41">
        <f t="shared" si="140"/>
        <v>7512.9290500368033</v>
      </c>
      <c r="AY257" s="41">
        <f t="shared" si="140"/>
        <v>3794.6466499322073</v>
      </c>
      <c r="AZ257" s="41">
        <f t="shared" si="140"/>
        <v>1862.485099729839</v>
      </c>
      <c r="BA257" s="41">
        <f t="shared" si="140"/>
        <v>602.6873187991124</v>
      </c>
      <c r="BB257" s="41">
        <f t="shared" si="140"/>
        <v>162.76484444091554</v>
      </c>
      <c r="BC257" s="41">
        <f t="shared" si="140"/>
        <v>31.617799702671519</v>
      </c>
      <c r="BD257" s="41">
        <f t="shared" si="140"/>
        <v>5.1639345432132657</v>
      </c>
      <c r="BE257" s="41">
        <f t="shared" si="140"/>
        <v>0.60609936150384303</v>
      </c>
      <c r="BF257" s="41">
        <f t="shared" si="140"/>
        <v>5.4342975944475319E-2</v>
      </c>
      <c r="BG257" s="41">
        <f t="shared" si="140"/>
        <v>23878.598102917291</v>
      </c>
      <c r="BH257" s="41">
        <f t="shared" si="140"/>
        <v>12518.19335791802</v>
      </c>
      <c r="BI257" s="41">
        <f t="shared" si="140"/>
        <v>11776.005702263394</v>
      </c>
    </row>
    <row r="258" spans="4:61" x14ac:dyDescent="0.35">
      <c r="E258">
        <v>11</v>
      </c>
      <c r="J258" t="s">
        <v>50</v>
      </c>
      <c r="N258" s="41">
        <f t="shared" ref="N258:BI258" si="141">N175-N189</f>
        <v>0</v>
      </c>
      <c r="O258" s="41">
        <f t="shared" si="141"/>
        <v>0</v>
      </c>
      <c r="P258" s="41">
        <f t="shared" si="141"/>
        <v>0</v>
      </c>
      <c r="Q258" s="41">
        <f t="shared" si="141"/>
        <v>0</v>
      </c>
      <c r="R258" s="41">
        <f t="shared" si="141"/>
        <v>0</v>
      </c>
      <c r="S258" s="41">
        <f t="shared" si="141"/>
        <v>0</v>
      </c>
      <c r="T258" s="41">
        <f t="shared" si="141"/>
        <v>0</v>
      </c>
      <c r="U258" s="41">
        <f t="shared" si="141"/>
        <v>0</v>
      </c>
      <c r="V258" s="41">
        <f t="shared" si="141"/>
        <v>0</v>
      </c>
      <c r="W258" s="41">
        <f t="shared" si="141"/>
        <v>0</v>
      </c>
      <c r="X258" s="41">
        <f t="shared" si="141"/>
        <v>4504.8453258455547</v>
      </c>
      <c r="Y258" s="41">
        <f t="shared" si="141"/>
        <v>2478.8560314259971</v>
      </c>
      <c r="Z258" s="41">
        <f t="shared" si="141"/>
        <v>2259.5427702639308</v>
      </c>
      <c r="AA258" s="41">
        <f t="shared" si="141"/>
        <v>1466.7904083479059</v>
      </c>
      <c r="AB258" s="41">
        <f t="shared" si="141"/>
        <v>920.83189350081818</v>
      </c>
      <c r="AC258" s="41">
        <f t="shared" si="141"/>
        <v>385.92540615473922</v>
      </c>
      <c r="AD258" s="41">
        <f t="shared" si="141"/>
        <v>134.60178734423619</v>
      </c>
      <c r="AE258" s="41">
        <f t="shared" si="141"/>
        <v>33.896397727076156</v>
      </c>
      <c r="AF258" s="41">
        <f t="shared" si="141"/>
        <v>7.1479736363474515</v>
      </c>
      <c r="AG258" s="41">
        <f t="shared" si="141"/>
        <v>1.0903774255251537</v>
      </c>
      <c r="AH258" s="41">
        <f t="shared" si="141"/>
        <v>0.12691573030902903</v>
      </c>
      <c r="AI258" s="41">
        <f t="shared" si="141"/>
        <v>1.2538286698438527E-2</v>
      </c>
      <c r="AJ258" s="41">
        <f t="shared" si="141"/>
        <v>18526.074359659706</v>
      </c>
      <c r="AK258" s="41">
        <f t="shared" si="141"/>
        <v>10194.239278674719</v>
      </c>
      <c r="AL258" s="41">
        <f t="shared" si="141"/>
        <v>9292.3184599870583</v>
      </c>
      <c r="AM258" s="41">
        <f t="shared" si="141"/>
        <v>6032.1423288797187</v>
      </c>
      <c r="AN258" s="41">
        <f t="shared" si="141"/>
        <v>3786.9003035171622</v>
      </c>
      <c r="AO258" s="41">
        <f t="shared" si="141"/>
        <v>1587.1094909041262</v>
      </c>
      <c r="AP258" s="41">
        <f t="shared" si="141"/>
        <v>553.54680147966405</v>
      </c>
      <c r="AQ258" s="41">
        <f t="shared" si="141"/>
        <v>139.39816783799213</v>
      </c>
      <c r="AR258" s="41">
        <f t="shared" si="141"/>
        <v>29.395879664970344</v>
      </c>
      <c r="AS258" s="41">
        <f t="shared" si="141"/>
        <v>4.4841524634548264</v>
      </c>
      <c r="AT258" s="41">
        <f t="shared" si="141"/>
        <v>0.52193806602544379</v>
      </c>
      <c r="AU258" s="41">
        <f t="shared" si="141"/>
        <v>5.1563420032496803E-2</v>
      </c>
      <c r="AV258" s="41">
        <f t="shared" si="141"/>
        <v>21748.246238229607</v>
      </c>
      <c r="AW258" s="41">
        <f t="shared" si="141"/>
        <v>11967.285769229871</v>
      </c>
      <c r="AX258" s="41">
        <f t="shared" si="141"/>
        <v>10908.497184481623</v>
      </c>
      <c r="AY258" s="41">
        <f t="shared" si="141"/>
        <v>7081.2906266955988</v>
      </c>
      <c r="AZ258" s="41">
        <f t="shared" si="141"/>
        <v>4445.5419254848812</v>
      </c>
      <c r="BA258" s="41">
        <f t="shared" si="141"/>
        <v>1863.149599052359</v>
      </c>
      <c r="BB258" s="41">
        <f t="shared" si="141"/>
        <v>649.82315785033177</v>
      </c>
      <c r="BC258" s="41">
        <f t="shared" si="141"/>
        <v>163.64317774196815</v>
      </c>
      <c r="BD258" s="41">
        <f t="shared" si="141"/>
        <v>34.508596744879128</v>
      </c>
      <c r="BE258" s="41">
        <f t="shared" si="141"/>
        <v>5.2640645854975823</v>
      </c>
      <c r="BF258" s="41">
        <f t="shared" si="141"/>
        <v>0.61271683145911759</v>
      </c>
      <c r="BG258" s="41">
        <f t="shared" si="141"/>
        <v>6.0531655761560929E-2</v>
      </c>
      <c r="BH258" s="41">
        <f t="shared" si="141"/>
        <v>23930.551519262164</v>
      </c>
      <c r="BI258" s="41">
        <f t="shared" si="141"/>
        <v>13168.130685538952</v>
      </c>
    </row>
    <row r="259" spans="4:61" x14ac:dyDescent="0.35">
      <c r="E259">
        <v>12</v>
      </c>
      <c r="J259" t="s">
        <v>50</v>
      </c>
      <c r="N259" s="41">
        <f t="shared" ref="N259:BI259" si="142">N176-N190</f>
        <v>0</v>
      </c>
      <c r="O259" s="41">
        <f t="shared" si="142"/>
        <v>0</v>
      </c>
      <c r="P259" s="41">
        <f t="shared" si="142"/>
        <v>0</v>
      </c>
      <c r="Q259" s="41">
        <f t="shared" si="142"/>
        <v>0</v>
      </c>
      <c r="R259" s="41">
        <f t="shared" si="142"/>
        <v>0</v>
      </c>
      <c r="S259" s="41">
        <f t="shared" si="142"/>
        <v>0</v>
      </c>
      <c r="T259" s="41">
        <f t="shared" si="142"/>
        <v>0</v>
      </c>
      <c r="U259" s="41">
        <f t="shared" si="142"/>
        <v>0</v>
      </c>
      <c r="V259" s="41">
        <f t="shared" si="142"/>
        <v>0</v>
      </c>
      <c r="W259" s="41">
        <f t="shared" si="142"/>
        <v>0</v>
      </c>
      <c r="X259" s="41">
        <f t="shared" si="142"/>
        <v>0</v>
      </c>
      <c r="Y259" s="41">
        <f t="shared" si="142"/>
        <v>6394.0341051486776</v>
      </c>
      <c r="Z259" s="41">
        <f t="shared" si="142"/>
        <v>3463.1139191160605</v>
      </c>
      <c r="AA259" s="41">
        <f t="shared" si="142"/>
        <v>2863.038770320391</v>
      </c>
      <c r="AB259" s="41">
        <f t="shared" si="142"/>
        <v>2282.872179348275</v>
      </c>
      <c r="AC259" s="41">
        <f t="shared" si="142"/>
        <v>1228.3279850332219</v>
      </c>
      <c r="AD259" s="41">
        <f t="shared" si="142"/>
        <v>548.82323982064452</v>
      </c>
      <c r="AE259" s="41">
        <f t="shared" si="142"/>
        <v>177.59541107208096</v>
      </c>
      <c r="AF259" s="41">
        <f t="shared" si="142"/>
        <v>47.962332298886054</v>
      </c>
      <c r="AG259" s="41">
        <f t="shared" si="142"/>
        <v>9.426709262994855</v>
      </c>
      <c r="AH259" s="41">
        <f t="shared" si="142"/>
        <v>1.4118582820430052</v>
      </c>
      <c r="AI259" s="41">
        <f t="shared" si="142"/>
        <v>0.17860084640785262</v>
      </c>
      <c r="AJ259" s="41">
        <f t="shared" si="142"/>
        <v>1.6013383475480411E-2</v>
      </c>
      <c r="AK259" s="41">
        <f t="shared" si="142"/>
        <v>20982.601907766482</v>
      </c>
      <c r="AL259" s="41">
        <f t="shared" si="142"/>
        <v>11364.521917007773</v>
      </c>
      <c r="AM259" s="41">
        <f t="shared" si="142"/>
        <v>9395.3209783101665</v>
      </c>
      <c r="AN259" s="41">
        <f t="shared" si="142"/>
        <v>7491.451774867619</v>
      </c>
      <c r="AO259" s="41">
        <f t="shared" si="142"/>
        <v>4030.8695102779316</v>
      </c>
      <c r="AP259" s="41">
        <f t="shared" si="142"/>
        <v>1801.0131584400531</v>
      </c>
      <c r="AQ259" s="41">
        <f t="shared" si="142"/>
        <v>582.79542302894401</v>
      </c>
      <c r="AR259" s="41">
        <f t="shared" si="142"/>
        <v>157.39273651749406</v>
      </c>
      <c r="AS259" s="41">
        <f t="shared" si="142"/>
        <v>30.934600052633993</v>
      </c>
      <c r="AT259" s="41">
        <f t="shared" si="142"/>
        <v>4.6331407989264433</v>
      </c>
      <c r="AU259" s="41">
        <f t="shared" si="142"/>
        <v>0.58609485012732487</v>
      </c>
      <c r="AV259" s="41">
        <f t="shared" si="142"/>
        <v>5.2549367916547685E-2</v>
      </c>
      <c r="AW259" s="41">
        <f t="shared" si="142"/>
        <v>24113.74011590796</v>
      </c>
      <c r="AX259" s="41">
        <f t="shared" si="142"/>
        <v>13060.39781209556</v>
      </c>
      <c r="AY259" s="41">
        <f t="shared" si="142"/>
        <v>10797.341977529111</v>
      </c>
      <c r="AZ259" s="41">
        <f t="shared" si="142"/>
        <v>8609.3670357988667</v>
      </c>
      <c r="BA259" s="41">
        <f t="shared" si="142"/>
        <v>4632.3778261266034</v>
      </c>
      <c r="BB259" s="41">
        <f t="shared" si="142"/>
        <v>2069.7701571452471</v>
      </c>
      <c r="BC259" s="41">
        <f t="shared" si="142"/>
        <v>669.76333218517061</v>
      </c>
      <c r="BD259" s="41">
        <f t="shared" si="142"/>
        <v>180.87973842317564</v>
      </c>
      <c r="BE259" s="41">
        <f t="shared" si="142"/>
        <v>35.550829660580071</v>
      </c>
      <c r="BF259" s="41">
        <f t="shared" si="142"/>
        <v>5.3245233187391126</v>
      </c>
      <c r="BG259" s="41">
        <f t="shared" si="142"/>
        <v>0.67355511777646515</v>
      </c>
      <c r="BH259" s="41">
        <f t="shared" si="142"/>
        <v>6.0391070981804039E-2</v>
      </c>
      <c r="BI259" s="41">
        <f t="shared" si="142"/>
        <v>26531.106456040096</v>
      </c>
    </row>
    <row r="260" spans="4:61" x14ac:dyDescent="0.35"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</row>
    <row r="261" spans="4:61" x14ac:dyDescent="0.35">
      <c r="E261" t="s">
        <v>199</v>
      </c>
      <c r="J261" t="s">
        <v>51</v>
      </c>
      <c r="N261" s="41">
        <f>SUMPRODUCT(N248:N259,N216:N227)</f>
        <v>0</v>
      </c>
      <c r="O261" s="41">
        <f t="shared" ref="O261:BI261" si="143">SUMPRODUCT(O248:O259,O216:O227)</f>
        <v>0</v>
      </c>
      <c r="P261" s="41">
        <f t="shared" si="143"/>
        <v>0</v>
      </c>
      <c r="Q261" s="41">
        <f t="shared" si="143"/>
        <v>149255.78784354805</v>
      </c>
      <c r="R261" s="41">
        <f t="shared" si="143"/>
        <v>1212914.2795471731</v>
      </c>
      <c r="S261" s="41">
        <f t="shared" si="143"/>
        <v>2823206.1631369609</v>
      </c>
      <c r="T261" s="41">
        <f t="shared" si="143"/>
        <v>9079299.1929095332</v>
      </c>
      <c r="U261" s="41">
        <f t="shared" si="143"/>
        <v>21706832.006383836</v>
      </c>
      <c r="V261" s="41">
        <f t="shared" si="143"/>
        <v>25386908.244549368</v>
      </c>
      <c r="W261" s="41">
        <f t="shared" si="143"/>
        <v>31930580.10177736</v>
      </c>
      <c r="X261" s="41">
        <f t="shared" si="143"/>
        <v>35304351.019011967</v>
      </c>
      <c r="Y261" s="41">
        <f t="shared" si="143"/>
        <v>43985734.527081981</v>
      </c>
      <c r="Z261" s="41">
        <f t="shared" si="143"/>
        <v>39544115.72632549</v>
      </c>
      <c r="AA261" s="41">
        <f t="shared" si="143"/>
        <v>36465090.04138311</v>
      </c>
      <c r="AB261" s="41">
        <f t="shared" si="143"/>
        <v>44627330.545585155</v>
      </c>
      <c r="AC261" s="41">
        <f t="shared" si="143"/>
        <v>49958488.834148094</v>
      </c>
      <c r="AD261" s="41">
        <f t="shared" si="143"/>
        <v>60526088.773508981</v>
      </c>
      <c r="AE261" s="41">
        <f t="shared" si="143"/>
        <v>79152533.391892865</v>
      </c>
      <c r="AF261" s="41">
        <f t="shared" si="143"/>
        <v>95366186.828846991</v>
      </c>
      <c r="AG261" s="41">
        <f t="shared" si="143"/>
        <v>107870173.14474684</v>
      </c>
      <c r="AH261" s="41">
        <f t="shared" si="143"/>
        <v>112578978.89950362</v>
      </c>
      <c r="AI261" s="41">
        <f t="shared" si="143"/>
        <v>133446837.78531174</v>
      </c>
      <c r="AJ261" s="41">
        <f t="shared" si="143"/>
        <v>136281015.23216182</v>
      </c>
      <c r="AK261" s="41">
        <f t="shared" si="143"/>
        <v>151490425.33201915</v>
      </c>
      <c r="AL261" s="41">
        <f t="shared" si="143"/>
        <v>120452312.80602698</v>
      </c>
      <c r="AM261" s="41">
        <f t="shared" si="143"/>
        <v>100318246.35305119</v>
      </c>
      <c r="AN261" s="41">
        <f t="shared" si="143"/>
        <v>107274138.386213</v>
      </c>
      <c r="AO261" s="41">
        <f t="shared" si="143"/>
        <v>105838382.65854657</v>
      </c>
      <c r="AP261" s="41">
        <f t="shared" si="143"/>
        <v>119209740.29297619</v>
      </c>
      <c r="AQ261" s="41">
        <f t="shared" si="143"/>
        <v>127666610.21032281</v>
      </c>
      <c r="AR261" s="41">
        <f t="shared" si="143"/>
        <v>143955982.51000655</v>
      </c>
      <c r="AS261" s="41">
        <f t="shared" si="143"/>
        <v>151055035.6728501</v>
      </c>
      <c r="AT261" s="41">
        <f t="shared" si="143"/>
        <v>155279594.28667754</v>
      </c>
      <c r="AU261" s="41">
        <f t="shared" si="143"/>
        <v>171613325.35091531</v>
      </c>
      <c r="AV261" s="41">
        <f t="shared" si="143"/>
        <v>175247401.02039462</v>
      </c>
      <c r="AW261" s="41">
        <f t="shared" si="143"/>
        <v>192229491.71377736</v>
      </c>
      <c r="AX261" s="41">
        <f t="shared" si="143"/>
        <v>148069795.8011989</v>
      </c>
      <c r="AY261" s="41">
        <f t="shared" si="143"/>
        <v>119931091.40089494</v>
      </c>
      <c r="AZ261" s="41">
        <f t="shared" si="143"/>
        <v>124037146.97905818</v>
      </c>
      <c r="BA261" s="41">
        <f t="shared" si="143"/>
        <v>118857949.88794141</v>
      </c>
      <c r="BB261" s="41">
        <f t="shared" si="143"/>
        <v>131798746.76579779</v>
      </c>
      <c r="BC261" s="41">
        <f t="shared" si="143"/>
        <v>140509253.52245176</v>
      </c>
      <c r="BD261" s="41">
        <f t="shared" si="143"/>
        <v>158700994.41874304</v>
      </c>
      <c r="BE261" s="41">
        <f t="shared" si="143"/>
        <v>167080442.80875534</v>
      </c>
      <c r="BF261" s="41">
        <f t="shared" si="143"/>
        <v>172500121.22009414</v>
      </c>
      <c r="BG261" s="41">
        <f t="shared" si="143"/>
        <v>191421383.04620939</v>
      </c>
      <c r="BH261" s="41">
        <f t="shared" si="143"/>
        <v>196293957.95776546</v>
      </c>
      <c r="BI261" s="41">
        <f t="shared" si="143"/>
        <v>216232969.54827833</v>
      </c>
    </row>
    <row r="262" spans="4:61" x14ac:dyDescent="0.35"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</row>
    <row r="263" spans="4:61" x14ac:dyDescent="0.35"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</row>
    <row r="264" spans="4:61" x14ac:dyDescent="0.35"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</row>
    <row r="265" spans="4:61" x14ac:dyDescent="0.35">
      <c r="D265" s="1" t="s">
        <v>127</v>
      </c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</row>
    <row r="266" spans="4:61" x14ac:dyDescent="0.35"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</row>
    <row r="267" spans="4:61" s="4" customFormat="1" x14ac:dyDescent="0.35">
      <c r="E267" s="4" t="str">
        <f>Hypothèses_trajectoire!E144</f>
        <v>Décote lié au retrait partiel</v>
      </c>
      <c r="I267" s="14">
        <f>Hypothèses_trajectoire!I144</f>
        <v>1.7500000000000002E-2</v>
      </c>
      <c r="J267" s="4" t="str">
        <f>Hypothèses_trajectoire!J144</f>
        <v>% montant du solde</v>
      </c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</row>
    <row r="268" spans="4:61" x14ac:dyDescent="0.35">
      <c r="E268" t="str">
        <f>E261</f>
        <v>Montant payé engagé sur année en cours - Trajectoire</v>
      </c>
      <c r="J268" t="str">
        <f>J261</f>
        <v>EUR</v>
      </c>
      <c r="N268" s="41">
        <f t="shared" ref="N268:BI268" si="144">N261</f>
        <v>0</v>
      </c>
      <c r="O268" s="41">
        <f t="shared" si="144"/>
        <v>0</v>
      </c>
      <c r="P268" s="41">
        <f t="shared" si="144"/>
        <v>0</v>
      </c>
      <c r="Q268" s="41">
        <f t="shared" si="144"/>
        <v>149255.78784354805</v>
      </c>
      <c r="R268" s="41">
        <f t="shared" si="144"/>
        <v>1212914.2795471731</v>
      </c>
      <c r="S268" s="41">
        <f t="shared" si="144"/>
        <v>2823206.1631369609</v>
      </c>
      <c r="T268" s="41">
        <f t="shared" si="144"/>
        <v>9079299.1929095332</v>
      </c>
      <c r="U268" s="41">
        <f t="shared" si="144"/>
        <v>21706832.006383836</v>
      </c>
      <c r="V268" s="41">
        <f t="shared" si="144"/>
        <v>25386908.244549368</v>
      </c>
      <c r="W268" s="41">
        <f t="shared" si="144"/>
        <v>31930580.10177736</v>
      </c>
      <c r="X268" s="41">
        <f t="shared" si="144"/>
        <v>35304351.019011967</v>
      </c>
      <c r="Y268" s="41">
        <f t="shared" si="144"/>
        <v>43985734.527081981</v>
      </c>
      <c r="Z268" s="41">
        <f t="shared" si="144"/>
        <v>39544115.72632549</v>
      </c>
      <c r="AA268" s="41">
        <f t="shared" si="144"/>
        <v>36465090.04138311</v>
      </c>
      <c r="AB268" s="41">
        <f t="shared" si="144"/>
        <v>44627330.545585155</v>
      </c>
      <c r="AC268" s="41">
        <f t="shared" si="144"/>
        <v>49958488.834148094</v>
      </c>
      <c r="AD268" s="41">
        <f t="shared" si="144"/>
        <v>60526088.773508981</v>
      </c>
      <c r="AE268" s="41">
        <f t="shared" si="144"/>
        <v>79152533.391892865</v>
      </c>
      <c r="AF268" s="41">
        <f t="shared" si="144"/>
        <v>95366186.828846991</v>
      </c>
      <c r="AG268" s="41">
        <f t="shared" si="144"/>
        <v>107870173.14474684</v>
      </c>
      <c r="AH268" s="41">
        <f t="shared" si="144"/>
        <v>112578978.89950362</v>
      </c>
      <c r="AI268" s="41">
        <f t="shared" si="144"/>
        <v>133446837.78531174</v>
      </c>
      <c r="AJ268" s="41">
        <f t="shared" si="144"/>
        <v>136281015.23216182</v>
      </c>
      <c r="AK268" s="41">
        <f t="shared" si="144"/>
        <v>151490425.33201915</v>
      </c>
      <c r="AL268" s="41">
        <f t="shared" si="144"/>
        <v>120452312.80602698</v>
      </c>
      <c r="AM268" s="41">
        <f t="shared" si="144"/>
        <v>100318246.35305119</v>
      </c>
      <c r="AN268" s="41">
        <f t="shared" si="144"/>
        <v>107274138.386213</v>
      </c>
      <c r="AO268" s="41">
        <f t="shared" si="144"/>
        <v>105838382.65854657</v>
      </c>
      <c r="AP268" s="41">
        <f t="shared" si="144"/>
        <v>119209740.29297619</v>
      </c>
      <c r="AQ268" s="41">
        <f t="shared" si="144"/>
        <v>127666610.21032281</v>
      </c>
      <c r="AR268" s="41">
        <f t="shared" si="144"/>
        <v>143955982.51000655</v>
      </c>
      <c r="AS268" s="41">
        <f t="shared" si="144"/>
        <v>151055035.6728501</v>
      </c>
      <c r="AT268" s="41">
        <f t="shared" si="144"/>
        <v>155279594.28667754</v>
      </c>
      <c r="AU268" s="41">
        <f t="shared" si="144"/>
        <v>171613325.35091531</v>
      </c>
      <c r="AV268" s="41">
        <f t="shared" si="144"/>
        <v>175247401.02039462</v>
      </c>
      <c r="AW268" s="41">
        <f t="shared" si="144"/>
        <v>192229491.71377736</v>
      </c>
      <c r="AX268" s="41">
        <f t="shared" si="144"/>
        <v>148069795.8011989</v>
      </c>
      <c r="AY268" s="41">
        <f t="shared" si="144"/>
        <v>119931091.40089494</v>
      </c>
      <c r="AZ268" s="41">
        <f t="shared" si="144"/>
        <v>124037146.97905818</v>
      </c>
      <c r="BA268" s="41">
        <f t="shared" si="144"/>
        <v>118857949.88794141</v>
      </c>
      <c r="BB268" s="41">
        <f t="shared" si="144"/>
        <v>131798746.76579779</v>
      </c>
      <c r="BC268" s="41">
        <f t="shared" si="144"/>
        <v>140509253.52245176</v>
      </c>
      <c r="BD268" s="41">
        <f t="shared" si="144"/>
        <v>158700994.41874304</v>
      </c>
      <c r="BE268" s="41">
        <f t="shared" si="144"/>
        <v>167080442.80875534</v>
      </c>
      <c r="BF268" s="41">
        <f t="shared" si="144"/>
        <v>172500121.22009414</v>
      </c>
      <c r="BG268" s="41">
        <f t="shared" si="144"/>
        <v>191421383.04620939</v>
      </c>
      <c r="BH268" s="41">
        <f t="shared" si="144"/>
        <v>196293957.95776546</v>
      </c>
      <c r="BI268" s="41">
        <f t="shared" si="144"/>
        <v>216232969.54827833</v>
      </c>
    </row>
    <row r="269" spans="4:61" x14ac:dyDescent="0.35"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</row>
    <row r="270" spans="4:61" s="26" customFormat="1" x14ac:dyDescent="0.35">
      <c r="E270" s="26" t="str">
        <f>"Montant-"&amp;Paramétrage_général!I35</f>
        <v>Montant-Retrait partiel</v>
      </c>
      <c r="J270" s="26" t="s">
        <v>51</v>
      </c>
      <c r="N270" s="91">
        <f>N268*$I$267</f>
        <v>0</v>
      </c>
      <c r="O270" s="91">
        <f t="shared" ref="O270:BI270" si="145">O268*$I$267</f>
        <v>0</v>
      </c>
      <c r="P270" s="91">
        <f t="shared" si="145"/>
        <v>0</v>
      </c>
      <c r="Q270" s="91">
        <f t="shared" si="145"/>
        <v>2611.9762872620913</v>
      </c>
      <c r="R270" s="91">
        <f t="shared" si="145"/>
        <v>21225.999892075532</v>
      </c>
      <c r="S270" s="91">
        <f t="shared" si="145"/>
        <v>49406.107854896822</v>
      </c>
      <c r="T270" s="91">
        <f t="shared" si="145"/>
        <v>158887.73587591684</v>
      </c>
      <c r="U270" s="91">
        <f t="shared" si="145"/>
        <v>379869.56011171715</v>
      </c>
      <c r="V270" s="91">
        <f t="shared" si="145"/>
        <v>444270.89427961397</v>
      </c>
      <c r="W270" s="91">
        <f t="shared" si="145"/>
        <v>558785.15178110381</v>
      </c>
      <c r="X270" s="91">
        <f t="shared" si="145"/>
        <v>617826.14283270948</v>
      </c>
      <c r="Y270" s="91">
        <f t="shared" si="145"/>
        <v>769750.3542239347</v>
      </c>
      <c r="Z270" s="91">
        <f t="shared" si="145"/>
        <v>692022.02521069616</v>
      </c>
      <c r="AA270" s="91">
        <f t="shared" si="145"/>
        <v>638139.07572420454</v>
      </c>
      <c r="AB270" s="91">
        <f t="shared" si="145"/>
        <v>780978.28454774024</v>
      </c>
      <c r="AC270" s="91">
        <f t="shared" si="145"/>
        <v>874273.55459759175</v>
      </c>
      <c r="AD270" s="91">
        <f t="shared" si="145"/>
        <v>1059206.5535364072</v>
      </c>
      <c r="AE270" s="91">
        <f t="shared" si="145"/>
        <v>1385169.3343581252</v>
      </c>
      <c r="AF270" s="91">
        <f t="shared" si="145"/>
        <v>1668908.2695048226</v>
      </c>
      <c r="AG270" s="91">
        <f t="shared" si="145"/>
        <v>1887728.0300330699</v>
      </c>
      <c r="AH270" s="91">
        <f t="shared" si="145"/>
        <v>1970132.1307413136</v>
      </c>
      <c r="AI270" s="91">
        <f t="shared" si="145"/>
        <v>2335319.6612429558</v>
      </c>
      <c r="AJ270" s="91">
        <f t="shared" si="145"/>
        <v>2384917.7665628321</v>
      </c>
      <c r="AK270" s="91">
        <f t="shared" si="145"/>
        <v>2651082.4433103353</v>
      </c>
      <c r="AL270" s="91">
        <f t="shared" si="145"/>
        <v>2107915.4741054722</v>
      </c>
      <c r="AM270" s="91">
        <f t="shared" si="145"/>
        <v>1755569.311178396</v>
      </c>
      <c r="AN270" s="91">
        <f t="shared" si="145"/>
        <v>1877297.4217587279</v>
      </c>
      <c r="AO270" s="91">
        <f t="shared" si="145"/>
        <v>1852171.6965245651</v>
      </c>
      <c r="AP270" s="91">
        <f t="shared" si="145"/>
        <v>2086170.4551270835</v>
      </c>
      <c r="AQ270" s="91">
        <f t="shared" si="145"/>
        <v>2234165.6786806495</v>
      </c>
      <c r="AR270" s="91">
        <f t="shared" si="145"/>
        <v>2519229.6939251148</v>
      </c>
      <c r="AS270" s="91">
        <f t="shared" si="145"/>
        <v>2643463.1242748769</v>
      </c>
      <c r="AT270" s="91">
        <f t="shared" si="145"/>
        <v>2717392.9000168573</v>
      </c>
      <c r="AU270" s="91">
        <f t="shared" si="145"/>
        <v>3003233.1936410181</v>
      </c>
      <c r="AV270" s="91">
        <f t="shared" si="145"/>
        <v>3066829.5178569062</v>
      </c>
      <c r="AW270" s="91">
        <f t="shared" si="145"/>
        <v>3364016.104991104</v>
      </c>
      <c r="AX270" s="91">
        <f t="shared" si="145"/>
        <v>2591221.4265209809</v>
      </c>
      <c r="AY270" s="91">
        <f t="shared" si="145"/>
        <v>2098794.0995156616</v>
      </c>
      <c r="AZ270" s="91">
        <f t="shared" si="145"/>
        <v>2170650.0721335183</v>
      </c>
      <c r="BA270" s="91">
        <f t="shared" si="145"/>
        <v>2080014.1230389748</v>
      </c>
      <c r="BB270" s="91">
        <f t="shared" si="145"/>
        <v>2306478.0684014615</v>
      </c>
      <c r="BC270" s="91">
        <f t="shared" si="145"/>
        <v>2458911.9366429062</v>
      </c>
      <c r="BD270" s="91">
        <f t="shared" si="145"/>
        <v>2777267.4023280037</v>
      </c>
      <c r="BE270" s="91">
        <f t="shared" si="145"/>
        <v>2923907.7491532187</v>
      </c>
      <c r="BF270" s="91">
        <f t="shared" si="145"/>
        <v>3018752.1213516477</v>
      </c>
      <c r="BG270" s="91">
        <f t="shared" si="145"/>
        <v>3349874.2033086647</v>
      </c>
      <c r="BH270" s="91">
        <f t="shared" si="145"/>
        <v>3435144.264260896</v>
      </c>
      <c r="BI270" s="91">
        <f t="shared" si="145"/>
        <v>3784076.9670948712</v>
      </c>
    </row>
    <row r="271" spans="4:61" x14ac:dyDescent="0.35"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</row>
    <row r="272" spans="4:61" x14ac:dyDescent="0.35">
      <c r="D272" s="1" t="s">
        <v>128</v>
      </c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</row>
    <row r="273" spans="5:61" x14ac:dyDescent="0.35"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</row>
    <row r="274" spans="5:61" x14ac:dyDescent="0.35">
      <c r="E274" s="12" t="str">
        <f t="shared" ref="E274:E286" si="146">E215</f>
        <v>Coût moyen applicable</v>
      </c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</row>
    <row r="275" spans="5:61" x14ac:dyDescent="0.35">
      <c r="E275" s="31">
        <f t="shared" si="146"/>
        <v>1</v>
      </c>
      <c r="J275" s="31" t="str">
        <f t="shared" ref="J275:J286" si="147">J216</f>
        <v>EUR</v>
      </c>
      <c r="N275" s="94">
        <f t="shared" ref="N275:BI275" si="148">N216</f>
        <v>0</v>
      </c>
      <c r="O275" s="94">
        <f t="shared" si="148"/>
        <v>0</v>
      </c>
      <c r="P275" s="94">
        <f t="shared" si="148"/>
        <v>0</v>
      </c>
      <c r="Q275" s="94">
        <f t="shared" si="148"/>
        <v>0</v>
      </c>
      <c r="R275" s="94">
        <f t="shared" si="148"/>
        <v>0</v>
      </c>
      <c r="S275" s="94">
        <f t="shared" si="148"/>
        <v>0</v>
      </c>
      <c r="T275" s="94">
        <f t="shared" si="148"/>
        <v>0</v>
      </c>
      <c r="U275" s="94">
        <f t="shared" si="148"/>
        <v>0</v>
      </c>
      <c r="V275" s="94">
        <f t="shared" si="148"/>
        <v>0</v>
      </c>
      <c r="W275" s="94">
        <f t="shared" si="148"/>
        <v>0</v>
      </c>
      <c r="X275" s="94">
        <f t="shared" si="148"/>
        <v>0</v>
      </c>
      <c r="Y275" s="94">
        <f t="shared" si="148"/>
        <v>0</v>
      </c>
      <c r="Z275" s="94">
        <f t="shared" si="148"/>
        <v>3161.9068626999124</v>
      </c>
      <c r="AA275" s="94">
        <f t="shared" si="148"/>
        <v>3161.9068626999124</v>
      </c>
      <c r="AB275" s="94">
        <f t="shared" si="148"/>
        <v>3161.9068626999124</v>
      </c>
      <c r="AC275" s="94">
        <f t="shared" si="148"/>
        <v>3161.9068626999124</v>
      </c>
      <c r="AD275" s="94">
        <f t="shared" si="148"/>
        <v>3161.9068626999124</v>
      </c>
      <c r="AE275" s="94">
        <f t="shared" si="148"/>
        <v>3161.9068626999124</v>
      </c>
      <c r="AF275" s="94">
        <f t="shared" si="148"/>
        <v>3161.9068626999124</v>
      </c>
      <c r="AG275" s="94">
        <f t="shared" si="148"/>
        <v>3161.9068626999124</v>
      </c>
      <c r="AH275" s="94">
        <f t="shared" si="148"/>
        <v>3161.9068626999124</v>
      </c>
      <c r="AI275" s="94">
        <f t="shared" si="148"/>
        <v>3161.9068626999124</v>
      </c>
      <c r="AJ275" s="94">
        <f t="shared" si="148"/>
        <v>3161.9068626999124</v>
      </c>
      <c r="AK275" s="94">
        <f t="shared" si="148"/>
        <v>3161.9068626999124</v>
      </c>
      <c r="AL275" s="94">
        <f t="shared" si="148"/>
        <v>3309.4799343972727</v>
      </c>
      <c r="AM275" s="94">
        <f t="shared" si="148"/>
        <v>3309.4799343972727</v>
      </c>
      <c r="AN275" s="94">
        <f t="shared" si="148"/>
        <v>3309.4799343972727</v>
      </c>
      <c r="AO275" s="94">
        <f t="shared" si="148"/>
        <v>3309.4799343972727</v>
      </c>
      <c r="AP275" s="94">
        <f t="shared" si="148"/>
        <v>3309.4799343972727</v>
      </c>
      <c r="AQ275" s="94">
        <f t="shared" si="148"/>
        <v>3309.4799343972727</v>
      </c>
      <c r="AR275" s="94">
        <f t="shared" si="148"/>
        <v>3309.4799343972727</v>
      </c>
      <c r="AS275" s="94">
        <f t="shared" si="148"/>
        <v>3309.4799343972727</v>
      </c>
      <c r="AT275" s="94">
        <f t="shared" si="148"/>
        <v>3309.4799343972727</v>
      </c>
      <c r="AU275" s="94">
        <f t="shared" si="148"/>
        <v>3309.4799343972727</v>
      </c>
      <c r="AV275" s="94">
        <f t="shared" si="148"/>
        <v>3309.4799343972727</v>
      </c>
      <c r="AW275" s="94">
        <f t="shared" si="148"/>
        <v>3309.4799343972727</v>
      </c>
      <c r="AX275" s="94">
        <f t="shared" si="148"/>
        <v>3254.9739549116694</v>
      </c>
      <c r="AY275" s="94">
        <f t="shared" si="148"/>
        <v>3254.9739549116694</v>
      </c>
      <c r="AZ275" s="94">
        <f t="shared" si="148"/>
        <v>3254.9739549116694</v>
      </c>
      <c r="BA275" s="94">
        <f t="shared" si="148"/>
        <v>3254.9739549116694</v>
      </c>
      <c r="BB275" s="94">
        <f t="shared" si="148"/>
        <v>3254.9739549116694</v>
      </c>
      <c r="BC275" s="94">
        <f t="shared" si="148"/>
        <v>3254.9739549116694</v>
      </c>
      <c r="BD275" s="94">
        <f t="shared" si="148"/>
        <v>3254.9739549116694</v>
      </c>
      <c r="BE275" s="94">
        <f t="shared" si="148"/>
        <v>3254.9739549116694</v>
      </c>
      <c r="BF275" s="94">
        <f t="shared" si="148"/>
        <v>3254.9739549116694</v>
      </c>
      <c r="BG275" s="94">
        <f t="shared" si="148"/>
        <v>3254.9739549116694</v>
      </c>
      <c r="BH275" s="94">
        <f t="shared" si="148"/>
        <v>3254.9739549116694</v>
      </c>
      <c r="BI275" s="94">
        <f t="shared" si="148"/>
        <v>3254.9739549116694</v>
      </c>
    </row>
    <row r="276" spans="5:61" x14ac:dyDescent="0.35">
      <c r="E276" s="31">
        <f t="shared" si="146"/>
        <v>2</v>
      </c>
      <c r="J276" s="31" t="str">
        <f t="shared" si="147"/>
        <v>EUR</v>
      </c>
      <c r="N276" s="94">
        <f t="shared" ref="N276:BI276" si="149">N217</f>
        <v>0</v>
      </c>
      <c r="O276" s="94">
        <f t="shared" si="149"/>
        <v>0</v>
      </c>
      <c r="P276" s="94">
        <f t="shared" si="149"/>
        <v>0</v>
      </c>
      <c r="Q276" s="94">
        <f t="shared" si="149"/>
        <v>0</v>
      </c>
      <c r="R276" s="94">
        <f t="shared" si="149"/>
        <v>0</v>
      </c>
      <c r="S276" s="94">
        <f t="shared" si="149"/>
        <v>0</v>
      </c>
      <c r="T276" s="94">
        <f t="shared" si="149"/>
        <v>0</v>
      </c>
      <c r="U276" s="94">
        <f t="shared" si="149"/>
        <v>0</v>
      </c>
      <c r="V276" s="94">
        <f t="shared" si="149"/>
        <v>0</v>
      </c>
      <c r="W276" s="94">
        <f t="shared" si="149"/>
        <v>0</v>
      </c>
      <c r="X276" s="94">
        <f t="shared" si="149"/>
        <v>0</v>
      </c>
      <c r="Y276" s="94">
        <f t="shared" si="149"/>
        <v>0</v>
      </c>
      <c r="Z276" s="94">
        <f t="shared" si="149"/>
        <v>0</v>
      </c>
      <c r="AA276" s="94">
        <f t="shared" si="149"/>
        <v>2534.7196618712978</v>
      </c>
      <c r="AB276" s="94">
        <f t="shared" si="149"/>
        <v>2534.7196618712978</v>
      </c>
      <c r="AC276" s="94">
        <f t="shared" si="149"/>
        <v>2534.7196618712978</v>
      </c>
      <c r="AD276" s="94">
        <f t="shared" si="149"/>
        <v>2534.7196618712978</v>
      </c>
      <c r="AE276" s="94">
        <f t="shared" si="149"/>
        <v>2534.7196618712978</v>
      </c>
      <c r="AF276" s="94">
        <f t="shared" si="149"/>
        <v>2534.7196618712978</v>
      </c>
      <c r="AG276" s="94">
        <f t="shared" si="149"/>
        <v>2534.7196618712978</v>
      </c>
      <c r="AH276" s="94">
        <f t="shared" si="149"/>
        <v>2534.7196618712978</v>
      </c>
      <c r="AI276" s="94">
        <f t="shared" si="149"/>
        <v>2534.7196618712978</v>
      </c>
      <c r="AJ276" s="94">
        <f t="shared" si="149"/>
        <v>2534.7196618712978</v>
      </c>
      <c r="AK276" s="94">
        <f t="shared" si="149"/>
        <v>2534.7196618712978</v>
      </c>
      <c r="AL276" s="94">
        <f t="shared" si="149"/>
        <v>2534.7196618712978</v>
      </c>
      <c r="AM276" s="94">
        <f t="shared" si="149"/>
        <v>3302.3821694547319</v>
      </c>
      <c r="AN276" s="94">
        <f t="shared" si="149"/>
        <v>3302.3821694547319</v>
      </c>
      <c r="AO276" s="94">
        <f t="shared" si="149"/>
        <v>3302.3821694547319</v>
      </c>
      <c r="AP276" s="94">
        <f t="shared" si="149"/>
        <v>3302.3821694547319</v>
      </c>
      <c r="AQ276" s="94">
        <f t="shared" si="149"/>
        <v>3302.3821694547319</v>
      </c>
      <c r="AR276" s="94">
        <f t="shared" si="149"/>
        <v>3302.3821694547319</v>
      </c>
      <c r="AS276" s="94">
        <f t="shared" si="149"/>
        <v>3302.3821694547319</v>
      </c>
      <c r="AT276" s="94">
        <f t="shared" si="149"/>
        <v>3302.3821694547319</v>
      </c>
      <c r="AU276" s="94">
        <f t="shared" si="149"/>
        <v>3302.3821694547319</v>
      </c>
      <c r="AV276" s="94">
        <f t="shared" si="149"/>
        <v>3302.3821694547319</v>
      </c>
      <c r="AW276" s="94">
        <f t="shared" si="149"/>
        <v>3302.3821694547319</v>
      </c>
      <c r="AX276" s="94">
        <f t="shared" si="149"/>
        <v>3302.3821694547319</v>
      </c>
      <c r="AY276" s="94">
        <f t="shared" si="149"/>
        <v>3269.7406256822542</v>
      </c>
      <c r="AZ276" s="94">
        <f t="shared" si="149"/>
        <v>3269.7406256822542</v>
      </c>
      <c r="BA276" s="94">
        <f t="shared" si="149"/>
        <v>3269.7406256822542</v>
      </c>
      <c r="BB276" s="94">
        <f t="shared" si="149"/>
        <v>3269.7406256822542</v>
      </c>
      <c r="BC276" s="94">
        <f t="shared" si="149"/>
        <v>3269.7406256822542</v>
      </c>
      <c r="BD276" s="94">
        <f t="shared" si="149"/>
        <v>3269.7406256822542</v>
      </c>
      <c r="BE276" s="94">
        <f t="shared" si="149"/>
        <v>3269.7406256822542</v>
      </c>
      <c r="BF276" s="94">
        <f t="shared" si="149"/>
        <v>3269.7406256822542</v>
      </c>
      <c r="BG276" s="94">
        <f t="shared" si="149"/>
        <v>3269.7406256822542</v>
      </c>
      <c r="BH276" s="94">
        <f t="shared" si="149"/>
        <v>3269.7406256822542</v>
      </c>
      <c r="BI276" s="94">
        <f t="shared" si="149"/>
        <v>3269.7406256822542</v>
      </c>
    </row>
    <row r="277" spans="5:61" x14ac:dyDescent="0.35">
      <c r="E277" s="31">
        <f t="shared" si="146"/>
        <v>3</v>
      </c>
      <c r="J277" s="31" t="str">
        <f t="shared" si="147"/>
        <v>EUR</v>
      </c>
      <c r="N277" s="94">
        <f t="shared" ref="N277:BI277" si="150">N218</f>
        <v>0</v>
      </c>
      <c r="O277" s="94">
        <f t="shared" si="150"/>
        <v>0</v>
      </c>
      <c r="P277" s="94">
        <f t="shared" si="150"/>
        <v>0</v>
      </c>
      <c r="Q277" s="94">
        <f t="shared" si="150"/>
        <v>0</v>
      </c>
      <c r="R277" s="94">
        <f t="shared" si="150"/>
        <v>0</v>
      </c>
      <c r="S277" s="94">
        <f t="shared" si="150"/>
        <v>0</v>
      </c>
      <c r="T277" s="94">
        <f t="shared" si="150"/>
        <v>0</v>
      </c>
      <c r="U277" s="94">
        <f t="shared" si="150"/>
        <v>0</v>
      </c>
      <c r="V277" s="94">
        <f t="shared" si="150"/>
        <v>0</v>
      </c>
      <c r="W277" s="94">
        <f t="shared" si="150"/>
        <v>0</v>
      </c>
      <c r="X277" s="94">
        <f t="shared" si="150"/>
        <v>0</v>
      </c>
      <c r="Y277" s="94">
        <f t="shared" si="150"/>
        <v>0</v>
      </c>
      <c r="Z277" s="94">
        <f t="shared" si="150"/>
        <v>0</v>
      </c>
      <c r="AA277" s="94">
        <f t="shared" si="150"/>
        <v>0</v>
      </c>
      <c r="AB277" s="94">
        <f t="shared" si="150"/>
        <v>2719.3496024943938</v>
      </c>
      <c r="AC277" s="94">
        <f t="shared" si="150"/>
        <v>2719.3496024943938</v>
      </c>
      <c r="AD277" s="94">
        <f t="shared" si="150"/>
        <v>2719.3496024943938</v>
      </c>
      <c r="AE277" s="94">
        <f t="shared" si="150"/>
        <v>2719.3496024943938</v>
      </c>
      <c r="AF277" s="94">
        <f t="shared" si="150"/>
        <v>2719.3496024943938</v>
      </c>
      <c r="AG277" s="94">
        <f t="shared" si="150"/>
        <v>2719.3496024943938</v>
      </c>
      <c r="AH277" s="94">
        <f t="shared" si="150"/>
        <v>2719.3496024943938</v>
      </c>
      <c r="AI277" s="94">
        <f t="shared" si="150"/>
        <v>2719.3496024943938</v>
      </c>
      <c r="AJ277" s="94">
        <f t="shared" si="150"/>
        <v>2719.3496024943938</v>
      </c>
      <c r="AK277" s="94">
        <f t="shared" si="150"/>
        <v>2719.3496024943938</v>
      </c>
      <c r="AL277" s="94">
        <f t="shared" si="150"/>
        <v>2719.3496024943938</v>
      </c>
      <c r="AM277" s="94">
        <f t="shared" si="150"/>
        <v>2719.3496024943938</v>
      </c>
      <c r="AN277" s="94">
        <f t="shared" si="150"/>
        <v>3302.8606423570955</v>
      </c>
      <c r="AO277" s="94">
        <f t="shared" si="150"/>
        <v>3302.8606423570955</v>
      </c>
      <c r="AP277" s="94">
        <f t="shared" si="150"/>
        <v>3302.8606423570955</v>
      </c>
      <c r="AQ277" s="94">
        <f t="shared" si="150"/>
        <v>3302.8606423570955</v>
      </c>
      <c r="AR277" s="94">
        <f t="shared" si="150"/>
        <v>3302.8606423570955</v>
      </c>
      <c r="AS277" s="94">
        <f t="shared" si="150"/>
        <v>3302.8606423570955</v>
      </c>
      <c r="AT277" s="94">
        <f t="shared" si="150"/>
        <v>3302.8606423570955</v>
      </c>
      <c r="AU277" s="94">
        <f t="shared" si="150"/>
        <v>3302.8606423570955</v>
      </c>
      <c r="AV277" s="94">
        <f t="shared" si="150"/>
        <v>3302.8606423570955</v>
      </c>
      <c r="AW277" s="94">
        <f t="shared" si="150"/>
        <v>3302.8606423570955</v>
      </c>
      <c r="AX277" s="94">
        <f t="shared" si="150"/>
        <v>3302.8606423570955</v>
      </c>
      <c r="AY277" s="94">
        <f t="shared" si="150"/>
        <v>3302.8606423570955</v>
      </c>
      <c r="AZ277" s="94">
        <f t="shared" si="150"/>
        <v>3280.2323428527811</v>
      </c>
      <c r="BA277" s="94">
        <f t="shared" si="150"/>
        <v>3280.2323428527811</v>
      </c>
      <c r="BB277" s="94">
        <f t="shared" si="150"/>
        <v>3280.2323428527811</v>
      </c>
      <c r="BC277" s="94">
        <f t="shared" si="150"/>
        <v>3280.2323428527811</v>
      </c>
      <c r="BD277" s="94">
        <f t="shared" si="150"/>
        <v>3280.2323428527811</v>
      </c>
      <c r="BE277" s="94">
        <f t="shared" si="150"/>
        <v>3280.2323428527811</v>
      </c>
      <c r="BF277" s="94">
        <f t="shared" si="150"/>
        <v>3280.2323428527811</v>
      </c>
      <c r="BG277" s="94">
        <f t="shared" si="150"/>
        <v>3280.2323428527811</v>
      </c>
      <c r="BH277" s="94">
        <f t="shared" si="150"/>
        <v>3280.2323428527811</v>
      </c>
      <c r="BI277" s="94">
        <f t="shared" si="150"/>
        <v>3280.2323428527811</v>
      </c>
    </row>
    <row r="278" spans="5:61" x14ac:dyDescent="0.35">
      <c r="E278" s="31">
        <f t="shared" si="146"/>
        <v>4</v>
      </c>
      <c r="J278" s="31" t="str">
        <f t="shared" si="147"/>
        <v>EUR</v>
      </c>
      <c r="N278" s="94">
        <f t="shared" ref="N278:BI278" si="151">N219</f>
        <v>0</v>
      </c>
      <c r="O278" s="94">
        <f t="shared" si="151"/>
        <v>0</v>
      </c>
      <c r="P278" s="94">
        <f t="shared" si="151"/>
        <v>0</v>
      </c>
      <c r="Q278" s="94">
        <f t="shared" si="151"/>
        <v>1844.8808045977012</v>
      </c>
      <c r="R278" s="94">
        <f t="shared" si="151"/>
        <v>1844.8808045977012</v>
      </c>
      <c r="S278" s="94">
        <f t="shared" si="151"/>
        <v>1844.8808045977012</v>
      </c>
      <c r="T278" s="94">
        <f t="shared" si="151"/>
        <v>1844.8808045977012</v>
      </c>
      <c r="U278" s="94">
        <f t="shared" si="151"/>
        <v>1844.8808045977012</v>
      </c>
      <c r="V278" s="94">
        <f t="shared" si="151"/>
        <v>1844.8808045977012</v>
      </c>
      <c r="W278" s="94">
        <f t="shared" si="151"/>
        <v>1844.8808045977012</v>
      </c>
      <c r="X278" s="94">
        <f t="shared" si="151"/>
        <v>1844.8808045977012</v>
      </c>
      <c r="Y278" s="94">
        <f t="shared" si="151"/>
        <v>1844.8808045977012</v>
      </c>
      <c r="Z278" s="94">
        <f t="shared" si="151"/>
        <v>1844.8808045977012</v>
      </c>
      <c r="AA278" s="94">
        <f t="shared" si="151"/>
        <v>1844.8808045977012</v>
      </c>
      <c r="AB278" s="94">
        <f t="shared" si="151"/>
        <v>1844.8808045977012</v>
      </c>
      <c r="AC278" s="94">
        <f t="shared" si="151"/>
        <v>2487.2223005442338</v>
      </c>
      <c r="AD278" s="94">
        <f t="shared" si="151"/>
        <v>2487.2223005442338</v>
      </c>
      <c r="AE278" s="94">
        <f t="shared" si="151"/>
        <v>2487.2223005442338</v>
      </c>
      <c r="AF278" s="94">
        <f t="shared" si="151"/>
        <v>2487.2223005442338</v>
      </c>
      <c r="AG278" s="94">
        <f t="shared" si="151"/>
        <v>2487.2223005442338</v>
      </c>
      <c r="AH278" s="94">
        <f t="shared" si="151"/>
        <v>2487.2223005442338</v>
      </c>
      <c r="AI278" s="94">
        <f t="shared" si="151"/>
        <v>2487.2223005442338</v>
      </c>
      <c r="AJ278" s="94">
        <f t="shared" si="151"/>
        <v>2487.2223005442338</v>
      </c>
      <c r="AK278" s="94">
        <f t="shared" si="151"/>
        <v>2487.2223005442338</v>
      </c>
      <c r="AL278" s="94">
        <f t="shared" si="151"/>
        <v>2487.2223005442338</v>
      </c>
      <c r="AM278" s="94">
        <f t="shared" si="151"/>
        <v>2487.2223005442338</v>
      </c>
      <c r="AN278" s="94">
        <f t="shared" si="151"/>
        <v>2487.2223005442338</v>
      </c>
      <c r="AO278" s="94">
        <f t="shared" si="151"/>
        <v>3310.8612741232564</v>
      </c>
      <c r="AP278" s="94">
        <f t="shared" si="151"/>
        <v>3310.8612741232564</v>
      </c>
      <c r="AQ278" s="94">
        <f t="shared" si="151"/>
        <v>3310.8612741232564</v>
      </c>
      <c r="AR278" s="94">
        <f t="shared" si="151"/>
        <v>3310.8612741232564</v>
      </c>
      <c r="AS278" s="94">
        <f t="shared" si="151"/>
        <v>3310.8612741232564</v>
      </c>
      <c r="AT278" s="94">
        <f t="shared" si="151"/>
        <v>3310.8612741232564</v>
      </c>
      <c r="AU278" s="94">
        <f t="shared" si="151"/>
        <v>3310.8612741232564</v>
      </c>
      <c r="AV278" s="94">
        <f t="shared" si="151"/>
        <v>3310.8612741232564</v>
      </c>
      <c r="AW278" s="94">
        <f t="shared" si="151"/>
        <v>3310.8612741232564</v>
      </c>
      <c r="AX278" s="94">
        <f t="shared" si="151"/>
        <v>3310.8612741232564</v>
      </c>
      <c r="AY278" s="94">
        <f t="shared" si="151"/>
        <v>3310.8612741232564</v>
      </c>
      <c r="AZ278" s="94">
        <f t="shared" si="151"/>
        <v>3310.8612741232564</v>
      </c>
      <c r="BA278" s="94">
        <f t="shared" si="151"/>
        <v>3288.4229001636095</v>
      </c>
      <c r="BB278" s="94">
        <f t="shared" si="151"/>
        <v>3288.4229001636095</v>
      </c>
      <c r="BC278" s="94">
        <f t="shared" si="151"/>
        <v>3288.4229001636095</v>
      </c>
      <c r="BD278" s="94">
        <f t="shared" si="151"/>
        <v>3288.4229001636095</v>
      </c>
      <c r="BE278" s="94">
        <f t="shared" si="151"/>
        <v>3288.4229001636095</v>
      </c>
      <c r="BF278" s="94">
        <f t="shared" si="151"/>
        <v>3288.4229001636095</v>
      </c>
      <c r="BG278" s="94">
        <f t="shared" si="151"/>
        <v>3288.4229001636095</v>
      </c>
      <c r="BH278" s="94">
        <f t="shared" si="151"/>
        <v>3288.4229001636095</v>
      </c>
      <c r="BI278" s="94">
        <f t="shared" si="151"/>
        <v>3288.4229001636095</v>
      </c>
    </row>
    <row r="279" spans="5:61" x14ac:dyDescent="0.35">
      <c r="E279" s="31">
        <f t="shared" si="146"/>
        <v>5</v>
      </c>
      <c r="J279" s="31" t="str">
        <f t="shared" si="147"/>
        <v>EUR</v>
      </c>
      <c r="N279" s="94">
        <f t="shared" ref="N279:BI279" si="152">N220</f>
        <v>0</v>
      </c>
      <c r="O279" s="94">
        <f t="shared" si="152"/>
        <v>0</v>
      </c>
      <c r="P279" s="94">
        <f t="shared" si="152"/>
        <v>0</v>
      </c>
      <c r="Q279" s="94">
        <f t="shared" si="152"/>
        <v>0</v>
      </c>
      <c r="R279" s="94">
        <f t="shared" si="152"/>
        <v>1992.3421383647801</v>
      </c>
      <c r="S279" s="94">
        <f t="shared" si="152"/>
        <v>1992.3421383647801</v>
      </c>
      <c r="T279" s="94">
        <f t="shared" si="152"/>
        <v>1992.3421383647801</v>
      </c>
      <c r="U279" s="94">
        <f t="shared" si="152"/>
        <v>1992.3421383647801</v>
      </c>
      <c r="V279" s="94">
        <f t="shared" si="152"/>
        <v>1992.3421383647801</v>
      </c>
      <c r="W279" s="94">
        <f t="shared" si="152"/>
        <v>1992.3421383647801</v>
      </c>
      <c r="X279" s="94">
        <f t="shared" si="152"/>
        <v>1992.3421383647801</v>
      </c>
      <c r="Y279" s="94">
        <f t="shared" si="152"/>
        <v>1992.3421383647801</v>
      </c>
      <c r="Z279" s="94">
        <f t="shared" si="152"/>
        <v>1992.3421383647801</v>
      </c>
      <c r="AA279" s="94">
        <f t="shared" si="152"/>
        <v>1992.3421383647801</v>
      </c>
      <c r="AB279" s="94">
        <f t="shared" si="152"/>
        <v>1992.3421383647801</v>
      </c>
      <c r="AC279" s="94">
        <f t="shared" si="152"/>
        <v>1992.3421383647801</v>
      </c>
      <c r="AD279" s="94">
        <f t="shared" si="152"/>
        <v>2583.9872459656508</v>
      </c>
      <c r="AE279" s="94">
        <f t="shared" si="152"/>
        <v>2583.9872459656508</v>
      </c>
      <c r="AF279" s="94">
        <f t="shared" si="152"/>
        <v>2583.9872459656508</v>
      </c>
      <c r="AG279" s="94">
        <f t="shared" si="152"/>
        <v>2583.9872459656508</v>
      </c>
      <c r="AH279" s="94">
        <f t="shared" si="152"/>
        <v>2583.9872459656508</v>
      </c>
      <c r="AI279" s="94">
        <f t="shared" si="152"/>
        <v>2583.9872459656508</v>
      </c>
      <c r="AJ279" s="94">
        <f t="shared" si="152"/>
        <v>2583.9872459656508</v>
      </c>
      <c r="AK279" s="94">
        <f t="shared" si="152"/>
        <v>2583.9872459656508</v>
      </c>
      <c r="AL279" s="94">
        <f t="shared" si="152"/>
        <v>2583.9872459656508</v>
      </c>
      <c r="AM279" s="94">
        <f t="shared" si="152"/>
        <v>2583.9872459656508</v>
      </c>
      <c r="AN279" s="94">
        <f t="shared" si="152"/>
        <v>2583.9872459656508</v>
      </c>
      <c r="AO279" s="94">
        <f t="shared" si="152"/>
        <v>2583.9872459656508</v>
      </c>
      <c r="AP279" s="94">
        <f t="shared" si="152"/>
        <v>3307.9352943824069</v>
      </c>
      <c r="AQ279" s="94">
        <f t="shared" si="152"/>
        <v>3307.9352943824069</v>
      </c>
      <c r="AR279" s="94">
        <f t="shared" si="152"/>
        <v>3307.9352943824069</v>
      </c>
      <c r="AS279" s="94">
        <f t="shared" si="152"/>
        <v>3307.9352943824069</v>
      </c>
      <c r="AT279" s="94">
        <f t="shared" si="152"/>
        <v>3307.9352943824069</v>
      </c>
      <c r="AU279" s="94">
        <f t="shared" si="152"/>
        <v>3307.9352943824069</v>
      </c>
      <c r="AV279" s="94">
        <f t="shared" si="152"/>
        <v>3307.9352943824069</v>
      </c>
      <c r="AW279" s="94">
        <f t="shared" si="152"/>
        <v>3307.9352943824069</v>
      </c>
      <c r="AX279" s="94">
        <f t="shared" si="152"/>
        <v>3307.9352943824069</v>
      </c>
      <c r="AY279" s="94">
        <f t="shared" si="152"/>
        <v>3307.9352943824069</v>
      </c>
      <c r="AZ279" s="94">
        <f t="shared" si="152"/>
        <v>3307.9352943824069</v>
      </c>
      <c r="BA279" s="94">
        <f t="shared" si="152"/>
        <v>3307.9352943824069</v>
      </c>
      <c r="BB279" s="94">
        <f t="shared" si="152"/>
        <v>3295.9249795224564</v>
      </c>
      <c r="BC279" s="94">
        <f t="shared" si="152"/>
        <v>3295.9249795224564</v>
      </c>
      <c r="BD279" s="94">
        <f t="shared" si="152"/>
        <v>3295.9249795224564</v>
      </c>
      <c r="BE279" s="94">
        <f t="shared" si="152"/>
        <v>3295.9249795224564</v>
      </c>
      <c r="BF279" s="94">
        <f t="shared" si="152"/>
        <v>3295.9249795224564</v>
      </c>
      <c r="BG279" s="94">
        <f t="shared" si="152"/>
        <v>3295.9249795224564</v>
      </c>
      <c r="BH279" s="94">
        <f t="shared" si="152"/>
        <v>3295.9249795224564</v>
      </c>
      <c r="BI279" s="94">
        <f t="shared" si="152"/>
        <v>3295.9249795224564</v>
      </c>
    </row>
    <row r="280" spans="5:61" x14ac:dyDescent="0.35">
      <c r="E280" s="31">
        <f t="shared" si="146"/>
        <v>6</v>
      </c>
      <c r="J280" s="31" t="str">
        <f t="shared" si="147"/>
        <v>EUR</v>
      </c>
      <c r="N280" s="94">
        <f t="shared" ref="N280:BI280" si="153">N221</f>
        <v>0</v>
      </c>
      <c r="O280" s="94">
        <f t="shared" si="153"/>
        <v>0</v>
      </c>
      <c r="P280" s="94">
        <f t="shared" si="153"/>
        <v>0</v>
      </c>
      <c r="Q280" s="94">
        <f t="shared" si="153"/>
        <v>0</v>
      </c>
      <c r="R280" s="94">
        <f t="shared" si="153"/>
        <v>0</v>
      </c>
      <c r="S280" s="94">
        <f t="shared" si="153"/>
        <v>2318.7624371970028</v>
      </c>
      <c r="T280" s="94">
        <f t="shared" si="153"/>
        <v>2318.7624371970028</v>
      </c>
      <c r="U280" s="94">
        <f t="shared" si="153"/>
        <v>2318.7624371970028</v>
      </c>
      <c r="V280" s="94">
        <f t="shared" si="153"/>
        <v>2318.7624371970028</v>
      </c>
      <c r="W280" s="94">
        <f t="shared" si="153"/>
        <v>2318.7624371970028</v>
      </c>
      <c r="X280" s="94">
        <f t="shared" si="153"/>
        <v>2318.7624371970028</v>
      </c>
      <c r="Y280" s="94">
        <f t="shared" si="153"/>
        <v>2318.7624371970028</v>
      </c>
      <c r="Z280" s="94">
        <f t="shared" si="153"/>
        <v>2318.7624371970028</v>
      </c>
      <c r="AA280" s="94">
        <f t="shared" si="153"/>
        <v>2318.7624371970028</v>
      </c>
      <c r="AB280" s="94">
        <f t="shared" si="153"/>
        <v>2318.7624371970028</v>
      </c>
      <c r="AC280" s="94">
        <f t="shared" si="153"/>
        <v>2318.7624371970028</v>
      </c>
      <c r="AD280" s="94">
        <f t="shared" si="153"/>
        <v>2318.7624371970028</v>
      </c>
      <c r="AE280" s="94">
        <f t="shared" si="153"/>
        <v>3029.6294529795159</v>
      </c>
      <c r="AF280" s="94">
        <f t="shared" si="153"/>
        <v>3029.6294529795159</v>
      </c>
      <c r="AG280" s="94">
        <f t="shared" si="153"/>
        <v>3029.6294529795159</v>
      </c>
      <c r="AH280" s="94">
        <f t="shared" si="153"/>
        <v>3029.6294529795159</v>
      </c>
      <c r="AI280" s="94">
        <f t="shared" si="153"/>
        <v>3029.6294529795159</v>
      </c>
      <c r="AJ280" s="94">
        <f t="shared" si="153"/>
        <v>3029.6294529795159</v>
      </c>
      <c r="AK280" s="94">
        <f t="shared" si="153"/>
        <v>3029.6294529795159</v>
      </c>
      <c r="AL280" s="94">
        <f t="shared" si="153"/>
        <v>3029.6294529795159</v>
      </c>
      <c r="AM280" s="94">
        <f t="shared" si="153"/>
        <v>3029.6294529795159</v>
      </c>
      <c r="AN280" s="94">
        <f t="shared" si="153"/>
        <v>3029.6294529795159</v>
      </c>
      <c r="AO280" s="94">
        <f t="shared" si="153"/>
        <v>3029.6294529795159</v>
      </c>
      <c r="AP280" s="94">
        <f t="shared" si="153"/>
        <v>3029.6294529795159</v>
      </c>
      <c r="AQ280" s="94">
        <f t="shared" si="153"/>
        <v>3301.9434772850582</v>
      </c>
      <c r="AR280" s="94">
        <f t="shared" si="153"/>
        <v>3301.9434772850582</v>
      </c>
      <c r="AS280" s="94">
        <f t="shared" si="153"/>
        <v>3301.9434772850582</v>
      </c>
      <c r="AT280" s="94">
        <f t="shared" si="153"/>
        <v>3301.9434772850582</v>
      </c>
      <c r="AU280" s="94">
        <f t="shared" si="153"/>
        <v>3301.9434772850582</v>
      </c>
      <c r="AV280" s="94">
        <f t="shared" si="153"/>
        <v>3301.9434772850582</v>
      </c>
      <c r="AW280" s="94">
        <f t="shared" si="153"/>
        <v>3301.9434772850582</v>
      </c>
      <c r="AX280" s="94">
        <f t="shared" si="153"/>
        <v>3301.9434772850582</v>
      </c>
      <c r="AY280" s="94">
        <f t="shared" si="153"/>
        <v>3301.9434772850582</v>
      </c>
      <c r="AZ280" s="94">
        <f t="shared" si="153"/>
        <v>3301.9434772850582</v>
      </c>
      <c r="BA280" s="94">
        <f t="shared" si="153"/>
        <v>3301.9434772850582</v>
      </c>
      <c r="BB280" s="94">
        <f t="shared" si="153"/>
        <v>3301.9434772850582</v>
      </c>
      <c r="BC280" s="94">
        <f t="shared" si="153"/>
        <v>3302.6652478335968</v>
      </c>
      <c r="BD280" s="94">
        <f t="shared" si="153"/>
        <v>3302.6652478335968</v>
      </c>
      <c r="BE280" s="94">
        <f t="shared" si="153"/>
        <v>3302.6652478335968</v>
      </c>
      <c r="BF280" s="94">
        <f t="shared" si="153"/>
        <v>3302.6652478335968</v>
      </c>
      <c r="BG280" s="94">
        <f t="shared" si="153"/>
        <v>3302.6652478335968</v>
      </c>
      <c r="BH280" s="94">
        <f t="shared" si="153"/>
        <v>3302.6652478335968</v>
      </c>
      <c r="BI280" s="94">
        <f t="shared" si="153"/>
        <v>3302.6652478335968</v>
      </c>
    </row>
    <row r="281" spans="5:61" x14ac:dyDescent="0.35">
      <c r="E281" s="31">
        <f t="shared" si="146"/>
        <v>7</v>
      </c>
      <c r="J281" s="31" t="str">
        <f t="shared" si="147"/>
        <v>EUR</v>
      </c>
      <c r="N281" s="94">
        <f t="shared" ref="N281:BI281" si="154">N222</f>
        <v>0</v>
      </c>
      <c r="O281" s="94">
        <f t="shared" si="154"/>
        <v>0</v>
      </c>
      <c r="P281" s="94">
        <f t="shared" si="154"/>
        <v>0</v>
      </c>
      <c r="Q281" s="94">
        <f t="shared" si="154"/>
        <v>0</v>
      </c>
      <c r="R281" s="94">
        <f t="shared" si="154"/>
        <v>0</v>
      </c>
      <c r="S281" s="94">
        <f t="shared" si="154"/>
        <v>0</v>
      </c>
      <c r="T281" s="94">
        <f t="shared" si="154"/>
        <v>3050.7393839306628</v>
      </c>
      <c r="U281" s="94">
        <f t="shared" si="154"/>
        <v>3050.7393839306628</v>
      </c>
      <c r="V281" s="94">
        <f t="shared" si="154"/>
        <v>3050.7393839306628</v>
      </c>
      <c r="W281" s="94">
        <f t="shared" si="154"/>
        <v>3050.7393839306628</v>
      </c>
      <c r="X281" s="94">
        <f t="shared" si="154"/>
        <v>3050.7393839306628</v>
      </c>
      <c r="Y281" s="94">
        <f t="shared" si="154"/>
        <v>3050.7393839306628</v>
      </c>
      <c r="Z281" s="94">
        <f t="shared" si="154"/>
        <v>3050.7393839306628</v>
      </c>
      <c r="AA281" s="94">
        <f t="shared" si="154"/>
        <v>3050.7393839306628</v>
      </c>
      <c r="AB281" s="94">
        <f t="shared" si="154"/>
        <v>3050.7393839306628</v>
      </c>
      <c r="AC281" s="94">
        <f t="shared" si="154"/>
        <v>3050.7393839306628</v>
      </c>
      <c r="AD281" s="94">
        <f t="shared" si="154"/>
        <v>3050.7393839306628</v>
      </c>
      <c r="AE281" s="94">
        <f t="shared" si="154"/>
        <v>3050.7393839306628</v>
      </c>
      <c r="AF281" s="94">
        <f t="shared" si="154"/>
        <v>2978.3372646113853</v>
      </c>
      <c r="AG281" s="94">
        <f t="shared" si="154"/>
        <v>2978.3372646113853</v>
      </c>
      <c r="AH281" s="94">
        <f t="shared" si="154"/>
        <v>2978.3372646113853</v>
      </c>
      <c r="AI281" s="94">
        <f t="shared" si="154"/>
        <v>2978.3372646113853</v>
      </c>
      <c r="AJ281" s="94">
        <f t="shared" si="154"/>
        <v>2978.3372646113853</v>
      </c>
      <c r="AK281" s="94">
        <f t="shared" si="154"/>
        <v>2978.3372646113853</v>
      </c>
      <c r="AL281" s="94">
        <f t="shared" si="154"/>
        <v>2978.3372646113853</v>
      </c>
      <c r="AM281" s="94">
        <f t="shared" si="154"/>
        <v>2978.3372646113853</v>
      </c>
      <c r="AN281" s="94">
        <f t="shared" si="154"/>
        <v>2978.3372646113853</v>
      </c>
      <c r="AO281" s="94">
        <f t="shared" si="154"/>
        <v>2978.3372646113853</v>
      </c>
      <c r="AP281" s="94">
        <f t="shared" si="154"/>
        <v>2978.3372646113853</v>
      </c>
      <c r="AQ281" s="94">
        <f t="shared" si="154"/>
        <v>2978.3372646113853</v>
      </c>
      <c r="AR281" s="94">
        <f t="shared" si="154"/>
        <v>3287.8311527235983</v>
      </c>
      <c r="AS281" s="94">
        <f t="shared" si="154"/>
        <v>3287.8311527235983</v>
      </c>
      <c r="AT281" s="94">
        <f t="shared" si="154"/>
        <v>3287.8311527235983</v>
      </c>
      <c r="AU281" s="94">
        <f t="shared" si="154"/>
        <v>3287.8311527235983</v>
      </c>
      <c r="AV281" s="94">
        <f t="shared" si="154"/>
        <v>3287.8311527235983</v>
      </c>
      <c r="AW281" s="94">
        <f t="shared" si="154"/>
        <v>3287.8311527235983</v>
      </c>
      <c r="AX281" s="94">
        <f t="shared" si="154"/>
        <v>3287.8311527235983</v>
      </c>
      <c r="AY281" s="94">
        <f t="shared" si="154"/>
        <v>3287.8311527235983</v>
      </c>
      <c r="AZ281" s="94">
        <f t="shared" si="154"/>
        <v>3287.8311527235983</v>
      </c>
      <c r="BA281" s="94">
        <f t="shared" si="154"/>
        <v>3287.8311527235983</v>
      </c>
      <c r="BB281" s="94">
        <f t="shared" si="154"/>
        <v>3287.8311527235983</v>
      </c>
      <c r="BC281" s="94">
        <f t="shared" si="154"/>
        <v>3287.8311527235983</v>
      </c>
      <c r="BD281" s="94">
        <f t="shared" si="154"/>
        <v>3308.0806905178488</v>
      </c>
      <c r="BE281" s="94">
        <f t="shared" si="154"/>
        <v>3308.0806905178488</v>
      </c>
      <c r="BF281" s="94">
        <f t="shared" si="154"/>
        <v>3308.0806905178488</v>
      </c>
      <c r="BG281" s="94">
        <f t="shared" si="154"/>
        <v>3308.0806905178488</v>
      </c>
      <c r="BH281" s="94">
        <f t="shared" si="154"/>
        <v>3308.0806905178488</v>
      </c>
      <c r="BI281" s="94">
        <f t="shared" si="154"/>
        <v>3308.0806905178488</v>
      </c>
    </row>
    <row r="282" spans="5:61" x14ac:dyDescent="0.35">
      <c r="E282" s="31">
        <f t="shared" si="146"/>
        <v>8</v>
      </c>
      <c r="J282" s="31" t="str">
        <f t="shared" si="147"/>
        <v>EUR</v>
      </c>
      <c r="N282" s="94">
        <f t="shared" ref="N282:BI282" si="155">N223</f>
        <v>0</v>
      </c>
      <c r="O282" s="94">
        <f t="shared" si="155"/>
        <v>0</v>
      </c>
      <c r="P282" s="94">
        <f t="shared" si="155"/>
        <v>0</v>
      </c>
      <c r="Q282" s="94">
        <f t="shared" si="155"/>
        <v>0</v>
      </c>
      <c r="R282" s="94">
        <f t="shared" si="155"/>
        <v>0</v>
      </c>
      <c r="S282" s="94">
        <f t="shared" si="155"/>
        <v>0</v>
      </c>
      <c r="T282" s="94">
        <f t="shared" si="155"/>
        <v>0</v>
      </c>
      <c r="U282" s="94">
        <f t="shared" si="155"/>
        <v>4076.2062869067859</v>
      </c>
      <c r="V282" s="94">
        <f t="shared" si="155"/>
        <v>4076.2062869067859</v>
      </c>
      <c r="W282" s="94">
        <f t="shared" si="155"/>
        <v>4076.2062869067859</v>
      </c>
      <c r="X282" s="94">
        <f t="shared" si="155"/>
        <v>4076.2062869067859</v>
      </c>
      <c r="Y282" s="94">
        <f t="shared" si="155"/>
        <v>4076.2062869067859</v>
      </c>
      <c r="Z282" s="94">
        <f t="shared" si="155"/>
        <v>4076.2062869067859</v>
      </c>
      <c r="AA282" s="94">
        <f t="shared" si="155"/>
        <v>4076.2062869067859</v>
      </c>
      <c r="AB282" s="94">
        <f t="shared" si="155"/>
        <v>4076.2062869067859</v>
      </c>
      <c r="AC282" s="94">
        <f t="shared" si="155"/>
        <v>4076.2062869067859</v>
      </c>
      <c r="AD282" s="94">
        <f t="shared" si="155"/>
        <v>4076.2062869067859</v>
      </c>
      <c r="AE282" s="94">
        <f t="shared" si="155"/>
        <v>4076.2062869067859</v>
      </c>
      <c r="AF282" s="94">
        <f t="shared" si="155"/>
        <v>4076.2062869067859</v>
      </c>
      <c r="AG282" s="94">
        <f t="shared" si="155"/>
        <v>3018.8468368085719</v>
      </c>
      <c r="AH282" s="94">
        <f t="shared" si="155"/>
        <v>3018.8468368085719</v>
      </c>
      <c r="AI282" s="94">
        <f t="shared" si="155"/>
        <v>3018.8468368085719</v>
      </c>
      <c r="AJ282" s="94">
        <f t="shared" si="155"/>
        <v>3018.8468368085719</v>
      </c>
      <c r="AK282" s="94">
        <f t="shared" si="155"/>
        <v>3018.8468368085719</v>
      </c>
      <c r="AL282" s="94">
        <f t="shared" si="155"/>
        <v>3018.8468368085719</v>
      </c>
      <c r="AM282" s="94">
        <f t="shared" si="155"/>
        <v>3018.8468368085719</v>
      </c>
      <c r="AN282" s="94">
        <f t="shared" si="155"/>
        <v>3018.8468368085719</v>
      </c>
      <c r="AO282" s="94">
        <f t="shared" si="155"/>
        <v>3018.8468368085719</v>
      </c>
      <c r="AP282" s="94">
        <f t="shared" si="155"/>
        <v>3018.8468368085719</v>
      </c>
      <c r="AQ282" s="94">
        <f t="shared" si="155"/>
        <v>3018.8468368085719</v>
      </c>
      <c r="AR282" s="94">
        <f t="shared" si="155"/>
        <v>3018.8468368085719</v>
      </c>
      <c r="AS282" s="94">
        <f t="shared" si="155"/>
        <v>3277.1345593328683</v>
      </c>
      <c r="AT282" s="94">
        <f t="shared" si="155"/>
        <v>3277.1345593328683</v>
      </c>
      <c r="AU282" s="94">
        <f t="shared" si="155"/>
        <v>3277.1345593328683</v>
      </c>
      <c r="AV282" s="94">
        <f t="shared" si="155"/>
        <v>3277.1345593328683</v>
      </c>
      <c r="AW282" s="94">
        <f t="shared" si="155"/>
        <v>3277.1345593328683</v>
      </c>
      <c r="AX282" s="94">
        <f t="shared" si="155"/>
        <v>3277.1345593328683</v>
      </c>
      <c r="AY282" s="94">
        <f t="shared" si="155"/>
        <v>3277.1345593328683</v>
      </c>
      <c r="AZ282" s="94">
        <f t="shared" si="155"/>
        <v>3277.1345593328683</v>
      </c>
      <c r="BA282" s="94">
        <f t="shared" si="155"/>
        <v>3277.1345593328683</v>
      </c>
      <c r="BB282" s="94">
        <f t="shared" si="155"/>
        <v>3277.1345593328683</v>
      </c>
      <c r="BC282" s="94">
        <f t="shared" si="155"/>
        <v>3277.1345593328683</v>
      </c>
      <c r="BD282" s="94">
        <f t="shared" si="155"/>
        <v>3277.1345593328683</v>
      </c>
      <c r="BE282" s="94">
        <f t="shared" si="155"/>
        <v>3312.3438496245335</v>
      </c>
      <c r="BF282" s="94">
        <f t="shared" si="155"/>
        <v>3312.3438496245335</v>
      </c>
      <c r="BG282" s="94">
        <f t="shared" si="155"/>
        <v>3312.3438496245335</v>
      </c>
      <c r="BH282" s="94">
        <f t="shared" si="155"/>
        <v>3312.3438496245335</v>
      </c>
      <c r="BI282" s="94">
        <f t="shared" si="155"/>
        <v>3312.3438496245335</v>
      </c>
    </row>
    <row r="283" spans="5:61" x14ac:dyDescent="0.35">
      <c r="E283" s="31">
        <f t="shared" si="146"/>
        <v>9</v>
      </c>
      <c r="J283" s="31" t="str">
        <f t="shared" si="147"/>
        <v>EUR</v>
      </c>
      <c r="N283" s="94">
        <f t="shared" ref="N283:BI283" si="156">N224</f>
        <v>0</v>
      </c>
      <c r="O283" s="94">
        <f t="shared" si="156"/>
        <v>0</v>
      </c>
      <c r="P283" s="94">
        <f t="shared" si="156"/>
        <v>0</v>
      </c>
      <c r="Q283" s="94">
        <f t="shared" si="156"/>
        <v>0</v>
      </c>
      <c r="R283" s="94">
        <f t="shared" si="156"/>
        <v>0</v>
      </c>
      <c r="S283" s="94">
        <f t="shared" si="156"/>
        <v>0</v>
      </c>
      <c r="T283" s="94">
        <f t="shared" si="156"/>
        <v>0</v>
      </c>
      <c r="U283" s="94">
        <f t="shared" si="156"/>
        <v>0</v>
      </c>
      <c r="V283" s="94">
        <f t="shared" si="156"/>
        <v>4111.4331891338734</v>
      </c>
      <c r="W283" s="94">
        <f t="shared" si="156"/>
        <v>4111.4331891338734</v>
      </c>
      <c r="X283" s="94">
        <f t="shared" si="156"/>
        <v>4111.4331891338734</v>
      </c>
      <c r="Y283" s="94">
        <f t="shared" si="156"/>
        <v>4111.4331891338734</v>
      </c>
      <c r="Z283" s="94">
        <f t="shared" si="156"/>
        <v>4111.4331891338734</v>
      </c>
      <c r="AA283" s="94">
        <f t="shared" si="156"/>
        <v>4111.4331891338734</v>
      </c>
      <c r="AB283" s="94">
        <f t="shared" si="156"/>
        <v>4111.4331891338734</v>
      </c>
      <c r="AC283" s="94">
        <f t="shared" si="156"/>
        <v>4111.4331891338734</v>
      </c>
      <c r="AD283" s="94">
        <f t="shared" si="156"/>
        <v>4111.4331891338734</v>
      </c>
      <c r="AE283" s="94">
        <f t="shared" si="156"/>
        <v>4111.4331891338734</v>
      </c>
      <c r="AF283" s="94">
        <f t="shared" si="156"/>
        <v>4111.4331891338734</v>
      </c>
      <c r="AG283" s="94">
        <f t="shared" si="156"/>
        <v>4111.4331891338734</v>
      </c>
      <c r="AH283" s="94">
        <f t="shared" si="156"/>
        <v>2883.139679089717</v>
      </c>
      <c r="AI283" s="94">
        <f t="shared" si="156"/>
        <v>2883.139679089717</v>
      </c>
      <c r="AJ283" s="94">
        <f t="shared" si="156"/>
        <v>2883.139679089717</v>
      </c>
      <c r="AK283" s="94">
        <f t="shared" si="156"/>
        <v>2883.139679089717</v>
      </c>
      <c r="AL283" s="94">
        <f t="shared" si="156"/>
        <v>2883.139679089717</v>
      </c>
      <c r="AM283" s="94">
        <f t="shared" si="156"/>
        <v>2883.139679089717</v>
      </c>
      <c r="AN283" s="94">
        <f t="shared" si="156"/>
        <v>2883.139679089717</v>
      </c>
      <c r="AO283" s="94">
        <f t="shared" si="156"/>
        <v>2883.139679089717</v>
      </c>
      <c r="AP283" s="94">
        <f t="shared" si="156"/>
        <v>2883.139679089717</v>
      </c>
      <c r="AQ283" s="94">
        <f t="shared" si="156"/>
        <v>2883.139679089717</v>
      </c>
      <c r="AR283" s="94">
        <f t="shared" si="156"/>
        <v>2883.139679089717</v>
      </c>
      <c r="AS283" s="94">
        <f t="shared" si="156"/>
        <v>2883.139679089717</v>
      </c>
      <c r="AT283" s="94">
        <f t="shared" si="156"/>
        <v>3266.5253250262899</v>
      </c>
      <c r="AU283" s="94">
        <f t="shared" si="156"/>
        <v>3266.5253250262899</v>
      </c>
      <c r="AV283" s="94">
        <f t="shared" si="156"/>
        <v>3266.5253250262899</v>
      </c>
      <c r="AW283" s="94">
        <f t="shared" si="156"/>
        <v>3266.5253250262899</v>
      </c>
      <c r="AX283" s="94">
        <f t="shared" si="156"/>
        <v>3266.5253250262899</v>
      </c>
      <c r="AY283" s="94">
        <f t="shared" si="156"/>
        <v>3266.5253250262899</v>
      </c>
      <c r="AZ283" s="94">
        <f t="shared" si="156"/>
        <v>3266.5253250262899</v>
      </c>
      <c r="BA283" s="94">
        <f t="shared" si="156"/>
        <v>3266.5253250262899</v>
      </c>
      <c r="BB283" s="94">
        <f t="shared" si="156"/>
        <v>3266.5253250262899</v>
      </c>
      <c r="BC283" s="94">
        <f t="shared" si="156"/>
        <v>3266.5253250262899</v>
      </c>
      <c r="BD283" s="94">
        <f t="shared" si="156"/>
        <v>3266.5253250262899</v>
      </c>
      <c r="BE283" s="94">
        <f t="shared" si="156"/>
        <v>3266.5253250262899</v>
      </c>
      <c r="BF283" s="94">
        <f t="shared" si="156"/>
        <v>3317.9661198282147</v>
      </c>
      <c r="BG283" s="94">
        <f t="shared" si="156"/>
        <v>3317.9661198282147</v>
      </c>
      <c r="BH283" s="94">
        <f t="shared" si="156"/>
        <v>3317.9661198282147</v>
      </c>
      <c r="BI283" s="94">
        <f t="shared" si="156"/>
        <v>3317.9661198282147</v>
      </c>
    </row>
    <row r="284" spans="5:61" x14ac:dyDescent="0.35">
      <c r="E284" s="31">
        <f t="shared" si="146"/>
        <v>10</v>
      </c>
      <c r="J284" s="31" t="str">
        <f t="shared" si="147"/>
        <v>EUR</v>
      </c>
      <c r="N284" s="94">
        <f t="shared" ref="N284:BI284" si="157">N225</f>
        <v>0</v>
      </c>
      <c r="O284" s="94">
        <f t="shared" si="157"/>
        <v>0</v>
      </c>
      <c r="P284" s="94">
        <f t="shared" si="157"/>
        <v>0</v>
      </c>
      <c r="Q284" s="94">
        <f t="shared" si="157"/>
        <v>0</v>
      </c>
      <c r="R284" s="94">
        <f t="shared" si="157"/>
        <v>0</v>
      </c>
      <c r="S284" s="94">
        <f t="shared" si="157"/>
        <v>0</v>
      </c>
      <c r="T284" s="94">
        <f t="shared" si="157"/>
        <v>0</v>
      </c>
      <c r="U284" s="94">
        <f t="shared" si="157"/>
        <v>0</v>
      </c>
      <c r="V284" s="94">
        <f t="shared" si="157"/>
        <v>0</v>
      </c>
      <c r="W284" s="94">
        <f t="shared" si="157"/>
        <v>3848.8591193682578</v>
      </c>
      <c r="X284" s="94">
        <f t="shared" si="157"/>
        <v>3848.8591193682578</v>
      </c>
      <c r="Y284" s="94">
        <f t="shared" si="157"/>
        <v>3848.8591193682578</v>
      </c>
      <c r="Z284" s="94">
        <f t="shared" si="157"/>
        <v>3848.8591193682578</v>
      </c>
      <c r="AA284" s="94">
        <f t="shared" si="157"/>
        <v>3848.8591193682578</v>
      </c>
      <c r="AB284" s="94">
        <f t="shared" si="157"/>
        <v>3848.8591193682578</v>
      </c>
      <c r="AC284" s="94">
        <f t="shared" si="157"/>
        <v>3848.8591193682578</v>
      </c>
      <c r="AD284" s="94">
        <f t="shared" si="157"/>
        <v>3848.8591193682578</v>
      </c>
      <c r="AE284" s="94">
        <f t="shared" si="157"/>
        <v>3848.8591193682578</v>
      </c>
      <c r="AF284" s="94">
        <f t="shared" si="157"/>
        <v>3848.8591193682578</v>
      </c>
      <c r="AG284" s="94">
        <f t="shared" si="157"/>
        <v>3848.8591193682578</v>
      </c>
      <c r="AH284" s="94">
        <f t="shared" si="157"/>
        <v>3848.8591193682578</v>
      </c>
      <c r="AI284" s="94">
        <f t="shared" si="157"/>
        <v>3208.4131574751091</v>
      </c>
      <c r="AJ284" s="94">
        <f t="shared" si="157"/>
        <v>3208.4131574751091</v>
      </c>
      <c r="AK284" s="94">
        <f t="shared" si="157"/>
        <v>3208.4131574751091</v>
      </c>
      <c r="AL284" s="94">
        <f t="shared" si="157"/>
        <v>3208.4131574751091</v>
      </c>
      <c r="AM284" s="94">
        <f t="shared" si="157"/>
        <v>3208.4131574751091</v>
      </c>
      <c r="AN284" s="94">
        <f t="shared" si="157"/>
        <v>3208.4131574751091</v>
      </c>
      <c r="AO284" s="94">
        <f t="shared" si="157"/>
        <v>3208.4131574751091</v>
      </c>
      <c r="AP284" s="94">
        <f t="shared" si="157"/>
        <v>3208.4131574751091</v>
      </c>
      <c r="AQ284" s="94">
        <f t="shared" si="157"/>
        <v>3208.4131574751091</v>
      </c>
      <c r="AR284" s="94">
        <f t="shared" si="157"/>
        <v>3208.4131574751091</v>
      </c>
      <c r="AS284" s="94">
        <f t="shared" si="157"/>
        <v>3208.4131574751091</v>
      </c>
      <c r="AT284" s="94">
        <f t="shared" si="157"/>
        <v>3208.4131574751091</v>
      </c>
      <c r="AU284" s="94">
        <f t="shared" si="157"/>
        <v>3260.7436326111338</v>
      </c>
      <c r="AV284" s="94">
        <f t="shared" si="157"/>
        <v>3260.7436326111338</v>
      </c>
      <c r="AW284" s="94">
        <f t="shared" si="157"/>
        <v>3260.7436326111338</v>
      </c>
      <c r="AX284" s="94">
        <f t="shared" si="157"/>
        <v>3260.7436326111338</v>
      </c>
      <c r="AY284" s="94">
        <f t="shared" si="157"/>
        <v>3260.7436326111338</v>
      </c>
      <c r="AZ284" s="94">
        <f t="shared" si="157"/>
        <v>3260.7436326111338</v>
      </c>
      <c r="BA284" s="94">
        <f t="shared" si="157"/>
        <v>3260.7436326111338</v>
      </c>
      <c r="BB284" s="94">
        <f t="shared" si="157"/>
        <v>3260.7436326111338</v>
      </c>
      <c r="BC284" s="94">
        <f t="shared" si="157"/>
        <v>3260.7436326111338</v>
      </c>
      <c r="BD284" s="94">
        <f t="shared" si="157"/>
        <v>3260.7436326111338</v>
      </c>
      <c r="BE284" s="94">
        <f t="shared" si="157"/>
        <v>3260.7436326111338</v>
      </c>
      <c r="BF284" s="94">
        <f t="shared" si="157"/>
        <v>3260.7436326111338</v>
      </c>
      <c r="BG284" s="94">
        <f t="shared" si="157"/>
        <v>3322.77150957513</v>
      </c>
      <c r="BH284" s="94">
        <f t="shared" si="157"/>
        <v>3322.77150957513</v>
      </c>
      <c r="BI284" s="94">
        <f t="shared" si="157"/>
        <v>3322.77150957513</v>
      </c>
    </row>
    <row r="285" spans="5:61" x14ac:dyDescent="0.35">
      <c r="E285" s="31">
        <f t="shared" si="146"/>
        <v>11</v>
      </c>
      <c r="J285" s="31" t="str">
        <f t="shared" si="147"/>
        <v>EUR</v>
      </c>
      <c r="N285" s="94">
        <f t="shared" ref="N285:BI285" si="158">N226</f>
        <v>0</v>
      </c>
      <c r="O285" s="94">
        <f t="shared" si="158"/>
        <v>0</v>
      </c>
      <c r="P285" s="94">
        <f t="shared" si="158"/>
        <v>0</v>
      </c>
      <c r="Q285" s="94">
        <f t="shared" si="158"/>
        <v>0</v>
      </c>
      <c r="R285" s="94">
        <f t="shared" si="158"/>
        <v>0</v>
      </c>
      <c r="S285" s="94">
        <f t="shared" si="158"/>
        <v>0</v>
      </c>
      <c r="T285" s="94">
        <f t="shared" si="158"/>
        <v>0</v>
      </c>
      <c r="U285" s="94">
        <f t="shared" si="158"/>
        <v>0</v>
      </c>
      <c r="V285" s="94">
        <f t="shared" si="158"/>
        <v>0</v>
      </c>
      <c r="W285" s="94">
        <f t="shared" si="158"/>
        <v>0</v>
      </c>
      <c r="X285" s="94">
        <f t="shared" si="158"/>
        <v>3298.1735036804635</v>
      </c>
      <c r="Y285" s="94">
        <f t="shared" si="158"/>
        <v>3298.1735036804635</v>
      </c>
      <c r="Z285" s="94">
        <f t="shared" si="158"/>
        <v>3298.1735036804635</v>
      </c>
      <c r="AA285" s="94">
        <f t="shared" si="158"/>
        <v>3298.1735036804635</v>
      </c>
      <c r="AB285" s="94">
        <f t="shared" si="158"/>
        <v>3298.1735036804635</v>
      </c>
      <c r="AC285" s="94">
        <f t="shared" si="158"/>
        <v>3298.1735036804635</v>
      </c>
      <c r="AD285" s="94">
        <f t="shared" si="158"/>
        <v>3298.1735036804635</v>
      </c>
      <c r="AE285" s="94">
        <f t="shared" si="158"/>
        <v>3298.1735036804635</v>
      </c>
      <c r="AF285" s="94">
        <f t="shared" si="158"/>
        <v>3298.1735036804635</v>
      </c>
      <c r="AG285" s="94">
        <f t="shared" si="158"/>
        <v>3298.1735036804635</v>
      </c>
      <c r="AH285" s="94">
        <f t="shared" si="158"/>
        <v>3298.1735036804635</v>
      </c>
      <c r="AI285" s="94">
        <f t="shared" si="158"/>
        <v>3298.1735036804635</v>
      </c>
      <c r="AJ285" s="94">
        <f t="shared" si="158"/>
        <v>2981.7750887429188</v>
      </c>
      <c r="AK285" s="94">
        <f t="shared" si="158"/>
        <v>2981.7750887429188</v>
      </c>
      <c r="AL285" s="94">
        <f t="shared" si="158"/>
        <v>2981.7750887429188</v>
      </c>
      <c r="AM285" s="94">
        <f t="shared" si="158"/>
        <v>2981.7750887429188</v>
      </c>
      <c r="AN285" s="94">
        <f t="shared" si="158"/>
        <v>2981.7750887429188</v>
      </c>
      <c r="AO285" s="94">
        <f t="shared" si="158"/>
        <v>2981.7750887429188</v>
      </c>
      <c r="AP285" s="94">
        <f t="shared" si="158"/>
        <v>2981.7750887429188</v>
      </c>
      <c r="AQ285" s="94">
        <f t="shared" si="158"/>
        <v>2981.7750887429188</v>
      </c>
      <c r="AR285" s="94">
        <f t="shared" si="158"/>
        <v>2981.7750887429188</v>
      </c>
      <c r="AS285" s="94">
        <f t="shared" si="158"/>
        <v>2981.7750887429188</v>
      </c>
      <c r="AT285" s="94">
        <f t="shared" si="158"/>
        <v>2981.7750887429188</v>
      </c>
      <c r="AU285" s="94">
        <f t="shared" si="158"/>
        <v>2981.7750887429188</v>
      </c>
      <c r="AV285" s="94">
        <f t="shared" si="158"/>
        <v>3250.1206725289453</v>
      </c>
      <c r="AW285" s="94">
        <f t="shared" si="158"/>
        <v>3250.1206725289453</v>
      </c>
      <c r="AX285" s="94">
        <f t="shared" si="158"/>
        <v>3250.1206725289453</v>
      </c>
      <c r="AY285" s="94">
        <f t="shared" si="158"/>
        <v>3250.1206725289453</v>
      </c>
      <c r="AZ285" s="94">
        <f t="shared" si="158"/>
        <v>3250.1206725289453</v>
      </c>
      <c r="BA285" s="94">
        <f t="shared" si="158"/>
        <v>3250.1206725289453</v>
      </c>
      <c r="BB285" s="94">
        <f t="shared" si="158"/>
        <v>3250.1206725289453</v>
      </c>
      <c r="BC285" s="94">
        <f t="shared" si="158"/>
        <v>3250.1206725289453</v>
      </c>
      <c r="BD285" s="94">
        <f t="shared" si="158"/>
        <v>3250.1206725289453</v>
      </c>
      <c r="BE285" s="94">
        <f t="shared" si="158"/>
        <v>3250.1206725289453</v>
      </c>
      <c r="BF285" s="94">
        <f t="shared" si="158"/>
        <v>3250.1206725289453</v>
      </c>
      <c r="BG285" s="94">
        <f t="shared" si="158"/>
        <v>3250.1206725289453</v>
      </c>
      <c r="BH285" s="94">
        <f t="shared" si="158"/>
        <v>3326.3946202950178</v>
      </c>
      <c r="BI285" s="94">
        <f t="shared" si="158"/>
        <v>3326.3946202950178</v>
      </c>
    </row>
    <row r="286" spans="5:61" x14ac:dyDescent="0.35">
      <c r="E286" s="31">
        <f t="shared" si="146"/>
        <v>12</v>
      </c>
      <c r="J286" s="31" t="str">
        <f t="shared" si="147"/>
        <v>EUR</v>
      </c>
      <c r="N286" s="94">
        <f t="shared" ref="N286:BI286" si="159">N227</f>
        <v>0</v>
      </c>
      <c r="O286" s="94">
        <f t="shared" si="159"/>
        <v>0</v>
      </c>
      <c r="P286" s="94">
        <f t="shared" si="159"/>
        <v>0</v>
      </c>
      <c r="Q286" s="94">
        <f t="shared" si="159"/>
        <v>0</v>
      </c>
      <c r="R286" s="94">
        <f t="shared" si="159"/>
        <v>0</v>
      </c>
      <c r="S286" s="94">
        <f t="shared" si="159"/>
        <v>0</v>
      </c>
      <c r="T286" s="94">
        <f t="shared" si="159"/>
        <v>0</v>
      </c>
      <c r="U286" s="94">
        <f t="shared" si="159"/>
        <v>0</v>
      </c>
      <c r="V286" s="94">
        <f t="shared" si="159"/>
        <v>0</v>
      </c>
      <c r="W286" s="94">
        <f t="shared" si="159"/>
        <v>0</v>
      </c>
      <c r="X286" s="94">
        <f t="shared" si="159"/>
        <v>0</v>
      </c>
      <c r="Y286" s="94">
        <f t="shared" si="159"/>
        <v>3232.8180105210422</v>
      </c>
      <c r="Z286" s="94">
        <f t="shared" si="159"/>
        <v>3232.8180105210422</v>
      </c>
      <c r="AA286" s="94">
        <f t="shared" si="159"/>
        <v>3232.8180105210422</v>
      </c>
      <c r="AB286" s="94">
        <f t="shared" si="159"/>
        <v>3232.8180105210422</v>
      </c>
      <c r="AC286" s="94">
        <f t="shared" si="159"/>
        <v>3232.8180105210422</v>
      </c>
      <c r="AD286" s="94">
        <f t="shared" si="159"/>
        <v>3232.8180105210422</v>
      </c>
      <c r="AE286" s="94">
        <f t="shared" si="159"/>
        <v>3232.8180105210422</v>
      </c>
      <c r="AF286" s="94">
        <f t="shared" si="159"/>
        <v>3232.8180105210422</v>
      </c>
      <c r="AG286" s="94">
        <f t="shared" si="159"/>
        <v>3232.8180105210422</v>
      </c>
      <c r="AH286" s="94">
        <f t="shared" si="159"/>
        <v>3232.8180105210422</v>
      </c>
      <c r="AI286" s="94">
        <f t="shared" si="159"/>
        <v>3232.8180105210422</v>
      </c>
      <c r="AJ286" s="94">
        <f t="shared" si="159"/>
        <v>3232.8180105210422</v>
      </c>
      <c r="AK286" s="94">
        <f t="shared" si="159"/>
        <v>2952.777977771465</v>
      </c>
      <c r="AL286" s="94">
        <f t="shared" si="159"/>
        <v>2952.777977771465</v>
      </c>
      <c r="AM286" s="94">
        <f t="shared" si="159"/>
        <v>2952.777977771465</v>
      </c>
      <c r="AN286" s="94">
        <f t="shared" si="159"/>
        <v>2952.777977771465</v>
      </c>
      <c r="AO286" s="94">
        <f t="shared" si="159"/>
        <v>2952.777977771465</v>
      </c>
      <c r="AP286" s="94">
        <f t="shared" si="159"/>
        <v>2952.777977771465</v>
      </c>
      <c r="AQ286" s="94">
        <f t="shared" si="159"/>
        <v>2952.777977771465</v>
      </c>
      <c r="AR286" s="94">
        <f t="shared" si="159"/>
        <v>2952.777977771465</v>
      </c>
      <c r="AS286" s="94">
        <f t="shared" si="159"/>
        <v>2952.777977771465</v>
      </c>
      <c r="AT286" s="94">
        <f t="shared" si="159"/>
        <v>2952.777977771465</v>
      </c>
      <c r="AU286" s="94">
        <f t="shared" si="159"/>
        <v>2952.777977771465</v>
      </c>
      <c r="AV286" s="94">
        <f t="shared" si="159"/>
        <v>2952.777977771465</v>
      </c>
      <c r="AW286" s="94">
        <f t="shared" si="159"/>
        <v>3238.142996992101</v>
      </c>
      <c r="AX286" s="94">
        <f t="shared" si="159"/>
        <v>3238.142996992101</v>
      </c>
      <c r="AY286" s="94">
        <f t="shared" si="159"/>
        <v>3238.142996992101</v>
      </c>
      <c r="AZ286" s="94">
        <f t="shared" si="159"/>
        <v>3238.142996992101</v>
      </c>
      <c r="BA286" s="94">
        <f t="shared" si="159"/>
        <v>3238.142996992101</v>
      </c>
      <c r="BB286" s="94">
        <f t="shared" si="159"/>
        <v>3238.142996992101</v>
      </c>
      <c r="BC286" s="94">
        <f t="shared" si="159"/>
        <v>3238.142996992101</v>
      </c>
      <c r="BD286" s="94">
        <f t="shared" si="159"/>
        <v>3238.142996992101</v>
      </c>
      <c r="BE286" s="94">
        <f t="shared" si="159"/>
        <v>3238.142996992101</v>
      </c>
      <c r="BF286" s="94">
        <f t="shared" si="159"/>
        <v>3238.142996992101</v>
      </c>
      <c r="BG286" s="94">
        <f t="shared" si="159"/>
        <v>3238.142996992101</v>
      </c>
      <c r="BH286" s="94">
        <f t="shared" si="159"/>
        <v>3238.142996992101</v>
      </c>
      <c r="BI286" s="94">
        <f t="shared" si="159"/>
        <v>3329.2920252837339</v>
      </c>
    </row>
    <row r="287" spans="5:61" x14ac:dyDescent="0.35"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</row>
    <row r="288" spans="5:61" x14ac:dyDescent="0.35">
      <c r="E288" s="12" t="str">
        <f>E178</f>
        <v>Rejets à l'octroi du solde-Retrait total</v>
      </c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</row>
    <row r="289" spans="5:61" x14ac:dyDescent="0.35">
      <c r="E289">
        <f t="shared" ref="E289:E300" si="160">E179</f>
        <v>1</v>
      </c>
      <c r="J289" t="str">
        <f t="shared" ref="J289:J300" si="161">J179</f>
        <v>Volume</v>
      </c>
      <c r="N289" s="41">
        <f t="shared" ref="N289:BI294" si="162">N179</f>
        <v>0</v>
      </c>
      <c r="O289" s="41">
        <f t="shared" si="162"/>
        <v>0</v>
      </c>
      <c r="P289" s="41">
        <f t="shared" si="162"/>
        <v>0</v>
      </c>
      <c r="Q289" s="41">
        <f t="shared" si="162"/>
        <v>0</v>
      </c>
      <c r="R289" s="41">
        <f t="shared" si="162"/>
        <v>0</v>
      </c>
      <c r="S289" s="41">
        <f t="shared" si="162"/>
        <v>0</v>
      </c>
      <c r="T289" s="41">
        <f t="shared" si="162"/>
        <v>0</v>
      </c>
      <c r="U289" s="41">
        <f t="shared" si="162"/>
        <v>0</v>
      </c>
      <c r="V289" s="41">
        <f t="shared" si="162"/>
        <v>0</v>
      </c>
      <c r="W289" s="41">
        <f t="shared" si="162"/>
        <v>0</v>
      </c>
      <c r="X289" s="41">
        <f t="shared" si="162"/>
        <v>0</v>
      </c>
      <c r="Y289" s="41">
        <f t="shared" si="162"/>
        <v>0</v>
      </c>
      <c r="Z289" s="41">
        <f t="shared" si="162"/>
        <v>201.36387319545065</v>
      </c>
      <c r="AA289" s="41">
        <f t="shared" si="162"/>
        <v>98.535805428182258</v>
      </c>
      <c r="AB289" s="41">
        <f t="shared" si="162"/>
        <v>100.69031489310123</v>
      </c>
      <c r="AC289" s="41">
        <f t="shared" si="162"/>
        <v>70.106585944108886</v>
      </c>
      <c r="AD289" s="41">
        <f t="shared" si="162"/>
        <v>40.469750221354992</v>
      </c>
      <c r="AE289" s="41">
        <f t="shared" si="162"/>
        <v>16.961081497492025</v>
      </c>
      <c r="AF289" s="41">
        <f t="shared" si="162"/>
        <v>5.9156299337761151</v>
      </c>
      <c r="AG289" s="41">
        <f t="shared" si="162"/>
        <v>1.5104519056934853</v>
      </c>
      <c r="AH289" s="41">
        <f t="shared" si="162"/>
        <v>0.29341204471258653</v>
      </c>
      <c r="AI289" s="41">
        <f t="shared" si="162"/>
        <v>4.7921126939081043E-2</v>
      </c>
      <c r="AJ289" s="41">
        <f t="shared" si="162"/>
        <v>5.5778345005408903E-3</v>
      </c>
      <c r="AK289" s="41">
        <f t="shared" si="162"/>
        <v>5.5104665082834035E-4</v>
      </c>
      <c r="AL289" s="41">
        <f t="shared" si="162"/>
        <v>392.72945548515111</v>
      </c>
      <c r="AM289" s="41">
        <f t="shared" si="162"/>
        <v>192.17902694014685</v>
      </c>
      <c r="AN289" s="41">
        <f t="shared" si="162"/>
        <v>196.38106832705409</v>
      </c>
      <c r="AO289" s="41">
        <f t="shared" si="162"/>
        <v>136.73217984354343</v>
      </c>
      <c r="AP289" s="41">
        <f t="shared" si="162"/>
        <v>78.930061861821116</v>
      </c>
      <c r="AQ289" s="41">
        <f t="shared" si="162"/>
        <v>33.079996899363408</v>
      </c>
      <c r="AR289" s="41">
        <f t="shared" si="162"/>
        <v>11.537531960802802</v>
      </c>
      <c r="AS289" s="41">
        <f t="shared" si="162"/>
        <v>2.9459055641213863</v>
      </c>
      <c r="AT289" s="41">
        <f t="shared" si="162"/>
        <v>0.57225534413966728</v>
      </c>
      <c r="AU289" s="41">
        <f t="shared" si="162"/>
        <v>9.3462833180372615E-2</v>
      </c>
      <c r="AV289" s="41">
        <f t="shared" si="162"/>
        <v>1.0878713601508163E-2</v>
      </c>
      <c r="AW289" s="41">
        <f t="shared" si="162"/>
        <v>1.0747322630046614E-3</v>
      </c>
      <c r="AX289" s="41">
        <f t="shared" si="162"/>
        <v>435.47455207622119</v>
      </c>
      <c r="AY289" s="41">
        <f t="shared" si="162"/>
        <v>213.09599905568763</v>
      </c>
      <c r="AZ289" s="41">
        <f t="shared" si="162"/>
        <v>217.75539514938953</v>
      </c>
      <c r="BA289" s="41">
        <f t="shared" si="162"/>
        <v>151.61425744910468</v>
      </c>
      <c r="BB289" s="41">
        <f t="shared" si="162"/>
        <v>87.520894739520145</v>
      </c>
      <c r="BC289" s="41">
        <f t="shared" si="162"/>
        <v>36.680459362635531</v>
      </c>
      <c r="BD289" s="41">
        <f t="shared" si="162"/>
        <v>12.793289356126872</v>
      </c>
      <c r="BE289" s="41">
        <f t="shared" si="162"/>
        <v>3.2665410961086234</v>
      </c>
      <c r="BF289" s="41">
        <f t="shared" si="162"/>
        <v>0.63454023165794249</v>
      </c>
      <c r="BG289" s="41">
        <f t="shared" si="162"/>
        <v>0.10363542852857446</v>
      </c>
      <c r="BH289" s="41">
        <f t="shared" si="162"/>
        <v>1.2062764497585237E-2</v>
      </c>
      <c r="BI289" s="41">
        <f t="shared" si="162"/>
        <v>1.1917072791386638E-3</v>
      </c>
    </row>
    <row r="290" spans="5:61" x14ac:dyDescent="0.35">
      <c r="E290">
        <f t="shared" si="160"/>
        <v>2</v>
      </c>
      <c r="J290" t="str">
        <f t="shared" si="161"/>
        <v>Volume</v>
      </c>
      <c r="N290" s="41">
        <f t="shared" si="162"/>
        <v>0</v>
      </c>
      <c r="O290" s="41">
        <f t="shared" si="162"/>
        <v>0</v>
      </c>
      <c r="P290" s="41">
        <f t="shared" si="162"/>
        <v>0</v>
      </c>
      <c r="Q290" s="41">
        <f t="shared" si="162"/>
        <v>0</v>
      </c>
      <c r="R290" s="41">
        <f t="shared" si="162"/>
        <v>0</v>
      </c>
      <c r="S290" s="41">
        <f t="shared" si="162"/>
        <v>0</v>
      </c>
      <c r="T290" s="41">
        <f t="shared" si="162"/>
        <v>0</v>
      </c>
      <c r="U290" s="41">
        <f t="shared" si="162"/>
        <v>0</v>
      </c>
      <c r="V290" s="41">
        <f t="shared" si="162"/>
        <v>0</v>
      </c>
      <c r="W290" s="41">
        <f t="shared" si="162"/>
        <v>0</v>
      </c>
      <c r="X290" s="41">
        <f t="shared" si="162"/>
        <v>0</v>
      </c>
      <c r="Y290" s="41">
        <f t="shared" si="162"/>
        <v>0</v>
      </c>
      <c r="Z290" s="41">
        <f t="shared" si="162"/>
        <v>0</v>
      </c>
      <c r="AA290" s="41">
        <f t="shared" si="162"/>
        <v>261.37888442246441</v>
      </c>
      <c r="AB290" s="41">
        <f t="shared" si="162"/>
        <v>148.42324997809541</v>
      </c>
      <c r="AC290" s="41">
        <f t="shared" si="162"/>
        <v>133.66933190936695</v>
      </c>
      <c r="AD290" s="41">
        <f t="shared" si="162"/>
        <v>99.718495757927656</v>
      </c>
      <c r="AE290" s="41">
        <f t="shared" si="162"/>
        <v>54.103120970053148</v>
      </c>
      <c r="AF290" s="41">
        <f t="shared" si="162"/>
        <v>24.374046884198215</v>
      </c>
      <c r="AG290" s="41">
        <f t="shared" si="162"/>
        <v>8.083495735344405</v>
      </c>
      <c r="AH290" s="41">
        <f t="shared" si="162"/>
        <v>2.0356444879117053</v>
      </c>
      <c r="AI290" s="41">
        <f t="shared" si="162"/>
        <v>0.42927078121182999</v>
      </c>
      <c r="AJ290" s="41">
        <f t="shared" si="162"/>
        <v>6.4834889813205052E-2</v>
      </c>
      <c r="AK290" s="41">
        <f t="shared" si="162"/>
        <v>8.2695185902611403E-3</v>
      </c>
      <c r="AL290" s="41">
        <f t="shared" si="162"/>
        <v>7.5298544733398286E-4</v>
      </c>
      <c r="AM290" s="41">
        <f t="shared" si="162"/>
        <v>433.46771053854201</v>
      </c>
      <c r="AN290" s="41">
        <f t="shared" si="162"/>
        <v>246.14339639887626</v>
      </c>
      <c r="AO290" s="41">
        <f t="shared" si="162"/>
        <v>221.67566978486175</v>
      </c>
      <c r="AP290" s="41">
        <f t="shared" si="162"/>
        <v>165.37199686212</v>
      </c>
      <c r="AQ290" s="41">
        <f t="shared" si="162"/>
        <v>89.723988346256505</v>
      </c>
      <c r="AR290" s="41">
        <f t="shared" si="162"/>
        <v>40.421636670450319</v>
      </c>
      <c r="AS290" s="41">
        <f t="shared" si="162"/>
        <v>13.405575577728877</v>
      </c>
      <c r="AT290" s="41">
        <f t="shared" si="162"/>
        <v>3.375889210007097</v>
      </c>
      <c r="AU290" s="41">
        <f t="shared" si="162"/>
        <v>0.71189768501816653</v>
      </c>
      <c r="AV290" s="41">
        <f t="shared" si="162"/>
        <v>0.10752142933215925</v>
      </c>
      <c r="AW290" s="41">
        <f t="shared" si="162"/>
        <v>1.371407372288995E-2</v>
      </c>
      <c r="AX290" s="41">
        <f t="shared" si="162"/>
        <v>1.2487423329772586E-3</v>
      </c>
      <c r="AY290" s="41">
        <f t="shared" si="162"/>
        <v>477.98052211811392</v>
      </c>
      <c r="AZ290" s="41">
        <f t="shared" si="162"/>
        <v>271.41986880750534</v>
      </c>
      <c r="BA290" s="41">
        <f t="shared" si="162"/>
        <v>244.4395506484436</v>
      </c>
      <c r="BB290" s="41">
        <f t="shared" si="162"/>
        <v>182.35405194464408</v>
      </c>
      <c r="BC290" s="41">
        <f t="shared" si="162"/>
        <v>98.937747272988616</v>
      </c>
      <c r="BD290" s="41">
        <f t="shared" si="162"/>
        <v>44.572535695003353</v>
      </c>
      <c r="BE290" s="41">
        <f t="shared" si="162"/>
        <v>14.782194516809227</v>
      </c>
      <c r="BF290" s="41">
        <f t="shared" si="162"/>
        <v>3.7225593694334109</v>
      </c>
      <c r="BG290" s="41">
        <f t="shared" si="162"/>
        <v>0.78500247863192163</v>
      </c>
      <c r="BH290" s="41">
        <f t="shared" si="162"/>
        <v>0.11856280798221469</v>
      </c>
      <c r="BI290" s="41">
        <f t="shared" si="162"/>
        <v>1.5122372345310825E-2</v>
      </c>
    </row>
    <row r="291" spans="5:61" x14ac:dyDescent="0.35">
      <c r="E291">
        <f t="shared" si="160"/>
        <v>3</v>
      </c>
      <c r="J291" t="str">
        <f t="shared" si="161"/>
        <v>Volume</v>
      </c>
      <c r="N291" s="41">
        <f t="shared" si="162"/>
        <v>0</v>
      </c>
      <c r="O291" s="41">
        <f t="shared" si="162"/>
        <v>0</v>
      </c>
      <c r="P291" s="41">
        <f t="shared" si="162"/>
        <v>0</v>
      </c>
      <c r="Q291" s="41">
        <f t="shared" si="162"/>
        <v>0</v>
      </c>
      <c r="R291" s="41">
        <f t="shared" si="162"/>
        <v>0</v>
      </c>
      <c r="S291" s="41">
        <f t="shared" si="162"/>
        <v>0</v>
      </c>
      <c r="T291" s="41">
        <f t="shared" si="162"/>
        <v>0</v>
      </c>
      <c r="U291" s="41">
        <f t="shared" si="162"/>
        <v>0</v>
      </c>
      <c r="V291" s="41">
        <f t="shared" si="162"/>
        <v>0</v>
      </c>
      <c r="W291" s="41">
        <f t="shared" si="162"/>
        <v>0</v>
      </c>
      <c r="X291" s="41">
        <f t="shared" si="162"/>
        <v>0</v>
      </c>
      <c r="Y291" s="41">
        <f t="shared" si="162"/>
        <v>0</v>
      </c>
      <c r="Z291" s="41">
        <f t="shared" si="162"/>
        <v>0</v>
      </c>
      <c r="AA291" s="41">
        <f t="shared" si="162"/>
        <v>0</v>
      </c>
      <c r="AB291" s="41">
        <f t="shared" si="162"/>
        <v>373.61610648351711</v>
      </c>
      <c r="AC291" s="41">
        <f t="shared" si="162"/>
        <v>195.86571382604572</v>
      </c>
      <c r="AD291" s="41">
        <f t="shared" si="162"/>
        <v>184.25308644353896</v>
      </c>
      <c r="AE291" s="41">
        <f t="shared" si="162"/>
        <v>126.17392816561151</v>
      </c>
      <c r="AF291" s="41">
        <f t="shared" si="162"/>
        <v>71.640781115942502</v>
      </c>
      <c r="AG291" s="41">
        <f t="shared" si="162"/>
        <v>30.084872091249185</v>
      </c>
      <c r="AH291" s="41">
        <f t="shared" si="162"/>
        <v>9.5740059226615948</v>
      </c>
      <c r="AI291" s="41">
        <f t="shared" si="162"/>
        <v>2.5433030067646101</v>
      </c>
      <c r="AJ291" s="41">
        <f t="shared" si="162"/>
        <v>0.48583517582561514</v>
      </c>
      <c r="AK291" s="41">
        <f t="shared" si="162"/>
        <v>7.8051096556978589E-2</v>
      </c>
      <c r="AL291" s="41">
        <f t="shared" si="162"/>
        <v>9.0073014210050855E-3</v>
      </c>
      <c r="AM291" s="41">
        <f t="shared" si="162"/>
        <v>7.8154949869415301E-4</v>
      </c>
      <c r="AN291" s="41">
        <f t="shared" si="162"/>
        <v>624.97125654701495</v>
      </c>
      <c r="AO291" s="41">
        <f t="shared" si="162"/>
        <v>327.6369491574427</v>
      </c>
      <c r="AP291" s="41">
        <f t="shared" si="162"/>
        <v>308.21177395456988</v>
      </c>
      <c r="AQ291" s="41">
        <f t="shared" si="162"/>
        <v>211.05909799050346</v>
      </c>
      <c r="AR291" s="41">
        <f t="shared" si="162"/>
        <v>119.83805895160336</v>
      </c>
      <c r="AS291" s="41">
        <f t="shared" si="162"/>
        <v>50.324865517417734</v>
      </c>
      <c r="AT291" s="41">
        <f t="shared" si="162"/>
        <v>16.015044340542513</v>
      </c>
      <c r="AU291" s="41">
        <f t="shared" si="162"/>
        <v>4.2543435583594222</v>
      </c>
      <c r="AV291" s="41">
        <f t="shared" si="162"/>
        <v>0.81268718088273839</v>
      </c>
      <c r="AW291" s="41">
        <f t="shared" si="162"/>
        <v>0.13056099842483454</v>
      </c>
      <c r="AX291" s="41">
        <f t="shared" si="162"/>
        <v>1.5067081931146909E-2</v>
      </c>
      <c r="AY291" s="41">
        <f t="shared" si="162"/>
        <v>1.3073472041926629E-3</v>
      </c>
      <c r="AZ291" s="41">
        <f t="shared" si="162"/>
        <v>688.47084969433183</v>
      </c>
      <c r="BA291" s="41">
        <f t="shared" si="162"/>
        <v>360.92618086783051</v>
      </c>
      <c r="BB291" s="41">
        <f t="shared" si="162"/>
        <v>339.52732974102344</v>
      </c>
      <c r="BC291" s="41">
        <f t="shared" si="162"/>
        <v>232.50355117461319</v>
      </c>
      <c r="BD291" s="41">
        <f t="shared" si="162"/>
        <v>132.01408770056477</v>
      </c>
      <c r="BE291" s="41">
        <f t="shared" si="162"/>
        <v>55.438074248336505</v>
      </c>
      <c r="BF291" s="41">
        <f t="shared" si="162"/>
        <v>17.642237254148434</v>
      </c>
      <c r="BG291" s="41">
        <f t="shared" si="162"/>
        <v>4.6866019738221016</v>
      </c>
      <c r="BH291" s="41">
        <f t="shared" si="162"/>
        <v>0.89525946689028191</v>
      </c>
      <c r="BI291" s="41">
        <f t="shared" si="162"/>
        <v>0.14382652094932652</v>
      </c>
    </row>
    <row r="292" spans="5:61" x14ac:dyDescent="0.35">
      <c r="E292">
        <f t="shared" si="160"/>
        <v>4</v>
      </c>
      <c r="J292" t="str">
        <f t="shared" si="161"/>
        <v>Volume</v>
      </c>
      <c r="N292" s="41">
        <f t="shared" si="162"/>
        <v>0</v>
      </c>
      <c r="O292" s="41">
        <f t="shared" si="162"/>
        <v>0</v>
      </c>
      <c r="P292" s="41">
        <f t="shared" si="162"/>
        <v>0</v>
      </c>
      <c r="Q292" s="41">
        <f t="shared" si="162"/>
        <v>4.25803540351344</v>
      </c>
      <c r="R292" s="41">
        <f t="shared" si="162"/>
        <v>2.3430453164434777</v>
      </c>
      <c r="S292" s="41">
        <f t="shared" si="162"/>
        <v>2.0754173258453186</v>
      </c>
      <c r="T292" s="41">
        <f t="shared" si="162"/>
        <v>1.5228604558340941</v>
      </c>
      <c r="U292" s="41">
        <f t="shared" si="162"/>
        <v>0.83041558504894142</v>
      </c>
      <c r="V292" s="41">
        <f t="shared" si="162"/>
        <v>0.34227717057965429</v>
      </c>
      <c r="W292" s="41">
        <f t="shared" si="162"/>
        <v>0.11742399229582323</v>
      </c>
      <c r="X292" s="41">
        <f t="shared" si="162"/>
        <v>2.9079896594597823E-2</v>
      </c>
      <c r="Y292" s="41">
        <f t="shared" si="162"/>
        <v>6.031998012173528E-3</v>
      </c>
      <c r="Z292" s="41">
        <f t="shared" si="162"/>
        <v>9.047199932979413E-4</v>
      </c>
      <c r="AA292" s="41">
        <f t="shared" si="162"/>
        <v>1.0161495667291887E-4</v>
      </c>
      <c r="AB292" s="41">
        <f t="shared" si="162"/>
        <v>1.1851343342478006E-5</v>
      </c>
      <c r="AC292" s="41">
        <f t="shared" si="162"/>
        <v>495.94315693730744</v>
      </c>
      <c r="AD292" s="41">
        <f t="shared" si="162"/>
        <v>272.8998660098818</v>
      </c>
      <c r="AE292" s="41">
        <f t="shared" si="162"/>
        <v>241.72861965704016</v>
      </c>
      <c r="AF292" s="41">
        <f t="shared" si="162"/>
        <v>177.37105272026747</v>
      </c>
      <c r="AG292" s="41">
        <f t="shared" si="162"/>
        <v>96.720409247722955</v>
      </c>
      <c r="AH292" s="41">
        <f t="shared" si="162"/>
        <v>39.865807687925027</v>
      </c>
      <c r="AI292" s="41">
        <f t="shared" si="162"/>
        <v>13.676641906575174</v>
      </c>
      <c r="AJ292" s="41">
        <f t="shared" si="162"/>
        <v>3.3870023036058536</v>
      </c>
      <c r="AK292" s="41">
        <f t="shared" si="162"/>
        <v>0.70256065375325383</v>
      </c>
      <c r="AL292" s="41">
        <f t="shared" si="162"/>
        <v>0.10537481422776629</v>
      </c>
      <c r="AM292" s="41">
        <f t="shared" si="162"/>
        <v>1.1835327241016451E-2</v>
      </c>
      <c r="AN292" s="41">
        <f t="shared" si="162"/>
        <v>1.3803531615464483E-3</v>
      </c>
      <c r="AO292" s="41">
        <f t="shared" si="162"/>
        <v>700.64490869148017</v>
      </c>
      <c r="AP292" s="41">
        <f t="shared" si="162"/>
        <v>385.53995357694043</v>
      </c>
      <c r="AQ292" s="41">
        <f t="shared" si="162"/>
        <v>341.50269900615666</v>
      </c>
      <c r="AR292" s="41">
        <f t="shared" si="162"/>
        <v>250.58138881309958</v>
      </c>
      <c r="AS292" s="41">
        <f t="shared" si="162"/>
        <v>136.64199486986749</v>
      </c>
      <c r="AT292" s="41">
        <f t="shared" si="162"/>
        <v>56.320517375238651</v>
      </c>
      <c r="AU292" s="41">
        <f t="shared" si="162"/>
        <v>19.321709324542127</v>
      </c>
      <c r="AV292" s="41">
        <f t="shared" si="162"/>
        <v>4.7849957934750567</v>
      </c>
      <c r="AW292" s="41">
        <f t="shared" si="162"/>
        <v>0.99254428297596253</v>
      </c>
      <c r="AX292" s="41">
        <f t="shared" si="162"/>
        <v>0.14886852668546435</v>
      </c>
      <c r="AY292" s="41">
        <f t="shared" si="162"/>
        <v>1.6720387524500117E-2</v>
      </c>
      <c r="AZ292" s="41">
        <f t="shared" si="162"/>
        <v>1.9500973071314373E-3</v>
      </c>
      <c r="BA292" s="41">
        <f t="shared" si="162"/>
        <v>771.64925941400247</v>
      </c>
      <c r="BB292" s="41">
        <f t="shared" si="162"/>
        <v>424.61112035733913</v>
      </c>
      <c r="BC292" s="41">
        <f t="shared" si="162"/>
        <v>376.11106782768547</v>
      </c>
      <c r="BD292" s="41">
        <f t="shared" si="162"/>
        <v>275.97566285278532</v>
      </c>
      <c r="BE292" s="41">
        <f t="shared" si="162"/>
        <v>150.48948880982186</v>
      </c>
      <c r="BF292" s="41">
        <f t="shared" si="162"/>
        <v>62.028118642268296</v>
      </c>
      <c r="BG292" s="41">
        <f t="shared" si="162"/>
        <v>21.279798805275842</v>
      </c>
      <c r="BH292" s="41">
        <f t="shared" si="162"/>
        <v>5.2699140670699114</v>
      </c>
      <c r="BI292" s="41">
        <f t="shared" si="162"/>
        <v>1.0931301311021957</v>
      </c>
    </row>
    <row r="293" spans="5:61" x14ac:dyDescent="0.35">
      <c r="E293">
        <f t="shared" si="160"/>
        <v>5</v>
      </c>
      <c r="J293" t="str">
        <f t="shared" si="161"/>
        <v>Volume</v>
      </c>
      <c r="N293" s="41">
        <f t="shared" si="162"/>
        <v>0</v>
      </c>
      <c r="O293" s="41">
        <f t="shared" si="162"/>
        <v>0</v>
      </c>
      <c r="P293" s="41">
        <f t="shared" si="162"/>
        <v>0</v>
      </c>
      <c r="Q293" s="41">
        <f t="shared" si="162"/>
        <v>0</v>
      </c>
      <c r="R293" s="41">
        <f t="shared" si="162"/>
        <v>29.871854429889964</v>
      </c>
      <c r="S293" s="41">
        <f t="shared" si="162"/>
        <v>15.660117403092329</v>
      </c>
      <c r="T293" s="41">
        <f t="shared" si="162"/>
        <v>14.731649093779493</v>
      </c>
      <c r="U293" s="41">
        <f t="shared" si="162"/>
        <v>10.342754340904865</v>
      </c>
      <c r="V293" s="41">
        <f t="shared" si="162"/>
        <v>5.4731917524423634</v>
      </c>
      <c r="W293" s="41">
        <f t="shared" si="162"/>
        <v>2.4053859136592193</v>
      </c>
      <c r="X293" s="41">
        <f t="shared" si="162"/>
        <v>0.76547372093892507</v>
      </c>
      <c r="Y293" s="41">
        <f t="shared" si="162"/>
        <v>0.20334556211785154</v>
      </c>
      <c r="Z293" s="41">
        <f t="shared" si="162"/>
        <v>3.9297009908131252E-2</v>
      </c>
      <c r="AA293" s="41">
        <f t="shared" si="162"/>
        <v>5.6610254656802219E-3</v>
      </c>
      <c r="AB293" s="41">
        <f t="shared" si="162"/>
        <v>8.3439318546244369E-4</v>
      </c>
      <c r="AC293" s="41">
        <f t="shared" si="162"/>
        <v>7.481184057563507E-5</v>
      </c>
      <c r="AD293" s="41">
        <f t="shared" si="162"/>
        <v>581.08384159853426</v>
      </c>
      <c r="AE293" s="41">
        <f t="shared" si="162"/>
        <v>304.62926906096578</v>
      </c>
      <c r="AF293" s="41">
        <f t="shared" si="162"/>
        <v>286.5681897515355</v>
      </c>
      <c r="AG293" s="41">
        <f t="shared" si="162"/>
        <v>201.19298047694232</v>
      </c>
      <c r="AH293" s="41">
        <f t="shared" si="162"/>
        <v>106.46755449277735</v>
      </c>
      <c r="AI293" s="41">
        <f t="shared" si="162"/>
        <v>46.79089778361805</v>
      </c>
      <c r="AJ293" s="41">
        <f t="shared" si="162"/>
        <v>14.890418385302551</v>
      </c>
      <c r="AK293" s="41">
        <f t="shared" si="162"/>
        <v>3.9555903931167431</v>
      </c>
      <c r="AL293" s="41">
        <f t="shared" si="162"/>
        <v>0.76442718125674425</v>
      </c>
      <c r="AM293" s="41">
        <f t="shared" si="162"/>
        <v>0.11012139981818705</v>
      </c>
      <c r="AN293" s="41">
        <f t="shared" si="162"/>
        <v>1.623107794496376E-2</v>
      </c>
      <c r="AO293" s="41">
        <f t="shared" si="162"/>
        <v>1.4552813191017972E-3</v>
      </c>
      <c r="AP293" s="41">
        <f t="shared" si="162"/>
        <v>839.75803746728798</v>
      </c>
      <c r="AQ293" s="41">
        <f t="shared" si="162"/>
        <v>440.23746459374337</v>
      </c>
      <c r="AR293" s="41">
        <f t="shared" si="162"/>
        <v>414.13634900652499</v>
      </c>
      <c r="AS293" s="41">
        <f t="shared" si="162"/>
        <v>290.75567128614108</v>
      </c>
      <c r="AT293" s="41">
        <f t="shared" si="162"/>
        <v>153.86245187758425</v>
      </c>
      <c r="AU293" s="41">
        <f t="shared" si="162"/>
        <v>67.620246307331982</v>
      </c>
      <c r="AV293" s="41">
        <f t="shared" si="162"/>
        <v>21.519009177590657</v>
      </c>
      <c r="AW293" s="41">
        <f t="shared" si="162"/>
        <v>5.7164536126322627</v>
      </c>
      <c r="AX293" s="41">
        <f t="shared" si="162"/>
        <v>1.1047181552198813</v>
      </c>
      <c r="AY293" s="41">
        <f t="shared" si="162"/>
        <v>0.15914283615265579</v>
      </c>
      <c r="AZ293" s="41">
        <f t="shared" si="162"/>
        <v>2.3456474238804117E-2</v>
      </c>
      <c r="BA293" s="41">
        <f t="shared" si="162"/>
        <v>2.1031116286590163E-3</v>
      </c>
      <c r="BB293" s="41">
        <f t="shared" si="162"/>
        <v>924.70766129198023</v>
      </c>
      <c r="BC293" s="41">
        <f t="shared" si="162"/>
        <v>484.7717296346201</v>
      </c>
      <c r="BD293" s="41">
        <f t="shared" si="162"/>
        <v>456.03023449566047</v>
      </c>
      <c r="BE293" s="41">
        <f t="shared" si="162"/>
        <v>320.16841138345239</v>
      </c>
      <c r="BF293" s="41">
        <f t="shared" si="162"/>
        <v>169.42712268105333</v>
      </c>
      <c r="BG293" s="41">
        <f t="shared" si="162"/>
        <v>74.460686327490336</v>
      </c>
      <c r="BH293" s="41">
        <f t="shared" si="162"/>
        <v>23.69586447775518</v>
      </c>
      <c r="BI293" s="41">
        <f t="shared" si="162"/>
        <v>6.2947280230434046</v>
      </c>
    </row>
    <row r="294" spans="5:61" x14ac:dyDescent="0.35">
      <c r="E294">
        <f t="shared" si="160"/>
        <v>6</v>
      </c>
      <c r="J294" t="str">
        <f t="shared" si="161"/>
        <v>Volume</v>
      </c>
      <c r="N294" s="41">
        <f t="shared" si="162"/>
        <v>0</v>
      </c>
      <c r="O294" s="41">
        <f t="shared" si="162"/>
        <v>0</v>
      </c>
      <c r="P294" s="41">
        <f t="shared" si="162"/>
        <v>0</v>
      </c>
      <c r="Q294" s="41">
        <f t="shared" si="162"/>
        <v>0</v>
      </c>
      <c r="R294" s="41">
        <f t="shared" si="162"/>
        <v>0</v>
      </c>
      <c r="S294" s="41">
        <f t="shared" si="162"/>
        <v>48.974654263079181</v>
      </c>
      <c r="T294" s="41">
        <f t="shared" si="162"/>
        <v>26.949008972744224</v>
      </c>
      <c r="U294" s="41">
        <f t="shared" si="162"/>
        <v>24.564733739342167</v>
      </c>
      <c r="V294" s="41">
        <f t="shared" si="162"/>
        <v>16.821584973475577</v>
      </c>
      <c r="W294" s="41">
        <f t="shared" si="162"/>
        <v>9.551192584938816</v>
      </c>
      <c r="X294" s="41">
        <f t="shared" si="162"/>
        <v>3.936770013103212</v>
      </c>
      <c r="Y294" s="41">
        <f t="shared" si="162"/>
        <v>1.3505757655592177</v>
      </c>
      <c r="Z294" s="41">
        <f t="shared" si="162"/>
        <v>0.33907470634846326</v>
      </c>
      <c r="AA294" s="41">
        <f t="shared" si="162"/>
        <v>6.3112542090857357E-2</v>
      </c>
      <c r="AB294" s="41">
        <f t="shared" si="162"/>
        <v>1.1854093441340845E-2</v>
      </c>
      <c r="AC294" s="41">
        <f t="shared" ref="AC294:BI294" si="163">AC184</f>
        <v>1.3797707940758708E-3</v>
      </c>
      <c r="AD294" s="41">
        <f t="shared" si="163"/>
        <v>1.3631061927573131E-4</v>
      </c>
      <c r="AE294" s="41">
        <f t="shared" si="163"/>
        <v>728.23958617348001</v>
      </c>
      <c r="AF294" s="41">
        <f t="shared" si="163"/>
        <v>400.72432235405745</v>
      </c>
      <c r="AG294" s="41">
        <f t="shared" si="163"/>
        <v>365.27080797150938</v>
      </c>
      <c r="AH294" s="41">
        <f t="shared" si="163"/>
        <v>250.13232383553498</v>
      </c>
      <c r="AI294" s="41">
        <f t="shared" si="163"/>
        <v>142.02359649453783</v>
      </c>
      <c r="AJ294" s="41">
        <f t="shared" si="163"/>
        <v>58.538683087013524</v>
      </c>
      <c r="AK294" s="41">
        <f t="shared" si="163"/>
        <v>20.082688717381</v>
      </c>
      <c r="AL294" s="41">
        <f t="shared" si="163"/>
        <v>5.0419472592224501</v>
      </c>
      <c r="AM294" s="41">
        <f t="shared" si="163"/>
        <v>0.93846607446601704</v>
      </c>
      <c r="AN294" s="41">
        <f t="shared" si="163"/>
        <v>0.17626709635991747</v>
      </c>
      <c r="AO294" s="41">
        <f t="shared" si="163"/>
        <v>2.0516810730189544E-2</v>
      </c>
      <c r="AP294" s="41">
        <f t="shared" si="163"/>
        <v>2.0269012709956836E-3</v>
      </c>
      <c r="AQ294" s="41">
        <f t="shared" si="163"/>
        <v>881.85713492955347</v>
      </c>
      <c r="AR294" s="41">
        <f t="shared" si="163"/>
        <v>485.25459136954134</v>
      </c>
      <c r="AS294" s="41">
        <f t="shared" si="163"/>
        <v>442.32238168171256</v>
      </c>
      <c r="AT294" s="41">
        <f t="shared" si="163"/>
        <v>302.89616032810625</v>
      </c>
      <c r="AU294" s="41">
        <f t="shared" si="163"/>
        <v>171.98257863893241</v>
      </c>
      <c r="AV294" s="41">
        <f t="shared" si="163"/>
        <v>70.887049165939445</v>
      </c>
      <c r="AW294" s="41">
        <f t="shared" si="163"/>
        <v>24.319005270022245</v>
      </c>
      <c r="AX294" s="41">
        <f t="shared" si="163"/>
        <v>6.1055142413318899</v>
      </c>
      <c r="AY294" s="41">
        <f t="shared" si="163"/>
        <v>1.1364295753348939</v>
      </c>
      <c r="AZ294" s="41">
        <f t="shared" si="163"/>
        <v>0.21344952887699675</v>
      </c>
      <c r="BA294" s="41">
        <f t="shared" si="163"/>
        <v>2.4844702584057021E-2</v>
      </c>
      <c r="BB294" s="41">
        <f t="shared" si="163"/>
        <v>2.4544633133957699E-3</v>
      </c>
      <c r="BC294" s="41">
        <f t="shared" si="163"/>
        <v>970.92458244250838</v>
      </c>
      <c r="BD294" s="41">
        <f t="shared" si="163"/>
        <v>534.26523735210128</v>
      </c>
      <c r="BE294" s="41">
        <f t="shared" si="163"/>
        <v>486.9968804795119</v>
      </c>
      <c r="BF294" s="41">
        <f t="shared" si="163"/>
        <v>333.48863023430511</v>
      </c>
      <c r="BG294" s="41">
        <f t="shared" si="163"/>
        <v>189.35279507119995</v>
      </c>
      <c r="BH294" s="41">
        <f t="shared" si="163"/>
        <v>78.046631235250388</v>
      </c>
      <c r="BI294" s="41">
        <f t="shared" si="163"/>
        <v>26.775221407149726</v>
      </c>
    </row>
    <row r="295" spans="5:61" x14ac:dyDescent="0.35">
      <c r="E295">
        <f t="shared" si="160"/>
        <v>7</v>
      </c>
      <c r="J295" t="str">
        <f t="shared" si="161"/>
        <v>Volume</v>
      </c>
      <c r="N295" s="41">
        <f t="shared" ref="N295:BI300" si="164">N185</f>
        <v>0</v>
      </c>
      <c r="O295" s="41">
        <f t="shared" si="164"/>
        <v>0</v>
      </c>
      <c r="P295" s="41">
        <f t="shared" si="164"/>
        <v>0</v>
      </c>
      <c r="Q295" s="41">
        <f t="shared" si="164"/>
        <v>0</v>
      </c>
      <c r="R295" s="41">
        <f t="shared" si="164"/>
        <v>0</v>
      </c>
      <c r="S295" s="41">
        <f t="shared" si="164"/>
        <v>0</v>
      </c>
      <c r="T295" s="41">
        <f t="shared" si="164"/>
        <v>125.61201499906042</v>
      </c>
      <c r="U295" s="41">
        <f t="shared" si="164"/>
        <v>68.033531006845706</v>
      </c>
      <c r="V295" s="41">
        <f t="shared" si="164"/>
        <v>59.764729325901492</v>
      </c>
      <c r="W295" s="41">
        <f t="shared" si="164"/>
        <v>43.491582233387469</v>
      </c>
      <c r="X295" s="41">
        <f t="shared" si="164"/>
        <v>23.014930195047029</v>
      </c>
      <c r="Y295" s="41">
        <f t="shared" si="164"/>
        <v>10.114717590574555</v>
      </c>
      <c r="Z295" s="41">
        <f t="shared" si="164"/>
        <v>3.2706818740360015</v>
      </c>
      <c r="AA295" s="41">
        <f t="shared" si="164"/>
        <v>0.77935545895053826</v>
      </c>
      <c r="AB295" s="41">
        <f t="shared" si="164"/>
        <v>0.18518949474817636</v>
      </c>
      <c r="AC295" s="41">
        <f t="shared" si="164"/>
        <v>2.7736224234044787E-2</v>
      </c>
      <c r="AD295" s="41">
        <f t="shared" si="164"/>
        <v>3.5086475656679996E-3</v>
      </c>
      <c r="AE295" s="41">
        <f t="shared" si="164"/>
        <v>3.145859612616157E-4</v>
      </c>
      <c r="AF295" s="41">
        <f t="shared" si="164"/>
        <v>785.22840422306263</v>
      </c>
      <c r="AG295" s="41">
        <f t="shared" si="164"/>
        <v>425.29260426691911</v>
      </c>
      <c r="AH295" s="41">
        <f t="shared" si="164"/>
        <v>373.60250162177505</v>
      </c>
      <c r="AI295" s="41">
        <f t="shared" si="164"/>
        <v>271.87547078608998</v>
      </c>
      <c r="AJ295" s="41">
        <f t="shared" si="164"/>
        <v>143.87140362724966</v>
      </c>
      <c r="AK295" s="41">
        <f t="shared" si="164"/>
        <v>63.229330035611717</v>
      </c>
      <c r="AL295" s="41">
        <f t="shared" si="164"/>
        <v>20.445753606371145</v>
      </c>
      <c r="AM295" s="41">
        <f t="shared" si="164"/>
        <v>4.8719228280737426</v>
      </c>
      <c r="AN295" s="41">
        <f t="shared" si="164"/>
        <v>1.1576603674503072</v>
      </c>
      <c r="AO295" s="41">
        <f t="shared" si="164"/>
        <v>0.17338525374849642</v>
      </c>
      <c r="AP295" s="41">
        <f t="shared" si="164"/>
        <v>2.1933329618119932E-2</v>
      </c>
      <c r="AQ295" s="41">
        <f t="shared" si="164"/>
        <v>1.9665462125918807E-3</v>
      </c>
      <c r="AR295" s="41">
        <f t="shared" si="164"/>
        <v>966.41145303692156</v>
      </c>
      <c r="AS295" s="41">
        <f t="shared" si="164"/>
        <v>523.42432016594921</v>
      </c>
      <c r="AT295" s="41">
        <f t="shared" si="164"/>
        <v>459.80727965103347</v>
      </c>
      <c r="AU295" s="41">
        <f t="shared" si="164"/>
        <v>334.60782538483392</v>
      </c>
      <c r="AV295" s="41">
        <f t="shared" si="164"/>
        <v>177.06818994588292</v>
      </c>
      <c r="AW295" s="41">
        <f t="shared" si="164"/>
        <v>77.818821104321785</v>
      </c>
      <c r="AX295" s="41">
        <f t="shared" si="164"/>
        <v>25.163392389910292</v>
      </c>
      <c r="AY295" s="41">
        <f t="shared" si="164"/>
        <v>5.9960668692583301</v>
      </c>
      <c r="AZ295" s="41">
        <f t="shared" si="164"/>
        <v>1.4247781050888897</v>
      </c>
      <c r="BA295" s="41">
        <f t="shared" si="164"/>
        <v>0.21339204505223172</v>
      </c>
      <c r="BB295" s="41">
        <f t="shared" si="164"/>
        <v>2.6994210642644595E-2</v>
      </c>
      <c r="BC295" s="41">
        <f t="shared" si="164"/>
        <v>2.4203057002956992E-3</v>
      </c>
      <c r="BD295" s="41">
        <f t="shared" si="164"/>
        <v>1063.9023299598655</v>
      </c>
      <c r="BE295" s="41">
        <f t="shared" si="164"/>
        <v>576.2269807877957</v>
      </c>
      <c r="BF295" s="41">
        <f t="shared" si="164"/>
        <v>506.19229999393684</v>
      </c>
      <c r="BG295" s="41">
        <f t="shared" si="164"/>
        <v>368.36281682200638</v>
      </c>
      <c r="BH295" s="41">
        <f t="shared" si="164"/>
        <v>194.93069877556974</v>
      </c>
      <c r="BI295" s="41">
        <f t="shared" si="164"/>
        <v>85.669126568655059</v>
      </c>
    </row>
    <row r="296" spans="5:61" x14ac:dyDescent="0.35">
      <c r="E296">
        <f t="shared" si="160"/>
        <v>8</v>
      </c>
      <c r="J296" t="str">
        <f t="shared" si="161"/>
        <v>Volume</v>
      </c>
      <c r="N296" s="41">
        <f t="shared" si="164"/>
        <v>0</v>
      </c>
      <c r="O296" s="41">
        <f t="shared" si="164"/>
        <v>0</v>
      </c>
      <c r="P296" s="41">
        <f t="shared" si="164"/>
        <v>0</v>
      </c>
      <c r="Q296" s="41">
        <f t="shared" si="164"/>
        <v>0</v>
      </c>
      <c r="R296" s="41">
        <f t="shared" si="164"/>
        <v>0</v>
      </c>
      <c r="S296" s="41">
        <f t="shared" si="164"/>
        <v>0</v>
      </c>
      <c r="T296" s="41">
        <f t="shared" si="164"/>
        <v>0</v>
      </c>
      <c r="U296" s="41">
        <f t="shared" si="164"/>
        <v>209.95359527617671</v>
      </c>
      <c r="V296" s="41">
        <f t="shared" si="164"/>
        <v>110.06675059103016</v>
      </c>
      <c r="W296" s="41">
        <f t="shared" si="164"/>
        <v>103.54103388007934</v>
      </c>
      <c r="X296" s="41">
        <f t="shared" si="164"/>
        <v>70.903447118002873</v>
      </c>
      <c r="Y296" s="41">
        <f t="shared" si="164"/>
        <v>40.258541595688222</v>
      </c>
      <c r="Z296" s="41">
        <f t="shared" si="164"/>
        <v>16.906195823386799</v>
      </c>
      <c r="AA296" s="41">
        <f t="shared" si="164"/>
        <v>5.1945309949496785</v>
      </c>
      <c r="AB296" s="41">
        <f t="shared" si="164"/>
        <v>1.5748843278570019</v>
      </c>
      <c r="AC296" s="41">
        <f t="shared" si="164"/>
        <v>0.30592833117064633</v>
      </c>
      <c r="AD296" s="41">
        <f t="shared" si="164"/>
        <v>4.9965332563802811E-2</v>
      </c>
      <c r="AE296" s="41">
        <f t="shared" si="164"/>
        <v>5.8157721574383951E-3</v>
      </c>
      <c r="AF296" s="41">
        <f t="shared" si="164"/>
        <v>5.7455304007789554E-4</v>
      </c>
      <c r="AG296" s="41">
        <f t="shared" si="164"/>
        <v>806.51326444365498</v>
      </c>
      <c r="AH296" s="41">
        <f t="shared" si="164"/>
        <v>422.80911745810931</v>
      </c>
      <c r="AI296" s="41">
        <f t="shared" si="164"/>
        <v>397.74130625697069</v>
      </c>
      <c r="AJ296" s="41">
        <f t="shared" si="164"/>
        <v>272.36766543686457</v>
      </c>
      <c r="AK296" s="41">
        <f t="shared" si="164"/>
        <v>154.64868682705253</v>
      </c>
      <c r="AL296" s="41">
        <f t="shared" si="164"/>
        <v>64.943261223545889</v>
      </c>
      <c r="AM296" s="41">
        <f t="shared" si="164"/>
        <v>19.954210093329074</v>
      </c>
      <c r="AN296" s="41">
        <f t="shared" si="164"/>
        <v>6.0497420809122326</v>
      </c>
      <c r="AO296" s="41">
        <f t="shared" si="164"/>
        <v>1.1751894828649045</v>
      </c>
      <c r="AP296" s="41">
        <f t="shared" si="164"/>
        <v>0.19193623915816804</v>
      </c>
      <c r="AQ296" s="41">
        <f t="shared" si="164"/>
        <v>2.2340638567232892E-2</v>
      </c>
      <c r="AR296" s="41">
        <f t="shared" si="164"/>
        <v>2.2070812711718762E-3</v>
      </c>
      <c r="AS296" s="41">
        <f t="shared" si="164"/>
        <v>954.72628199889596</v>
      </c>
      <c r="AT296" s="41">
        <f t="shared" si="164"/>
        <v>500.50878826459314</v>
      </c>
      <c r="AU296" s="41">
        <f t="shared" si="164"/>
        <v>470.83426306949599</v>
      </c>
      <c r="AV296" s="41">
        <f t="shared" si="164"/>
        <v>322.42069662503826</v>
      </c>
      <c r="AW296" s="41">
        <f t="shared" si="164"/>
        <v>183.06849037659995</v>
      </c>
      <c r="AX296" s="41">
        <f t="shared" si="164"/>
        <v>76.877890373705966</v>
      </c>
      <c r="AY296" s="41">
        <f t="shared" si="164"/>
        <v>23.621197136503937</v>
      </c>
      <c r="AZ296" s="41">
        <f t="shared" si="164"/>
        <v>7.16150374531765</v>
      </c>
      <c r="BA296" s="41">
        <f t="shared" si="164"/>
        <v>1.3911541633401123</v>
      </c>
      <c r="BB296" s="41">
        <f t="shared" si="164"/>
        <v>0.22720837966469765</v>
      </c>
      <c r="BC296" s="41">
        <f t="shared" si="164"/>
        <v>2.6446179792825354E-2</v>
      </c>
      <c r="BD296" s="41">
        <f t="shared" si="164"/>
        <v>2.6126768014768762E-3</v>
      </c>
      <c r="BE296" s="41">
        <f t="shared" si="164"/>
        <v>1050.948170025898</v>
      </c>
      <c r="BF296" s="41">
        <f t="shared" si="164"/>
        <v>550.95246148168997</v>
      </c>
      <c r="BG296" s="41">
        <f t="shared" si="164"/>
        <v>518.28719549060372</v>
      </c>
      <c r="BH296" s="41">
        <f t="shared" si="164"/>
        <v>354.91579888962451</v>
      </c>
      <c r="BI296" s="41">
        <f t="shared" si="164"/>
        <v>201.51900977092191</v>
      </c>
    </row>
    <row r="297" spans="5:61" x14ac:dyDescent="0.35">
      <c r="E297">
        <f t="shared" si="160"/>
        <v>9</v>
      </c>
      <c r="J297" t="str">
        <f t="shared" si="161"/>
        <v>Volume</v>
      </c>
      <c r="N297" s="41">
        <f t="shared" si="164"/>
        <v>0</v>
      </c>
      <c r="O297" s="41">
        <f t="shared" si="164"/>
        <v>0</v>
      </c>
      <c r="P297" s="41">
        <f t="shared" si="164"/>
        <v>0</v>
      </c>
      <c r="Q297" s="41">
        <f t="shared" si="164"/>
        <v>0</v>
      </c>
      <c r="R297" s="41">
        <f t="shared" si="164"/>
        <v>0</v>
      </c>
      <c r="S297" s="41">
        <f t="shared" si="164"/>
        <v>0</v>
      </c>
      <c r="T297" s="41">
        <f t="shared" si="164"/>
        <v>0</v>
      </c>
      <c r="U297" s="41">
        <f t="shared" si="164"/>
        <v>0</v>
      </c>
      <c r="V297" s="41">
        <f t="shared" si="164"/>
        <v>159.22196728320284</v>
      </c>
      <c r="W297" s="41">
        <f t="shared" si="164"/>
        <v>87.614181039922286</v>
      </c>
      <c r="X297" s="41">
        <f t="shared" si="164"/>
        <v>77.606689057134005</v>
      </c>
      <c r="Y297" s="41">
        <f t="shared" si="164"/>
        <v>56.944767879484395</v>
      </c>
      <c r="Z297" s="41">
        <f t="shared" si="164"/>
        <v>31.051973641418069</v>
      </c>
      <c r="AA297" s="41">
        <f t="shared" si="164"/>
        <v>12.289151630359958</v>
      </c>
      <c r="AB297" s="41">
        <f t="shared" si="164"/>
        <v>4.7574466669978106</v>
      </c>
      <c r="AC297" s="41">
        <f t="shared" si="164"/>
        <v>1.1980547032224531</v>
      </c>
      <c r="AD297" s="41">
        <f t="shared" si="164"/>
        <v>0.25264228672581285</v>
      </c>
      <c r="AE297" s="41">
        <f t="shared" si="164"/>
        <v>3.8157814458704711E-2</v>
      </c>
      <c r="AF297" s="41">
        <f t="shared" si="164"/>
        <v>4.8669282378532852E-3</v>
      </c>
      <c r="AG297" s="41">
        <f t="shared" si="164"/>
        <v>4.4316075915691502E-4</v>
      </c>
      <c r="AH297" s="41">
        <f t="shared" si="164"/>
        <v>822.5887647907274</v>
      </c>
      <c r="AI297" s="41">
        <f t="shared" si="164"/>
        <v>452.641316958429</v>
      </c>
      <c r="AJ297" s="41">
        <f t="shared" si="164"/>
        <v>400.93959131567993</v>
      </c>
      <c r="AK297" s="41">
        <f t="shared" si="164"/>
        <v>294.19386703069182</v>
      </c>
      <c r="AL297" s="41">
        <f t="shared" si="164"/>
        <v>160.4238728979891</v>
      </c>
      <c r="AM297" s="41">
        <f t="shared" si="164"/>
        <v>63.48946839705448</v>
      </c>
      <c r="AN297" s="41">
        <f t="shared" si="164"/>
        <v>24.57840613414113</v>
      </c>
      <c r="AO297" s="41">
        <f t="shared" si="164"/>
        <v>6.189512385075556</v>
      </c>
      <c r="AP297" s="41">
        <f t="shared" si="164"/>
        <v>1.3052263460735121</v>
      </c>
      <c r="AQ297" s="41">
        <f t="shared" si="164"/>
        <v>0.19713479237993914</v>
      </c>
      <c r="AR297" s="41">
        <f t="shared" si="164"/>
        <v>2.514402099039504E-2</v>
      </c>
      <c r="AS297" s="41">
        <f t="shared" si="164"/>
        <v>2.2895023073682672E-3</v>
      </c>
      <c r="AT297" s="41">
        <f t="shared" si="164"/>
        <v>997.47485537480588</v>
      </c>
      <c r="AU297" s="41">
        <f t="shared" si="164"/>
        <v>548.87490748142568</v>
      </c>
      <c r="AV297" s="41">
        <f t="shared" si="164"/>
        <v>486.18116120682254</v>
      </c>
      <c r="AW297" s="41">
        <f t="shared" si="164"/>
        <v>356.74081330693883</v>
      </c>
      <c r="AX297" s="41">
        <f t="shared" si="164"/>
        <v>194.53071360426117</v>
      </c>
      <c r="AY297" s="41">
        <f t="shared" si="164"/>
        <v>76.987616434667245</v>
      </c>
      <c r="AZ297" s="41">
        <f t="shared" si="164"/>
        <v>29.803886405174531</v>
      </c>
      <c r="BA297" s="41">
        <f t="shared" si="164"/>
        <v>7.5054307029278382</v>
      </c>
      <c r="BB297" s="41">
        <f t="shared" si="164"/>
        <v>1.5827233685987476</v>
      </c>
      <c r="BC297" s="41">
        <f t="shared" si="164"/>
        <v>0.23904654055000144</v>
      </c>
      <c r="BD297" s="41">
        <f t="shared" si="164"/>
        <v>3.0489753537195532E-2</v>
      </c>
      <c r="BE297" s="41">
        <f t="shared" si="164"/>
        <v>2.7762608494943915E-3</v>
      </c>
      <c r="BF297" s="41">
        <f t="shared" si="164"/>
        <v>1097.8292497304781</v>
      </c>
      <c r="BG297" s="41">
        <f t="shared" si="164"/>
        <v>604.09635854910869</v>
      </c>
      <c r="BH297" s="41">
        <f t="shared" si="164"/>
        <v>535.09509193614895</v>
      </c>
      <c r="BI297" s="41">
        <f t="shared" si="164"/>
        <v>392.63195188397646</v>
      </c>
    </row>
    <row r="298" spans="5:61" x14ac:dyDescent="0.35">
      <c r="E298">
        <f t="shared" si="160"/>
        <v>10</v>
      </c>
      <c r="J298" t="str">
        <f t="shared" si="161"/>
        <v>Volume</v>
      </c>
      <c r="N298" s="41">
        <f t="shared" si="164"/>
        <v>0</v>
      </c>
      <c r="O298" s="41">
        <f t="shared" si="164"/>
        <v>0</v>
      </c>
      <c r="P298" s="41">
        <f t="shared" si="164"/>
        <v>0</v>
      </c>
      <c r="Q298" s="41">
        <f t="shared" si="164"/>
        <v>0</v>
      </c>
      <c r="R298" s="41">
        <f t="shared" si="164"/>
        <v>0</v>
      </c>
      <c r="S298" s="41">
        <f t="shared" si="164"/>
        <v>0</v>
      </c>
      <c r="T298" s="41">
        <f t="shared" si="164"/>
        <v>0</v>
      </c>
      <c r="U298" s="41">
        <f t="shared" si="164"/>
        <v>0</v>
      </c>
      <c r="V298" s="41">
        <f t="shared" si="164"/>
        <v>0</v>
      </c>
      <c r="W298" s="41">
        <f t="shared" si="164"/>
        <v>191.86074240945507</v>
      </c>
      <c r="X298" s="41">
        <f t="shared" si="164"/>
        <v>100.58169499413931</v>
      </c>
      <c r="Y298" s="41">
        <f t="shared" si="164"/>
        <v>94.618335084679941</v>
      </c>
      <c r="Z298" s="41">
        <f t="shared" si="164"/>
        <v>66.429371871170133</v>
      </c>
      <c r="AA298" s="41">
        <f t="shared" si="164"/>
        <v>33.552292554499999</v>
      </c>
      <c r="AB298" s="41">
        <f t="shared" si="164"/>
        <v>16.468106442967251</v>
      </c>
      <c r="AC298" s="41">
        <f t="shared" si="164"/>
        <v>5.3289655413887589</v>
      </c>
      <c r="AD298" s="41">
        <f t="shared" si="164"/>
        <v>1.4391679073377874</v>
      </c>
      <c r="AE298" s="41">
        <f t="shared" si="164"/>
        <v>0.27956480890587543</v>
      </c>
      <c r="AF298" s="41">
        <f t="shared" si="164"/>
        <v>4.5659545804950026E-2</v>
      </c>
      <c r="AG298" s="41">
        <f t="shared" si="164"/>
        <v>5.3591348471499723E-3</v>
      </c>
      <c r="AH298" s="41">
        <f t="shared" si="164"/>
        <v>4.8050097818825004E-4</v>
      </c>
      <c r="AI298" s="41">
        <f t="shared" si="164"/>
        <v>970.7732304289907</v>
      </c>
      <c r="AJ298" s="41">
        <f t="shared" si="164"/>
        <v>508.92129231473348</v>
      </c>
      <c r="AK298" s="41">
        <f t="shared" si="164"/>
        <v>478.74800052603598</v>
      </c>
      <c r="AL298" s="41">
        <f t="shared" si="164"/>
        <v>336.11803601342962</v>
      </c>
      <c r="AM298" s="41">
        <f t="shared" si="164"/>
        <v>169.76723337137139</v>
      </c>
      <c r="AN298" s="41">
        <f t="shared" si="164"/>
        <v>83.325002759396938</v>
      </c>
      <c r="AO298" s="41">
        <f t="shared" si="164"/>
        <v>26.96339557791579</v>
      </c>
      <c r="AP298" s="41">
        <f t="shared" si="164"/>
        <v>7.2818736182852568</v>
      </c>
      <c r="AQ298" s="41">
        <f t="shared" si="164"/>
        <v>1.4145365500391476</v>
      </c>
      <c r="AR298" s="41">
        <f t="shared" si="164"/>
        <v>0.23102727647324806</v>
      </c>
      <c r="AS298" s="41">
        <f t="shared" si="164"/>
        <v>2.7116045640903187E-2</v>
      </c>
      <c r="AT298" s="41">
        <f t="shared" si="164"/>
        <v>2.4312294477867613E-3</v>
      </c>
      <c r="AU298" s="41">
        <f t="shared" si="164"/>
        <v>1142.0409095741513</v>
      </c>
      <c r="AV298" s="41">
        <f t="shared" si="164"/>
        <v>598.70721334160714</v>
      </c>
      <c r="AW298" s="41">
        <f t="shared" si="164"/>
        <v>563.21062925885212</v>
      </c>
      <c r="AX298" s="41">
        <f t="shared" si="164"/>
        <v>395.41731842298964</v>
      </c>
      <c r="AY298" s="41">
        <f t="shared" si="164"/>
        <v>199.71824473327408</v>
      </c>
      <c r="AZ298" s="41">
        <f t="shared" si="164"/>
        <v>98.025531564728382</v>
      </c>
      <c r="BA298" s="41">
        <f t="shared" si="164"/>
        <v>31.720385199953284</v>
      </c>
      <c r="BB298" s="41">
        <f t="shared" si="164"/>
        <v>8.5665707600481866</v>
      </c>
      <c r="BC298" s="41">
        <f t="shared" si="164"/>
        <v>1.664094721193238</v>
      </c>
      <c r="BD298" s="41">
        <f t="shared" si="164"/>
        <v>0.27178602859017187</v>
      </c>
      <c r="BE298" s="41">
        <f t="shared" si="164"/>
        <v>3.1899966394939104E-2</v>
      </c>
      <c r="BF298" s="41">
        <f t="shared" si="164"/>
        <v>2.8601566286565959E-3</v>
      </c>
      <c r="BG298" s="41">
        <f t="shared" si="164"/>
        <v>1256.7683212061734</v>
      </c>
      <c r="BH298" s="41">
        <f t="shared" si="164"/>
        <v>658.8522819956853</v>
      </c>
      <c r="BI298" s="41">
        <f t="shared" si="164"/>
        <v>619.78977380333663</v>
      </c>
    </row>
    <row r="299" spans="5:61" x14ac:dyDescent="0.35">
      <c r="E299">
        <f t="shared" si="160"/>
        <v>11</v>
      </c>
      <c r="J299" t="str">
        <f t="shared" si="161"/>
        <v>Volume</v>
      </c>
      <c r="N299" s="41">
        <f t="shared" si="164"/>
        <v>0</v>
      </c>
      <c r="O299" s="41">
        <f t="shared" si="164"/>
        <v>0</v>
      </c>
      <c r="P299" s="41">
        <f t="shared" si="164"/>
        <v>0</v>
      </c>
      <c r="Q299" s="41">
        <f t="shared" si="164"/>
        <v>0</v>
      </c>
      <c r="R299" s="41">
        <f t="shared" si="164"/>
        <v>0</v>
      </c>
      <c r="S299" s="41">
        <f t="shared" si="164"/>
        <v>0</v>
      </c>
      <c r="T299" s="41">
        <f t="shared" si="164"/>
        <v>0</v>
      </c>
      <c r="U299" s="41">
        <f t="shared" si="164"/>
        <v>0</v>
      </c>
      <c r="V299" s="41">
        <f t="shared" si="164"/>
        <v>0</v>
      </c>
      <c r="W299" s="41">
        <f t="shared" si="164"/>
        <v>0</v>
      </c>
      <c r="X299" s="41">
        <f t="shared" si="164"/>
        <v>237.09712241292397</v>
      </c>
      <c r="Y299" s="41">
        <f t="shared" si="164"/>
        <v>130.46610691715776</v>
      </c>
      <c r="Z299" s="41">
        <f t="shared" si="164"/>
        <v>118.92330369810163</v>
      </c>
      <c r="AA299" s="41">
        <f t="shared" si="164"/>
        <v>77.199495176205573</v>
      </c>
      <c r="AB299" s="41">
        <f t="shared" si="164"/>
        <v>48.464836500043063</v>
      </c>
      <c r="AC299" s="41">
        <f t="shared" si="164"/>
        <v>20.311863481828382</v>
      </c>
      <c r="AD299" s="41">
        <f t="shared" si="164"/>
        <v>7.0843045970650627</v>
      </c>
      <c r="AE299" s="41">
        <f t="shared" si="164"/>
        <v>1.7840209330040082</v>
      </c>
      <c r="AF299" s="41">
        <f t="shared" si="164"/>
        <v>0.37620913875512907</v>
      </c>
      <c r="AG299" s="41">
        <f t="shared" si="164"/>
        <v>5.7388285553955455E-2</v>
      </c>
      <c r="AH299" s="41">
        <f t="shared" si="164"/>
        <v>6.6797752794225812E-3</v>
      </c>
      <c r="AI299" s="41">
        <f t="shared" si="164"/>
        <v>6.5990982623360668E-4</v>
      </c>
      <c r="AJ299" s="41">
        <f t="shared" si="164"/>
        <v>975.05654524524766</v>
      </c>
      <c r="AK299" s="41">
        <f t="shared" si="164"/>
        <v>536.53890940393262</v>
      </c>
      <c r="AL299" s="41">
        <f t="shared" si="164"/>
        <v>489.06939263089782</v>
      </c>
      <c r="AM299" s="41">
        <f t="shared" si="164"/>
        <v>317.48117520419578</v>
      </c>
      <c r="AN299" s="41">
        <f t="shared" si="164"/>
        <v>199.31054229037696</v>
      </c>
      <c r="AO299" s="41">
        <f t="shared" si="164"/>
        <v>83.532078468638232</v>
      </c>
      <c r="AP299" s="41">
        <f t="shared" si="164"/>
        <v>29.134042183140213</v>
      </c>
      <c r="AQ299" s="41">
        <f t="shared" si="164"/>
        <v>7.3367456756837974</v>
      </c>
      <c r="AR299" s="41">
        <f t="shared" si="164"/>
        <v>1.5471515613142288</v>
      </c>
      <c r="AS299" s="41">
        <f t="shared" si="164"/>
        <v>0.23600802439235929</v>
      </c>
      <c r="AT299" s="41">
        <f t="shared" si="164"/>
        <v>2.7470424527654937E-2</v>
      </c>
      <c r="AU299" s="41">
        <f t="shared" si="164"/>
        <v>2.7138642122366743E-3</v>
      </c>
      <c r="AV299" s="41">
        <f t="shared" si="164"/>
        <v>1144.6445388541899</v>
      </c>
      <c r="AW299" s="41">
        <f t="shared" si="164"/>
        <v>629.85714574894064</v>
      </c>
      <c r="AX299" s="41">
        <f t="shared" si="164"/>
        <v>574.13143076219069</v>
      </c>
      <c r="AY299" s="41">
        <f t="shared" si="164"/>
        <v>372.69950666818943</v>
      </c>
      <c r="AZ299" s="41">
        <f t="shared" si="164"/>
        <v>233.97589081499373</v>
      </c>
      <c r="BA299" s="41">
        <f t="shared" si="164"/>
        <v>98.060505213282056</v>
      </c>
      <c r="BB299" s="41">
        <f t="shared" si="164"/>
        <v>34.201218834227994</v>
      </c>
      <c r="BC299" s="41">
        <f t="shared" si="164"/>
        <v>8.6127988285246389</v>
      </c>
      <c r="BD299" s="41">
        <f t="shared" si="164"/>
        <v>1.816241933941007</v>
      </c>
      <c r="BE299" s="41">
        <f t="shared" si="164"/>
        <v>0.27705603081566221</v>
      </c>
      <c r="BF299" s="41">
        <f t="shared" si="164"/>
        <v>3.2248254287321976E-2</v>
      </c>
      <c r="BG299" s="41">
        <f t="shared" si="164"/>
        <v>3.1858766190295228E-3</v>
      </c>
      <c r="BH299" s="41">
        <f t="shared" si="164"/>
        <v>1259.502711540114</v>
      </c>
      <c r="BI299" s="41">
        <f t="shared" si="164"/>
        <v>693.05950976520808</v>
      </c>
    </row>
    <row r="300" spans="5:61" x14ac:dyDescent="0.35">
      <c r="E300">
        <f t="shared" si="160"/>
        <v>12</v>
      </c>
      <c r="J300" t="str">
        <f t="shared" si="161"/>
        <v>Volume</v>
      </c>
      <c r="N300" s="41">
        <f t="shared" si="164"/>
        <v>0</v>
      </c>
      <c r="O300" s="41">
        <f t="shared" si="164"/>
        <v>0</v>
      </c>
      <c r="P300" s="41">
        <f t="shared" si="164"/>
        <v>0</v>
      </c>
      <c r="Q300" s="41">
        <f t="shared" si="164"/>
        <v>0</v>
      </c>
      <c r="R300" s="41">
        <f t="shared" si="164"/>
        <v>0</v>
      </c>
      <c r="S300" s="41">
        <f t="shared" si="164"/>
        <v>0</v>
      </c>
      <c r="T300" s="41">
        <f t="shared" si="164"/>
        <v>0</v>
      </c>
      <c r="U300" s="41">
        <f t="shared" si="164"/>
        <v>0</v>
      </c>
      <c r="V300" s="41">
        <f t="shared" si="164"/>
        <v>0</v>
      </c>
      <c r="W300" s="41">
        <f t="shared" si="164"/>
        <v>0</v>
      </c>
      <c r="X300" s="41">
        <f t="shared" si="164"/>
        <v>0</v>
      </c>
      <c r="Y300" s="41">
        <f t="shared" si="164"/>
        <v>336.52811079729884</v>
      </c>
      <c r="Z300" s="41">
        <f t="shared" si="164"/>
        <v>182.2691536376874</v>
      </c>
      <c r="AA300" s="41">
        <f t="shared" si="164"/>
        <v>150.68625106949426</v>
      </c>
      <c r="AB300" s="41">
        <f t="shared" si="164"/>
        <v>120.15116733411975</v>
      </c>
      <c r="AC300" s="41">
        <f t="shared" ref="AC300:BI300" si="165">AC190</f>
        <v>64.648841317538</v>
      </c>
      <c r="AD300" s="41">
        <f t="shared" si="165"/>
        <v>28.885433674770766</v>
      </c>
      <c r="AE300" s="41">
        <f t="shared" si="165"/>
        <v>9.3471268985305773</v>
      </c>
      <c r="AF300" s="41">
        <f t="shared" si="165"/>
        <v>2.52433327888874</v>
      </c>
      <c r="AG300" s="41">
        <f t="shared" si="165"/>
        <v>0.49614259278920292</v>
      </c>
      <c r="AH300" s="41">
        <f t="shared" si="165"/>
        <v>7.4308330633842387E-2</v>
      </c>
      <c r="AI300" s="41">
        <f t="shared" si="165"/>
        <v>9.4000445477817191E-3</v>
      </c>
      <c r="AJ300" s="41">
        <f t="shared" si="165"/>
        <v>8.4280965660423228E-4</v>
      </c>
      <c r="AK300" s="41">
        <f t="shared" si="165"/>
        <v>1104.3474688298149</v>
      </c>
      <c r="AL300" s="41">
        <f t="shared" si="165"/>
        <v>598.13273247409325</v>
      </c>
      <c r="AM300" s="41">
        <f t="shared" si="165"/>
        <v>494.49057780579824</v>
      </c>
      <c r="AN300" s="41">
        <f t="shared" si="165"/>
        <v>394.28693551934839</v>
      </c>
      <c r="AO300" s="41">
        <f t="shared" si="165"/>
        <v>212.15102685673324</v>
      </c>
      <c r="AP300" s="41">
        <f t="shared" si="165"/>
        <v>94.790166233687003</v>
      </c>
      <c r="AQ300" s="41">
        <f t="shared" si="165"/>
        <v>30.673443317312845</v>
      </c>
      <c r="AR300" s="41">
        <f t="shared" si="165"/>
        <v>8.2838282377628456</v>
      </c>
      <c r="AS300" s="41">
        <f t="shared" si="165"/>
        <v>1.6281368448754734</v>
      </c>
      <c r="AT300" s="41">
        <f t="shared" si="165"/>
        <v>0.24384951573297073</v>
      </c>
      <c r="AU300" s="41">
        <f t="shared" si="165"/>
        <v>3.0847097375122364E-2</v>
      </c>
      <c r="AV300" s="41">
        <f t="shared" si="165"/>
        <v>2.7657562061340888E-3</v>
      </c>
      <c r="AW300" s="41">
        <f t="shared" si="165"/>
        <v>1269.1442166267348</v>
      </c>
      <c r="AX300" s="41">
        <f t="shared" si="165"/>
        <v>687.38935853134535</v>
      </c>
      <c r="AY300" s="41">
        <f t="shared" si="165"/>
        <v>568.28115671205853</v>
      </c>
      <c r="AZ300" s="41">
        <f t="shared" si="165"/>
        <v>453.12458083151932</v>
      </c>
      <c r="BA300" s="41">
        <f t="shared" si="165"/>
        <v>243.80935926982124</v>
      </c>
      <c r="BB300" s="41">
        <f t="shared" si="165"/>
        <v>108.93527142869723</v>
      </c>
      <c r="BC300" s="41">
        <f t="shared" si="165"/>
        <v>35.250701693956351</v>
      </c>
      <c r="BD300" s="41">
        <f t="shared" si="165"/>
        <v>9.5199862327987184</v>
      </c>
      <c r="BE300" s="41">
        <f t="shared" si="165"/>
        <v>1.8710962979252672</v>
      </c>
      <c r="BF300" s="41">
        <f t="shared" si="165"/>
        <v>0.28023806940732171</v>
      </c>
      <c r="BG300" s="41">
        <f t="shared" si="165"/>
        <v>3.5450269356656065E-2</v>
      </c>
      <c r="BH300" s="41">
        <f t="shared" si="165"/>
        <v>3.1784774200949496E-3</v>
      </c>
      <c r="BI300" s="41">
        <f t="shared" si="165"/>
        <v>1396.3740240021104</v>
      </c>
    </row>
    <row r="301" spans="5:61" x14ac:dyDescent="0.35"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</row>
    <row r="302" spans="5:61" s="26" customFormat="1" x14ac:dyDescent="0.35">
      <c r="E302" s="26" t="str">
        <f>"Montant-"&amp;Paramétrage_général!I34</f>
        <v>Montant-Retrait total</v>
      </c>
      <c r="J302" s="26" t="s">
        <v>51</v>
      </c>
      <c r="N302" s="91">
        <f>SUMPRODUCT(N275:N286,N289:N300)</f>
        <v>0</v>
      </c>
      <c r="O302" s="91">
        <f t="shared" ref="O302:BI302" si="166">SUMPRODUCT(O275:O286,O289:O300)</f>
        <v>0</v>
      </c>
      <c r="P302" s="91">
        <f t="shared" si="166"/>
        <v>0</v>
      </c>
      <c r="Q302" s="91">
        <f t="shared" si="166"/>
        <v>7855.5677812393724</v>
      </c>
      <c r="R302" s="91">
        <f t="shared" si="166"/>
        <v>63837.593660377519</v>
      </c>
      <c r="S302" s="91">
        <f t="shared" si="166"/>
        <v>148589.79805984008</v>
      </c>
      <c r="T302" s="91">
        <f t="shared" si="166"/>
        <v>477857.85225839651</v>
      </c>
      <c r="U302" s="91">
        <f t="shared" si="166"/>
        <v>1142464.8424412545</v>
      </c>
      <c r="V302" s="91">
        <f t="shared" si="166"/>
        <v>1336153.0655025984</v>
      </c>
      <c r="W302" s="91">
        <f t="shared" si="166"/>
        <v>1680556.8474619668</v>
      </c>
      <c r="X302" s="91">
        <f t="shared" si="166"/>
        <v>1858123.7378427354</v>
      </c>
      <c r="Y302" s="91">
        <f t="shared" si="166"/>
        <v>2315038.6593201039</v>
      </c>
      <c r="Z302" s="91">
        <f t="shared" si="166"/>
        <v>2081269.2487539733</v>
      </c>
      <c r="AA302" s="91">
        <f t="shared" si="166"/>
        <v>1919215.2653359529</v>
      </c>
      <c r="AB302" s="91">
        <f t="shared" si="166"/>
        <v>2348806.8708202713</v>
      </c>
      <c r="AC302" s="91">
        <f t="shared" si="166"/>
        <v>2629394.149165689</v>
      </c>
      <c r="AD302" s="91">
        <f t="shared" si="166"/>
        <v>3185583.6196583686</v>
      </c>
      <c r="AE302" s="91">
        <f t="shared" si="166"/>
        <v>4165922.8100996241</v>
      </c>
      <c r="AF302" s="91">
        <f t="shared" si="166"/>
        <v>5019272.9909919463</v>
      </c>
      <c r="AG302" s="91">
        <f t="shared" si="166"/>
        <v>5677377.5339340437</v>
      </c>
      <c r="AH302" s="91">
        <f t="shared" si="166"/>
        <v>5925209.4157633493</v>
      </c>
      <c r="AI302" s="91">
        <f t="shared" si="166"/>
        <v>7023517.7781743025</v>
      </c>
      <c r="AJ302" s="91">
        <f t="shared" si="166"/>
        <v>7172685.0122190434</v>
      </c>
      <c r="AK302" s="91">
        <f t="shared" si="166"/>
        <v>7973180.2806325871</v>
      </c>
      <c r="AL302" s="91">
        <f t="shared" si="166"/>
        <v>6339595.4108435251</v>
      </c>
      <c r="AM302" s="91">
        <f t="shared" si="166"/>
        <v>5279907.7027921677</v>
      </c>
      <c r="AN302" s="91">
        <f t="shared" si="166"/>
        <v>5646007.2834848957</v>
      </c>
      <c r="AO302" s="91">
        <f t="shared" si="166"/>
        <v>5570441.1925550811</v>
      </c>
      <c r="AP302" s="91">
        <f t="shared" si="166"/>
        <v>6274196.8575250618</v>
      </c>
      <c r="AQ302" s="91">
        <f t="shared" si="166"/>
        <v>6719295.2742275158</v>
      </c>
      <c r="AR302" s="91">
        <f t="shared" si="166"/>
        <v>7576630.6584213981</v>
      </c>
      <c r="AS302" s="91">
        <f t="shared" si="166"/>
        <v>7950265.0354131646</v>
      </c>
      <c r="AT302" s="91">
        <f t="shared" si="166"/>
        <v>8172610.2256146083</v>
      </c>
      <c r="AU302" s="91">
        <f t="shared" si="166"/>
        <v>9032280.2816271223</v>
      </c>
      <c r="AV302" s="91">
        <f t="shared" si="166"/>
        <v>9223547.4221260343</v>
      </c>
      <c r="AW302" s="91">
        <f t="shared" si="166"/>
        <v>10117341.669146176</v>
      </c>
      <c r="AX302" s="91">
        <f t="shared" si="166"/>
        <v>7793147.1474315217</v>
      </c>
      <c r="AY302" s="91">
        <f t="shared" si="166"/>
        <v>6312162.705310259</v>
      </c>
      <c r="AZ302" s="91">
        <f t="shared" si="166"/>
        <v>6528270.8936346415</v>
      </c>
      <c r="BA302" s="91">
        <f t="shared" si="166"/>
        <v>6255681.5730495462</v>
      </c>
      <c r="BB302" s="91">
        <f t="shared" si="166"/>
        <v>6936776.1455683038</v>
      </c>
      <c r="BC302" s="91">
        <f t="shared" si="166"/>
        <v>7395223.8696027249</v>
      </c>
      <c r="BD302" s="91">
        <f t="shared" si="166"/>
        <v>8352683.9167759512</v>
      </c>
      <c r="BE302" s="91">
        <f t="shared" si="166"/>
        <v>8793707.5162502825</v>
      </c>
      <c r="BF302" s="91">
        <f t="shared" si="166"/>
        <v>9078953.7484260071</v>
      </c>
      <c r="BG302" s="91">
        <f t="shared" si="166"/>
        <v>10074809.634011021</v>
      </c>
      <c r="BH302" s="91">
        <f t="shared" si="166"/>
        <v>10331260.945145551</v>
      </c>
      <c r="BI302" s="91">
        <f t="shared" si="166"/>
        <v>11380682.607804123</v>
      </c>
    </row>
    <row r="303" spans="5:61" x14ac:dyDescent="0.35"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</row>
    <row r="304" spans="5:61" x14ac:dyDescent="0.35"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</row>
    <row r="305" spans="4:61" x14ac:dyDescent="0.35">
      <c r="D305" s="1" t="s">
        <v>93</v>
      </c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</row>
    <row r="306" spans="4:61" x14ac:dyDescent="0.35"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</row>
    <row r="307" spans="4:61" s="4" customFormat="1" x14ac:dyDescent="0.35">
      <c r="E307" s="4" t="str">
        <f>Time!E$38</f>
        <v>Bool-Projeté</v>
      </c>
      <c r="J307" s="4" t="str">
        <f>Time!J$38</f>
        <v>booléen</v>
      </c>
      <c r="N307" s="83">
        <f>Time!N$38</f>
        <v>0</v>
      </c>
      <c r="O307" s="83">
        <f>Time!O$38</f>
        <v>0</v>
      </c>
      <c r="P307" s="83">
        <f>Time!P$38</f>
        <v>0</v>
      </c>
      <c r="Q307" s="83">
        <f>Time!Q$38</f>
        <v>0</v>
      </c>
      <c r="R307" s="83">
        <f>Time!R$38</f>
        <v>0</v>
      </c>
      <c r="S307" s="83">
        <f>Time!S$38</f>
        <v>0</v>
      </c>
      <c r="T307" s="83">
        <f>Time!T$38</f>
        <v>0</v>
      </c>
      <c r="U307" s="83">
        <f>Time!U$38</f>
        <v>0</v>
      </c>
      <c r="V307" s="83">
        <f>Time!V$38</f>
        <v>0</v>
      </c>
      <c r="W307" s="83">
        <f>Time!W$38</f>
        <v>0</v>
      </c>
      <c r="X307" s="83">
        <f>Time!X$38</f>
        <v>0</v>
      </c>
      <c r="Y307" s="83">
        <f>Time!Y$38</f>
        <v>0</v>
      </c>
      <c r="Z307" s="83">
        <f>Time!Z$38</f>
        <v>0</v>
      </c>
      <c r="AA307" s="83">
        <f>Time!AA$38</f>
        <v>0</v>
      </c>
      <c r="AB307" s="83">
        <f>Time!AB$38</f>
        <v>0</v>
      </c>
      <c r="AC307" s="83">
        <f>Time!AC$38</f>
        <v>0</v>
      </c>
      <c r="AD307" s="83">
        <f>Time!AD$38</f>
        <v>0</v>
      </c>
      <c r="AE307" s="83">
        <f>Time!AE$38</f>
        <v>0</v>
      </c>
      <c r="AF307" s="83">
        <f>Time!AF$38</f>
        <v>0</v>
      </c>
      <c r="AG307" s="83">
        <f>Time!AG$38</f>
        <v>0</v>
      </c>
      <c r="AH307" s="83">
        <f>Time!AH$38</f>
        <v>0</v>
      </c>
      <c r="AI307" s="83">
        <f>Time!AI$38</f>
        <v>0</v>
      </c>
      <c r="AJ307" s="83">
        <f>Time!AJ$38</f>
        <v>0</v>
      </c>
      <c r="AK307" s="83">
        <f>Time!AK$38</f>
        <v>0</v>
      </c>
      <c r="AL307" s="83">
        <f>Time!AL$38</f>
        <v>1</v>
      </c>
      <c r="AM307" s="83">
        <f>Time!AM$38</f>
        <v>1</v>
      </c>
      <c r="AN307" s="83">
        <f>Time!AN$38</f>
        <v>1</v>
      </c>
      <c r="AO307" s="83">
        <f>Time!AO$38</f>
        <v>1</v>
      </c>
      <c r="AP307" s="83">
        <f>Time!AP$38</f>
        <v>1</v>
      </c>
      <c r="AQ307" s="83">
        <f>Time!AQ$38</f>
        <v>1</v>
      </c>
      <c r="AR307" s="83">
        <f>Time!AR$38</f>
        <v>1</v>
      </c>
      <c r="AS307" s="83">
        <f>Time!AS$38</f>
        <v>1</v>
      </c>
      <c r="AT307" s="83">
        <f>Time!AT$38</f>
        <v>1</v>
      </c>
      <c r="AU307" s="83">
        <f>Time!AU$38</f>
        <v>1</v>
      </c>
      <c r="AV307" s="83">
        <f>Time!AV$38</f>
        <v>1</v>
      </c>
      <c r="AW307" s="83">
        <f>Time!AW$38</f>
        <v>1</v>
      </c>
      <c r="AX307" s="83">
        <f>Time!AX$38</f>
        <v>1</v>
      </c>
      <c r="AY307" s="83">
        <f>Time!AY$38</f>
        <v>1</v>
      </c>
      <c r="AZ307" s="83">
        <f>Time!AZ$38</f>
        <v>1</v>
      </c>
      <c r="BA307" s="83">
        <f>Time!BA$38</f>
        <v>1</v>
      </c>
      <c r="BB307" s="83">
        <f>Time!BB$38</f>
        <v>1</v>
      </c>
      <c r="BC307" s="83">
        <f>Time!BC$38</f>
        <v>1</v>
      </c>
      <c r="BD307" s="83">
        <f>Time!BD$38</f>
        <v>1</v>
      </c>
      <c r="BE307" s="83">
        <f>Time!BE$38</f>
        <v>1</v>
      </c>
      <c r="BF307" s="83">
        <f>Time!BF$38</f>
        <v>1</v>
      </c>
      <c r="BG307" s="83">
        <f>Time!BG$38</f>
        <v>1</v>
      </c>
      <c r="BH307" s="83">
        <f>Time!BH$38</f>
        <v>1</v>
      </c>
      <c r="BI307" s="83">
        <f>Time!BI$38</f>
        <v>1</v>
      </c>
    </row>
    <row r="308" spans="4:61" s="4" customFormat="1" x14ac:dyDescent="0.35">
      <c r="E308" s="4" t="str">
        <f>Données_historiques!E17</f>
        <v>Paiement du solde-Exécution</v>
      </c>
      <c r="J308" s="4" t="str">
        <f>Données_historiques!J17</f>
        <v>Volume</v>
      </c>
      <c r="N308" s="85">
        <f>Données_historiques!N17</f>
        <v>0</v>
      </c>
      <c r="O308" s="85">
        <f>Données_historiques!O17</f>
        <v>0</v>
      </c>
      <c r="P308" s="85">
        <f>Données_historiques!P17</f>
        <v>0</v>
      </c>
      <c r="Q308" s="85">
        <f>Données_historiques!Q17</f>
        <v>0</v>
      </c>
      <c r="R308" s="85">
        <f>Données_historiques!R17</f>
        <v>21</v>
      </c>
      <c r="S308" s="85">
        <f>Données_historiques!S17</f>
        <v>486</v>
      </c>
      <c r="T308" s="85">
        <f>Données_historiques!T17</f>
        <v>1328</v>
      </c>
      <c r="U308" s="85">
        <f>Données_historiques!U17</f>
        <v>1620</v>
      </c>
      <c r="V308" s="85">
        <f>Données_historiques!V17</f>
        <v>2404</v>
      </c>
      <c r="W308" s="85">
        <f>Données_historiques!W17</f>
        <v>3558</v>
      </c>
      <c r="X308" s="85">
        <f>Données_historiques!X17</f>
        <v>18930</v>
      </c>
      <c r="Y308" s="85">
        <f>Données_historiques!Y17</f>
        <v>24201</v>
      </c>
      <c r="Z308" s="85">
        <f>Données_historiques!Z17</f>
        <v>11896</v>
      </c>
      <c r="AA308" s="85">
        <f>Données_historiques!AA17</f>
        <v>18436</v>
      </c>
      <c r="AB308" s="85">
        <f>Données_historiques!AB17</f>
        <v>26308</v>
      </c>
      <c r="AC308" s="85">
        <f>Données_historiques!AC17</f>
        <v>25819</v>
      </c>
      <c r="AD308" s="85">
        <f>Données_historiques!AD17</f>
        <v>25351</v>
      </c>
      <c r="AE308" s="85">
        <f>Données_historiques!AE17</f>
        <v>32358</v>
      </c>
      <c r="AF308" s="85">
        <f>Données_historiques!AF17</f>
        <v>36220</v>
      </c>
      <c r="AG308" s="85">
        <f>Données_historiques!AG17</f>
        <v>37185</v>
      </c>
      <c r="AH308" s="85">
        <f>Données_historiques!AH17</f>
        <v>39041</v>
      </c>
      <c r="AI308" s="85">
        <f>Données_historiques!AI17</f>
        <v>36356</v>
      </c>
      <c r="AJ308" s="85">
        <f>Données_historiques!AJ17</f>
        <v>33503</v>
      </c>
      <c r="AK308" s="85">
        <f>Données_historiques!AK17</f>
        <v>41862</v>
      </c>
      <c r="AL308" s="85">
        <f>Données_historiques!AL17</f>
        <v>0</v>
      </c>
      <c r="AM308" s="85">
        <f>Données_historiques!AM17</f>
        <v>0</v>
      </c>
      <c r="AN308" s="85">
        <f>Données_historiques!AN17</f>
        <v>0</v>
      </c>
      <c r="AO308" s="85">
        <f>Données_historiques!AO17</f>
        <v>0</v>
      </c>
      <c r="AP308" s="85">
        <f>Données_historiques!AP17</f>
        <v>0</v>
      </c>
      <c r="AQ308" s="85">
        <f>Données_historiques!AQ17</f>
        <v>0</v>
      </c>
      <c r="AR308" s="85">
        <f>Données_historiques!AR17</f>
        <v>0</v>
      </c>
      <c r="AS308" s="85">
        <f>Données_historiques!AS17</f>
        <v>0</v>
      </c>
      <c r="AT308" s="85">
        <f>Données_historiques!AT17</f>
        <v>0</v>
      </c>
      <c r="AU308" s="85">
        <f>Données_historiques!AU17</f>
        <v>0</v>
      </c>
      <c r="AV308" s="85">
        <f>Données_historiques!AV17</f>
        <v>0</v>
      </c>
      <c r="AW308" s="85">
        <f>Données_historiques!AW17</f>
        <v>0</v>
      </c>
      <c r="AX308" s="85">
        <f>Données_historiques!AX17</f>
        <v>0</v>
      </c>
      <c r="AY308" s="85">
        <f>Données_historiques!AY17</f>
        <v>0</v>
      </c>
      <c r="AZ308" s="85">
        <f>Données_historiques!AZ17</f>
        <v>0</v>
      </c>
      <c r="BA308" s="85">
        <f>Données_historiques!BA17</f>
        <v>0</v>
      </c>
      <c r="BB308" s="85">
        <f>Données_historiques!BB17</f>
        <v>0</v>
      </c>
      <c r="BC308" s="85">
        <f>Données_historiques!BC17</f>
        <v>0</v>
      </c>
      <c r="BD308" s="85">
        <f>Données_historiques!BD17</f>
        <v>0</v>
      </c>
      <c r="BE308" s="85">
        <f>Données_historiques!BE17</f>
        <v>0</v>
      </c>
      <c r="BF308" s="85">
        <f>Données_historiques!BF17</f>
        <v>0</v>
      </c>
      <c r="BG308" s="85">
        <f>Données_historiques!BG17</f>
        <v>0</v>
      </c>
      <c r="BH308" s="85">
        <f>Données_historiques!BH17</f>
        <v>0</v>
      </c>
      <c r="BI308" s="85">
        <f>Données_historiques!BI17</f>
        <v>0</v>
      </c>
    </row>
    <row r="309" spans="4:61" s="4" customFormat="1" x14ac:dyDescent="0.35">
      <c r="E309" s="4" t="str">
        <f>Données_historiques!E28</f>
        <v>Paiement du solde-Exécution</v>
      </c>
      <c r="J309" s="4" t="str">
        <f>Données_historiques!J28</f>
        <v>EUR</v>
      </c>
      <c r="N309" s="85">
        <f>Données_historiques!N28</f>
        <v>0</v>
      </c>
      <c r="O309" s="85">
        <f>Données_historiques!O28</f>
        <v>0</v>
      </c>
      <c r="P309" s="85">
        <f>Données_historiques!P28</f>
        <v>0</v>
      </c>
      <c r="Q309" s="85">
        <f>Données_historiques!Q28</f>
        <v>0</v>
      </c>
      <c r="R309" s="85">
        <f>Données_historiques!R28</f>
        <v>44685</v>
      </c>
      <c r="S309" s="85">
        <f>Données_historiques!S28</f>
        <v>988666</v>
      </c>
      <c r="T309" s="85">
        <f>Données_historiques!T28</f>
        <v>2666424.33</v>
      </c>
      <c r="U309" s="85">
        <f>Données_historiques!U28</f>
        <v>4061805.18</v>
      </c>
      <c r="V309" s="85">
        <f>Données_historiques!V28</f>
        <v>5735487.3700000001</v>
      </c>
      <c r="W309" s="85">
        <f>Données_historiques!W28</f>
        <v>8219430.8699999992</v>
      </c>
      <c r="X309" s="85">
        <f>Données_historiques!X28</f>
        <v>54109248.850000001</v>
      </c>
      <c r="Y309" s="85">
        <f>Données_historiques!Y28</f>
        <v>89012201.930000007</v>
      </c>
      <c r="Z309" s="85">
        <f>Données_historiques!Z28</f>
        <v>55583454.609999999</v>
      </c>
      <c r="AA309" s="85">
        <f>Données_historiques!AA28</f>
        <v>61614261.5</v>
      </c>
      <c r="AB309" s="85">
        <f>Données_historiques!AB28</f>
        <v>77492797.739999995</v>
      </c>
      <c r="AC309" s="85">
        <f>Données_historiques!AC28</f>
        <v>74397889.829999998</v>
      </c>
      <c r="AD309" s="85">
        <f>Données_historiques!AD28</f>
        <v>66504607.289999999</v>
      </c>
      <c r="AE309" s="85">
        <f>Données_historiques!AE28</f>
        <v>75983810.540000007</v>
      </c>
      <c r="AF309" s="85">
        <f>Données_historiques!AF28</f>
        <v>100634064.84</v>
      </c>
      <c r="AG309" s="85">
        <f>Données_historiques!AG28</f>
        <v>107300199.77</v>
      </c>
      <c r="AH309" s="85">
        <f>Données_historiques!AH28</f>
        <v>117185658.33</v>
      </c>
      <c r="AI309" s="85">
        <f>Données_historiques!AI28</f>
        <v>107755481.53</v>
      </c>
      <c r="AJ309" s="85">
        <f>Données_historiques!AJ28</f>
        <v>100754852.08</v>
      </c>
      <c r="AK309" s="85">
        <f>Données_historiques!AK28</f>
        <v>124269933.77</v>
      </c>
      <c r="AL309" s="85">
        <f>Données_historiques!AL28</f>
        <v>0</v>
      </c>
      <c r="AM309" s="85">
        <f>Données_historiques!AM28</f>
        <v>0</v>
      </c>
      <c r="AN309" s="85">
        <f>Données_historiques!AN28</f>
        <v>0</v>
      </c>
      <c r="AO309" s="85">
        <f>Données_historiques!AO28</f>
        <v>0</v>
      </c>
      <c r="AP309" s="85">
        <f>Données_historiques!AP28</f>
        <v>0</v>
      </c>
      <c r="AQ309" s="85">
        <f>Données_historiques!AQ28</f>
        <v>0</v>
      </c>
      <c r="AR309" s="85">
        <f>Données_historiques!AR28</f>
        <v>0</v>
      </c>
      <c r="AS309" s="85">
        <f>Données_historiques!AS28</f>
        <v>0</v>
      </c>
      <c r="AT309" s="85">
        <f>Données_historiques!AT28</f>
        <v>0</v>
      </c>
      <c r="AU309" s="85">
        <f>Données_historiques!AU28</f>
        <v>0</v>
      </c>
      <c r="AV309" s="85">
        <f>Données_historiques!AV28</f>
        <v>0</v>
      </c>
      <c r="AW309" s="85">
        <f>Données_historiques!AW28</f>
        <v>0</v>
      </c>
      <c r="AX309" s="85">
        <f>Données_historiques!AX28</f>
        <v>0</v>
      </c>
      <c r="AY309" s="85">
        <f>Données_historiques!AY28</f>
        <v>0</v>
      </c>
      <c r="AZ309" s="85">
        <f>Données_historiques!AZ28</f>
        <v>0</v>
      </c>
      <c r="BA309" s="85">
        <f>Données_historiques!BA28</f>
        <v>0</v>
      </c>
      <c r="BB309" s="85">
        <f>Données_historiques!BB28</f>
        <v>0</v>
      </c>
      <c r="BC309" s="85">
        <f>Données_historiques!BC28</f>
        <v>0</v>
      </c>
      <c r="BD309" s="85">
        <f>Données_historiques!BD28</f>
        <v>0</v>
      </c>
      <c r="BE309" s="85">
        <f>Données_historiques!BE28</f>
        <v>0</v>
      </c>
      <c r="BF309" s="85">
        <f>Données_historiques!BF28</f>
        <v>0</v>
      </c>
      <c r="BG309" s="85">
        <f>Données_historiques!BG28</f>
        <v>0</v>
      </c>
      <c r="BH309" s="85">
        <f>Données_historiques!BH28</f>
        <v>0</v>
      </c>
      <c r="BI309" s="85">
        <f>Données_historiques!BI28</f>
        <v>0</v>
      </c>
    </row>
    <row r="310" spans="4:61" s="4" customFormat="1" x14ac:dyDescent="0.35">
      <c r="E310" s="4" t="str">
        <f>Données_historiques!E18</f>
        <v>Rejet paiement-Exécution</v>
      </c>
      <c r="J310" s="4" t="str">
        <f>Données_historiques!J18</f>
        <v>Volume</v>
      </c>
      <c r="N310" s="85">
        <f>Données_historiques!N18</f>
        <v>0</v>
      </c>
      <c r="O310" s="85">
        <f>Données_historiques!O18</f>
        <v>0</v>
      </c>
      <c r="P310" s="85">
        <f>Données_historiques!P18</f>
        <v>0</v>
      </c>
      <c r="Q310" s="85">
        <f>Données_historiques!Q18</f>
        <v>0</v>
      </c>
      <c r="R310" s="85">
        <f>Données_historiques!R18</f>
        <v>0</v>
      </c>
      <c r="S310" s="85">
        <f>Données_historiques!S18</f>
        <v>0</v>
      </c>
      <c r="T310" s="85">
        <f>Données_historiques!T18</f>
        <v>2</v>
      </c>
      <c r="U310" s="85">
        <f>Données_historiques!U18</f>
        <v>0</v>
      </c>
      <c r="V310" s="85">
        <f>Données_historiques!V18</f>
        <v>0</v>
      </c>
      <c r="W310" s="85">
        <f>Données_historiques!W18</f>
        <v>8</v>
      </c>
      <c r="X310" s="85">
        <f>Données_historiques!X18</f>
        <v>11</v>
      </c>
      <c r="Y310" s="85">
        <f>Données_historiques!Y18</f>
        <v>697</v>
      </c>
      <c r="Z310" s="85">
        <f>Données_historiques!Z18</f>
        <v>839</v>
      </c>
      <c r="AA310" s="85">
        <f>Données_historiques!AA18</f>
        <v>1108</v>
      </c>
      <c r="AB310" s="85">
        <f>Données_historiques!AB18</f>
        <v>482</v>
      </c>
      <c r="AC310" s="85">
        <f>Données_historiques!AC18</f>
        <v>1169</v>
      </c>
      <c r="AD310" s="85">
        <f>Données_historiques!AD18</f>
        <v>651</v>
      </c>
      <c r="AE310" s="85">
        <f>Données_historiques!AE18</f>
        <v>1158</v>
      </c>
      <c r="AF310" s="85">
        <f>Données_historiques!AF18</f>
        <v>1274</v>
      </c>
      <c r="AG310" s="85">
        <f>Données_historiques!AG18</f>
        <v>1794</v>
      </c>
      <c r="AH310" s="85">
        <f>Données_historiques!AH18</f>
        <v>2191</v>
      </c>
      <c r="AI310" s="85">
        <f>Données_historiques!AI18</f>
        <v>2652</v>
      </c>
      <c r="AJ310" s="85">
        <f>Données_historiques!AJ18</f>
        <v>3615</v>
      </c>
      <c r="AK310" s="85">
        <f>Données_historiques!AK18</f>
        <v>2039</v>
      </c>
      <c r="AL310" s="85">
        <f>Données_historiques!AL18</f>
        <v>0</v>
      </c>
      <c r="AM310" s="85">
        <f>Données_historiques!AM18</f>
        <v>0</v>
      </c>
      <c r="AN310" s="85">
        <f>Données_historiques!AN18</f>
        <v>0</v>
      </c>
      <c r="AO310" s="85">
        <f>Données_historiques!AO18</f>
        <v>0</v>
      </c>
      <c r="AP310" s="85">
        <f>Données_historiques!AP18</f>
        <v>0</v>
      </c>
      <c r="AQ310" s="85">
        <f>Données_historiques!AQ18</f>
        <v>0</v>
      </c>
      <c r="AR310" s="85">
        <f>Données_historiques!AR18</f>
        <v>0</v>
      </c>
      <c r="AS310" s="85">
        <f>Données_historiques!AS18</f>
        <v>0</v>
      </c>
      <c r="AT310" s="85">
        <f>Données_historiques!AT18</f>
        <v>0</v>
      </c>
      <c r="AU310" s="85">
        <f>Données_historiques!AU18</f>
        <v>0</v>
      </c>
      <c r="AV310" s="85">
        <f>Données_historiques!AV18</f>
        <v>0</v>
      </c>
      <c r="AW310" s="85">
        <f>Données_historiques!AW18</f>
        <v>0</v>
      </c>
      <c r="AX310" s="85">
        <f>Données_historiques!AX18</f>
        <v>0</v>
      </c>
      <c r="AY310" s="85">
        <f>Données_historiques!AY18</f>
        <v>0</v>
      </c>
      <c r="AZ310" s="85">
        <f>Données_historiques!AZ18</f>
        <v>0</v>
      </c>
      <c r="BA310" s="85">
        <f>Données_historiques!BA18</f>
        <v>0</v>
      </c>
      <c r="BB310" s="85">
        <f>Données_historiques!BB18</f>
        <v>0</v>
      </c>
      <c r="BC310" s="85">
        <f>Données_historiques!BC18</f>
        <v>0</v>
      </c>
      <c r="BD310" s="85">
        <f>Données_historiques!BD18</f>
        <v>0</v>
      </c>
      <c r="BE310" s="85">
        <f>Données_historiques!BE18</f>
        <v>0</v>
      </c>
      <c r="BF310" s="85">
        <f>Données_historiques!BF18</f>
        <v>0</v>
      </c>
      <c r="BG310" s="85">
        <f>Données_historiques!BG18</f>
        <v>0</v>
      </c>
      <c r="BH310" s="85">
        <f>Données_historiques!BH18</f>
        <v>0</v>
      </c>
      <c r="BI310" s="85">
        <f>Données_historiques!BI18</f>
        <v>0</v>
      </c>
    </row>
    <row r="311" spans="4:61" s="4" customFormat="1" x14ac:dyDescent="0.35">
      <c r="E311" s="4" t="str">
        <f>Données_historiques!E19</f>
        <v>Retrait total-Exécution</v>
      </c>
      <c r="J311" s="4" t="str">
        <f>Données_historiques!J19</f>
        <v>Volume</v>
      </c>
      <c r="N311" s="85">
        <f>Données_historiques!N19</f>
        <v>0</v>
      </c>
      <c r="O311" s="85">
        <f>Données_historiques!O19</f>
        <v>0</v>
      </c>
      <c r="P311" s="85">
        <f>Données_historiques!P19</f>
        <v>0</v>
      </c>
      <c r="Q311" s="85">
        <f>Données_historiques!Q19</f>
        <v>0</v>
      </c>
      <c r="R311" s="85">
        <f>Données_historiques!R19</f>
        <v>0</v>
      </c>
      <c r="S311" s="85">
        <f>Données_historiques!S19</f>
        <v>0</v>
      </c>
      <c r="T311" s="85">
        <f>Données_historiques!T19</f>
        <v>2</v>
      </c>
      <c r="U311" s="85">
        <f>Données_historiques!U19</f>
        <v>0</v>
      </c>
      <c r="V311" s="85">
        <f>Données_historiques!V19</f>
        <v>0</v>
      </c>
      <c r="W311" s="85">
        <f>Données_historiques!W19</f>
        <v>8</v>
      </c>
      <c r="X311" s="85">
        <f>Données_historiques!X19</f>
        <v>9</v>
      </c>
      <c r="Y311" s="85">
        <f>Données_historiques!Y19</f>
        <v>713</v>
      </c>
      <c r="Z311" s="85">
        <f>Données_historiques!Z19</f>
        <v>38</v>
      </c>
      <c r="AA311" s="85">
        <f>Données_historiques!AA19</f>
        <v>422</v>
      </c>
      <c r="AB311" s="85">
        <f>Données_historiques!AB19</f>
        <v>136</v>
      </c>
      <c r="AC311" s="85">
        <f>Données_historiques!AC19</f>
        <v>598</v>
      </c>
      <c r="AD311" s="85">
        <f>Données_historiques!AD19</f>
        <v>383</v>
      </c>
      <c r="AE311" s="85">
        <f>Données_historiques!AE19</f>
        <v>952</v>
      </c>
      <c r="AF311" s="85">
        <f>Données_historiques!AF19</f>
        <v>1055</v>
      </c>
      <c r="AG311" s="85">
        <f>Données_historiques!AG19</f>
        <v>1537</v>
      </c>
      <c r="AH311" s="85">
        <f>Données_historiques!AH19</f>
        <v>1814</v>
      </c>
      <c r="AI311" s="85">
        <f>Données_historiques!AI19</f>
        <v>2403</v>
      </c>
      <c r="AJ311" s="85">
        <f>Données_historiques!AJ19</f>
        <v>3307</v>
      </c>
      <c r="AK311" s="85">
        <f>Données_historiques!AK19</f>
        <v>1661</v>
      </c>
      <c r="AL311" s="85">
        <f>Données_historiques!AL19</f>
        <v>0</v>
      </c>
      <c r="AM311" s="85">
        <f>Données_historiques!AM19</f>
        <v>0</v>
      </c>
      <c r="AN311" s="85">
        <f>Données_historiques!AN19</f>
        <v>0</v>
      </c>
      <c r="AO311" s="85">
        <f>Données_historiques!AO19</f>
        <v>0</v>
      </c>
      <c r="AP311" s="85">
        <f>Données_historiques!AP19</f>
        <v>0</v>
      </c>
      <c r="AQ311" s="85">
        <f>Données_historiques!AQ19</f>
        <v>0</v>
      </c>
      <c r="AR311" s="85">
        <f>Données_historiques!AR19</f>
        <v>0</v>
      </c>
      <c r="AS311" s="85">
        <f>Données_historiques!AS19</f>
        <v>0</v>
      </c>
      <c r="AT311" s="85">
        <f>Données_historiques!AT19</f>
        <v>0</v>
      </c>
      <c r="AU311" s="85">
        <f>Données_historiques!AU19</f>
        <v>0</v>
      </c>
      <c r="AV311" s="85">
        <f>Données_historiques!AV19</f>
        <v>0</v>
      </c>
      <c r="AW311" s="85">
        <f>Données_historiques!AW19</f>
        <v>0</v>
      </c>
      <c r="AX311" s="85">
        <f>Données_historiques!AX19</f>
        <v>0</v>
      </c>
      <c r="AY311" s="85">
        <f>Données_historiques!AY19</f>
        <v>0</v>
      </c>
      <c r="AZ311" s="85">
        <f>Données_historiques!AZ19</f>
        <v>0</v>
      </c>
      <c r="BA311" s="85">
        <f>Données_historiques!BA19</f>
        <v>0</v>
      </c>
      <c r="BB311" s="85">
        <f>Données_historiques!BB19</f>
        <v>0</v>
      </c>
      <c r="BC311" s="85">
        <f>Données_historiques!BC19</f>
        <v>0</v>
      </c>
      <c r="BD311" s="85">
        <f>Données_historiques!BD19</f>
        <v>0</v>
      </c>
      <c r="BE311" s="85">
        <f>Données_historiques!BE19</f>
        <v>0</v>
      </c>
      <c r="BF311" s="85">
        <f>Données_historiques!BF19</f>
        <v>0</v>
      </c>
      <c r="BG311" s="85">
        <f>Données_historiques!BG19</f>
        <v>0</v>
      </c>
      <c r="BH311" s="85">
        <f>Données_historiques!BH19</f>
        <v>0</v>
      </c>
      <c r="BI311" s="85">
        <f>Données_historiques!BI19</f>
        <v>0</v>
      </c>
    </row>
    <row r="312" spans="4:61" s="4" customFormat="1" x14ac:dyDescent="0.35">
      <c r="E312" s="4" t="str">
        <f>Données_historiques!E29</f>
        <v>Retrait total-Exécution</v>
      </c>
      <c r="J312" s="4" t="str">
        <f>Données_historiques!J29</f>
        <v>EUR</v>
      </c>
      <c r="N312" s="85">
        <f>Données_historiques!N29</f>
        <v>0</v>
      </c>
      <c r="O312" s="85">
        <f>Données_historiques!O29</f>
        <v>0</v>
      </c>
      <c r="P312" s="85">
        <f>Données_historiques!P29</f>
        <v>0</v>
      </c>
      <c r="Q312" s="85">
        <f>Données_historiques!Q29</f>
        <v>0</v>
      </c>
      <c r="R312" s="85">
        <f>Données_historiques!R29</f>
        <v>0</v>
      </c>
      <c r="S312" s="85">
        <f>Données_historiques!S29</f>
        <v>0</v>
      </c>
      <c r="T312" s="85">
        <f>Données_historiques!T29</f>
        <v>7069</v>
      </c>
      <c r="U312" s="85">
        <f>Données_historiques!U29</f>
        <v>0</v>
      </c>
      <c r="V312" s="85">
        <f>Données_historiques!V29</f>
        <v>0</v>
      </c>
      <c r="W312" s="85">
        <f>Données_historiques!W29</f>
        <v>20051</v>
      </c>
      <c r="X312" s="85">
        <f>Données_historiques!X29</f>
        <v>44008.75</v>
      </c>
      <c r="Y312" s="85">
        <f>Données_historiques!Y29</f>
        <v>1930455.98</v>
      </c>
      <c r="Z312" s="85">
        <f>Données_historiques!Z29</f>
        <v>105150.25</v>
      </c>
      <c r="AA312" s="85">
        <f>Données_historiques!AA29</f>
        <v>970778.02</v>
      </c>
      <c r="AB312" s="85">
        <f>Données_historiques!AB29</f>
        <v>412208.31</v>
      </c>
      <c r="AC312" s="85">
        <f>Données_historiques!AC29</f>
        <v>1150063.3500000001</v>
      </c>
      <c r="AD312" s="85">
        <f>Données_historiques!AD29</f>
        <v>620467.68000000005</v>
      </c>
      <c r="AE312" s="85">
        <f>Données_historiques!AE29</f>
        <v>1976676.4000000001</v>
      </c>
      <c r="AF312" s="85">
        <f>Données_historiques!AF29</f>
        <v>2431454.67</v>
      </c>
      <c r="AG312" s="85">
        <f>Données_historiques!AG29</f>
        <v>3508259.18</v>
      </c>
      <c r="AH312" s="85">
        <f>Données_historiques!AH29</f>
        <v>4170771.129999999</v>
      </c>
      <c r="AI312" s="85">
        <f>Données_historiques!AI29</f>
        <v>5140150.7</v>
      </c>
      <c r="AJ312" s="85">
        <f>Données_historiques!AJ29</f>
        <v>7935632.1799999997</v>
      </c>
      <c r="AK312" s="85">
        <f>Données_historiques!AK29</f>
        <v>4311465.92</v>
      </c>
      <c r="AL312" s="85">
        <f>Données_historiques!AL29</f>
        <v>0</v>
      </c>
      <c r="AM312" s="85">
        <f>Données_historiques!AM29</f>
        <v>0</v>
      </c>
      <c r="AN312" s="85">
        <f>Données_historiques!AN29</f>
        <v>0</v>
      </c>
      <c r="AO312" s="85">
        <f>Données_historiques!AO29</f>
        <v>0</v>
      </c>
      <c r="AP312" s="85">
        <f>Données_historiques!AP29</f>
        <v>0</v>
      </c>
      <c r="AQ312" s="85">
        <f>Données_historiques!AQ29</f>
        <v>0</v>
      </c>
      <c r="AR312" s="85">
        <f>Données_historiques!AR29</f>
        <v>0</v>
      </c>
      <c r="AS312" s="85">
        <f>Données_historiques!AS29</f>
        <v>0</v>
      </c>
      <c r="AT312" s="85">
        <f>Données_historiques!AT29</f>
        <v>0</v>
      </c>
      <c r="AU312" s="85">
        <f>Données_historiques!AU29</f>
        <v>0</v>
      </c>
      <c r="AV312" s="85">
        <f>Données_historiques!AV29</f>
        <v>0</v>
      </c>
      <c r="AW312" s="85">
        <f>Données_historiques!AW29</f>
        <v>0</v>
      </c>
      <c r="AX312" s="85">
        <f>Données_historiques!AX29</f>
        <v>0</v>
      </c>
      <c r="AY312" s="85">
        <f>Données_historiques!AY29</f>
        <v>0</v>
      </c>
      <c r="AZ312" s="85">
        <f>Données_historiques!AZ29</f>
        <v>0</v>
      </c>
      <c r="BA312" s="85">
        <f>Données_historiques!BA29</f>
        <v>0</v>
      </c>
      <c r="BB312" s="85">
        <f>Données_historiques!BB29</f>
        <v>0</v>
      </c>
      <c r="BC312" s="85">
        <f>Données_historiques!BC29</f>
        <v>0</v>
      </c>
      <c r="BD312" s="85">
        <f>Données_historiques!BD29</f>
        <v>0</v>
      </c>
      <c r="BE312" s="85">
        <f>Données_historiques!BE29</f>
        <v>0</v>
      </c>
      <c r="BF312" s="85">
        <f>Données_historiques!BF29</f>
        <v>0</v>
      </c>
      <c r="BG312" s="85">
        <f>Données_historiques!BG29</f>
        <v>0</v>
      </c>
      <c r="BH312" s="85">
        <f>Données_historiques!BH29</f>
        <v>0</v>
      </c>
      <c r="BI312" s="85">
        <f>Données_historiques!BI29</f>
        <v>0</v>
      </c>
    </row>
    <row r="313" spans="4:61" s="4" customFormat="1" x14ac:dyDescent="0.35">
      <c r="E313" s="4" t="str">
        <f>Données_historiques!E30</f>
        <v>Retrait partiel-Exécution</v>
      </c>
      <c r="J313" s="4" t="str">
        <f>Données_historiques!J30</f>
        <v>EUR</v>
      </c>
      <c r="N313" s="85">
        <f>Données_historiques!N30</f>
        <v>0</v>
      </c>
      <c r="O313" s="85">
        <f>Données_historiques!O30</f>
        <v>0</v>
      </c>
      <c r="P313" s="85">
        <f>Données_historiques!P30</f>
        <v>0</v>
      </c>
      <c r="Q313" s="85">
        <f>Données_historiques!Q30</f>
        <v>0</v>
      </c>
      <c r="R313" s="85">
        <f>Données_historiques!R30</f>
        <v>0</v>
      </c>
      <c r="S313" s="85">
        <f>Données_historiques!S30</f>
        <v>0</v>
      </c>
      <c r="T313" s="85">
        <f>Données_historiques!T30</f>
        <v>1616.5899999999983</v>
      </c>
      <c r="U313" s="85">
        <f>Données_historiques!U30</f>
        <v>3628.9</v>
      </c>
      <c r="V313" s="85">
        <f>Données_historiques!V30</f>
        <v>1197.6699999999992</v>
      </c>
      <c r="W313" s="85">
        <f>Données_historiques!W30</f>
        <v>14896.850000000013</v>
      </c>
      <c r="X313" s="85">
        <f>Données_historiques!X30</f>
        <v>185900.89999999988</v>
      </c>
      <c r="Y313" s="85">
        <f>Données_historiques!Y30</f>
        <v>1332867.1100000001</v>
      </c>
      <c r="Z313" s="85">
        <f>Données_historiques!Z30</f>
        <v>4958.4799999999959</v>
      </c>
      <c r="AA313" s="85">
        <f>Données_historiques!AA30</f>
        <v>114005.79000000004</v>
      </c>
      <c r="AB313" s="85">
        <f>Données_historiques!AB30</f>
        <v>256815.58000000007</v>
      </c>
      <c r="AC313" s="85">
        <f>Données_historiques!AC30</f>
        <v>254368.01</v>
      </c>
      <c r="AD313" s="85">
        <f>Données_historiques!AD30</f>
        <v>456301.45000000042</v>
      </c>
      <c r="AE313" s="85">
        <f>Données_historiques!AE30</f>
        <v>588117.16999999946</v>
      </c>
      <c r="AF313" s="85">
        <f>Données_historiques!AF30</f>
        <v>751919.37999999989</v>
      </c>
      <c r="AG313" s="85">
        <f>Données_historiques!AG30</f>
        <v>1033504.3099999987</v>
      </c>
      <c r="AH313" s="85">
        <f>Données_historiques!AH30</f>
        <v>1313177.8299999991</v>
      </c>
      <c r="AI313" s="85">
        <f>Données_historiques!AI30</f>
        <v>1464815.6799999997</v>
      </c>
      <c r="AJ313" s="85">
        <f>Données_historiques!AJ30</f>
        <v>783020.19</v>
      </c>
      <c r="AK313" s="85">
        <f>Données_historiques!AK30</f>
        <v>2369978.5099999998</v>
      </c>
      <c r="AL313" s="85">
        <f>Données_historiques!AL30</f>
        <v>0</v>
      </c>
      <c r="AM313" s="85">
        <f>Données_historiques!AM30</f>
        <v>0</v>
      </c>
      <c r="AN313" s="85">
        <f>Données_historiques!AN30</f>
        <v>0</v>
      </c>
      <c r="AO313" s="85">
        <f>Données_historiques!AO30</f>
        <v>0</v>
      </c>
      <c r="AP313" s="85">
        <f>Données_historiques!AP30</f>
        <v>0</v>
      </c>
      <c r="AQ313" s="85">
        <f>Données_historiques!AQ30</f>
        <v>0</v>
      </c>
      <c r="AR313" s="85">
        <f>Données_historiques!AR30</f>
        <v>0</v>
      </c>
      <c r="AS313" s="85">
        <f>Données_historiques!AS30</f>
        <v>0</v>
      </c>
      <c r="AT313" s="85">
        <f>Données_historiques!AT30</f>
        <v>0</v>
      </c>
      <c r="AU313" s="85">
        <f>Données_historiques!AU30</f>
        <v>0</v>
      </c>
      <c r="AV313" s="85">
        <f>Données_historiques!AV30</f>
        <v>0</v>
      </c>
      <c r="AW313" s="85">
        <f>Données_historiques!AW30</f>
        <v>0</v>
      </c>
      <c r="AX313" s="85">
        <f>Données_historiques!AX30</f>
        <v>0</v>
      </c>
      <c r="AY313" s="85">
        <f>Données_historiques!AY30</f>
        <v>0</v>
      </c>
      <c r="AZ313" s="85">
        <f>Données_historiques!AZ30</f>
        <v>0</v>
      </c>
      <c r="BA313" s="85">
        <f>Données_historiques!BA30</f>
        <v>0</v>
      </c>
      <c r="BB313" s="85">
        <f>Données_historiques!BB30</f>
        <v>0</v>
      </c>
      <c r="BC313" s="85">
        <f>Données_historiques!BC30</f>
        <v>0</v>
      </c>
      <c r="BD313" s="85">
        <f>Données_historiques!BD30</f>
        <v>0</v>
      </c>
      <c r="BE313" s="85">
        <f>Données_historiques!BE30</f>
        <v>0</v>
      </c>
      <c r="BF313" s="85">
        <f>Données_historiques!BF30</f>
        <v>0</v>
      </c>
      <c r="BG313" s="85">
        <f>Données_historiques!BG30</f>
        <v>0</v>
      </c>
      <c r="BH313" s="85">
        <f>Données_historiques!BH30</f>
        <v>0</v>
      </c>
      <c r="BI313" s="85">
        <f>Données_historiques!BI30</f>
        <v>0</v>
      </c>
    </row>
    <row r="314" spans="4:61" x14ac:dyDescent="0.35"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</row>
    <row r="315" spans="4:61" x14ac:dyDescent="0.35">
      <c r="E315" t="str">
        <f>E160</f>
        <v>Volumes-Paiement du solde</v>
      </c>
      <c r="J315" t="str">
        <f>J160</f>
        <v>Volume</v>
      </c>
      <c r="N315" s="41">
        <f t="shared" ref="N315:BI315" si="167">N160</f>
        <v>0</v>
      </c>
      <c r="O315" s="41">
        <f t="shared" si="167"/>
        <v>0</v>
      </c>
      <c r="P315" s="41">
        <f t="shared" si="167"/>
        <v>0</v>
      </c>
      <c r="Q315" s="41">
        <f t="shared" si="167"/>
        <v>30.534326766022762</v>
      </c>
      <c r="R315" s="41">
        <f t="shared" si="167"/>
        <v>243.8290591395608</v>
      </c>
      <c r="S315" s="41">
        <f t="shared" si="167"/>
        <v>930.24949945574053</v>
      </c>
      <c r="T315" s="41">
        <f t="shared" si="167"/>
        <v>2084.9500163781113</v>
      </c>
      <c r="U315" s="41">
        <f t="shared" si="167"/>
        <v>3618.524093837586</v>
      </c>
      <c r="V315" s="41">
        <f t="shared" si="167"/>
        <v>6025.7554144290216</v>
      </c>
      <c r="W315" s="41">
        <f t="shared" si="167"/>
        <v>8979.5338016081205</v>
      </c>
      <c r="X315" s="41">
        <f t="shared" si="167"/>
        <v>11438.965137475923</v>
      </c>
      <c r="Y315" s="41">
        <f t="shared" si="167"/>
        <v>14760.851051135223</v>
      </c>
      <c r="Z315" s="41">
        <f t="shared" si="167"/>
        <v>17241.741064984795</v>
      </c>
      <c r="AA315" s="41">
        <f t="shared" si="167"/>
        <v>19334.53091311254</v>
      </c>
      <c r="AB315" s="41">
        <f t="shared" si="167"/>
        <v>25026.181209923121</v>
      </c>
      <c r="AC315" s="41">
        <f t="shared" si="167"/>
        <v>27665.043855485594</v>
      </c>
      <c r="AD315" s="41">
        <f t="shared" si="167"/>
        <v>30005.988937002265</v>
      </c>
      <c r="AE315" s="41">
        <f t="shared" si="167"/>
        <v>32347.914937560057</v>
      </c>
      <c r="AF315" s="41">
        <f t="shared" si="167"/>
        <v>35507.268662894356</v>
      </c>
      <c r="AG315" s="41">
        <f t="shared" si="167"/>
        <v>32256.776613404141</v>
      </c>
      <c r="AH315" s="41">
        <f t="shared" si="167"/>
        <v>36048.803602714084</v>
      </c>
      <c r="AI315" s="41">
        <f t="shared" si="167"/>
        <v>40967.94350086031</v>
      </c>
      <c r="AJ315" s="41">
        <f t="shared" si="167"/>
        <v>43455.847541291776</v>
      </c>
      <c r="AK315" s="41">
        <f t="shared" si="167"/>
        <v>48603.737700082507</v>
      </c>
      <c r="AL315" s="41">
        <f t="shared" si="167"/>
        <v>50874.42615728989</v>
      </c>
      <c r="AM315" s="41">
        <f t="shared" si="167"/>
        <v>47377.758857928959</v>
      </c>
      <c r="AN315" s="41">
        <f t="shared" si="167"/>
        <v>54689.238130470832</v>
      </c>
      <c r="AO315" s="41">
        <f t="shared" si="167"/>
        <v>54295.857322266689</v>
      </c>
      <c r="AP315" s="41">
        <f t="shared" si="167"/>
        <v>57633.841561419991</v>
      </c>
      <c r="AQ315" s="41">
        <f t="shared" si="167"/>
        <v>56459.636421889329</v>
      </c>
      <c r="AR315" s="41">
        <f t="shared" si="167"/>
        <v>58397.320414119422</v>
      </c>
      <c r="AS315" s="41">
        <f t="shared" si="167"/>
        <v>56989.854372342103</v>
      </c>
      <c r="AT315" s="41">
        <f t="shared" si="167"/>
        <v>54784.336297226713</v>
      </c>
      <c r="AU315" s="41">
        <f t="shared" si="167"/>
        <v>57112.51821665145</v>
      </c>
      <c r="AV315" s="41">
        <f t="shared" si="167"/>
        <v>55715.033402139583</v>
      </c>
      <c r="AW315" s="41">
        <f t="shared" si="167"/>
        <v>58934.122309449682</v>
      </c>
      <c r="AX315" s="41">
        <f t="shared" si="167"/>
        <v>59389.521387664136</v>
      </c>
      <c r="AY315" s="41">
        <f t="shared" si="167"/>
        <v>54021.9893760821</v>
      </c>
      <c r="AZ315" s="41">
        <f t="shared" si="167"/>
        <v>61420.658646385957</v>
      </c>
      <c r="BA315" s="41">
        <f t="shared" si="167"/>
        <v>60426.58148098534</v>
      </c>
      <c r="BB315" s="41">
        <f t="shared" si="167"/>
        <v>63729.706306969987</v>
      </c>
      <c r="BC315" s="41">
        <f t="shared" si="167"/>
        <v>62279.362678848709</v>
      </c>
      <c r="BD315" s="41">
        <f t="shared" si="167"/>
        <v>64347.866488255546</v>
      </c>
      <c r="BE315" s="41">
        <f t="shared" si="167"/>
        <v>62816.545191370358</v>
      </c>
      <c r="BF315" s="41">
        <f t="shared" si="167"/>
        <v>60385.014715243255</v>
      </c>
      <c r="BG315" s="41">
        <f t="shared" si="167"/>
        <v>62951.181924503922</v>
      </c>
      <c r="BH315" s="41">
        <f t="shared" si="167"/>
        <v>61383.322299185478</v>
      </c>
      <c r="BI315" s="41">
        <f t="shared" si="167"/>
        <v>64898.597396549259</v>
      </c>
    </row>
    <row r="316" spans="4:61" x14ac:dyDescent="0.35">
      <c r="E316" t="str">
        <f>E243</f>
        <v>Montant payé - Trajectoire</v>
      </c>
      <c r="J316" t="str">
        <f>J243</f>
        <v>EUR</v>
      </c>
      <c r="N316" s="41">
        <f t="shared" ref="N316:BI316" si="168">N243</f>
        <v>0</v>
      </c>
      <c r="O316" s="41">
        <f t="shared" si="168"/>
        <v>0</v>
      </c>
      <c r="P316" s="41">
        <f t="shared" si="168"/>
        <v>0</v>
      </c>
      <c r="Q316" s="41">
        <f t="shared" si="168"/>
        <v>56332.193331949195</v>
      </c>
      <c r="R316" s="41">
        <f t="shared" si="168"/>
        <v>483313.27066161355</v>
      </c>
      <c r="S316" s="41">
        <f t="shared" si="168"/>
        <v>2111125.2102838759</v>
      </c>
      <c r="T316" s="41">
        <f t="shared" si="168"/>
        <v>5908217.1554101901</v>
      </c>
      <c r="U316" s="41">
        <f t="shared" si="168"/>
        <v>13024409.060139528</v>
      </c>
      <c r="V316" s="41">
        <f t="shared" si="168"/>
        <v>23378750.753067117</v>
      </c>
      <c r="W316" s="41">
        <f t="shared" si="168"/>
        <v>34670579.416077301</v>
      </c>
      <c r="X316" s="41">
        <f t="shared" si="168"/>
        <v>41151753.796715856</v>
      </c>
      <c r="Y316" s="41">
        <f t="shared" si="168"/>
        <v>50980955.909540288</v>
      </c>
      <c r="Z316" s="41">
        <f t="shared" si="168"/>
        <v>57251373.639353074</v>
      </c>
      <c r="AA316" s="41">
        <f t="shared" si="168"/>
        <v>56773073.069289804</v>
      </c>
      <c r="AB316" s="41">
        <f t="shared" si="168"/>
        <v>71468991.929954827</v>
      </c>
      <c r="AC316" s="41">
        <f t="shared" si="168"/>
        <v>73934077.616140589</v>
      </c>
      <c r="AD316" s="41">
        <f t="shared" si="168"/>
        <v>78970545.010713279</v>
      </c>
      <c r="AE316" s="41">
        <f t="shared" si="168"/>
        <v>90046789.165045395</v>
      </c>
      <c r="AF316" s="41">
        <f t="shared" si="168"/>
        <v>100831626.9776902</v>
      </c>
      <c r="AG316" s="41">
        <f t="shared" si="168"/>
        <v>93706353.179903999</v>
      </c>
      <c r="AH316" s="41">
        <f t="shared" si="168"/>
        <v>104880033.33794081</v>
      </c>
      <c r="AI316" s="41">
        <f t="shared" si="168"/>
        <v>125182586.54743209</v>
      </c>
      <c r="AJ316" s="41">
        <f t="shared" si="168"/>
        <v>130998612.93412621</v>
      </c>
      <c r="AK316" s="41">
        <f t="shared" si="168"/>
        <v>145880014.64260763</v>
      </c>
      <c r="AL316" s="41">
        <f t="shared" si="168"/>
        <v>159067071.4600448</v>
      </c>
      <c r="AM316" s="41">
        <f t="shared" si="168"/>
        <v>150516959.90326425</v>
      </c>
      <c r="AN316" s="41">
        <f t="shared" si="168"/>
        <v>176579138.47087181</v>
      </c>
      <c r="AO316" s="41">
        <f t="shared" si="168"/>
        <v>177571990.04623222</v>
      </c>
      <c r="AP316" s="41">
        <f t="shared" si="168"/>
        <v>189777565.71407464</v>
      </c>
      <c r="AQ316" s="41">
        <f t="shared" si="168"/>
        <v>186364225.63462418</v>
      </c>
      <c r="AR316" s="41">
        <f t="shared" si="168"/>
        <v>192597256.44384262</v>
      </c>
      <c r="AS316" s="41">
        <f t="shared" si="168"/>
        <v>187580852.90264377</v>
      </c>
      <c r="AT316" s="41">
        <f t="shared" si="168"/>
        <v>179814063.48618349</v>
      </c>
      <c r="AU316" s="41">
        <f t="shared" si="168"/>
        <v>186952417.19965738</v>
      </c>
      <c r="AV316" s="41">
        <f t="shared" si="168"/>
        <v>181829669.68999392</v>
      </c>
      <c r="AW316" s="41">
        <f t="shared" si="168"/>
        <v>191713006.78743351</v>
      </c>
      <c r="AX316" s="41">
        <f t="shared" si="168"/>
        <v>193203266.05465394</v>
      </c>
      <c r="AY316" s="41">
        <f t="shared" si="168"/>
        <v>175983685.93713325</v>
      </c>
      <c r="AZ316" s="41">
        <f t="shared" si="168"/>
        <v>200552300.28743276</v>
      </c>
      <c r="BA316" s="41">
        <f t="shared" si="168"/>
        <v>197843680.90923622</v>
      </c>
      <c r="BB316" s="41">
        <f t="shared" si="168"/>
        <v>209237113.72183108</v>
      </c>
      <c r="BC316" s="41">
        <f t="shared" si="168"/>
        <v>204985449.97613019</v>
      </c>
      <c r="BD316" s="41">
        <f t="shared" si="168"/>
        <v>212242793.264671</v>
      </c>
      <c r="BE316" s="41">
        <f t="shared" si="168"/>
        <v>207554743.2470682</v>
      </c>
      <c r="BF316" s="41">
        <f t="shared" si="168"/>
        <v>199867534.14435929</v>
      </c>
      <c r="BG316" s="41">
        <f t="shared" si="168"/>
        <v>208701568.69994476</v>
      </c>
      <c r="BH316" s="41">
        <f t="shared" si="168"/>
        <v>203790546.0678497</v>
      </c>
      <c r="BI316" s="41">
        <f t="shared" si="168"/>
        <v>215724170.03626588</v>
      </c>
    </row>
    <row r="317" spans="4:61" x14ac:dyDescent="0.35">
      <c r="E317" t="str">
        <f>E159</f>
        <v>Volumes-Rejet paiement</v>
      </c>
      <c r="J317" t="str">
        <f>J159</f>
        <v>Volume</v>
      </c>
      <c r="N317" s="41">
        <f t="shared" ref="N317:BI317" si="169">N159</f>
        <v>0</v>
      </c>
      <c r="O317" s="41">
        <f t="shared" si="169"/>
        <v>0</v>
      </c>
      <c r="P317" s="41">
        <f t="shared" si="169"/>
        <v>0</v>
      </c>
      <c r="Q317" s="41">
        <f t="shared" si="169"/>
        <v>1.6070698297906718</v>
      </c>
      <c r="R317" s="41">
        <f t="shared" si="169"/>
        <v>12.833108375766358</v>
      </c>
      <c r="S317" s="41">
        <f t="shared" si="169"/>
        <v>48.960499971354771</v>
      </c>
      <c r="T317" s="41">
        <f t="shared" si="169"/>
        <v>109.73421138832163</v>
      </c>
      <c r="U317" s="41">
        <f t="shared" si="169"/>
        <v>190.44863651776768</v>
      </c>
      <c r="V317" s="41">
        <f t="shared" si="169"/>
        <v>317.14502181205376</v>
      </c>
      <c r="W317" s="41">
        <f t="shared" si="169"/>
        <v>472.60704218990105</v>
      </c>
      <c r="X317" s="41">
        <f t="shared" si="169"/>
        <v>602.0507967092592</v>
      </c>
      <c r="Y317" s="41">
        <f t="shared" si="169"/>
        <v>776.88689742816973</v>
      </c>
      <c r="Z317" s="41">
        <f t="shared" si="169"/>
        <v>907.46005605183132</v>
      </c>
      <c r="AA317" s="41">
        <f t="shared" si="169"/>
        <v>1017.6068901638178</v>
      </c>
      <c r="AB317" s="41">
        <f t="shared" si="169"/>
        <v>1317.1674321012172</v>
      </c>
      <c r="AC317" s="41">
        <f t="shared" si="169"/>
        <v>1456.0549397623995</v>
      </c>
      <c r="AD317" s="41">
        <f t="shared" si="169"/>
        <v>1579.2625756316984</v>
      </c>
      <c r="AE317" s="41">
        <f t="shared" si="169"/>
        <v>1702.5218388189501</v>
      </c>
      <c r="AF317" s="41">
        <f t="shared" si="169"/>
        <v>1868.8036138365446</v>
      </c>
      <c r="AG317" s="41">
        <f t="shared" si="169"/>
        <v>1697.7250849160071</v>
      </c>
      <c r="AH317" s="41">
        <f t="shared" si="169"/>
        <v>1897.3054527744257</v>
      </c>
      <c r="AI317" s="41">
        <f t="shared" si="169"/>
        <v>2156.2075526768581</v>
      </c>
      <c r="AJ317" s="41">
        <f t="shared" si="169"/>
        <v>2287.1498705943036</v>
      </c>
      <c r="AK317" s="41">
        <f t="shared" si="169"/>
        <v>2558.0914578990792</v>
      </c>
      <c r="AL317" s="41">
        <f t="shared" si="169"/>
        <v>2677.6013766994683</v>
      </c>
      <c r="AM317" s="41">
        <f t="shared" si="169"/>
        <v>2493.5662556804714</v>
      </c>
      <c r="AN317" s="41">
        <f t="shared" si="169"/>
        <v>2878.3809542353079</v>
      </c>
      <c r="AO317" s="41">
        <f t="shared" si="169"/>
        <v>2857.6767011719307</v>
      </c>
      <c r="AP317" s="41">
        <f t="shared" si="169"/>
        <v>3033.3600821799996</v>
      </c>
      <c r="AQ317" s="41">
        <f t="shared" si="169"/>
        <v>2971.5598116783863</v>
      </c>
      <c r="AR317" s="41">
        <f t="shared" si="169"/>
        <v>3073.5431796904959</v>
      </c>
      <c r="AS317" s="41">
        <f t="shared" si="169"/>
        <v>2999.4660195969532</v>
      </c>
      <c r="AT317" s="41">
        <f t="shared" si="169"/>
        <v>2883.386120906669</v>
      </c>
      <c r="AU317" s="41">
        <f t="shared" si="169"/>
        <v>3005.922011402708</v>
      </c>
      <c r="AV317" s="41">
        <f t="shared" si="169"/>
        <v>2932.370179059978</v>
      </c>
      <c r="AW317" s="41">
        <f t="shared" si="169"/>
        <v>3101.7959110236675</v>
      </c>
      <c r="AX317" s="41">
        <f t="shared" si="169"/>
        <v>3125.7642835612705</v>
      </c>
      <c r="AY317" s="41">
        <f t="shared" si="169"/>
        <v>2843.2625987411629</v>
      </c>
      <c r="AZ317" s="41">
        <f t="shared" si="169"/>
        <v>3232.6662445466295</v>
      </c>
      <c r="BA317" s="41">
        <f t="shared" si="169"/>
        <v>3180.3463937360707</v>
      </c>
      <c r="BB317" s="41">
        <f t="shared" si="169"/>
        <v>3354.1950687878939</v>
      </c>
      <c r="BC317" s="41">
        <f t="shared" si="169"/>
        <v>3277.8611936236161</v>
      </c>
      <c r="BD317" s="41">
        <f t="shared" si="169"/>
        <v>3386.7298151713449</v>
      </c>
      <c r="BE317" s="41">
        <f t="shared" si="169"/>
        <v>3306.1339574405451</v>
      </c>
      <c r="BF317" s="41">
        <f t="shared" si="169"/>
        <v>3178.15866922333</v>
      </c>
      <c r="BG317" s="41">
        <f t="shared" si="169"/>
        <v>3313.2201012896812</v>
      </c>
      <c r="BH317" s="41">
        <f t="shared" si="169"/>
        <v>3230.701173641341</v>
      </c>
      <c r="BI317" s="41">
        <f t="shared" si="169"/>
        <v>3415.7156524499615</v>
      </c>
    </row>
    <row r="318" spans="4:61" x14ac:dyDescent="0.35">
      <c r="E318" t="str">
        <f>E192</f>
        <v>Volumes-Retrait total</v>
      </c>
      <c r="J318" t="str">
        <f>J192</f>
        <v>Volume</v>
      </c>
      <c r="N318" s="41">
        <f t="shared" ref="N318:BI318" si="170">N192</f>
        <v>0</v>
      </c>
      <c r="O318" s="41">
        <f t="shared" si="170"/>
        <v>0</v>
      </c>
      <c r="P318" s="41">
        <f t="shared" si="170"/>
        <v>0</v>
      </c>
      <c r="Q318" s="41">
        <f t="shared" si="170"/>
        <v>4.25803540351344</v>
      </c>
      <c r="R318" s="41">
        <f t="shared" si="170"/>
        <v>32.214899746333444</v>
      </c>
      <c r="S318" s="41">
        <f t="shared" si="170"/>
        <v>66.710188992016825</v>
      </c>
      <c r="T318" s="41">
        <f t="shared" si="170"/>
        <v>168.81553352141822</v>
      </c>
      <c r="U318" s="41">
        <f t="shared" si="170"/>
        <v>313.72502994831837</v>
      </c>
      <c r="V318" s="41">
        <f t="shared" si="170"/>
        <v>351.69050109663209</v>
      </c>
      <c r="W318" s="41">
        <f t="shared" si="170"/>
        <v>438.58154205373808</v>
      </c>
      <c r="X318" s="41">
        <f t="shared" si="170"/>
        <v>513.93520740788392</v>
      </c>
      <c r="Y318" s="41">
        <f t="shared" si="170"/>
        <v>670.49053319057293</v>
      </c>
      <c r="Z318" s="41">
        <f t="shared" si="170"/>
        <v>620.59383017750065</v>
      </c>
      <c r="AA318" s="41">
        <f t="shared" si="170"/>
        <v>639.68464191761984</v>
      </c>
      <c r="AB318" s="41">
        <f t="shared" si="170"/>
        <v>814.34400245941697</v>
      </c>
      <c r="AC318" s="41">
        <f t="shared" si="170"/>
        <v>987.40763279884584</v>
      </c>
      <c r="AD318" s="41">
        <f t="shared" si="170"/>
        <v>1216.140198787886</v>
      </c>
      <c r="AE318" s="41">
        <f t="shared" si="170"/>
        <v>1483.2906063376604</v>
      </c>
      <c r="AF318" s="41">
        <f t="shared" si="170"/>
        <v>1754.7740704275664</v>
      </c>
      <c r="AG318" s="41">
        <f t="shared" si="170"/>
        <v>1935.2282193129854</v>
      </c>
      <c r="AH318" s="41">
        <f t="shared" si="170"/>
        <v>2027.4506009490265</v>
      </c>
      <c r="AI318" s="41">
        <f t="shared" si="170"/>
        <v>2298.553015484501</v>
      </c>
      <c r="AJ318" s="41">
        <f t="shared" si="170"/>
        <v>2378.5296924254931</v>
      </c>
      <c r="AK318" s="41">
        <f t="shared" si="170"/>
        <v>2656.5339740791887</v>
      </c>
      <c r="AL318" s="41">
        <f t="shared" si="170"/>
        <v>2067.7840138730535</v>
      </c>
      <c r="AM318" s="41">
        <f t="shared" si="170"/>
        <v>1696.7625295295354</v>
      </c>
      <c r="AN318" s="41">
        <f t="shared" si="170"/>
        <v>1776.3978889520376</v>
      </c>
      <c r="AO318" s="41">
        <f t="shared" si="170"/>
        <v>1716.8962675943537</v>
      </c>
      <c r="AP318" s="41">
        <f t="shared" si="170"/>
        <v>1910.5390285739729</v>
      </c>
      <c r="AQ318" s="41">
        <f t="shared" si="170"/>
        <v>2037.1065492857722</v>
      </c>
      <c r="AR318" s="41">
        <f t="shared" si="170"/>
        <v>2298.2703679867564</v>
      </c>
      <c r="AS318" s="41">
        <f t="shared" si="170"/>
        <v>2416.4405470790507</v>
      </c>
      <c r="AT318" s="41">
        <f t="shared" si="170"/>
        <v>2491.1069929357591</v>
      </c>
      <c r="AU318" s="41">
        <f t="shared" si="170"/>
        <v>2760.3757048188586</v>
      </c>
      <c r="AV318" s="41">
        <f t="shared" si="170"/>
        <v>2827.1467071905681</v>
      </c>
      <c r="AW318" s="41">
        <f t="shared" si="170"/>
        <v>3111.0134693924292</v>
      </c>
      <c r="AX318" s="41">
        <f t="shared" si="170"/>
        <v>2396.3600729081259</v>
      </c>
      <c r="AY318" s="41">
        <f t="shared" si="170"/>
        <v>1939.6939098739695</v>
      </c>
      <c r="AZ318" s="41">
        <f t="shared" si="170"/>
        <v>2001.4011412184725</v>
      </c>
      <c r="BA318" s="41">
        <f t="shared" si="170"/>
        <v>1911.356422787971</v>
      </c>
      <c r="BB318" s="41">
        <f t="shared" si="170"/>
        <v>2112.2634995197</v>
      </c>
      <c r="BC318" s="41">
        <f t="shared" si="170"/>
        <v>2245.7246459847684</v>
      </c>
      <c r="BD318" s="41">
        <f t="shared" si="170"/>
        <v>2531.1944940377762</v>
      </c>
      <c r="BE318" s="41">
        <f t="shared" si="170"/>
        <v>2660.4995699037199</v>
      </c>
      <c r="BF318" s="41">
        <f t="shared" si="170"/>
        <v>2742.2325660992947</v>
      </c>
      <c r="BG318" s="41">
        <f t="shared" si="170"/>
        <v>3038.2218482988169</v>
      </c>
      <c r="BH318" s="41">
        <f t="shared" si="170"/>
        <v>3111.3380564340082</v>
      </c>
      <c r="BI318" s="41">
        <f t="shared" si="170"/>
        <v>3423.366615956078</v>
      </c>
    </row>
    <row r="319" spans="4:61" x14ac:dyDescent="0.35">
      <c r="E319" t="str">
        <f>E302</f>
        <v>Montant-Retrait total</v>
      </c>
      <c r="J319" t="str">
        <f>J302</f>
        <v>EUR</v>
      </c>
      <c r="N319" s="41">
        <f t="shared" ref="N319:BI319" si="171">N302</f>
        <v>0</v>
      </c>
      <c r="O319" s="41">
        <f t="shared" si="171"/>
        <v>0</v>
      </c>
      <c r="P319" s="41">
        <f t="shared" si="171"/>
        <v>0</v>
      </c>
      <c r="Q319" s="41">
        <f t="shared" si="171"/>
        <v>7855.5677812393724</v>
      </c>
      <c r="R319" s="41">
        <f t="shared" si="171"/>
        <v>63837.593660377519</v>
      </c>
      <c r="S319" s="41">
        <f t="shared" si="171"/>
        <v>148589.79805984008</v>
      </c>
      <c r="T319" s="41">
        <f t="shared" si="171"/>
        <v>477857.85225839651</v>
      </c>
      <c r="U319" s="41">
        <f t="shared" si="171"/>
        <v>1142464.8424412545</v>
      </c>
      <c r="V319" s="41">
        <f t="shared" si="171"/>
        <v>1336153.0655025984</v>
      </c>
      <c r="W319" s="41">
        <f t="shared" si="171"/>
        <v>1680556.8474619668</v>
      </c>
      <c r="X319" s="41">
        <f t="shared" si="171"/>
        <v>1858123.7378427354</v>
      </c>
      <c r="Y319" s="41">
        <f t="shared" si="171"/>
        <v>2315038.6593201039</v>
      </c>
      <c r="Z319" s="41">
        <f t="shared" si="171"/>
        <v>2081269.2487539733</v>
      </c>
      <c r="AA319" s="41">
        <f t="shared" si="171"/>
        <v>1919215.2653359529</v>
      </c>
      <c r="AB319" s="41">
        <f t="shared" si="171"/>
        <v>2348806.8708202713</v>
      </c>
      <c r="AC319" s="41">
        <f t="shared" si="171"/>
        <v>2629394.149165689</v>
      </c>
      <c r="AD319" s="41">
        <f t="shared" si="171"/>
        <v>3185583.6196583686</v>
      </c>
      <c r="AE319" s="41">
        <f t="shared" si="171"/>
        <v>4165922.8100996241</v>
      </c>
      <c r="AF319" s="41">
        <f t="shared" si="171"/>
        <v>5019272.9909919463</v>
      </c>
      <c r="AG319" s="41">
        <f t="shared" si="171"/>
        <v>5677377.5339340437</v>
      </c>
      <c r="AH319" s="41">
        <f t="shared" si="171"/>
        <v>5925209.4157633493</v>
      </c>
      <c r="AI319" s="41">
        <f t="shared" si="171"/>
        <v>7023517.7781743025</v>
      </c>
      <c r="AJ319" s="41">
        <f t="shared" si="171"/>
        <v>7172685.0122190434</v>
      </c>
      <c r="AK319" s="41">
        <f t="shared" si="171"/>
        <v>7973180.2806325871</v>
      </c>
      <c r="AL319" s="41">
        <f t="shared" si="171"/>
        <v>6339595.4108435251</v>
      </c>
      <c r="AM319" s="41">
        <f t="shared" si="171"/>
        <v>5279907.7027921677</v>
      </c>
      <c r="AN319" s="41">
        <f t="shared" si="171"/>
        <v>5646007.2834848957</v>
      </c>
      <c r="AO319" s="41">
        <f t="shared" si="171"/>
        <v>5570441.1925550811</v>
      </c>
      <c r="AP319" s="41">
        <f t="shared" si="171"/>
        <v>6274196.8575250618</v>
      </c>
      <c r="AQ319" s="41">
        <f t="shared" si="171"/>
        <v>6719295.2742275158</v>
      </c>
      <c r="AR319" s="41">
        <f t="shared" si="171"/>
        <v>7576630.6584213981</v>
      </c>
      <c r="AS319" s="41">
        <f t="shared" si="171"/>
        <v>7950265.0354131646</v>
      </c>
      <c r="AT319" s="41">
        <f t="shared" si="171"/>
        <v>8172610.2256146083</v>
      </c>
      <c r="AU319" s="41">
        <f t="shared" si="171"/>
        <v>9032280.2816271223</v>
      </c>
      <c r="AV319" s="41">
        <f t="shared" si="171"/>
        <v>9223547.4221260343</v>
      </c>
      <c r="AW319" s="41">
        <f t="shared" si="171"/>
        <v>10117341.669146176</v>
      </c>
      <c r="AX319" s="41">
        <f t="shared" si="171"/>
        <v>7793147.1474315217</v>
      </c>
      <c r="AY319" s="41">
        <f t="shared" si="171"/>
        <v>6312162.705310259</v>
      </c>
      <c r="AZ319" s="41">
        <f t="shared" si="171"/>
        <v>6528270.8936346415</v>
      </c>
      <c r="BA319" s="41">
        <f t="shared" si="171"/>
        <v>6255681.5730495462</v>
      </c>
      <c r="BB319" s="41">
        <f t="shared" si="171"/>
        <v>6936776.1455683038</v>
      </c>
      <c r="BC319" s="41">
        <f t="shared" si="171"/>
        <v>7395223.8696027249</v>
      </c>
      <c r="BD319" s="41">
        <f t="shared" si="171"/>
        <v>8352683.9167759512</v>
      </c>
      <c r="BE319" s="41">
        <f t="shared" si="171"/>
        <v>8793707.5162502825</v>
      </c>
      <c r="BF319" s="41">
        <f t="shared" si="171"/>
        <v>9078953.7484260071</v>
      </c>
      <c r="BG319" s="41">
        <f t="shared" si="171"/>
        <v>10074809.634011021</v>
      </c>
      <c r="BH319" s="41">
        <f t="shared" si="171"/>
        <v>10331260.945145551</v>
      </c>
      <c r="BI319" s="41">
        <f t="shared" si="171"/>
        <v>11380682.607804123</v>
      </c>
    </row>
    <row r="320" spans="4:61" x14ac:dyDescent="0.35">
      <c r="E320" t="str">
        <f>E270</f>
        <v>Montant-Retrait partiel</v>
      </c>
      <c r="J320" t="str">
        <f>J270</f>
        <v>EUR</v>
      </c>
      <c r="N320" s="41">
        <f t="shared" ref="N320:BI320" si="172">N270</f>
        <v>0</v>
      </c>
      <c r="O320" s="41">
        <f t="shared" si="172"/>
        <v>0</v>
      </c>
      <c r="P320" s="41">
        <f t="shared" si="172"/>
        <v>0</v>
      </c>
      <c r="Q320" s="41">
        <f t="shared" si="172"/>
        <v>2611.9762872620913</v>
      </c>
      <c r="R320" s="41">
        <f t="shared" si="172"/>
        <v>21225.999892075532</v>
      </c>
      <c r="S320" s="41">
        <f t="shared" si="172"/>
        <v>49406.107854896822</v>
      </c>
      <c r="T320" s="41">
        <f t="shared" si="172"/>
        <v>158887.73587591684</v>
      </c>
      <c r="U320" s="41">
        <f t="shared" si="172"/>
        <v>379869.56011171715</v>
      </c>
      <c r="V320" s="41">
        <f t="shared" si="172"/>
        <v>444270.89427961397</v>
      </c>
      <c r="W320" s="41">
        <f t="shared" si="172"/>
        <v>558785.15178110381</v>
      </c>
      <c r="X320" s="41">
        <f t="shared" si="172"/>
        <v>617826.14283270948</v>
      </c>
      <c r="Y320" s="41">
        <f t="shared" si="172"/>
        <v>769750.3542239347</v>
      </c>
      <c r="Z320" s="41">
        <f t="shared" si="172"/>
        <v>692022.02521069616</v>
      </c>
      <c r="AA320" s="41">
        <f t="shared" si="172"/>
        <v>638139.07572420454</v>
      </c>
      <c r="AB320" s="41">
        <f t="shared" si="172"/>
        <v>780978.28454774024</v>
      </c>
      <c r="AC320" s="41">
        <f t="shared" si="172"/>
        <v>874273.55459759175</v>
      </c>
      <c r="AD320" s="41">
        <f t="shared" si="172"/>
        <v>1059206.5535364072</v>
      </c>
      <c r="AE320" s="41">
        <f t="shared" si="172"/>
        <v>1385169.3343581252</v>
      </c>
      <c r="AF320" s="41">
        <f t="shared" si="172"/>
        <v>1668908.2695048226</v>
      </c>
      <c r="AG320" s="41">
        <f t="shared" si="172"/>
        <v>1887728.0300330699</v>
      </c>
      <c r="AH320" s="41">
        <f t="shared" si="172"/>
        <v>1970132.1307413136</v>
      </c>
      <c r="AI320" s="41">
        <f t="shared" si="172"/>
        <v>2335319.6612429558</v>
      </c>
      <c r="AJ320" s="41">
        <f t="shared" si="172"/>
        <v>2384917.7665628321</v>
      </c>
      <c r="AK320" s="41">
        <f t="shared" si="172"/>
        <v>2651082.4433103353</v>
      </c>
      <c r="AL320" s="41">
        <f t="shared" si="172"/>
        <v>2107915.4741054722</v>
      </c>
      <c r="AM320" s="41">
        <f t="shared" si="172"/>
        <v>1755569.311178396</v>
      </c>
      <c r="AN320" s="41">
        <f t="shared" si="172"/>
        <v>1877297.4217587279</v>
      </c>
      <c r="AO320" s="41">
        <f t="shared" si="172"/>
        <v>1852171.6965245651</v>
      </c>
      <c r="AP320" s="41">
        <f t="shared" si="172"/>
        <v>2086170.4551270835</v>
      </c>
      <c r="AQ320" s="41">
        <f t="shared" si="172"/>
        <v>2234165.6786806495</v>
      </c>
      <c r="AR320" s="41">
        <f t="shared" si="172"/>
        <v>2519229.6939251148</v>
      </c>
      <c r="AS320" s="41">
        <f t="shared" si="172"/>
        <v>2643463.1242748769</v>
      </c>
      <c r="AT320" s="41">
        <f t="shared" si="172"/>
        <v>2717392.9000168573</v>
      </c>
      <c r="AU320" s="41">
        <f t="shared" si="172"/>
        <v>3003233.1936410181</v>
      </c>
      <c r="AV320" s="41">
        <f t="shared" si="172"/>
        <v>3066829.5178569062</v>
      </c>
      <c r="AW320" s="41">
        <f t="shared" si="172"/>
        <v>3364016.104991104</v>
      </c>
      <c r="AX320" s="41">
        <f t="shared" si="172"/>
        <v>2591221.4265209809</v>
      </c>
      <c r="AY320" s="41">
        <f t="shared" si="172"/>
        <v>2098794.0995156616</v>
      </c>
      <c r="AZ320" s="41">
        <f t="shared" si="172"/>
        <v>2170650.0721335183</v>
      </c>
      <c r="BA320" s="41">
        <f t="shared" si="172"/>
        <v>2080014.1230389748</v>
      </c>
      <c r="BB320" s="41">
        <f t="shared" si="172"/>
        <v>2306478.0684014615</v>
      </c>
      <c r="BC320" s="41">
        <f t="shared" si="172"/>
        <v>2458911.9366429062</v>
      </c>
      <c r="BD320" s="41">
        <f t="shared" si="172"/>
        <v>2777267.4023280037</v>
      </c>
      <c r="BE320" s="41">
        <f t="shared" si="172"/>
        <v>2923907.7491532187</v>
      </c>
      <c r="BF320" s="41">
        <f t="shared" si="172"/>
        <v>3018752.1213516477</v>
      </c>
      <c r="BG320" s="41">
        <f t="shared" si="172"/>
        <v>3349874.2033086647</v>
      </c>
      <c r="BH320" s="41">
        <f t="shared" si="172"/>
        <v>3435144.264260896</v>
      </c>
      <c r="BI320" s="41">
        <f t="shared" si="172"/>
        <v>3784076.9670948712</v>
      </c>
    </row>
    <row r="322" spans="4:61" s="8" customFormat="1" x14ac:dyDescent="0.35">
      <c r="E322" s="28" t="str">
        <f>"Volumes-"&amp;Paramétrage_général!I32&amp;"-Projection"</f>
        <v>Volumes-Paiement du solde-Projection</v>
      </c>
      <c r="F322" s="28"/>
      <c r="G322" s="28"/>
      <c r="H322" s="28"/>
      <c r="I322" s="28"/>
      <c r="J322" s="28" t="s">
        <v>50</v>
      </c>
      <c r="K322" s="28"/>
      <c r="L322" s="28"/>
      <c r="M322" s="28"/>
      <c r="N322" s="88">
        <f t="shared" ref="N322:BI322" si="173">(1-N$307)*N308+N$307*N315</f>
        <v>0</v>
      </c>
      <c r="O322" s="88">
        <f t="shared" si="173"/>
        <v>0</v>
      </c>
      <c r="P322" s="88">
        <f t="shared" si="173"/>
        <v>0</v>
      </c>
      <c r="Q322" s="88">
        <f t="shared" si="173"/>
        <v>0</v>
      </c>
      <c r="R322" s="88">
        <f t="shared" si="173"/>
        <v>21</v>
      </c>
      <c r="S322" s="88">
        <f t="shared" si="173"/>
        <v>486</v>
      </c>
      <c r="T322" s="88">
        <f t="shared" si="173"/>
        <v>1328</v>
      </c>
      <c r="U322" s="88">
        <f t="shared" si="173"/>
        <v>1620</v>
      </c>
      <c r="V322" s="88">
        <f t="shared" si="173"/>
        <v>2404</v>
      </c>
      <c r="W322" s="88">
        <f t="shared" si="173"/>
        <v>3558</v>
      </c>
      <c r="X322" s="88">
        <f t="shared" si="173"/>
        <v>18930</v>
      </c>
      <c r="Y322" s="88">
        <f t="shared" si="173"/>
        <v>24201</v>
      </c>
      <c r="Z322" s="88">
        <f t="shared" si="173"/>
        <v>11896</v>
      </c>
      <c r="AA322" s="88">
        <f t="shared" si="173"/>
        <v>18436</v>
      </c>
      <c r="AB322" s="88">
        <f t="shared" si="173"/>
        <v>26308</v>
      </c>
      <c r="AC322" s="88">
        <f t="shared" si="173"/>
        <v>25819</v>
      </c>
      <c r="AD322" s="88">
        <f t="shared" si="173"/>
        <v>25351</v>
      </c>
      <c r="AE322" s="88">
        <f t="shared" si="173"/>
        <v>32358</v>
      </c>
      <c r="AF322" s="88">
        <f t="shared" si="173"/>
        <v>36220</v>
      </c>
      <c r="AG322" s="88">
        <f t="shared" si="173"/>
        <v>37185</v>
      </c>
      <c r="AH322" s="88">
        <f t="shared" si="173"/>
        <v>39041</v>
      </c>
      <c r="AI322" s="88">
        <f t="shared" si="173"/>
        <v>36356</v>
      </c>
      <c r="AJ322" s="88">
        <f t="shared" si="173"/>
        <v>33503</v>
      </c>
      <c r="AK322" s="88">
        <f t="shared" si="173"/>
        <v>41862</v>
      </c>
      <c r="AL322" s="88">
        <f t="shared" si="173"/>
        <v>50874.42615728989</v>
      </c>
      <c r="AM322" s="88">
        <f t="shared" si="173"/>
        <v>47377.758857928959</v>
      </c>
      <c r="AN322" s="88">
        <f t="shared" si="173"/>
        <v>54689.238130470832</v>
      </c>
      <c r="AO322" s="88">
        <f t="shared" si="173"/>
        <v>54295.857322266689</v>
      </c>
      <c r="AP322" s="88">
        <f t="shared" si="173"/>
        <v>57633.841561419991</v>
      </c>
      <c r="AQ322" s="88">
        <f t="shared" si="173"/>
        <v>56459.636421889329</v>
      </c>
      <c r="AR322" s="88">
        <f t="shared" si="173"/>
        <v>58397.320414119422</v>
      </c>
      <c r="AS322" s="88">
        <f t="shared" si="173"/>
        <v>56989.854372342103</v>
      </c>
      <c r="AT322" s="88">
        <f t="shared" si="173"/>
        <v>54784.336297226713</v>
      </c>
      <c r="AU322" s="88">
        <f t="shared" si="173"/>
        <v>57112.51821665145</v>
      </c>
      <c r="AV322" s="88">
        <f t="shared" si="173"/>
        <v>55715.033402139583</v>
      </c>
      <c r="AW322" s="88">
        <f t="shared" si="173"/>
        <v>58934.122309449682</v>
      </c>
      <c r="AX322" s="88">
        <f t="shared" si="173"/>
        <v>59389.521387664136</v>
      </c>
      <c r="AY322" s="88">
        <f t="shared" si="173"/>
        <v>54021.9893760821</v>
      </c>
      <c r="AZ322" s="88">
        <f t="shared" si="173"/>
        <v>61420.658646385957</v>
      </c>
      <c r="BA322" s="88">
        <f t="shared" si="173"/>
        <v>60426.58148098534</v>
      </c>
      <c r="BB322" s="88">
        <f t="shared" si="173"/>
        <v>63729.706306969987</v>
      </c>
      <c r="BC322" s="88">
        <f t="shared" si="173"/>
        <v>62279.362678848709</v>
      </c>
      <c r="BD322" s="88">
        <f t="shared" si="173"/>
        <v>64347.866488255546</v>
      </c>
      <c r="BE322" s="88">
        <f t="shared" si="173"/>
        <v>62816.545191370358</v>
      </c>
      <c r="BF322" s="88">
        <f t="shared" si="173"/>
        <v>60385.014715243255</v>
      </c>
      <c r="BG322" s="88">
        <f t="shared" si="173"/>
        <v>62951.181924503922</v>
      </c>
      <c r="BH322" s="88">
        <f t="shared" si="173"/>
        <v>61383.322299185478</v>
      </c>
      <c r="BI322" s="88">
        <f t="shared" si="173"/>
        <v>64898.597396549259</v>
      </c>
    </row>
    <row r="323" spans="4:61" s="27" customFormat="1" x14ac:dyDescent="0.35">
      <c r="E323" s="27" t="str">
        <f>"Montant-"&amp;Paramétrage_général!I$32&amp;"-Projection"</f>
        <v>Montant-Paiement du solde-Projection</v>
      </c>
      <c r="J323" s="27" t="s">
        <v>51</v>
      </c>
      <c r="N323" s="89">
        <f t="shared" ref="N323:BI323" si="174">(1-N$307)*N309+N$307*N316</f>
        <v>0</v>
      </c>
      <c r="O323" s="89">
        <f t="shared" si="174"/>
        <v>0</v>
      </c>
      <c r="P323" s="89">
        <f t="shared" si="174"/>
        <v>0</v>
      </c>
      <c r="Q323" s="89">
        <f t="shared" si="174"/>
        <v>0</v>
      </c>
      <c r="R323" s="89">
        <f t="shared" si="174"/>
        <v>44685</v>
      </c>
      <c r="S323" s="89">
        <f t="shared" si="174"/>
        <v>988666</v>
      </c>
      <c r="T323" s="89">
        <f t="shared" si="174"/>
        <v>2666424.33</v>
      </c>
      <c r="U323" s="89">
        <f t="shared" si="174"/>
        <v>4061805.18</v>
      </c>
      <c r="V323" s="89">
        <f t="shared" si="174"/>
        <v>5735487.3700000001</v>
      </c>
      <c r="W323" s="89">
        <f t="shared" si="174"/>
        <v>8219430.8699999992</v>
      </c>
      <c r="X323" s="89">
        <f t="shared" si="174"/>
        <v>54109248.850000001</v>
      </c>
      <c r="Y323" s="89">
        <f t="shared" si="174"/>
        <v>89012201.930000007</v>
      </c>
      <c r="Z323" s="89">
        <f t="shared" si="174"/>
        <v>55583454.609999999</v>
      </c>
      <c r="AA323" s="89">
        <f t="shared" si="174"/>
        <v>61614261.5</v>
      </c>
      <c r="AB323" s="89">
        <f t="shared" si="174"/>
        <v>77492797.739999995</v>
      </c>
      <c r="AC323" s="89">
        <f t="shared" si="174"/>
        <v>74397889.829999998</v>
      </c>
      <c r="AD323" s="89">
        <f t="shared" si="174"/>
        <v>66504607.289999999</v>
      </c>
      <c r="AE323" s="89">
        <f t="shared" si="174"/>
        <v>75983810.540000007</v>
      </c>
      <c r="AF323" s="89">
        <f t="shared" si="174"/>
        <v>100634064.84</v>
      </c>
      <c r="AG323" s="89">
        <f t="shared" si="174"/>
        <v>107300199.77</v>
      </c>
      <c r="AH323" s="89">
        <f t="shared" si="174"/>
        <v>117185658.33</v>
      </c>
      <c r="AI323" s="89">
        <f t="shared" si="174"/>
        <v>107755481.53</v>
      </c>
      <c r="AJ323" s="89">
        <f t="shared" si="174"/>
        <v>100754852.08</v>
      </c>
      <c r="AK323" s="89">
        <f t="shared" si="174"/>
        <v>124269933.77</v>
      </c>
      <c r="AL323" s="89">
        <f t="shared" si="174"/>
        <v>159067071.4600448</v>
      </c>
      <c r="AM323" s="89">
        <f t="shared" si="174"/>
        <v>150516959.90326425</v>
      </c>
      <c r="AN323" s="89">
        <f t="shared" si="174"/>
        <v>176579138.47087181</v>
      </c>
      <c r="AO323" s="89">
        <f t="shared" si="174"/>
        <v>177571990.04623222</v>
      </c>
      <c r="AP323" s="89">
        <f t="shared" si="174"/>
        <v>189777565.71407464</v>
      </c>
      <c r="AQ323" s="89">
        <f t="shared" si="174"/>
        <v>186364225.63462418</v>
      </c>
      <c r="AR323" s="89">
        <f t="shared" si="174"/>
        <v>192597256.44384262</v>
      </c>
      <c r="AS323" s="89">
        <f t="shared" si="174"/>
        <v>187580852.90264377</v>
      </c>
      <c r="AT323" s="89">
        <f t="shared" si="174"/>
        <v>179814063.48618349</v>
      </c>
      <c r="AU323" s="89">
        <f t="shared" si="174"/>
        <v>186952417.19965738</v>
      </c>
      <c r="AV323" s="89">
        <f t="shared" si="174"/>
        <v>181829669.68999392</v>
      </c>
      <c r="AW323" s="89">
        <f t="shared" si="174"/>
        <v>191713006.78743351</v>
      </c>
      <c r="AX323" s="89">
        <f t="shared" si="174"/>
        <v>193203266.05465394</v>
      </c>
      <c r="AY323" s="89">
        <f t="shared" si="174"/>
        <v>175983685.93713325</v>
      </c>
      <c r="AZ323" s="89">
        <f t="shared" si="174"/>
        <v>200552300.28743276</v>
      </c>
      <c r="BA323" s="89">
        <f t="shared" si="174"/>
        <v>197843680.90923622</v>
      </c>
      <c r="BB323" s="89">
        <f t="shared" si="174"/>
        <v>209237113.72183108</v>
      </c>
      <c r="BC323" s="89">
        <f t="shared" si="174"/>
        <v>204985449.97613019</v>
      </c>
      <c r="BD323" s="89">
        <f t="shared" si="174"/>
        <v>212242793.264671</v>
      </c>
      <c r="BE323" s="89">
        <f t="shared" si="174"/>
        <v>207554743.2470682</v>
      </c>
      <c r="BF323" s="89">
        <f t="shared" si="174"/>
        <v>199867534.14435929</v>
      </c>
      <c r="BG323" s="89">
        <f t="shared" si="174"/>
        <v>208701568.69994476</v>
      </c>
      <c r="BH323" s="89">
        <f t="shared" si="174"/>
        <v>203790546.0678497</v>
      </c>
      <c r="BI323" s="89">
        <f t="shared" si="174"/>
        <v>215724170.03626588</v>
      </c>
    </row>
    <row r="324" spans="4:61" s="27" customFormat="1" x14ac:dyDescent="0.35">
      <c r="E324" s="27" t="str">
        <f>"Volume-"&amp;Paramétrage_général!I33&amp;"-Projection"</f>
        <v>Volume-Rejet paiement-Projection</v>
      </c>
      <c r="J324" s="27" t="s">
        <v>50</v>
      </c>
      <c r="N324" s="89">
        <f t="shared" ref="N324:BI324" si="175">(1-N$307)*N310+N$307*N317</f>
        <v>0</v>
      </c>
      <c r="O324" s="89">
        <f t="shared" si="175"/>
        <v>0</v>
      </c>
      <c r="P324" s="89">
        <f t="shared" si="175"/>
        <v>0</v>
      </c>
      <c r="Q324" s="89">
        <f t="shared" si="175"/>
        <v>0</v>
      </c>
      <c r="R324" s="89">
        <f t="shared" si="175"/>
        <v>0</v>
      </c>
      <c r="S324" s="89">
        <f t="shared" si="175"/>
        <v>0</v>
      </c>
      <c r="T324" s="89">
        <f t="shared" si="175"/>
        <v>2</v>
      </c>
      <c r="U324" s="89">
        <f t="shared" si="175"/>
        <v>0</v>
      </c>
      <c r="V324" s="89">
        <f t="shared" si="175"/>
        <v>0</v>
      </c>
      <c r="W324" s="89">
        <f t="shared" si="175"/>
        <v>8</v>
      </c>
      <c r="X324" s="89">
        <f t="shared" si="175"/>
        <v>11</v>
      </c>
      <c r="Y324" s="89">
        <f t="shared" si="175"/>
        <v>697</v>
      </c>
      <c r="Z324" s="89">
        <f t="shared" si="175"/>
        <v>839</v>
      </c>
      <c r="AA324" s="89">
        <f t="shared" si="175"/>
        <v>1108</v>
      </c>
      <c r="AB324" s="89">
        <f t="shared" si="175"/>
        <v>482</v>
      </c>
      <c r="AC324" s="89">
        <f t="shared" si="175"/>
        <v>1169</v>
      </c>
      <c r="AD324" s="89">
        <f t="shared" si="175"/>
        <v>651</v>
      </c>
      <c r="AE324" s="89">
        <f t="shared" si="175"/>
        <v>1158</v>
      </c>
      <c r="AF324" s="89">
        <f t="shared" si="175"/>
        <v>1274</v>
      </c>
      <c r="AG324" s="89">
        <f t="shared" si="175"/>
        <v>1794</v>
      </c>
      <c r="AH324" s="89">
        <f t="shared" si="175"/>
        <v>2191</v>
      </c>
      <c r="AI324" s="89">
        <f t="shared" si="175"/>
        <v>2652</v>
      </c>
      <c r="AJ324" s="89">
        <f t="shared" si="175"/>
        <v>3615</v>
      </c>
      <c r="AK324" s="89">
        <f t="shared" si="175"/>
        <v>2039</v>
      </c>
      <c r="AL324" s="89">
        <f t="shared" si="175"/>
        <v>2677.6013766994683</v>
      </c>
      <c r="AM324" s="89">
        <f t="shared" si="175"/>
        <v>2493.5662556804714</v>
      </c>
      <c r="AN324" s="89">
        <f t="shared" si="175"/>
        <v>2878.3809542353079</v>
      </c>
      <c r="AO324" s="89">
        <f t="shared" si="175"/>
        <v>2857.6767011719307</v>
      </c>
      <c r="AP324" s="89">
        <f t="shared" si="175"/>
        <v>3033.3600821799996</v>
      </c>
      <c r="AQ324" s="89">
        <f t="shared" si="175"/>
        <v>2971.5598116783863</v>
      </c>
      <c r="AR324" s="89">
        <f t="shared" si="175"/>
        <v>3073.5431796904959</v>
      </c>
      <c r="AS324" s="89">
        <f t="shared" si="175"/>
        <v>2999.4660195969532</v>
      </c>
      <c r="AT324" s="89">
        <f t="shared" si="175"/>
        <v>2883.386120906669</v>
      </c>
      <c r="AU324" s="89">
        <f t="shared" si="175"/>
        <v>3005.922011402708</v>
      </c>
      <c r="AV324" s="89">
        <f t="shared" si="175"/>
        <v>2932.370179059978</v>
      </c>
      <c r="AW324" s="89">
        <f t="shared" si="175"/>
        <v>3101.7959110236675</v>
      </c>
      <c r="AX324" s="89">
        <f t="shared" si="175"/>
        <v>3125.7642835612705</v>
      </c>
      <c r="AY324" s="89">
        <f t="shared" si="175"/>
        <v>2843.2625987411629</v>
      </c>
      <c r="AZ324" s="89">
        <f t="shared" si="175"/>
        <v>3232.6662445466295</v>
      </c>
      <c r="BA324" s="89">
        <f t="shared" si="175"/>
        <v>3180.3463937360707</v>
      </c>
      <c r="BB324" s="89">
        <f t="shared" si="175"/>
        <v>3354.1950687878939</v>
      </c>
      <c r="BC324" s="89">
        <f t="shared" si="175"/>
        <v>3277.8611936236161</v>
      </c>
      <c r="BD324" s="89">
        <f t="shared" si="175"/>
        <v>3386.7298151713449</v>
      </c>
      <c r="BE324" s="89">
        <f t="shared" si="175"/>
        <v>3306.1339574405451</v>
      </c>
      <c r="BF324" s="89">
        <f t="shared" si="175"/>
        <v>3178.15866922333</v>
      </c>
      <c r="BG324" s="89">
        <f t="shared" si="175"/>
        <v>3313.2201012896812</v>
      </c>
      <c r="BH324" s="89">
        <f t="shared" si="175"/>
        <v>3230.701173641341</v>
      </c>
      <c r="BI324" s="89">
        <f t="shared" si="175"/>
        <v>3415.7156524499615</v>
      </c>
    </row>
    <row r="325" spans="4:61" s="27" customFormat="1" x14ac:dyDescent="0.35">
      <c r="E325" s="27" t="str">
        <f>"Volume-"&amp;Paramétrage_général!I34&amp;"-Projection"</f>
        <v>Volume-Retrait total-Projection</v>
      </c>
      <c r="J325" s="27" t="s">
        <v>50</v>
      </c>
      <c r="N325" s="89">
        <f t="shared" ref="N325:BI325" si="176">(1-N$307)*N311+N$307*N318</f>
        <v>0</v>
      </c>
      <c r="O325" s="89">
        <f t="shared" si="176"/>
        <v>0</v>
      </c>
      <c r="P325" s="89">
        <f t="shared" si="176"/>
        <v>0</v>
      </c>
      <c r="Q325" s="89">
        <f t="shared" si="176"/>
        <v>0</v>
      </c>
      <c r="R325" s="89">
        <f t="shared" si="176"/>
        <v>0</v>
      </c>
      <c r="S325" s="89">
        <f t="shared" si="176"/>
        <v>0</v>
      </c>
      <c r="T325" s="89">
        <f t="shared" si="176"/>
        <v>2</v>
      </c>
      <c r="U325" s="89">
        <f t="shared" si="176"/>
        <v>0</v>
      </c>
      <c r="V325" s="89">
        <f t="shared" si="176"/>
        <v>0</v>
      </c>
      <c r="W325" s="89">
        <f t="shared" si="176"/>
        <v>8</v>
      </c>
      <c r="X325" s="89">
        <f t="shared" si="176"/>
        <v>9</v>
      </c>
      <c r="Y325" s="89">
        <f t="shared" si="176"/>
        <v>713</v>
      </c>
      <c r="Z325" s="89">
        <f t="shared" si="176"/>
        <v>38</v>
      </c>
      <c r="AA325" s="89">
        <f t="shared" si="176"/>
        <v>422</v>
      </c>
      <c r="AB325" s="89">
        <f t="shared" si="176"/>
        <v>136</v>
      </c>
      <c r="AC325" s="89">
        <f t="shared" si="176"/>
        <v>598</v>
      </c>
      <c r="AD325" s="89">
        <f t="shared" si="176"/>
        <v>383</v>
      </c>
      <c r="AE325" s="89">
        <f t="shared" si="176"/>
        <v>952</v>
      </c>
      <c r="AF325" s="89">
        <f t="shared" si="176"/>
        <v>1055</v>
      </c>
      <c r="AG325" s="89">
        <f t="shared" si="176"/>
        <v>1537</v>
      </c>
      <c r="AH325" s="89">
        <f t="shared" si="176"/>
        <v>1814</v>
      </c>
      <c r="AI325" s="89">
        <f t="shared" si="176"/>
        <v>2403</v>
      </c>
      <c r="AJ325" s="89">
        <f t="shared" si="176"/>
        <v>3307</v>
      </c>
      <c r="AK325" s="89">
        <f t="shared" si="176"/>
        <v>1661</v>
      </c>
      <c r="AL325" s="89">
        <f t="shared" si="176"/>
        <v>2067.7840138730535</v>
      </c>
      <c r="AM325" s="89">
        <f t="shared" si="176"/>
        <v>1696.7625295295354</v>
      </c>
      <c r="AN325" s="89">
        <f t="shared" si="176"/>
        <v>1776.3978889520376</v>
      </c>
      <c r="AO325" s="89">
        <f t="shared" si="176"/>
        <v>1716.8962675943537</v>
      </c>
      <c r="AP325" s="89">
        <f t="shared" si="176"/>
        <v>1910.5390285739729</v>
      </c>
      <c r="AQ325" s="89">
        <f t="shared" si="176"/>
        <v>2037.1065492857722</v>
      </c>
      <c r="AR325" s="89">
        <f t="shared" si="176"/>
        <v>2298.2703679867564</v>
      </c>
      <c r="AS325" s="89">
        <f t="shared" si="176"/>
        <v>2416.4405470790507</v>
      </c>
      <c r="AT325" s="89">
        <f t="shared" si="176"/>
        <v>2491.1069929357591</v>
      </c>
      <c r="AU325" s="89">
        <f t="shared" si="176"/>
        <v>2760.3757048188586</v>
      </c>
      <c r="AV325" s="89">
        <f t="shared" si="176"/>
        <v>2827.1467071905681</v>
      </c>
      <c r="AW325" s="89">
        <f t="shared" si="176"/>
        <v>3111.0134693924292</v>
      </c>
      <c r="AX325" s="89">
        <f t="shared" si="176"/>
        <v>2396.3600729081259</v>
      </c>
      <c r="AY325" s="89">
        <f t="shared" si="176"/>
        <v>1939.6939098739695</v>
      </c>
      <c r="AZ325" s="89">
        <f t="shared" si="176"/>
        <v>2001.4011412184725</v>
      </c>
      <c r="BA325" s="89">
        <f t="shared" si="176"/>
        <v>1911.356422787971</v>
      </c>
      <c r="BB325" s="89">
        <f t="shared" si="176"/>
        <v>2112.2634995197</v>
      </c>
      <c r="BC325" s="89">
        <f t="shared" si="176"/>
        <v>2245.7246459847684</v>
      </c>
      <c r="BD325" s="89">
        <f t="shared" si="176"/>
        <v>2531.1944940377762</v>
      </c>
      <c r="BE325" s="89">
        <f t="shared" si="176"/>
        <v>2660.4995699037199</v>
      </c>
      <c r="BF325" s="89">
        <f t="shared" si="176"/>
        <v>2742.2325660992947</v>
      </c>
      <c r="BG325" s="89">
        <f t="shared" si="176"/>
        <v>3038.2218482988169</v>
      </c>
      <c r="BH325" s="89">
        <f t="shared" si="176"/>
        <v>3111.3380564340082</v>
      </c>
      <c r="BI325" s="89">
        <f t="shared" si="176"/>
        <v>3423.366615956078</v>
      </c>
    </row>
    <row r="326" spans="4:61" s="8" customFormat="1" x14ac:dyDescent="0.35">
      <c r="E326" s="27" t="str">
        <f>"Montant-"&amp;Paramétrage_général!I34&amp;"-Projection"</f>
        <v>Montant-Retrait total-Projection</v>
      </c>
      <c r="F326" s="27"/>
      <c r="G326" s="27"/>
      <c r="H326" s="27"/>
      <c r="I326" s="27"/>
      <c r="J326" s="27" t="s">
        <v>51</v>
      </c>
      <c r="K326" s="27"/>
      <c r="L326" s="27"/>
      <c r="M326" s="27"/>
      <c r="N326" s="89">
        <f t="shared" ref="N326:BI326" si="177">(1-N$307)*N312+N$307*N319</f>
        <v>0</v>
      </c>
      <c r="O326" s="89">
        <f t="shared" si="177"/>
        <v>0</v>
      </c>
      <c r="P326" s="89">
        <f t="shared" si="177"/>
        <v>0</v>
      </c>
      <c r="Q326" s="89">
        <f t="shared" si="177"/>
        <v>0</v>
      </c>
      <c r="R326" s="89">
        <f t="shared" si="177"/>
        <v>0</v>
      </c>
      <c r="S326" s="89">
        <f t="shared" si="177"/>
        <v>0</v>
      </c>
      <c r="T326" s="89">
        <f t="shared" si="177"/>
        <v>7069</v>
      </c>
      <c r="U326" s="89">
        <f t="shared" si="177"/>
        <v>0</v>
      </c>
      <c r="V326" s="89">
        <f t="shared" si="177"/>
        <v>0</v>
      </c>
      <c r="W326" s="89">
        <f t="shared" si="177"/>
        <v>20051</v>
      </c>
      <c r="X326" s="89">
        <f t="shared" si="177"/>
        <v>44008.75</v>
      </c>
      <c r="Y326" s="89">
        <f t="shared" si="177"/>
        <v>1930455.98</v>
      </c>
      <c r="Z326" s="89">
        <f t="shared" si="177"/>
        <v>105150.25</v>
      </c>
      <c r="AA326" s="89">
        <f t="shared" si="177"/>
        <v>970778.02</v>
      </c>
      <c r="AB326" s="89">
        <f t="shared" si="177"/>
        <v>412208.31</v>
      </c>
      <c r="AC326" s="89">
        <f t="shared" si="177"/>
        <v>1150063.3500000001</v>
      </c>
      <c r="AD326" s="89">
        <f t="shared" si="177"/>
        <v>620467.68000000005</v>
      </c>
      <c r="AE326" s="89">
        <f t="shared" si="177"/>
        <v>1976676.4000000001</v>
      </c>
      <c r="AF326" s="89">
        <f t="shared" si="177"/>
        <v>2431454.67</v>
      </c>
      <c r="AG326" s="89">
        <f t="shared" si="177"/>
        <v>3508259.18</v>
      </c>
      <c r="AH326" s="89">
        <f t="shared" si="177"/>
        <v>4170771.129999999</v>
      </c>
      <c r="AI326" s="89">
        <f t="shared" si="177"/>
        <v>5140150.7</v>
      </c>
      <c r="AJ326" s="89">
        <f t="shared" si="177"/>
        <v>7935632.1799999997</v>
      </c>
      <c r="AK326" s="89">
        <f t="shared" si="177"/>
        <v>4311465.92</v>
      </c>
      <c r="AL326" s="89">
        <f t="shared" si="177"/>
        <v>6339595.4108435251</v>
      </c>
      <c r="AM326" s="89">
        <f t="shared" si="177"/>
        <v>5279907.7027921677</v>
      </c>
      <c r="AN326" s="89">
        <f t="shared" si="177"/>
        <v>5646007.2834848957</v>
      </c>
      <c r="AO326" s="89">
        <f t="shared" si="177"/>
        <v>5570441.1925550811</v>
      </c>
      <c r="AP326" s="89">
        <f t="shared" si="177"/>
        <v>6274196.8575250618</v>
      </c>
      <c r="AQ326" s="89">
        <f t="shared" si="177"/>
        <v>6719295.2742275158</v>
      </c>
      <c r="AR326" s="89">
        <f t="shared" si="177"/>
        <v>7576630.6584213981</v>
      </c>
      <c r="AS326" s="89">
        <f t="shared" si="177"/>
        <v>7950265.0354131646</v>
      </c>
      <c r="AT326" s="89">
        <f t="shared" si="177"/>
        <v>8172610.2256146083</v>
      </c>
      <c r="AU326" s="89">
        <f t="shared" si="177"/>
        <v>9032280.2816271223</v>
      </c>
      <c r="AV326" s="89">
        <f t="shared" si="177"/>
        <v>9223547.4221260343</v>
      </c>
      <c r="AW326" s="89">
        <f t="shared" si="177"/>
        <v>10117341.669146176</v>
      </c>
      <c r="AX326" s="89">
        <f t="shared" si="177"/>
        <v>7793147.1474315217</v>
      </c>
      <c r="AY326" s="89">
        <f t="shared" si="177"/>
        <v>6312162.705310259</v>
      </c>
      <c r="AZ326" s="89">
        <f t="shared" si="177"/>
        <v>6528270.8936346415</v>
      </c>
      <c r="BA326" s="89">
        <f t="shared" si="177"/>
        <v>6255681.5730495462</v>
      </c>
      <c r="BB326" s="89">
        <f t="shared" si="177"/>
        <v>6936776.1455683038</v>
      </c>
      <c r="BC326" s="89">
        <f t="shared" si="177"/>
        <v>7395223.8696027249</v>
      </c>
      <c r="BD326" s="89">
        <f t="shared" si="177"/>
        <v>8352683.9167759512</v>
      </c>
      <c r="BE326" s="89">
        <f t="shared" si="177"/>
        <v>8793707.5162502825</v>
      </c>
      <c r="BF326" s="89">
        <f t="shared" si="177"/>
        <v>9078953.7484260071</v>
      </c>
      <c r="BG326" s="89">
        <f t="shared" si="177"/>
        <v>10074809.634011021</v>
      </c>
      <c r="BH326" s="89">
        <f t="shared" si="177"/>
        <v>10331260.945145551</v>
      </c>
      <c r="BI326" s="89">
        <f t="shared" si="177"/>
        <v>11380682.607804123</v>
      </c>
    </row>
    <row r="327" spans="4:61" x14ac:dyDescent="0.35">
      <c r="E327" s="18" t="str">
        <f>"Montant-"&amp;Paramétrage_général!I35&amp;"-Projection"</f>
        <v>Montant-Retrait partiel-Projection</v>
      </c>
      <c r="F327" s="34"/>
      <c r="G327" s="34"/>
      <c r="H327" s="34"/>
      <c r="I327" s="34"/>
      <c r="J327" s="35" t="s">
        <v>51</v>
      </c>
      <c r="K327" s="34"/>
      <c r="L327" s="34"/>
      <c r="M327" s="34"/>
      <c r="N327" s="90">
        <f t="shared" ref="N327:BI327" si="178">(1-N$307)*N313+N$307*N320</f>
        <v>0</v>
      </c>
      <c r="O327" s="90">
        <f t="shared" si="178"/>
        <v>0</v>
      </c>
      <c r="P327" s="90">
        <f t="shared" si="178"/>
        <v>0</v>
      </c>
      <c r="Q327" s="90">
        <f t="shared" si="178"/>
        <v>0</v>
      </c>
      <c r="R327" s="90">
        <f t="shared" si="178"/>
        <v>0</v>
      </c>
      <c r="S327" s="90">
        <f t="shared" si="178"/>
        <v>0</v>
      </c>
      <c r="T327" s="90">
        <f t="shared" si="178"/>
        <v>1616.5899999999983</v>
      </c>
      <c r="U327" s="90">
        <f t="shared" si="178"/>
        <v>3628.9</v>
      </c>
      <c r="V327" s="90">
        <f t="shared" si="178"/>
        <v>1197.6699999999992</v>
      </c>
      <c r="W327" s="90">
        <f t="shared" si="178"/>
        <v>14896.850000000013</v>
      </c>
      <c r="X327" s="90">
        <f t="shared" si="178"/>
        <v>185900.89999999988</v>
      </c>
      <c r="Y327" s="90">
        <f t="shared" si="178"/>
        <v>1332867.1100000001</v>
      </c>
      <c r="Z327" s="90">
        <f t="shared" si="178"/>
        <v>4958.4799999999959</v>
      </c>
      <c r="AA327" s="90">
        <f t="shared" si="178"/>
        <v>114005.79000000004</v>
      </c>
      <c r="AB327" s="90">
        <f t="shared" si="178"/>
        <v>256815.58000000007</v>
      </c>
      <c r="AC327" s="90">
        <f t="shared" si="178"/>
        <v>254368.01</v>
      </c>
      <c r="AD327" s="90">
        <f t="shared" si="178"/>
        <v>456301.45000000042</v>
      </c>
      <c r="AE327" s="90">
        <f t="shared" si="178"/>
        <v>588117.16999999946</v>
      </c>
      <c r="AF327" s="90">
        <f t="shared" si="178"/>
        <v>751919.37999999989</v>
      </c>
      <c r="AG327" s="90">
        <f t="shared" si="178"/>
        <v>1033504.3099999987</v>
      </c>
      <c r="AH327" s="90">
        <f t="shared" si="178"/>
        <v>1313177.8299999991</v>
      </c>
      <c r="AI327" s="90">
        <f t="shared" si="178"/>
        <v>1464815.6799999997</v>
      </c>
      <c r="AJ327" s="90">
        <f t="shared" si="178"/>
        <v>783020.19</v>
      </c>
      <c r="AK327" s="90">
        <f t="shared" si="178"/>
        <v>2369978.5099999998</v>
      </c>
      <c r="AL327" s="90">
        <f t="shared" si="178"/>
        <v>2107915.4741054722</v>
      </c>
      <c r="AM327" s="90">
        <f t="shared" si="178"/>
        <v>1755569.311178396</v>
      </c>
      <c r="AN327" s="90">
        <f t="shared" si="178"/>
        <v>1877297.4217587279</v>
      </c>
      <c r="AO327" s="90">
        <f t="shared" si="178"/>
        <v>1852171.6965245651</v>
      </c>
      <c r="AP327" s="90">
        <f t="shared" si="178"/>
        <v>2086170.4551270835</v>
      </c>
      <c r="AQ327" s="90">
        <f t="shared" si="178"/>
        <v>2234165.6786806495</v>
      </c>
      <c r="AR327" s="90">
        <f t="shared" si="178"/>
        <v>2519229.6939251148</v>
      </c>
      <c r="AS327" s="90">
        <f t="shared" si="178"/>
        <v>2643463.1242748769</v>
      </c>
      <c r="AT327" s="90">
        <f t="shared" si="178"/>
        <v>2717392.9000168573</v>
      </c>
      <c r="AU327" s="90">
        <f t="shared" si="178"/>
        <v>3003233.1936410181</v>
      </c>
      <c r="AV327" s="90">
        <f t="shared" si="178"/>
        <v>3066829.5178569062</v>
      </c>
      <c r="AW327" s="90">
        <f t="shared" si="178"/>
        <v>3364016.104991104</v>
      </c>
      <c r="AX327" s="90">
        <f t="shared" si="178"/>
        <v>2591221.4265209809</v>
      </c>
      <c r="AY327" s="90">
        <f t="shared" si="178"/>
        <v>2098794.0995156616</v>
      </c>
      <c r="AZ327" s="90">
        <f t="shared" si="178"/>
        <v>2170650.0721335183</v>
      </c>
      <c r="BA327" s="90">
        <f t="shared" si="178"/>
        <v>2080014.1230389748</v>
      </c>
      <c r="BB327" s="90">
        <f t="shared" si="178"/>
        <v>2306478.0684014615</v>
      </c>
      <c r="BC327" s="90">
        <f t="shared" si="178"/>
        <v>2458911.9366429062</v>
      </c>
      <c r="BD327" s="90">
        <f t="shared" si="178"/>
        <v>2777267.4023280037</v>
      </c>
      <c r="BE327" s="90">
        <f t="shared" si="178"/>
        <v>2923907.7491532187</v>
      </c>
      <c r="BF327" s="90">
        <f t="shared" si="178"/>
        <v>3018752.1213516477</v>
      </c>
      <c r="BG327" s="90">
        <f t="shared" si="178"/>
        <v>3349874.2033086647</v>
      </c>
      <c r="BH327" s="90">
        <f t="shared" si="178"/>
        <v>3435144.264260896</v>
      </c>
      <c r="BI327" s="90">
        <f t="shared" si="178"/>
        <v>3784076.9670948712</v>
      </c>
    </row>
    <row r="329" spans="4:61" x14ac:dyDescent="0.35">
      <c r="D329" s="1" t="s">
        <v>25</v>
      </c>
    </row>
    <row r="330" spans="4:61" x14ac:dyDescent="0.35"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</row>
    <row r="331" spans="4:61" x14ac:dyDescent="0.35"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</row>
  </sheetData>
  <sheetProtection algorithmName="SHA-512" hashValue="r7qniY7fYc4QS7Dbav4idzKb9JFQavmI+lBsKMmW0WnHkrjnpjsDyWNQ0Nf4bXRLWMlSlENhnZwtHo2JgdhDPQ==" saltValue="oKaDU0Yos/LaCaDTa1v8zA==" spinCount="100000" sheet="1" objects="1" scenarios="1"/>
  <conditionalFormatting sqref="G2">
    <cfRule type="cellIs" dxfId="31" priority="4" operator="greaterThan">
      <formula>0</formula>
    </cfRule>
    <cfRule type="cellIs" dxfId="30" priority="5" operator="equal">
      <formula>0</formula>
    </cfRule>
  </conditionalFormatting>
  <conditionalFormatting sqref="G1">
    <cfRule type="cellIs" dxfId="29" priority="2" operator="greaterThan">
      <formula>0</formula>
    </cfRule>
    <cfRule type="cellIs" dxfId="28" priority="3" operator="equal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F9ACB3C2-21C2-42F7-B290-0BFED01BA3E3}">
            <xm:f>Paramétrage_général!$I$20</xm:f>
            <x14:dxf>
              <font>
                <b/>
                <i val="0"/>
                <color theme="0"/>
              </font>
              <fill>
                <patternFill>
                  <bgColor rgb="FF002060"/>
                </patternFill>
              </fill>
            </x14:dxf>
          </x14:cfRule>
          <xm:sqref>N4:BI4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BFBFBF"/>
  </sheetPr>
  <dimension ref="B1:BI26"/>
  <sheetViews>
    <sheetView zoomScale="70" zoomScaleNormal="70" workbookViewId="0">
      <pane xSplit="10" ySplit="6" topLeftCell="N7" activePane="bottomRight" state="frozen"/>
      <selection activeCell="G33" sqref="G33"/>
      <selection pane="topRight" activeCell="G33" sqref="G33"/>
      <selection pane="bottomLeft" activeCell="G33" sqref="G33"/>
      <selection pane="bottomRight" activeCell="N4" sqref="N4:BI4"/>
    </sheetView>
  </sheetViews>
  <sheetFormatPr baseColWidth="10" defaultRowHeight="14.5" x14ac:dyDescent="0.35"/>
  <cols>
    <col min="1" max="4" width="2.6328125" customWidth="1"/>
    <col min="14" max="17" width="10.54296875" bestFit="1" customWidth="1"/>
    <col min="18" max="19" width="11.26953125" bestFit="1" customWidth="1"/>
    <col min="20" max="22" width="12.26953125" bestFit="1" customWidth="1"/>
    <col min="23" max="34" width="13.26953125" bestFit="1" customWidth="1"/>
    <col min="35" max="61" width="14.81640625" bestFit="1" customWidth="1"/>
  </cols>
  <sheetData>
    <row r="1" spans="2:61" s="6" customFormat="1" x14ac:dyDescent="0.35">
      <c r="B1" s="9" t="str">
        <f ca="1">RIGHT(CELL("nomfichier",A1),LEN(CELL("nomfichier",A1))-FIND("]",CELL("nomfichier",A1),1))</f>
        <v>Stocks</v>
      </c>
      <c r="F1" s="54" t="str">
        <f>Controles!F1</f>
        <v>Erreurs</v>
      </c>
      <c r="G1">
        <f>Controles!G1</f>
        <v>0</v>
      </c>
    </row>
    <row r="2" spans="2:61" x14ac:dyDescent="0.35">
      <c r="F2" s="55" t="str">
        <f>Controles!F2</f>
        <v>Alertes</v>
      </c>
      <c r="G2">
        <f>Controles!G2</f>
        <v>0</v>
      </c>
    </row>
    <row r="3" spans="2:61" x14ac:dyDescent="0.35">
      <c r="N3" s="3">
        <f>Time!N20</f>
        <v>43861</v>
      </c>
      <c r="O3" s="3">
        <f>Time!O20</f>
        <v>43890</v>
      </c>
      <c r="P3" s="3">
        <f>Time!P20</f>
        <v>43921</v>
      </c>
      <c r="Q3" s="3">
        <f>Time!Q20</f>
        <v>43951</v>
      </c>
      <c r="R3" s="3">
        <f>Time!R20</f>
        <v>43982</v>
      </c>
      <c r="S3" s="3">
        <f>Time!S20</f>
        <v>44012</v>
      </c>
      <c r="T3" s="3">
        <f>Time!T20</f>
        <v>44043</v>
      </c>
      <c r="U3" s="3">
        <f>Time!U20</f>
        <v>44074</v>
      </c>
      <c r="V3" s="3">
        <f>Time!V20</f>
        <v>44104</v>
      </c>
      <c r="W3" s="3">
        <f>Time!W20</f>
        <v>44135</v>
      </c>
      <c r="X3" s="3">
        <f>Time!X20</f>
        <v>44165</v>
      </c>
      <c r="Y3" s="3">
        <f>Time!Y20</f>
        <v>44196</v>
      </c>
      <c r="Z3" s="3">
        <f>Time!Z20</f>
        <v>44227</v>
      </c>
      <c r="AA3" s="3">
        <f>Time!AA20</f>
        <v>44255</v>
      </c>
      <c r="AB3" s="3">
        <f>Time!AB20</f>
        <v>44286</v>
      </c>
      <c r="AC3" s="3">
        <f>Time!AC20</f>
        <v>44316</v>
      </c>
      <c r="AD3" s="3">
        <f>Time!AD20</f>
        <v>44347</v>
      </c>
      <c r="AE3" s="3">
        <f>Time!AE20</f>
        <v>44377</v>
      </c>
      <c r="AF3" s="3">
        <f>Time!AF20</f>
        <v>44408</v>
      </c>
      <c r="AG3" s="3">
        <f>Time!AG20</f>
        <v>44439</v>
      </c>
      <c r="AH3" s="3">
        <f>Time!AH20</f>
        <v>44469</v>
      </c>
      <c r="AI3" s="3">
        <f>Time!AI20</f>
        <v>44500</v>
      </c>
      <c r="AJ3" s="3">
        <f>Time!AJ20</f>
        <v>44530</v>
      </c>
      <c r="AK3" s="3">
        <f>Time!AK20</f>
        <v>44561</v>
      </c>
      <c r="AL3" s="3">
        <f>Time!AL20</f>
        <v>44592</v>
      </c>
      <c r="AM3" s="3">
        <f>Time!AM20</f>
        <v>44620</v>
      </c>
      <c r="AN3" s="3">
        <f>Time!AN20</f>
        <v>44651</v>
      </c>
      <c r="AO3" s="3">
        <f>Time!AO20</f>
        <v>44681</v>
      </c>
      <c r="AP3" s="3">
        <f>Time!AP20</f>
        <v>44712</v>
      </c>
      <c r="AQ3" s="3">
        <f>Time!AQ20</f>
        <v>44742</v>
      </c>
      <c r="AR3" s="3">
        <f>Time!AR20</f>
        <v>44773</v>
      </c>
      <c r="AS3" s="3">
        <f>Time!AS20</f>
        <v>44804</v>
      </c>
      <c r="AT3" s="3">
        <f>Time!AT20</f>
        <v>44834</v>
      </c>
      <c r="AU3" s="3">
        <f>Time!AU20</f>
        <v>44865</v>
      </c>
      <c r="AV3" s="3">
        <f>Time!AV20</f>
        <v>44895</v>
      </c>
      <c r="AW3" s="3">
        <f>Time!AW20</f>
        <v>44926</v>
      </c>
      <c r="AX3" s="3">
        <f>Time!AX20</f>
        <v>44957</v>
      </c>
      <c r="AY3" s="3">
        <f>Time!AY20</f>
        <v>44985</v>
      </c>
      <c r="AZ3" s="3">
        <f>Time!AZ20</f>
        <v>45016</v>
      </c>
      <c r="BA3" s="3">
        <f>Time!BA20</f>
        <v>45046</v>
      </c>
      <c r="BB3" s="3">
        <f>Time!BB20</f>
        <v>45077</v>
      </c>
      <c r="BC3" s="3">
        <f>Time!BC20</f>
        <v>45107</v>
      </c>
      <c r="BD3" s="3">
        <f>Time!BD20</f>
        <v>45138</v>
      </c>
      <c r="BE3" s="3">
        <f>Time!BE20</f>
        <v>45169</v>
      </c>
      <c r="BF3" s="3">
        <f>Time!BF20</f>
        <v>45199</v>
      </c>
      <c r="BG3" s="3">
        <f>Time!BG20</f>
        <v>45230</v>
      </c>
      <c r="BH3" s="3">
        <f>Time!BH20</f>
        <v>45260</v>
      </c>
      <c r="BI3" s="3">
        <f>Time!BI20</f>
        <v>45291</v>
      </c>
    </row>
    <row r="4" spans="2:61" x14ac:dyDescent="0.35">
      <c r="N4" t="str">
        <f>Time!N41</f>
        <v>Exécution</v>
      </c>
      <c r="O4" t="str">
        <f>Time!O41</f>
        <v>Exécution</v>
      </c>
      <c r="P4" t="str">
        <f>Time!P41</f>
        <v>Exécution</v>
      </c>
      <c r="Q4" t="str">
        <f>Time!Q41</f>
        <v>Exécution</v>
      </c>
      <c r="R4" t="str">
        <f>Time!R41</f>
        <v>Exécution</v>
      </c>
      <c r="S4" s="11" t="str">
        <f>Time!S41</f>
        <v>Exécution</v>
      </c>
      <c r="T4" s="11" t="str">
        <f>Time!T41</f>
        <v>Exécution</v>
      </c>
      <c r="U4" s="11" t="str">
        <f>Time!U41</f>
        <v>Exécution</v>
      </c>
      <c r="V4" s="11" t="str">
        <f>Time!V41</f>
        <v>Exécution</v>
      </c>
      <c r="W4" s="11" t="str">
        <f>Time!W41</f>
        <v>Exécution</v>
      </c>
      <c r="X4" s="11" t="str">
        <f>Time!X41</f>
        <v>Exécution</v>
      </c>
      <c r="Y4" s="11" t="str">
        <f>Time!Y41</f>
        <v>Exécution</v>
      </c>
      <c r="Z4" s="11" t="str">
        <f>Time!Z41</f>
        <v>Exécution</v>
      </c>
      <c r="AA4" s="11" t="str">
        <f>Time!AA41</f>
        <v>Exécution</v>
      </c>
      <c r="AB4" s="11" t="str">
        <f>Time!AB41</f>
        <v>Exécution</v>
      </c>
      <c r="AC4" s="11" t="str">
        <f>Time!AC41</f>
        <v>Exécution</v>
      </c>
      <c r="AD4" s="11" t="str">
        <f>Time!AD41</f>
        <v>Exécution</v>
      </c>
      <c r="AE4" s="11" t="str">
        <f>Time!AE41</f>
        <v>Exécution</v>
      </c>
      <c r="AF4" s="11" t="str">
        <f>Time!AF41</f>
        <v>Exécution</v>
      </c>
      <c r="AG4" s="11" t="str">
        <f>Time!AG41</f>
        <v>Exécution</v>
      </c>
      <c r="AH4" s="11" t="str">
        <f>Time!AH41</f>
        <v>Exécution</v>
      </c>
      <c r="AI4" s="11" t="str">
        <f>Time!AI41</f>
        <v>Exécution</v>
      </c>
      <c r="AJ4" s="11" t="str">
        <f>Time!AJ41</f>
        <v>Exécution</v>
      </c>
      <c r="AK4" s="11" t="str">
        <f>Time!AK41</f>
        <v>Exécution</v>
      </c>
      <c r="AL4" s="11" t="str">
        <f>Time!AL41</f>
        <v>Trajectoire</v>
      </c>
      <c r="AM4" s="11" t="str">
        <f>Time!AM41</f>
        <v>Trajectoire</v>
      </c>
      <c r="AN4" s="11" t="str">
        <f>Time!AN41</f>
        <v>Trajectoire</v>
      </c>
      <c r="AO4" s="11" t="str">
        <f>Time!AO41</f>
        <v>Trajectoire</v>
      </c>
      <c r="AP4" s="11" t="str">
        <f>Time!AP41</f>
        <v>Trajectoire</v>
      </c>
      <c r="AQ4" s="11" t="str">
        <f>Time!AQ41</f>
        <v>Trajectoire</v>
      </c>
      <c r="AR4" s="11" t="str">
        <f>Time!AR41</f>
        <v>Trajectoire</v>
      </c>
      <c r="AS4" s="11" t="str">
        <f>Time!AS41</f>
        <v>Trajectoire</v>
      </c>
      <c r="AT4" s="11" t="str">
        <f>Time!AT41</f>
        <v>Trajectoire</v>
      </c>
      <c r="AU4" s="11" t="str">
        <f>Time!AU41</f>
        <v>Trajectoire</v>
      </c>
      <c r="AV4" s="11" t="str">
        <f>Time!AV41</f>
        <v>Trajectoire</v>
      </c>
      <c r="AW4" s="11" t="str">
        <f>Time!AW41</f>
        <v>Trajectoire</v>
      </c>
      <c r="AX4" s="11" t="str">
        <f>Time!AX41</f>
        <v>Trajectoire</v>
      </c>
      <c r="AY4" s="11" t="str">
        <f>Time!AY41</f>
        <v>Trajectoire</v>
      </c>
      <c r="AZ4" s="11" t="str">
        <f>Time!AZ41</f>
        <v>Trajectoire</v>
      </c>
      <c r="BA4" s="11" t="str">
        <f>Time!BA41</f>
        <v>Trajectoire</v>
      </c>
      <c r="BB4" s="11" t="str">
        <f>Time!BB41</f>
        <v>Trajectoire</v>
      </c>
      <c r="BC4" s="11" t="str">
        <f>Time!BC41</f>
        <v>Trajectoire</v>
      </c>
      <c r="BD4" s="11" t="str">
        <f>Time!BD41</f>
        <v>Trajectoire</v>
      </c>
      <c r="BE4" s="11" t="str">
        <f>Time!BE41</f>
        <v>Trajectoire</v>
      </c>
      <c r="BF4" s="11" t="str">
        <f>Time!BF41</f>
        <v>Trajectoire</v>
      </c>
      <c r="BG4" s="11" t="str">
        <f>Time!BG41</f>
        <v>Trajectoire</v>
      </c>
      <c r="BH4" s="11" t="str">
        <f>Time!BH41</f>
        <v>Trajectoire</v>
      </c>
      <c r="BI4" s="11" t="str">
        <f>Time!BI41</f>
        <v>Trajectoire</v>
      </c>
    </row>
    <row r="5" spans="2:61" x14ac:dyDescent="0.35">
      <c r="N5" s="3">
        <f>Time!N54</f>
        <v>44196</v>
      </c>
      <c r="O5" s="3">
        <f>Time!O54</f>
        <v>44196</v>
      </c>
      <c r="P5" s="3">
        <f>Time!P54</f>
        <v>44196</v>
      </c>
      <c r="Q5" s="3">
        <f>Time!Q54</f>
        <v>44196</v>
      </c>
      <c r="R5" s="3">
        <f>Time!R54</f>
        <v>44196</v>
      </c>
      <c r="S5" s="3">
        <f>Time!S54</f>
        <v>44196</v>
      </c>
      <c r="T5" s="3">
        <f>Time!T54</f>
        <v>44196</v>
      </c>
      <c r="U5" s="3">
        <f>Time!U54</f>
        <v>44196</v>
      </c>
      <c r="V5" s="3">
        <f>Time!V54</f>
        <v>44196</v>
      </c>
      <c r="W5" s="3">
        <f>Time!W54</f>
        <v>44196</v>
      </c>
      <c r="X5" s="3">
        <f>Time!X54</f>
        <v>44196</v>
      </c>
      <c r="Y5" s="3">
        <f>Time!Y54</f>
        <v>44196</v>
      </c>
      <c r="Z5" s="3">
        <f>Time!Z54</f>
        <v>44561</v>
      </c>
      <c r="AA5" s="3">
        <f>Time!AA54</f>
        <v>44561</v>
      </c>
      <c r="AB5" s="3">
        <f>Time!AB54</f>
        <v>44561</v>
      </c>
      <c r="AC5" s="3">
        <f>Time!AC54</f>
        <v>44561</v>
      </c>
      <c r="AD5" s="3">
        <f>Time!AD54</f>
        <v>44561</v>
      </c>
      <c r="AE5" s="3">
        <f>Time!AE54</f>
        <v>44561</v>
      </c>
      <c r="AF5" s="3">
        <f>Time!AF54</f>
        <v>44561</v>
      </c>
      <c r="AG5" s="3">
        <f>Time!AG54</f>
        <v>44561</v>
      </c>
      <c r="AH5" s="3">
        <f>Time!AH54</f>
        <v>44561</v>
      </c>
      <c r="AI5" s="3">
        <f>Time!AI54</f>
        <v>44561</v>
      </c>
      <c r="AJ5" s="3">
        <f>Time!AJ54</f>
        <v>44561</v>
      </c>
      <c r="AK5" s="3">
        <f>Time!AK54</f>
        <v>44561</v>
      </c>
      <c r="AL5" s="3">
        <f>Time!AL54</f>
        <v>44926</v>
      </c>
      <c r="AM5" s="3">
        <f>Time!AM54</f>
        <v>44926</v>
      </c>
      <c r="AN5" s="3">
        <f>Time!AN54</f>
        <v>44926</v>
      </c>
      <c r="AO5" s="3">
        <f>Time!AO54</f>
        <v>44926</v>
      </c>
      <c r="AP5" s="3">
        <f>Time!AP54</f>
        <v>44926</v>
      </c>
      <c r="AQ5" s="3">
        <f>Time!AQ54</f>
        <v>44926</v>
      </c>
      <c r="AR5" s="3">
        <f>Time!AR54</f>
        <v>44926</v>
      </c>
      <c r="AS5" s="3">
        <f>Time!AS54</f>
        <v>44926</v>
      </c>
      <c r="AT5" s="3">
        <f>Time!AT54</f>
        <v>44926</v>
      </c>
      <c r="AU5" s="3">
        <f>Time!AU54</f>
        <v>44926</v>
      </c>
      <c r="AV5" s="3">
        <f>Time!AV54</f>
        <v>44926</v>
      </c>
      <c r="AW5" s="3">
        <f>Time!AW54</f>
        <v>44926</v>
      </c>
      <c r="AX5" s="3">
        <f>Time!AX54</f>
        <v>45291</v>
      </c>
      <c r="AY5" s="3">
        <f>Time!AY54</f>
        <v>45291</v>
      </c>
      <c r="AZ5" s="3">
        <f>Time!AZ54</f>
        <v>45291</v>
      </c>
      <c r="BA5" s="3">
        <f>Time!BA54</f>
        <v>45291</v>
      </c>
      <c r="BB5" s="3">
        <f>Time!BB54</f>
        <v>45291</v>
      </c>
      <c r="BC5" s="3">
        <f>Time!BC54</f>
        <v>45291</v>
      </c>
      <c r="BD5" s="3">
        <f>Time!BD54</f>
        <v>45291</v>
      </c>
      <c r="BE5" s="3">
        <f>Time!BE54</f>
        <v>45291</v>
      </c>
      <c r="BF5" s="3">
        <f>Time!BF54</f>
        <v>45291</v>
      </c>
      <c r="BG5" s="3">
        <f>Time!BG54</f>
        <v>45291</v>
      </c>
      <c r="BH5" s="3">
        <f>Time!BH54</f>
        <v>45291</v>
      </c>
      <c r="BI5" s="3">
        <f>Time!BI54</f>
        <v>45291</v>
      </c>
    </row>
    <row r="6" spans="2:61" s="2" customFormat="1" x14ac:dyDescent="0.35">
      <c r="I6" s="2" t="s">
        <v>0</v>
      </c>
      <c r="J6" s="2" t="s">
        <v>1</v>
      </c>
      <c r="K6" s="2" t="s">
        <v>2</v>
      </c>
    </row>
    <row r="8" spans="2:61" x14ac:dyDescent="0.35">
      <c r="D8" s="1" t="s">
        <v>132</v>
      </c>
    </row>
    <row r="10" spans="2:61" x14ac:dyDescent="0.35">
      <c r="E10" t="s">
        <v>130</v>
      </c>
      <c r="J10" t="s">
        <v>50</v>
      </c>
      <c r="N10" s="41">
        <f>M14</f>
        <v>0</v>
      </c>
      <c r="O10" s="41">
        <f t="shared" ref="O10:BI10" si="0">N14</f>
        <v>6320</v>
      </c>
      <c r="P10" s="41">
        <f t="shared" si="0"/>
        <v>17763</v>
      </c>
      <c r="Q10" s="41">
        <f t="shared" si="0"/>
        <v>27724</v>
      </c>
      <c r="R10" s="41">
        <f t="shared" si="0"/>
        <v>32155</v>
      </c>
      <c r="S10" s="41">
        <f t="shared" si="0"/>
        <v>35106</v>
      </c>
      <c r="T10" s="41">
        <f t="shared" si="0"/>
        <v>47322</v>
      </c>
      <c r="U10" s="41">
        <f t="shared" si="0"/>
        <v>46580</v>
      </c>
      <c r="V10" s="41">
        <f t="shared" si="0"/>
        <v>29122</v>
      </c>
      <c r="W10" s="41">
        <f t="shared" si="0"/>
        <v>33454</v>
      </c>
      <c r="X10" s="41">
        <f t="shared" si="0"/>
        <v>42098</v>
      </c>
      <c r="Y10" s="41">
        <f t="shared" si="0"/>
        <v>50010</v>
      </c>
      <c r="Z10" s="41">
        <f t="shared" si="0"/>
        <v>43880</v>
      </c>
      <c r="AA10" s="41">
        <f t="shared" si="0"/>
        <v>59385</v>
      </c>
      <c r="AB10" s="41">
        <f t="shared" si="0"/>
        <v>72181</v>
      </c>
      <c r="AC10" s="41">
        <f t="shared" si="0"/>
        <v>87236</v>
      </c>
      <c r="AD10" s="41">
        <f t="shared" si="0"/>
        <v>90844</v>
      </c>
      <c r="AE10" s="41">
        <f t="shared" si="0"/>
        <v>90919</v>
      </c>
      <c r="AF10" s="41">
        <f t="shared" si="0"/>
        <v>84012</v>
      </c>
      <c r="AG10" s="41">
        <f t="shared" si="0"/>
        <v>73096</v>
      </c>
      <c r="AH10" s="41">
        <f t="shared" si="0"/>
        <v>55948</v>
      </c>
      <c r="AI10" s="41">
        <f t="shared" si="0"/>
        <v>61908</v>
      </c>
      <c r="AJ10" s="41">
        <f t="shared" si="0"/>
        <v>68276</v>
      </c>
      <c r="AK10" s="41">
        <f t="shared" si="0"/>
        <v>66794</v>
      </c>
      <c r="AL10" s="41">
        <f t="shared" si="0"/>
        <v>69117</v>
      </c>
      <c r="AM10" s="41">
        <f t="shared" si="0"/>
        <v>65568.141272886234</v>
      </c>
      <c r="AN10" s="41">
        <f t="shared" si="0"/>
        <v>71811.938005684875</v>
      </c>
      <c r="AO10" s="41">
        <f t="shared" si="0"/>
        <v>71008.643684903524</v>
      </c>
      <c r="AP10" s="41">
        <f t="shared" si="0"/>
        <v>71678.792961308907</v>
      </c>
      <c r="AQ10" s="41">
        <f t="shared" si="0"/>
        <v>70503.847664458051</v>
      </c>
      <c r="AR10" s="41">
        <f t="shared" si="0"/>
        <v>70076.599741321392</v>
      </c>
      <c r="AS10" s="41">
        <f t="shared" si="0"/>
        <v>64346.915541822164</v>
      </c>
      <c r="AT10" s="41">
        <f t="shared" si="0"/>
        <v>57129.270698328524</v>
      </c>
      <c r="AU10" s="41">
        <f t="shared" si="0"/>
        <v>65585.679926221419</v>
      </c>
      <c r="AV10" s="41">
        <f t="shared" si="0"/>
        <v>69525.617262015265</v>
      </c>
      <c r="AW10" s="41">
        <f t="shared" si="0"/>
        <v>71493.811244132172</v>
      </c>
      <c r="AX10" s="41">
        <f t="shared" si="0"/>
        <v>73396.245019127949</v>
      </c>
      <c r="AY10" s="41">
        <f t="shared" si="0"/>
        <v>68850.326534464839</v>
      </c>
      <c r="AZ10" s="41">
        <f t="shared" si="0"/>
        <v>75621.376671719918</v>
      </c>
      <c r="BA10" s="41">
        <f t="shared" si="0"/>
        <v>74728.405995198584</v>
      </c>
      <c r="BB10" s="41">
        <f t="shared" si="0"/>
        <v>75465.262114138124</v>
      </c>
      <c r="BC10" s="41">
        <f t="shared" si="0"/>
        <v>74172.817511149231</v>
      </c>
      <c r="BD10" s="41">
        <f t="shared" si="0"/>
        <v>73702.844771202203</v>
      </c>
      <c r="BE10" s="41">
        <f t="shared" si="0"/>
        <v>67400.192151696538</v>
      </c>
      <c r="BF10" s="41">
        <f t="shared" si="0"/>
        <v>59460.7828238535</v>
      </c>
      <c r="BG10" s="41">
        <f t="shared" si="0"/>
        <v>68762.832974535675</v>
      </c>
      <c r="BH10" s="41">
        <f t="shared" si="0"/>
        <v>73096.764043908915</v>
      </c>
      <c r="BI10" s="41">
        <f t="shared" si="0"/>
        <v>75261.777424237516</v>
      </c>
    </row>
    <row r="11" spans="2:61" s="4" customFormat="1" x14ac:dyDescent="0.35">
      <c r="E11" s="4" t="str">
        <f>Dépôts!E36</f>
        <v>Volumes-Dépôt</v>
      </c>
      <c r="J11" s="4" t="str">
        <f>Dépôts!J36</f>
        <v>Volume</v>
      </c>
      <c r="N11" s="85">
        <f>Dépôts!N36</f>
        <v>6320</v>
      </c>
      <c r="O11" s="85">
        <f>Dépôts!O36</f>
        <v>11443</v>
      </c>
      <c r="P11" s="85">
        <f>Dépôts!P36</f>
        <v>9961</v>
      </c>
      <c r="Q11" s="85">
        <f>Dépôts!Q36</f>
        <v>5157</v>
      </c>
      <c r="R11" s="85">
        <f>Dépôts!R36</f>
        <v>7758</v>
      </c>
      <c r="S11" s="85">
        <f>Dépôts!S36</f>
        <v>19366</v>
      </c>
      <c r="T11" s="85">
        <f>Dépôts!T36</f>
        <v>17473</v>
      </c>
      <c r="U11" s="85">
        <f>Dépôts!U36</f>
        <v>10690</v>
      </c>
      <c r="V11" s="85">
        <f>Dépôts!V36</f>
        <v>19315</v>
      </c>
      <c r="W11" s="85">
        <f>Dépôts!W36</f>
        <v>28065</v>
      </c>
      <c r="X11" s="85">
        <f>Dépôts!X36</f>
        <v>30651</v>
      </c>
      <c r="Y11" s="85">
        <f>Dépôts!Y36</f>
        <v>27939</v>
      </c>
      <c r="Z11" s="85">
        <f>Dépôts!Z36</f>
        <v>52269</v>
      </c>
      <c r="AA11" s="85">
        <f>Dépôts!AA36</f>
        <v>57486</v>
      </c>
      <c r="AB11" s="85">
        <f>Dépôts!AB36</f>
        <v>67267</v>
      </c>
      <c r="AC11" s="85">
        <f>Dépôts!AC36</f>
        <v>68625</v>
      </c>
      <c r="AD11" s="85">
        <f>Dépôts!AD36</f>
        <v>60334</v>
      </c>
      <c r="AE11" s="85">
        <f>Dépôts!AE36</f>
        <v>70423</v>
      </c>
      <c r="AF11" s="85">
        <f>Dépôts!AF36</f>
        <v>55455</v>
      </c>
      <c r="AG11" s="85">
        <f>Dépôts!AG36</f>
        <v>40687</v>
      </c>
      <c r="AH11" s="85">
        <f>Dépôts!AH36</f>
        <v>62423</v>
      </c>
      <c r="AI11" s="85">
        <f>Dépôts!AI36</f>
        <v>77015</v>
      </c>
      <c r="AJ11" s="85">
        <f>Dépôts!AJ36</f>
        <v>68409</v>
      </c>
      <c r="AK11" s="85">
        <f>Dépôts!AK36</f>
        <v>80621</v>
      </c>
      <c r="AL11" s="85">
        <f>Dépôts!AL36</f>
        <v>69086.403111506734</v>
      </c>
      <c r="AM11" s="85">
        <f>Dépôts!AM36</f>
        <v>77214.215242272243</v>
      </c>
      <c r="AN11" s="85">
        <f>Dépôts!AN36</f>
        <v>81278.12130765499</v>
      </c>
      <c r="AO11" s="85">
        <f>Dépôts!AO36</f>
        <v>81278.12130765499</v>
      </c>
      <c r="AP11" s="85">
        <f>Dépôts!AP36</f>
        <v>81278.12130765499</v>
      </c>
      <c r="AQ11" s="85">
        <f>Dépôts!AQ36</f>
        <v>77214.215242272243</v>
      </c>
      <c r="AR11" s="85">
        <f>Dépôts!AR36</f>
        <v>65022.497046123994</v>
      </c>
      <c r="AS11" s="85">
        <f>Dépôts!AS36</f>
        <v>48766.87278459299</v>
      </c>
      <c r="AT11" s="85">
        <f>Dépôts!AT36</f>
        <v>73150.309176889496</v>
      </c>
      <c r="AU11" s="85">
        <f>Dépôts!AU36</f>
        <v>81278.12130765499</v>
      </c>
      <c r="AV11" s="85">
        <f>Dépôts!AV36</f>
        <v>81278.12130765499</v>
      </c>
      <c r="AW11" s="85">
        <f>Dépôts!AW36</f>
        <v>89405.933438420499</v>
      </c>
      <c r="AX11" s="85">
        <f>Dépôts!AX36</f>
        <v>75995.043422657429</v>
      </c>
      <c r="AY11" s="85">
        <f>Dépôts!AY36</f>
        <v>84935.636766499476</v>
      </c>
      <c r="AZ11" s="85">
        <f>Dépôts!AZ36</f>
        <v>89405.933438420499</v>
      </c>
      <c r="BA11" s="85">
        <f>Dépôts!BA36</f>
        <v>89405.933438420499</v>
      </c>
      <c r="BB11" s="85">
        <f>Dépôts!BB36</f>
        <v>89405.933438420499</v>
      </c>
      <c r="BC11" s="85">
        <f>Dépôts!BC36</f>
        <v>84935.636766499476</v>
      </c>
      <c r="BD11" s="85">
        <f>Dépôts!BD36</f>
        <v>71524.746750736405</v>
      </c>
      <c r="BE11" s="85">
        <f>Dépôts!BE36</f>
        <v>53643.560063052297</v>
      </c>
      <c r="BF11" s="85">
        <f>Dépôts!BF36</f>
        <v>80465.340094578452</v>
      </c>
      <c r="BG11" s="85">
        <f>Dépôts!BG36</f>
        <v>89405.933438420499</v>
      </c>
      <c r="BH11" s="85">
        <f>Dépôts!BH36</f>
        <v>89405.933438420499</v>
      </c>
      <c r="BI11" s="85">
        <f>Dépôts!BI36</f>
        <v>98346.526782262561</v>
      </c>
    </row>
    <row r="12" spans="2:61" s="4" customFormat="1" x14ac:dyDescent="0.35">
      <c r="E12" s="4" t="str">
        <f>Engagements!E213</f>
        <v>Volumes-Engagement-Projection</v>
      </c>
      <c r="J12" s="4" t="str">
        <f>Engagements!J213</f>
        <v>Volume</v>
      </c>
      <c r="N12" s="85">
        <f>-1*Engagements!N213</f>
        <v>0</v>
      </c>
      <c r="O12" s="85">
        <f>-1*Engagements!O213</f>
        <v>0</v>
      </c>
      <c r="P12" s="85">
        <f>-1*Engagements!P213</f>
        <v>0</v>
      </c>
      <c r="Q12" s="85">
        <f>-1*Engagements!Q213</f>
        <v>-726</v>
      </c>
      <c r="R12" s="85">
        <f>-1*Engagements!R213</f>
        <v>-4807</v>
      </c>
      <c r="S12" s="85">
        <f>-1*Engagements!S213</f>
        <v>-7112</v>
      </c>
      <c r="T12" s="85">
        <f>-1*Engagements!T213</f>
        <v>-17956</v>
      </c>
      <c r="U12" s="85">
        <f>-1*Engagements!U213</f>
        <v>-27791</v>
      </c>
      <c r="V12" s="85">
        <f>-1*Engagements!V213</f>
        <v>-13787</v>
      </c>
      <c r="W12" s="85">
        <f>-1*Engagements!W213</f>
        <v>-14792</v>
      </c>
      <c r="X12" s="85">
        <f>-1*Engagements!X213</f>
        <v>-20452</v>
      </c>
      <c r="Y12" s="85">
        <f>-1*Engagements!Y213</f>
        <v>-31303</v>
      </c>
      <c r="Z12" s="85">
        <f>-1*Engagements!Z213</f>
        <v>-33518</v>
      </c>
      <c r="AA12" s="85">
        <f>-1*Engagements!AA213</f>
        <v>-39754</v>
      </c>
      <c r="AB12" s="85">
        <f>-1*Engagements!AB213</f>
        <v>-45141</v>
      </c>
      <c r="AC12" s="85">
        <f>-1*Engagements!AC213</f>
        <v>-57254</v>
      </c>
      <c r="AD12" s="85">
        <f>-1*Engagements!AD213</f>
        <v>-55077</v>
      </c>
      <c r="AE12" s="85">
        <f>-1*Engagements!AE213</f>
        <v>-71050</v>
      </c>
      <c r="AF12" s="85">
        <f>-1*Engagements!AF213</f>
        <v>-60529</v>
      </c>
      <c r="AG12" s="85">
        <f>-1*Engagements!AG213</f>
        <v>-51721</v>
      </c>
      <c r="AH12" s="85">
        <f>-1*Engagements!AH213</f>
        <v>-51153</v>
      </c>
      <c r="AI12" s="85">
        <f>-1*Engagements!AI213</f>
        <v>-63159</v>
      </c>
      <c r="AJ12" s="85">
        <f>-1*Engagements!AJ213</f>
        <v>-62431</v>
      </c>
      <c r="AK12" s="85">
        <f>-1*Engagements!AK213</f>
        <v>-70804</v>
      </c>
      <c r="AL12" s="85">
        <f>-1*Engagements!AL213</f>
        <v>-65371.735654758428</v>
      </c>
      <c r="AM12" s="85">
        <f>-1*Engagements!AM213</f>
        <v>-63873.376658526257</v>
      </c>
      <c r="AN12" s="85">
        <f>-1*Engagements!AN213</f>
        <v>-73873.274065592719</v>
      </c>
      <c r="AO12" s="85">
        <f>-1*Engagements!AO213</f>
        <v>-72547.17482812464</v>
      </c>
      <c r="AP12" s="85">
        <f>-1*Engagements!AP213</f>
        <v>-74207.759944055273</v>
      </c>
      <c r="AQ12" s="85">
        <f>-1*Engagements!AQ213</f>
        <v>-69877.316848867995</v>
      </c>
      <c r="AR12" s="85">
        <f>-1*Engagements!AR213</f>
        <v>-63676.963121060908</v>
      </c>
      <c r="AS12" s="85">
        <f>-1*Engagements!AS213</f>
        <v>-50386.06586527796</v>
      </c>
      <c r="AT12" s="85">
        <f>-1*Engagements!AT213</f>
        <v>-58224.509954096939</v>
      </c>
      <c r="AU12" s="85">
        <f>-1*Engagements!AU213</f>
        <v>-69604.36557467503</v>
      </c>
      <c r="AV12" s="85">
        <f>-1*Engagements!AV213</f>
        <v>-71378.934592984268</v>
      </c>
      <c r="AW12" s="85">
        <f>-1*Engagements!AW213</f>
        <v>-78753.149697082248</v>
      </c>
      <c r="AX12" s="85">
        <f>-1*Engagements!AX213</f>
        <v>-72486.86571658848</v>
      </c>
      <c r="AY12" s="85">
        <f>-1*Engagements!AY213</f>
        <v>-70348.127966319968</v>
      </c>
      <c r="AZ12" s="85">
        <f>-1*Engagements!AZ213</f>
        <v>-81269.01370344765</v>
      </c>
      <c r="BA12" s="85">
        <f>-1*Engagements!BA213</f>
        <v>-79802.169587532859</v>
      </c>
      <c r="BB12" s="85">
        <f>-1*Engagements!BB213</f>
        <v>-81628.540237268462</v>
      </c>
      <c r="BC12" s="85">
        <f>-1*Engagements!BC213</f>
        <v>-76865.048555801855</v>
      </c>
      <c r="BD12" s="85">
        <f>-1*Engagements!BD213</f>
        <v>-70044.659433217879</v>
      </c>
      <c r="BE12" s="85">
        <f>-1*Engagements!BE213</f>
        <v>-55424.672451805804</v>
      </c>
      <c r="BF12" s="85">
        <f>-1*Engagements!BF213</f>
        <v>-64046.96094950664</v>
      </c>
      <c r="BG12" s="85">
        <f>-1*Engagements!BG213</f>
        <v>-76564.802132142533</v>
      </c>
      <c r="BH12" s="85">
        <f>-1*Engagements!BH213</f>
        <v>-78516.828052282712</v>
      </c>
      <c r="BI12" s="85">
        <f>-1*Engagements!BI213</f>
        <v>-86628.464666790489</v>
      </c>
    </row>
    <row r="13" spans="2:61" s="4" customFormat="1" ht="15" thickBot="1" x14ac:dyDescent="0.4">
      <c r="E13" s="32" t="str">
        <f>Engagements!E214</f>
        <v>Volumes-Rejet de l'engagement-Projection</v>
      </c>
      <c r="F13" s="32"/>
      <c r="G13" s="32"/>
      <c r="H13" s="32"/>
      <c r="I13" s="32"/>
      <c r="J13" s="32" t="str">
        <f>Engagements!J214</f>
        <v>Volume</v>
      </c>
      <c r="K13" s="32"/>
      <c r="L13" s="32"/>
      <c r="M13" s="32"/>
      <c r="N13" s="95">
        <f>-1*Engagements!N214</f>
        <v>0</v>
      </c>
      <c r="O13" s="95">
        <f>-1*Engagements!O214</f>
        <v>0</v>
      </c>
      <c r="P13" s="95">
        <f>-1*Engagements!P214</f>
        <v>0</v>
      </c>
      <c r="Q13" s="95">
        <f>-1*Engagements!Q214</f>
        <v>0</v>
      </c>
      <c r="R13" s="95">
        <f>-1*Engagements!R214</f>
        <v>0</v>
      </c>
      <c r="S13" s="95">
        <f>-1*Engagements!S214</f>
        <v>-38</v>
      </c>
      <c r="T13" s="95">
        <f>-1*Engagements!T214</f>
        <v>-259</v>
      </c>
      <c r="U13" s="95">
        <f>-1*Engagements!U214</f>
        <v>-357</v>
      </c>
      <c r="V13" s="95">
        <f>-1*Engagements!V214</f>
        <v>-1196</v>
      </c>
      <c r="W13" s="95">
        <f>-1*Engagements!W214</f>
        <v>-4629</v>
      </c>
      <c r="X13" s="95">
        <f>-1*Engagements!X214</f>
        <v>-2287</v>
      </c>
      <c r="Y13" s="95">
        <f>-1*Engagements!Y214</f>
        <v>-2766</v>
      </c>
      <c r="Z13" s="95">
        <f>-1*Engagements!Z214</f>
        <v>-3246</v>
      </c>
      <c r="AA13" s="95">
        <f>-1*Engagements!AA214</f>
        <v>-4936</v>
      </c>
      <c r="AB13" s="95">
        <f>-1*Engagements!AB214</f>
        <v>-7071</v>
      </c>
      <c r="AC13" s="95">
        <f>-1*Engagements!AC214</f>
        <v>-7763</v>
      </c>
      <c r="AD13" s="95">
        <f>-1*Engagements!AD214</f>
        <v>-5182</v>
      </c>
      <c r="AE13" s="95">
        <f>-1*Engagements!AE214</f>
        <v>-6280</v>
      </c>
      <c r="AF13" s="95">
        <f>-1*Engagements!AF214</f>
        <v>-5842</v>
      </c>
      <c r="AG13" s="95">
        <f>-1*Engagements!AG214</f>
        <v>-6114</v>
      </c>
      <c r="AH13" s="95">
        <f>-1*Engagements!AH214</f>
        <v>-5310</v>
      </c>
      <c r="AI13" s="95">
        <f>-1*Engagements!AI214</f>
        <v>-7488</v>
      </c>
      <c r="AJ13" s="95">
        <f>-1*Engagements!AJ214</f>
        <v>-7460</v>
      </c>
      <c r="AK13" s="95">
        <f>-1*Engagements!AK214</f>
        <v>-7494</v>
      </c>
      <c r="AL13" s="95">
        <f>-1*Engagements!AL214</f>
        <v>-7263.5261838620472</v>
      </c>
      <c r="AM13" s="95">
        <f>-1*Engagements!AM214</f>
        <v>-7097.041850947362</v>
      </c>
      <c r="AN13" s="95">
        <f>-1*Engagements!AN214</f>
        <v>-8208.1415628436353</v>
      </c>
      <c r="AO13" s="95">
        <f>-1*Engagements!AO214</f>
        <v>-8060.7972031249592</v>
      </c>
      <c r="AP13" s="95">
        <f>-1*Engagements!AP214</f>
        <v>-8245.3066604505857</v>
      </c>
      <c r="AQ13" s="95">
        <f>-1*Engagements!AQ214</f>
        <v>-7764.1463165408877</v>
      </c>
      <c r="AR13" s="95">
        <f>-1*Engagements!AR214</f>
        <v>-7075.2181245623233</v>
      </c>
      <c r="AS13" s="95">
        <f>-1*Engagements!AS214</f>
        <v>-5598.4517628086624</v>
      </c>
      <c r="AT13" s="95">
        <f>-1*Engagements!AT214</f>
        <v>-6469.3899948996595</v>
      </c>
      <c r="AU13" s="95">
        <f>-1*Engagements!AU214</f>
        <v>-7733.8183971861145</v>
      </c>
      <c r="AV13" s="95">
        <f>-1*Engagements!AV214</f>
        <v>-7930.9927325538074</v>
      </c>
      <c r="AW13" s="95">
        <f>-1*Engagements!AW214</f>
        <v>-8750.3499663424718</v>
      </c>
      <c r="AX13" s="95">
        <f>-1*Engagements!AX214</f>
        <v>-8054.0961907320525</v>
      </c>
      <c r="AY13" s="95">
        <f>-1*Engagements!AY214</f>
        <v>-7816.4586629244413</v>
      </c>
      <c r="AZ13" s="95">
        <f>-1*Engagements!AZ214</f>
        <v>-9029.8904114941834</v>
      </c>
      <c r="BA13" s="95">
        <f>-1*Engagements!BA214</f>
        <v>-8866.9077319480966</v>
      </c>
      <c r="BB13" s="95">
        <f>-1*Engagements!BB214</f>
        <v>-9069.8378041409396</v>
      </c>
      <c r="BC13" s="95">
        <f>-1*Engagements!BC214</f>
        <v>-8540.5609506446508</v>
      </c>
      <c r="BD13" s="95">
        <f>-1*Engagements!BD214</f>
        <v>-7782.7399370242092</v>
      </c>
      <c r="BE13" s="95">
        <f>-1*Engagements!BE214</f>
        <v>-6158.2969390895341</v>
      </c>
      <c r="BF13" s="95">
        <f>-1*Engagements!BF214</f>
        <v>-7116.328994389627</v>
      </c>
      <c r="BG13" s="95">
        <f>-1*Engagements!BG214</f>
        <v>-8507.2002369047259</v>
      </c>
      <c r="BH13" s="95">
        <f>-1*Engagements!BH214</f>
        <v>-8724.0920058091906</v>
      </c>
      <c r="BI13" s="95">
        <f>-1*Engagements!BI214</f>
        <v>-9625.384962976721</v>
      </c>
    </row>
    <row r="14" spans="2:61" s="8" customFormat="1" ht="15" thickTop="1" x14ac:dyDescent="0.35">
      <c r="E14" s="8" t="s">
        <v>131</v>
      </c>
      <c r="J14" s="8" t="s">
        <v>50</v>
      </c>
      <c r="N14" s="93">
        <f>SUM(N10:N13)</f>
        <v>6320</v>
      </c>
      <c r="O14" s="93">
        <f t="shared" ref="O14:BI14" si="1">SUM(O10:O13)</f>
        <v>17763</v>
      </c>
      <c r="P14" s="93">
        <f t="shared" si="1"/>
        <v>27724</v>
      </c>
      <c r="Q14" s="93">
        <f t="shared" si="1"/>
        <v>32155</v>
      </c>
      <c r="R14" s="93">
        <f t="shared" si="1"/>
        <v>35106</v>
      </c>
      <c r="S14" s="93">
        <f t="shared" si="1"/>
        <v>47322</v>
      </c>
      <c r="T14" s="93">
        <f t="shared" si="1"/>
        <v>46580</v>
      </c>
      <c r="U14" s="93">
        <f t="shared" si="1"/>
        <v>29122</v>
      </c>
      <c r="V14" s="93">
        <f t="shared" si="1"/>
        <v>33454</v>
      </c>
      <c r="W14" s="93">
        <f t="shared" si="1"/>
        <v>42098</v>
      </c>
      <c r="X14" s="93">
        <f t="shared" si="1"/>
        <v>50010</v>
      </c>
      <c r="Y14" s="93">
        <f t="shared" si="1"/>
        <v>43880</v>
      </c>
      <c r="Z14" s="93">
        <f t="shared" si="1"/>
        <v>59385</v>
      </c>
      <c r="AA14" s="93">
        <f t="shared" si="1"/>
        <v>72181</v>
      </c>
      <c r="AB14" s="93">
        <f t="shared" si="1"/>
        <v>87236</v>
      </c>
      <c r="AC14" s="93">
        <f t="shared" si="1"/>
        <v>90844</v>
      </c>
      <c r="AD14" s="93">
        <f t="shared" si="1"/>
        <v>90919</v>
      </c>
      <c r="AE14" s="93">
        <f t="shared" si="1"/>
        <v>84012</v>
      </c>
      <c r="AF14" s="93">
        <f t="shared" si="1"/>
        <v>73096</v>
      </c>
      <c r="AG14" s="93">
        <f t="shared" si="1"/>
        <v>55948</v>
      </c>
      <c r="AH14" s="93">
        <f t="shared" si="1"/>
        <v>61908</v>
      </c>
      <c r="AI14" s="93">
        <f t="shared" si="1"/>
        <v>68276</v>
      </c>
      <c r="AJ14" s="93">
        <f t="shared" si="1"/>
        <v>66794</v>
      </c>
      <c r="AK14" s="93">
        <f t="shared" si="1"/>
        <v>69117</v>
      </c>
      <c r="AL14" s="93">
        <f t="shared" si="1"/>
        <v>65568.141272886234</v>
      </c>
      <c r="AM14" s="93">
        <f t="shared" si="1"/>
        <v>71811.938005684875</v>
      </c>
      <c r="AN14" s="93">
        <f t="shared" si="1"/>
        <v>71008.643684903524</v>
      </c>
      <c r="AO14" s="93">
        <f t="shared" si="1"/>
        <v>71678.792961308907</v>
      </c>
      <c r="AP14" s="93">
        <f t="shared" si="1"/>
        <v>70503.847664458051</v>
      </c>
      <c r="AQ14" s="93">
        <f t="shared" si="1"/>
        <v>70076.599741321392</v>
      </c>
      <c r="AR14" s="93">
        <f t="shared" si="1"/>
        <v>64346.915541822164</v>
      </c>
      <c r="AS14" s="93">
        <f t="shared" si="1"/>
        <v>57129.270698328524</v>
      </c>
      <c r="AT14" s="93">
        <f t="shared" si="1"/>
        <v>65585.679926221419</v>
      </c>
      <c r="AU14" s="93">
        <f t="shared" si="1"/>
        <v>69525.617262015265</v>
      </c>
      <c r="AV14" s="93">
        <f t="shared" si="1"/>
        <v>71493.811244132172</v>
      </c>
      <c r="AW14" s="93">
        <f t="shared" si="1"/>
        <v>73396.245019127949</v>
      </c>
      <c r="AX14" s="93">
        <f t="shared" si="1"/>
        <v>68850.326534464839</v>
      </c>
      <c r="AY14" s="93">
        <f t="shared" si="1"/>
        <v>75621.376671719918</v>
      </c>
      <c r="AZ14" s="93">
        <f t="shared" si="1"/>
        <v>74728.405995198584</v>
      </c>
      <c r="BA14" s="93">
        <f t="shared" si="1"/>
        <v>75465.262114138124</v>
      </c>
      <c r="BB14" s="93">
        <f t="shared" si="1"/>
        <v>74172.817511149231</v>
      </c>
      <c r="BC14" s="93">
        <f t="shared" si="1"/>
        <v>73702.844771202203</v>
      </c>
      <c r="BD14" s="93">
        <f t="shared" si="1"/>
        <v>67400.192151696538</v>
      </c>
      <c r="BE14" s="93">
        <f t="shared" si="1"/>
        <v>59460.7828238535</v>
      </c>
      <c r="BF14" s="93">
        <f t="shared" si="1"/>
        <v>68762.832974535675</v>
      </c>
      <c r="BG14" s="93">
        <f t="shared" si="1"/>
        <v>73096.764043908915</v>
      </c>
      <c r="BH14" s="93">
        <f t="shared" si="1"/>
        <v>75261.777424237516</v>
      </c>
      <c r="BI14" s="93">
        <f t="shared" si="1"/>
        <v>77354.454576732853</v>
      </c>
    </row>
    <row r="16" spans="2:61" x14ac:dyDescent="0.35">
      <c r="D16" s="1" t="s">
        <v>133</v>
      </c>
    </row>
    <row r="18" spans="4:61" x14ac:dyDescent="0.35">
      <c r="E18" t="s">
        <v>130</v>
      </c>
      <c r="J18" t="s">
        <v>50</v>
      </c>
      <c r="N18" s="41">
        <f>M22</f>
        <v>0</v>
      </c>
      <c r="O18" s="41">
        <f t="shared" ref="O18:BI18" si="2">N22</f>
        <v>0</v>
      </c>
      <c r="P18" s="41">
        <f t="shared" si="2"/>
        <v>0</v>
      </c>
      <c r="Q18" s="41">
        <f t="shared" si="2"/>
        <v>0</v>
      </c>
      <c r="R18" s="41">
        <f t="shared" si="2"/>
        <v>87</v>
      </c>
      <c r="S18" s="41">
        <f t="shared" si="2"/>
        <v>702</v>
      </c>
      <c r="T18" s="41">
        <f t="shared" si="2"/>
        <v>2485</v>
      </c>
      <c r="U18" s="41">
        <f t="shared" si="2"/>
        <v>5424</v>
      </c>
      <c r="V18" s="41">
        <f t="shared" si="2"/>
        <v>10273</v>
      </c>
      <c r="W18" s="41">
        <f t="shared" si="2"/>
        <v>18618</v>
      </c>
      <c r="X18" s="41">
        <f t="shared" si="2"/>
        <v>29235</v>
      </c>
      <c r="Y18" s="41">
        <f t="shared" si="2"/>
        <v>26868</v>
      </c>
      <c r="Z18" s="41">
        <f t="shared" si="2"/>
        <v>21930</v>
      </c>
      <c r="AA18" s="41">
        <f t="shared" si="2"/>
        <v>30892</v>
      </c>
      <c r="AB18" s="41">
        <f t="shared" si="2"/>
        <v>38527</v>
      </c>
      <c r="AC18" s="41">
        <f t="shared" si="2"/>
        <v>44290</v>
      </c>
      <c r="AD18" s="41">
        <f t="shared" si="2"/>
        <v>51846</v>
      </c>
      <c r="AE18" s="41">
        <f t="shared" si="2"/>
        <v>58625</v>
      </c>
      <c r="AF18" s="41">
        <f t="shared" si="2"/>
        <v>63773</v>
      </c>
      <c r="AG18" s="41">
        <f t="shared" si="2"/>
        <v>67052</v>
      </c>
      <c r="AH18" s="41">
        <f t="shared" si="2"/>
        <v>55697</v>
      </c>
      <c r="AI18" s="41">
        <f t="shared" si="2"/>
        <v>59462</v>
      </c>
      <c r="AJ18" s="41">
        <f t="shared" si="2"/>
        <v>71878</v>
      </c>
      <c r="AK18" s="41">
        <f t="shared" si="2"/>
        <v>87891</v>
      </c>
      <c r="AL18" s="41">
        <f t="shared" si="2"/>
        <v>100314</v>
      </c>
      <c r="AM18" s="41">
        <f t="shared" si="2"/>
        <v>102541.32695043345</v>
      </c>
      <c r="AN18" s="41">
        <f t="shared" si="2"/>
        <v>105095.83008330391</v>
      </c>
      <c r="AO18" s="41">
        <f t="shared" si="2"/>
        <v>107763.95448099454</v>
      </c>
      <c r="AP18" s="41">
        <f t="shared" si="2"/>
        <v>110142.15020846094</v>
      </c>
      <c r="AQ18" s="41">
        <f t="shared" si="2"/>
        <v>111948.67014601549</v>
      </c>
      <c r="AR18" s="41">
        <f t="shared" si="2"/>
        <v>113027.0819185257</v>
      </c>
      <c r="AS18" s="41">
        <f t="shared" si="2"/>
        <v>112319.33344104586</v>
      </c>
      <c r="AT18" s="41">
        <f t="shared" si="2"/>
        <v>109279.52155610378</v>
      </c>
      <c r="AU18" s="41">
        <f t="shared" si="2"/>
        <v>108664.93532090033</v>
      </c>
      <c r="AV18" s="41">
        <f t="shared" si="2"/>
        <v>109797.67404415399</v>
      </c>
      <c r="AW18" s="41">
        <f t="shared" si="2"/>
        <v>111552.6725059337</v>
      </c>
      <c r="AX18" s="41">
        <f t="shared" si="2"/>
        <v>113692.00646034272</v>
      </c>
      <c r="AY18" s="41">
        <f t="shared" si="2"/>
        <v>114182.23629413464</v>
      </c>
      <c r="AZ18" s="41">
        <f t="shared" si="2"/>
        <v>115761.04529398265</v>
      </c>
      <c r="BA18" s="41">
        <f t="shared" si="2"/>
        <v>117623.58561111079</v>
      </c>
      <c r="BB18" s="41">
        <f t="shared" si="2"/>
        <v>119561.60281243881</v>
      </c>
      <c r="BC18" s="41">
        <f t="shared" si="2"/>
        <v>121057.12576870312</v>
      </c>
      <c r="BD18" s="41">
        <f t="shared" si="2"/>
        <v>122130.44052076542</v>
      </c>
      <c r="BE18" s="41">
        <f t="shared" si="2"/>
        <v>121369.1684243402</v>
      </c>
      <c r="BF18" s="41">
        <f t="shared" si="2"/>
        <v>118119.51928413614</v>
      </c>
      <c r="BG18" s="41">
        <f t="shared" si="2"/>
        <v>117458.44528956486</v>
      </c>
      <c r="BH18" s="41">
        <f t="shared" si="2"/>
        <v>118683.42116317812</v>
      </c>
      <c r="BI18" s="41">
        <f t="shared" si="2"/>
        <v>120551.1161655453</v>
      </c>
    </row>
    <row r="19" spans="4:61" s="4" customFormat="1" x14ac:dyDescent="0.35">
      <c r="E19" s="4" t="str">
        <f>'Demandes de solde'!E245</f>
        <v>Volumes-Demande de solde-Projection</v>
      </c>
      <c r="J19" s="4" t="str">
        <f>'Demandes de solde'!J245</f>
        <v>Volume</v>
      </c>
      <c r="N19" s="85">
        <f>'Demandes de solde'!N245</f>
        <v>0</v>
      </c>
      <c r="O19" s="85">
        <f>'Demandes de solde'!O245</f>
        <v>0</v>
      </c>
      <c r="P19" s="85">
        <f>'Demandes de solde'!P245</f>
        <v>0</v>
      </c>
      <c r="Q19" s="85">
        <f>'Demandes de solde'!Q245</f>
        <v>87</v>
      </c>
      <c r="R19" s="85">
        <f>'Demandes de solde'!R245</f>
        <v>636</v>
      </c>
      <c r="S19" s="85">
        <f>'Demandes de solde'!S245</f>
        <v>2269</v>
      </c>
      <c r="T19" s="85">
        <f>'Demandes de solde'!T245</f>
        <v>4269</v>
      </c>
      <c r="U19" s="85">
        <f>'Demandes de solde'!U245</f>
        <v>6469</v>
      </c>
      <c r="V19" s="85">
        <f>'Demandes de solde'!V245</f>
        <v>10749</v>
      </c>
      <c r="W19" s="85">
        <f>'Demandes de solde'!W245</f>
        <v>14183</v>
      </c>
      <c r="X19" s="85">
        <f>'Demandes de solde'!X245</f>
        <v>16574</v>
      </c>
      <c r="Y19" s="85">
        <f>'Demandes de solde'!Y245</f>
        <v>19960</v>
      </c>
      <c r="Z19" s="85">
        <f>'Demandes de solde'!Z245</f>
        <v>21697</v>
      </c>
      <c r="AA19" s="85">
        <f>'Demandes de solde'!AA245</f>
        <v>27179</v>
      </c>
      <c r="AB19" s="85">
        <f>'Demandes de solde'!AB245</f>
        <v>32553</v>
      </c>
      <c r="AC19" s="85">
        <f>'Demandes de solde'!AC245</f>
        <v>34544</v>
      </c>
      <c r="AD19" s="85">
        <f>'Demandes de solde'!AD245</f>
        <v>32781</v>
      </c>
      <c r="AE19" s="85">
        <f>'Demandes de solde'!AE245</f>
        <v>38664</v>
      </c>
      <c r="AF19" s="85">
        <f>'Demandes de solde'!AF245</f>
        <v>40773</v>
      </c>
      <c r="AG19" s="85">
        <f>'Demandes de solde'!AG245</f>
        <v>27624</v>
      </c>
      <c r="AH19" s="85">
        <f>'Demandes de solde'!AH245</f>
        <v>44997</v>
      </c>
      <c r="AI19" s="85">
        <f>'Demandes de solde'!AI245</f>
        <v>51424</v>
      </c>
      <c r="AJ19" s="85">
        <f>'Demandes de solde'!AJ245</f>
        <v>53131</v>
      </c>
      <c r="AK19" s="85">
        <f>'Demandes de solde'!AK245</f>
        <v>56324</v>
      </c>
      <c r="AL19" s="85">
        <f>'Demandes de solde'!AL245</f>
        <v>55779.354484422802</v>
      </c>
      <c r="AM19" s="85">
        <f>'Demandes de solde'!AM245</f>
        <v>52425.82824647989</v>
      </c>
      <c r="AN19" s="85">
        <f>'Demandes de solde'!AN245</f>
        <v>60235.743482396771</v>
      </c>
      <c r="AO19" s="85">
        <f>'Demandes de solde'!AO245</f>
        <v>59531.72975090504</v>
      </c>
      <c r="AP19" s="85">
        <f>'Demandes de solde'!AP245</f>
        <v>62473.721581154561</v>
      </c>
      <c r="AQ19" s="85">
        <f>'Demandes de solde'!AQ245</f>
        <v>60509.608006077935</v>
      </c>
      <c r="AR19" s="85">
        <f>'Demandes de solde'!AR245</f>
        <v>60763.115116330067</v>
      </c>
      <c r="AS19" s="85">
        <f>'Demandes de solde'!AS245</f>
        <v>56949.508506996957</v>
      </c>
      <c r="AT19" s="85">
        <f>'Demandes de solde'!AT245</f>
        <v>57053.136182929935</v>
      </c>
      <c r="AU19" s="85">
        <f>'Demandes de solde'!AU245</f>
        <v>61251.178951307833</v>
      </c>
      <c r="AV19" s="85">
        <f>'Demandes de solde'!AV245</f>
        <v>60402.402042979265</v>
      </c>
      <c r="AW19" s="85">
        <f>'Demandes de solde'!AW245</f>
        <v>64175.252174882356</v>
      </c>
      <c r="AX19" s="85">
        <f>'Demandes de solde'!AX245</f>
        <v>63005.515505017313</v>
      </c>
      <c r="AY19" s="85">
        <f>'Demandes de solde'!AY245</f>
        <v>58444.060974671265</v>
      </c>
      <c r="AZ19" s="85">
        <f>'Demandes de solde'!AZ245</f>
        <v>66515.865208060728</v>
      </c>
      <c r="BA19" s="85">
        <f>'Demandes de solde'!BA245</f>
        <v>65544.945076049407</v>
      </c>
      <c r="BB19" s="85">
        <f>'Demandes de solde'!BB245</f>
        <v>68579.424332022172</v>
      </c>
      <c r="BC19" s="85">
        <f>'Demandes de solde'!BC245</f>
        <v>66630.538624534631</v>
      </c>
      <c r="BD19" s="85">
        <f>'Demandes de solde'!BD245</f>
        <v>66973.324207001657</v>
      </c>
      <c r="BE19" s="85">
        <f>'Demandes de solde'!BE245</f>
        <v>62873.030008606853</v>
      </c>
      <c r="BF19" s="85">
        <f>'Demandes de solde'!BF245</f>
        <v>62902.09938989528</v>
      </c>
      <c r="BG19" s="85">
        <f>'Demandes de solde'!BG245</f>
        <v>67489.377899406871</v>
      </c>
      <c r="BH19" s="85">
        <f>'Demandes de solde'!BH245</f>
        <v>66481.718475194008</v>
      </c>
      <c r="BI19" s="85">
        <f>'Demandes de solde'!BI245</f>
        <v>70608.725113188964</v>
      </c>
    </row>
    <row r="20" spans="4:61" s="4" customFormat="1" x14ac:dyDescent="0.35">
      <c r="E20" s="4" t="str">
        <f>'Paiements Solde et retraits'!E322</f>
        <v>Volumes-Paiement du solde-Projection</v>
      </c>
      <c r="J20" s="4" t="str">
        <f>'Paiements Solde et retraits'!J322</f>
        <v>Volume</v>
      </c>
      <c r="N20" s="85">
        <f>-1*'Paiements Solde et retraits'!N322</f>
        <v>0</v>
      </c>
      <c r="O20" s="85">
        <f>-1*'Paiements Solde et retraits'!O322</f>
        <v>0</v>
      </c>
      <c r="P20" s="85">
        <f>-1*'Paiements Solde et retraits'!P322</f>
        <v>0</v>
      </c>
      <c r="Q20" s="85">
        <f>-1*'Paiements Solde et retraits'!Q322</f>
        <v>0</v>
      </c>
      <c r="R20" s="85">
        <f>-1*'Paiements Solde et retraits'!R322</f>
        <v>-21</v>
      </c>
      <c r="S20" s="85">
        <f>-1*'Paiements Solde et retraits'!S322</f>
        <v>-486</v>
      </c>
      <c r="T20" s="85">
        <f>-1*'Paiements Solde et retraits'!T322</f>
        <v>-1328</v>
      </c>
      <c r="U20" s="85">
        <f>-1*'Paiements Solde et retraits'!U322</f>
        <v>-1620</v>
      </c>
      <c r="V20" s="85">
        <f>-1*'Paiements Solde et retraits'!V322</f>
        <v>-2404</v>
      </c>
      <c r="W20" s="85">
        <f>-1*'Paiements Solde et retraits'!W322</f>
        <v>-3558</v>
      </c>
      <c r="X20" s="85">
        <f>-1*'Paiements Solde et retraits'!X322</f>
        <v>-18930</v>
      </c>
      <c r="Y20" s="85">
        <f>-1*'Paiements Solde et retraits'!Y322</f>
        <v>-24201</v>
      </c>
      <c r="Z20" s="85">
        <f>-1*'Paiements Solde et retraits'!Z322</f>
        <v>-11896</v>
      </c>
      <c r="AA20" s="85">
        <f>-1*'Paiements Solde et retraits'!AA322</f>
        <v>-18436</v>
      </c>
      <c r="AB20" s="85">
        <f>-1*'Paiements Solde et retraits'!AB322</f>
        <v>-26308</v>
      </c>
      <c r="AC20" s="85">
        <f>-1*'Paiements Solde et retraits'!AC322</f>
        <v>-25819</v>
      </c>
      <c r="AD20" s="85">
        <f>-1*'Paiements Solde et retraits'!AD322</f>
        <v>-25351</v>
      </c>
      <c r="AE20" s="85">
        <f>-1*'Paiements Solde et retraits'!AE322</f>
        <v>-32358</v>
      </c>
      <c r="AF20" s="85">
        <f>-1*'Paiements Solde et retraits'!AF322</f>
        <v>-36220</v>
      </c>
      <c r="AG20" s="85">
        <f>-1*'Paiements Solde et retraits'!AG322</f>
        <v>-37185</v>
      </c>
      <c r="AH20" s="85">
        <f>-1*'Paiements Solde et retraits'!AH322</f>
        <v>-39041</v>
      </c>
      <c r="AI20" s="85">
        <f>-1*'Paiements Solde et retraits'!AI322</f>
        <v>-36356</v>
      </c>
      <c r="AJ20" s="85">
        <f>-1*'Paiements Solde et retraits'!AJ322</f>
        <v>-33503</v>
      </c>
      <c r="AK20" s="85">
        <f>-1*'Paiements Solde et retraits'!AK322</f>
        <v>-41862</v>
      </c>
      <c r="AL20" s="85">
        <f>-1*'Paiements Solde et retraits'!AL322</f>
        <v>-50874.42615728989</v>
      </c>
      <c r="AM20" s="85">
        <f>-1*'Paiements Solde et retraits'!AM322</f>
        <v>-47377.758857928959</v>
      </c>
      <c r="AN20" s="85">
        <f>-1*'Paiements Solde et retraits'!AN322</f>
        <v>-54689.238130470832</v>
      </c>
      <c r="AO20" s="85">
        <f>-1*'Paiements Solde et retraits'!AO322</f>
        <v>-54295.857322266689</v>
      </c>
      <c r="AP20" s="85">
        <f>-1*'Paiements Solde et retraits'!AP322</f>
        <v>-57633.841561419991</v>
      </c>
      <c r="AQ20" s="85">
        <f>-1*'Paiements Solde et retraits'!AQ322</f>
        <v>-56459.636421889329</v>
      </c>
      <c r="AR20" s="85">
        <f>-1*'Paiements Solde et retraits'!AR322</f>
        <v>-58397.320414119422</v>
      </c>
      <c r="AS20" s="85">
        <f>-1*'Paiements Solde et retraits'!AS322</f>
        <v>-56989.854372342103</v>
      </c>
      <c r="AT20" s="85">
        <f>-1*'Paiements Solde et retraits'!AT322</f>
        <v>-54784.336297226713</v>
      </c>
      <c r="AU20" s="85">
        <f>-1*'Paiements Solde et retraits'!AU322</f>
        <v>-57112.51821665145</v>
      </c>
      <c r="AV20" s="85">
        <f>-1*'Paiements Solde et retraits'!AV322</f>
        <v>-55715.033402139583</v>
      </c>
      <c r="AW20" s="85">
        <f>-1*'Paiements Solde et retraits'!AW322</f>
        <v>-58934.122309449682</v>
      </c>
      <c r="AX20" s="85">
        <f>-1*'Paiements Solde et retraits'!AX322</f>
        <v>-59389.521387664136</v>
      </c>
      <c r="AY20" s="85">
        <f>-1*'Paiements Solde et retraits'!AY322</f>
        <v>-54021.9893760821</v>
      </c>
      <c r="AZ20" s="85">
        <f>-1*'Paiements Solde et retraits'!AZ322</f>
        <v>-61420.658646385957</v>
      </c>
      <c r="BA20" s="85">
        <f>-1*'Paiements Solde et retraits'!BA322</f>
        <v>-60426.58148098534</v>
      </c>
      <c r="BB20" s="85">
        <f>-1*'Paiements Solde et retraits'!BB322</f>
        <v>-63729.706306969987</v>
      </c>
      <c r="BC20" s="85">
        <f>-1*'Paiements Solde et retraits'!BC322</f>
        <v>-62279.362678848709</v>
      </c>
      <c r="BD20" s="85">
        <f>-1*'Paiements Solde et retraits'!BD322</f>
        <v>-64347.866488255546</v>
      </c>
      <c r="BE20" s="85">
        <f>-1*'Paiements Solde et retraits'!BE322</f>
        <v>-62816.545191370358</v>
      </c>
      <c r="BF20" s="85">
        <f>-1*'Paiements Solde et retraits'!BF322</f>
        <v>-60385.014715243255</v>
      </c>
      <c r="BG20" s="85">
        <f>-1*'Paiements Solde et retraits'!BG322</f>
        <v>-62951.181924503922</v>
      </c>
      <c r="BH20" s="85">
        <f>-1*'Paiements Solde et retraits'!BH322</f>
        <v>-61383.322299185478</v>
      </c>
      <c r="BI20" s="85">
        <f>-1*'Paiements Solde et retraits'!BI322</f>
        <v>-64898.597396549259</v>
      </c>
    </row>
    <row r="21" spans="4:61" s="4" customFormat="1" ht="15" thickBot="1" x14ac:dyDescent="0.4">
      <c r="E21" s="32" t="str">
        <f>'Paiements Solde et retraits'!E324</f>
        <v>Volume-Rejet paiement-Projection</v>
      </c>
      <c r="F21" s="32"/>
      <c r="G21" s="32"/>
      <c r="H21" s="32"/>
      <c r="I21" s="32"/>
      <c r="J21" s="32" t="str">
        <f>'Paiements Solde et retraits'!J324</f>
        <v>Volume</v>
      </c>
      <c r="K21" s="32"/>
      <c r="L21" s="32"/>
      <c r="M21" s="32"/>
      <c r="N21" s="95">
        <f>-1*'Paiements Solde et retraits'!N324</f>
        <v>0</v>
      </c>
      <c r="O21" s="95">
        <f>-1*'Paiements Solde et retraits'!O324</f>
        <v>0</v>
      </c>
      <c r="P21" s="95">
        <f>-1*'Paiements Solde et retraits'!P324</f>
        <v>0</v>
      </c>
      <c r="Q21" s="95">
        <f>-1*'Paiements Solde et retraits'!Q324</f>
        <v>0</v>
      </c>
      <c r="R21" s="95">
        <f>-1*'Paiements Solde et retraits'!R324</f>
        <v>0</v>
      </c>
      <c r="S21" s="95">
        <f>-1*'Paiements Solde et retraits'!S324</f>
        <v>0</v>
      </c>
      <c r="T21" s="95">
        <f>-1*'Paiements Solde et retraits'!T324</f>
        <v>-2</v>
      </c>
      <c r="U21" s="95">
        <f>-1*'Paiements Solde et retraits'!U324</f>
        <v>0</v>
      </c>
      <c r="V21" s="95">
        <f>-1*'Paiements Solde et retraits'!V324</f>
        <v>0</v>
      </c>
      <c r="W21" s="95">
        <f>-1*'Paiements Solde et retraits'!W324</f>
        <v>-8</v>
      </c>
      <c r="X21" s="95">
        <f>-1*'Paiements Solde et retraits'!X324</f>
        <v>-11</v>
      </c>
      <c r="Y21" s="95">
        <f>-1*'Paiements Solde et retraits'!Y324</f>
        <v>-697</v>
      </c>
      <c r="Z21" s="95">
        <f>-1*'Paiements Solde et retraits'!Z324</f>
        <v>-839</v>
      </c>
      <c r="AA21" s="95">
        <f>-1*'Paiements Solde et retraits'!AA324</f>
        <v>-1108</v>
      </c>
      <c r="AB21" s="95">
        <f>-1*'Paiements Solde et retraits'!AB324</f>
        <v>-482</v>
      </c>
      <c r="AC21" s="95">
        <f>-1*'Paiements Solde et retraits'!AC324</f>
        <v>-1169</v>
      </c>
      <c r="AD21" s="95">
        <f>-1*'Paiements Solde et retraits'!AD324</f>
        <v>-651</v>
      </c>
      <c r="AE21" s="95">
        <f>-1*'Paiements Solde et retraits'!AE324</f>
        <v>-1158</v>
      </c>
      <c r="AF21" s="95">
        <f>-1*'Paiements Solde et retraits'!AF324</f>
        <v>-1274</v>
      </c>
      <c r="AG21" s="95">
        <f>-1*'Paiements Solde et retraits'!AG324</f>
        <v>-1794</v>
      </c>
      <c r="AH21" s="95">
        <f>-1*'Paiements Solde et retraits'!AH324</f>
        <v>-2191</v>
      </c>
      <c r="AI21" s="95">
        <f>-1*'Paiements Solde et retraits'!AI324</f>
        <v>-2652</v>
      </c>
      <c r="AJ21" s="95">
        <f>-1*'Paiements Solde et retraits'!AJ324</f>
        <v>-3615</v>
      </c>
      <c r="AK21" s="95">
        <f>-1*'Paiements Solde et retraits'!AK324</f>
        <v>-2039</v>
      </c>
      <c r="AL21" s="95">
        <f>-1*'Paiements Solde et retraits'!AL324</f>
        <v>-2677.6013766994683</v>
      </c>
      <c r="AM21" s="95">
        <f>-1*'Paiements Solde et retraits'!AM324</f>
        <v>-2493.5662556804714</v>
      </c>
      <c r="AN21" s="95">
        <f>-1*'Paiements Solde et retraits'!AN324</f>
        <v>-2878.3809542353079</v>
      </c>
      <c r="AO21" s="95">
        <f>-1*'Paiements Solde et retraits'!AO324</f>
        <v>-2857.6767011719307</v>
      </c>
      <c r="AP21" s="95">
        <f>-1*'Paiements Solde et retraits'!AP324</f>
        <v>-3033.3600821799996</v>
      </c>
      <c r="AQ21" s="95">
        <f>-1*'Paiements Solde et retraits'!AQ324</f>
        <v>-2971.5598116783863</v>
      </c>
      <c r="AR21" s="95">
        <f>-1*'Paiements Solde et retraits'!AR324</f>
        <v>-3073.5431796904959</v>
      </c>
      <c r="AS21" s="95">
        <f>-1*'Paiements Solde et retraits'!AS324</f>
        <v>-2999.4660195969532</v>
      </c>
      <c r="AT21" s="95">
        <f>-1*'Paiements Solde et retraits'!AT324</f>
        <v>-2883.386120906669</v>
      </c>
      <c r="AU21" s="95">
        <f>-1*'Paiements Solde et retraits'!AU324</f>
        <v>-3005.922011402708</v>
      </c>
      <c r="AV21" s="95">
        <f>-1*'Paiements Solde et retraits'!AV324</f>
        <v>-2932.370179059978</v>
      </c>
      <c r="AW21" s="95">
        <f>-1*'Paiements Solde et retraits'!AW324</f>
        <v>-3101.7959110236675</v>
      </c>
      <c r="AX21" s="95">
        <f>-1*'Paiements Solde et retraits'!AX324</f>
        <v>-3125.7642835612705</v>
      </c>
      <c r="AY21" s="95">
        <f>-1*'Paiements Solde et retraits'!AY324</f>
        <v>-2843.2625987411629</v>
      </c>
      <c r="AZ21" s="95">
        <f>-1*'Paiements Solde et retraits'!AZ324</f>
        <v>-3232.6662445466295</v>
      </c>
      <c r="BA21" s="95">
        <f>-1*'Paiements Solde et retraits'!BA324</f>
        <v>-3180.3463937360707</v>
      </c>
      <c r="BB21" s="95">
        <f>-1*'Paiements Solde et retraits'!BB324</f>
        <v>-3354.1950687878939</v>
      </c>
      <c r="BC21" s="95">
        <f>-1*'Paiements Solde et retraits'!BC324</f>
        <v>-3277.8611936236161</v>
      </c>
      <c r="BD21" s="95">
        <f>-1*'Paiements Solde et retraits'!BD324</f>
        <v>-3386.7298151713449</v>
      </c>
      <c r="BE21" s="95">
        <f>-1*'Paiements Solde et retraits'!BE324</f>
        <v>-3306.1339574405451</v>
      </c>
      <c r="BF21" s="95">
        <f>-1*'Paiements Solde et retraits'!BF324</f>
        <v>-3178.15866922333</v>
      </c>
      <c r="BG21" s="95">
        <f>-1*'Paiements Solde et retraits'!BG324</f>
        <v>-3313.2201012896812</v>
      </c>
      <c r="BH21" s="95">
        <f>-1*'Paiements Solde et retraits'!BH324</f>
        <v>-3230.701173641341</v>
      </c>
      <c r="BI21" s="95">
        <f>-1*'Paiements Solde et retraits'!BI324</f>
        <v>-3415.7156524499615</v>
      </c>
    </row>
    <row r="22" spans="4:61" ht="15" thickTop="1" x14ac:dyDescent="0.35">
      <c r="E22" s="8" t="s">
        <v>131</v>
      </c>
      <c r="F22" s="8"/>
      <c r="G22" s="8"/>
      <c r="H22" s="8"/>
      <c r="I22" s="8"/>
      <c r="J22" s="8" t="s">
        <v>50</v>
      </c>
      <c r="K22" s="8"/>
      <c r="L22" s="8"/>
      <c r="M22" s="8"/>
      <c r="N22" s="93">
        <f>SUM(N18:N21)</f>
        <v>0</v>
      </c>
      <c r="O22" s="93">
        <f t="shared" ref="O22" si="3">SUM(O18:O21)</f>
        <v>0</v>
      </c>
      <c r="P22" s="93">
        <f t="shared" ref="P22" si="4">SUM(P18:P21)</f>
        <v>0</v>
      </c>
      <c r="Q22" s="93">
        <f t="shared" ref="Q22" si="5">SUM(Q18:Q21)</f>
        <v>87</v>
      </c>
      <c r="R22" s="93">
        <f t="shared" ref="R22" si="6">SUM(R18:R21)</f>
        <v>702</v>
      </c>
      <c r="S22" s="93">
        <f t="shared" ref="S22" si="7">SUM(S18:S21)</f>
        <v>2485</v>
      </c>
      <c r="T22" s="93">
        <f t="shared" ref="T22" si="8">SUM(T18:T21)</f>
        <v>5424</v>
      </c>
      <c r="U22" s="93">
        <f t="shared" ref="U22" si="9">SUM(U18:U21)</f>
        <v>10273</v>
      </c>
      <c r="V22" s="93">
        <f t="shared" ref="V22" si="10">SUM(V18:V21)</f>
        <v>18618</v>
      </c>
      <c r="W22" s="93">
        <f t="shared" ref="W22" si="11">SUM(W18:W21)</f>
        <v>29235</v>
      </c>
      <c r="X22" s="93">
        <f t="shared" ref="X22" si="12">SUM(X18:X21)</f>
        <v>26868</v>
      </c>
      <c r="Y22" s="93">
        <f t="shared" ref="Y22" si="13">SUM(Y18:Y21)</f>
        <v>21930</v>
      </c>
      <c r="Z22" s="93">
        <f t="shared" ref="Z22" si="14">SUM(Z18:Z21)</f>
        <v>30892</v>
      </c>
      <c r="AA22" s="93">
        <f t="shared" ref="AA22" si="15">SUM(AA18:AA21)</f>
        <v>38527</v>
      </c>
      <c r="AB22" s="93">
        <f t="shared" ref="AB22" si="16">SUM(AB18:AB21)</f>
        <v>44290</v>
      </c>
      <c r="AC22" s="93">
        <f t="shared" ref="AC22" si="17">SUM(AC18:AC21)</f>
        <v>51846</v>
      </c>
      <c r="AD22" s="93">
        <f t="shared" ref="AD22" si="18">SUM(AD18:AD21)</f>
        <v>58625</v>
      </c>
      <c r="AE22" s="93">
        <f t="shared" ref="AE22" si="19">SUM(AE18:AE21)</f>
        <v>63773</v>
      </c>
      <c r="AF22" s="93">
        <f t="shared" ref="AF22" si="20">SUM(AF18:AF21)</f>
        <v>67052</v>
      </c>
      <c r="AG22" s="93">
        <f t="shared" ref="AG22" si="21">SUM(AG18:AG21)</f>
        <v>55697</v>
      </c>
      <c r="AH22" s="93">
        <f t="shared" ref="AH22" si="22">SUM(AH18:AH21)</f>
        <v>59462</v>
      </c>
      <c r="AI22" s="93">
        <f t="shared" ref="AI22" si="23">SUM(AI18:AI21)</f>
        <v>71878</v>
      </c>
      <c r="AJ22" s="93">
        <f t="shared" ref="AJ22" si="24">SUM(AJ18:AJ21)</f>
        <v>87891</v>
      </c>
      <c r="AK22" s="93">
        <f t="shared" ref="AK22" si="25">SUM(AK18:AK21)</f>
        <v>100314</v>
      </c>
      <c r="AL22" s="93">
        <f t="shared" ref="AL22" si="26">SUM(AL18:AL21)</f>
        <v>102541.32695043345</v>
      </c>
      <c r="AM22" s="93">
        <f t="shared" ref="AM22" si="27">SUM(AM18:AM21)</f>
        <v>105095.83008330391</v>
      </c>
      <c r="AN22" s="93">
        <f t="shared" ref="AN22" si="28">SUM(AN18:AN21)</f>
        <v>107763.95448099454</v>
      </c>
      <c r="AO22" s="93">
        <f t="shared" ref="AO22" si="29">SUM(AO18:AO21)</f>
        <v>110142.15020846094</v>
      </c>
      <c r="AP22" s="93">
        <f t="shared" ref="AP22" si="30">SUM(AP18:AP21)</f>
        <v>111948.67014601549</v>
      </c>
      <c r="AQ22" s="93">
        <f t="shared" ref="AQ22" si="31">SUM(AQ18:AQ21)</f>
        <v>113027.0819185257</v>
      </c>
      <c r="AR22" s="93">
        <f t="shared" ref="AR22" si="32">SUM(AR18:AR21)</f>
        <v>112319.33344104586</v>
      </c>
      <c r="AS22" s="93">
        <f t="shared" ref="AS22" si="33">SUM(AS18:AS21)</f>
        <v>109279.52155610378</v>
      </c>
      <c r="AT22" s="93">
        <f t="shared" ref="AT22" si="34">SUM(AT18:AT21)</f>
        <v>108664.93532090033</v>
      </c>
      <c r="AU22" s="93">
        <f t="shared" ref="AU22" si="35">SUM(AU18:AU21)</f>
        <v>109797.67404415399</v>
      </c>
      <c r="AV22" s="93">
        <f t="shared" ref="AV22" si="36">SUM(AV18:AV21)</f>
        <v>111552.6725059337</v>
      </c>
      <c r="AW22" s="93">
        <f t="shared" ref="AW22" si="37">SUM(AW18:AW21)</f>
        <v>113692.00646034272</v>
      </c>
      <c r="AX22" s="93">
        <f t="shared" ref="AX22" si="38">SUM(AX18:AX21)</f>
        <v>114182.23629413464</v>
      </c>
      <c r="AY22" s="93">
        <f t="shared" ref="AY22" si="39">SUM(AY18:AY21)</f>
        <v>115761.04529398265</v>
      </c>
      <c r="AZ22" s="93">
        <f t="shared" ref="AZ22" si="40">SUM(AZ18:AZ21)</f>
        <v>117623.58561111079</v>
      </c>
      <c r="BA22" s="93">
        <f t="shared" ref="BA22" si="41">SUM(BA18:BA21)</f>
        <v>119561.60281243881</v>
      </c>
      <c r="BB22" s="93">
        <f t="shared" ref="BB22" si="42">SUM(BB18:BB21)</f>
        <v>121057.12576870312</v>
      </c>
      <c r="BC22" s="93">
        <f t="shared" ref="BC22" si="43">SUM(BC18:BC21)</f>
        <v>122130.44052076542</v>
      </c>
      <c r="BD22" s="93">
        <f t="shared" ref="BD22" si="44">SUM(BD18:BD21)</f>
        <v>121369.1684243402</v>
      </c>
      <c r="BE22" s="93">
        <f t="shared" ref="BE22" si="45">SUM(BE18:BE21)</f>
        <v>118119.51928413614</v>
      </c>
      <c r="BF22" s="93">
        <f t="shared" ref="BF22" si="46">SUM(BF18:BF21)</f>
        <v>117458.44528956486</v>
      </c>
      <c r="BG22" s="93">
        <f t="shared" ref="BG22" si="47">SUM(BG18:BG21)</f>
        <v>118683.42116317812</v>
      </c>
      <c r="BH22" s="93">
        <f t="shared" ref="BH22" si="48">SUM(BH18:BH21)</f>
        <v>120551.1161655453</v>
      </c>
      <c r="BI22" s="93">
        <f t="shared" ref="BI22" si="49">SUM(BI18:BI21)</f>
        <v>122845.52822973505</v>
      </c>
    </row>
    <row r="24" spans="4:61" x14ac:dyDescent="0.35">
      <c r="D24" s="1" t="s">
        <v>25</v>
      </c>
    </row>
    <row r="25" spans="4:61" x14ac:dyDescent="0.35"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</row>
    <row r="26" spans="4:61" x14ac:dyDescent="0.35"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</row>
  </sheetData>
  <sheetProtection algorithmName="SHA-512" hashValue="nPZdhzjy4SoYs6d7rn8NEevn1ZeivuWHvm7OGC37YAYUd/WDl1ZQ0zPlIYybg6DSDC7FoPdMhDVl+mXjyZA6qg==" saltValue="Wkgce0g61z0Id2HF9mlGhQ==" spinCount="100000" sheet="1" objects="1" scenarios="1"/>
  <conditionalFormatting sqref="G2">
    <cfRule type="cellIs" dxfId="27" priority="4" operator="greaterThan">
      <formula>0</formula>
    </cfRule>
    <cfRule type="cellIs" dxfId="26" priority="5" operator="equal">
      <formula>0</formula>
    </cfRule>
  </conditionalFormatting>
  <conditionalFormatting sqref="G1">
    <cfRule type="cellIs" dxfId="25" priority="2" operator="greaterThan">
      <formula>0</formula>
    </cfRule>
    <cfRule type="cellIs" dxfId="24" priority="3" operator="equal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27C43A59-ACCF-4BD0-8B1B-E2D5E4DA1D12}">
            <xm:f>Paramétrage_général!$I$20</xm:f>
            <x14:dxf>
              <font>
                <b/>
                <i val="0"/>
                <color theme="0"/>
              </font>
              <fill>
                <patternFill>
                  <bgColor rgb="FF002060"/>
                </patternFill>
              </fill>
            </x14:dxf>
          </x14:cfRule>
          <xm:sqref>N4:BI4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CBA9E5"/>
  </sheetPr>
  <dimension ref="B1:BI34"/>
  <sheetViews>
    <sheetView zoomScale="70" zoomScaleNormal="70" workbookViewId="0">
      <pane xSplit="10" ySplit="6" topLeftCell="N7" activePane="bottomRight" state="frozen"/>
      <selection activeCell="G33" sqref="G33"/>
      <selection pane="topRight" activeCell="G33" sqref="G33"/>
      <selection pane="bottomLeft" activeCell="G33" sqref="G33"/>
      <selection pane="bottomRight" activeCell="N4" sqref="N4:BI4"/>
    </sheetView>
  </sheetViews>
  <sheetFormatPr baseColWidth="10" defaultRowHeight="14.5" outlineLevelRow="1" x14ac:dyDescent="0.35"/>
  <cols>
    <col min="1" max="4" width="2.6328125" customWidth="1"/>
    <col min="14" max="16" width="10.6328125" bestFit="1" customWidth="1"/>
    <col min="17" max="17" width="11.26953125" bestFit="1" customWidth="1"/>
    <col min="18" max="19" width="12.26953125" bestFit="1" customWidth="1"/>
    <col min="20" max="20" width="12.36328125" bestFit="1" customWidth="1"/>
    <col min="21" max="21" width="13.26953125" bestFit="1" customWidth="1"/>
    <col min="22" max="22" width="12.36328125" bestFit="1" customWidth="1"/>
    <col min="23" max="34" width="13.36328125" bestFit="1" customWidth="1"/>
    <col min="35" max="61" width="14.90625" bestFit="1" customWidth="1"/>
  </cols>
  <sheetData>
    <row r="1" spans="2:61" s="6" customFormat="1" x14ac:dyDescent="0.35">
      <c r="B1" s="9" t="str">
        <f ca="1">RIGHT(CELL("nomfichier",A1),LEN(CELL("nomfichier",A1))-FIND("]",CELL("nomfichier",A1),1))</f>
        <v>Consolidation</v>
      </c>
      <c r="F1" s="54" t="str">
        <f>Controles!F1</f>
        <v>Erreurs</v>
      </c>
      <c r="G1">
        <f>Controles!G1</f>
        <v>0</v>
      </c>
    </row>
    <row r="2" spans="2:61" x14ac:dyDescent="0.35">
      <c r="F2" s="55" t="str">
        <f>Controles!F2</f>
        <v>Alertes</v>
      </c>
      <c r="G2">
        <f>Controles!G2</f>
        <v>0</v>
      </c>
    </row>
    <row r="3" spans="2:61" x14ac:dyDescent="0.35">
      <c r="N3" s="3">
        <f>Time!N20</f>
        <v>43861</v>
      </c>
      <c r="O3" s="3">
        <f>Time!O20</f>
        <v>43890</v>
      </c>
      <c r="P3" s="3">
        <f>Time!P20</f>
        <v>43921</v>
      </c>
      <c r="Q3" s="3">
        <f>Time!Q20</f>
        <v>43951</v>
      </c>
      <c r="R3" s="3">
        <f>Time!R20</f>
        <v>43982</v>
      </c>
      <c r="S3" s="3">
        <f>Time!S20</f>
        <v>44012</v>
      </c>
      <c r="T3" s="3">
        <f>Time!T20</f>
        <v>44043</v>
      </c>
      <c r="U3" s="3">
        <f>Time!U20</f>
        <v>44074</v>
      </c>
      <c r="V3" s="3">
        <f>Time!V20</f>
        <v>44104</v>
      </c>
      <c r="W3" s="3">
        <f>Time!W20</f>
        <v>44135</v>
      </c>
      <c r="X3" s="3">
        <f>Time!X20</f>
        <v>44165</v>
      </c>
      <c r="Y3" s="3">
        <f>Time!Y20</f>
        <v>44196</v>
      </c>
      <c r="Z3" s="3">
        <f>Time!Z20</f>
        <v>44227</v>
      </c>
      <c r="AA3" s="3">
        <f>Time!AA20</f>
        <v>44255</v>
      </c>
      <c r="AB3" s="3">
        <f>Time!AB20</f>
        <v>44286</v>
      </c>
      <c r="AC3" s="3">
        <f>Time!AC20</f>
        <v>44316</v>
      </c>
      <c r="AD3" s="3">
        <f>Time!AD20</f>
        <v>44347</v>
      </c>
      <c r="AE3" s="3">
        <f>Time!AE20</f>
        <v>44377</v>
      </c>
      <c r="AF3" s="3">
        <f>Time!AF20</f>
        <v>44408</v>
      </c>
      <c r="AG3" s="3">
        <f>Time!AG20</f>
        <v>44439</v>
      </c>
      <c r="AH3" s="3">
        <f>Time!AH20</f>
        <v>44469</v>
      </c>
      <c r="AI3" s="3">
        <f>Time!AI20</f>
        <v>44500</v>
      </c>
      <c r="AJ3" s="3">
        <f>Time!AJ20</f>
        <v>44530</v>
      </c>
      <c r="AK3" s="3">
        <f>Time!AK20</f>
        <v>44561</v>
      </c>
      <c r="AL3" s="3">
        <f>Time!AL20</f>
        <v>44592</v>
      </c>
      <c r="AM3" s="3">
        <f>Time!AM20</f>
        <v>44620</v>
      </c>
      <c r="AN3" s="3">
        <f>Time!AN20</f>
        <v>44651</v>
      </c>
      <c r="AO3" s="3">
        <f>Time!AO20</f>
        <v>44681</v>
      </c>
      <c r="AP3" s="3">
        <f>Time!AP20</f>
        <v>44712</v>
      </c>
      <c r="AQ3" s="3">
        <f>Time!AQ20</f>
        <v>44742</v>
      </c>
      <c r="AR3" s="3">
        <f>Time!AR20</f>
        <v>44773</v>
      </c>
      <c r="AS3" s="3">
        <f>Time!AS20</f>
        <v>44804</v>
      </c>
      <c r="AT3" s="3">
        <f>Time!AT20</f>
        <v>44834</v>
      </c>
      <c r="AU3" s="3">
        <f>Time!AU20</f>
        <v>44865</v>
      </c>
      <c r="AV3" s="3">
        <f>Time!AV20</f>
        <v>44895</v>
      </c>
      <c r="AW3" s="3">
        <f>Time!AW20</f>
        <v>44926</v>
      </c>
      <c r="AX3" s="3">
        <f>Time!AX20</f>
        <v>44957</v>
      </c>
      <c r="AY3" s="3">
        <f>Time!AY20</f>
        <v>44985</v>
      </c>
      <c r="AZ3" s="3">
        <f>Time!AZ20</f>
        <v>45016</v>
      </c>
      <c r="BA3" s="3">
        <f>Time!BA20</f>
        <v>45046</v>
      </c>
      <c r="BB3" s="3">
        <f>Time!BB20</f>
        <v>45077</v>
      </c>
      <c r="BC3" s="3">
        <f>Time!BC20</f>
        <v>45107</v>
      </c>
      <c r="BD3" s="3">
        <f>Time!BD20</f>
        <v>45138</v>
      </c>
      <c r="BE3" s="3">
        <f>Time!BE20</f>
        <v>45169</v>
      </c>
      <c r="BF3" s="3">
        <f>Time!BF20</f>
        <v>45199</v>
      </c>
      <c r="BG3" s="3">
        <f>Time!BG20</f>
        <v>45230</v>
      </c>
      <c r="BH3" s="3">
        <f>Time!BH20</f>
        <v>45260</v>
      </c>
      <c r="BI3" s="3">
        <f>Time!BI20</f>
        <v>45291</v>
      </c>
    </row>
    <row r="4" spans="2:61" x14ac:dyDescent="0.35">
      <c r="N4" t="str">
        <f>Time!N41</f>
        <v>Exécution</v>
      </c>
      <c r="O4" t="str">
        <f>Time!O41</f>
        <v>Exécution</v>
      </c>
      <c r="P4" t="str">
        <f>Time!P41</f>
        <v>Exécution</v>
      </c>
      <c r="Q4" t="str">
        <f>Time!Q41</f>
        <v>Exécution</v>
      </c>
      <c r="R4" t="str">
        <f>Time!R41</f>
        <v>Exécution</v>
      </c>
      <c r="S4" s="11" t="str">
        <f>Time!S41</f>
        <v>Exécution</v>
      </c>
      <c r="T4" s="11" t="str">
        <f>Time!T41</f>
        <v>Exécution</v>
      </c>
      <c r="U4" s="11" t="str">
        <f>Time!U41</f>
        <v>Exécution</v>
      </c>
      <c r="V4" s="11" t="str">
        <f>Time!V41</f>
        <v>Exécution</v>
      </c>
      <c r="W4" s="11" t="str">
        <f>Time!W41</f>
        <v>Exécution</v>
      </c>
      <c r="X4" s="11" t="str">
        <f>Time!X41</f>
        <v>Exécution</v>
      </c>
      <c r="Y4" s="11" t="str">
        <f>Time!Y41</f>
        <v>Exécution</v>
      </c>
      <c r="Z4" s="11" t="str">
        <f>Time!Z41</f>
        <v>Exécution</v>
      </c>
      <c r="AA4" s="11" t="str">
        <f>Time!AA41</f>
        <v>Exécution</v>
      </c>
      <c r="AB4" s="11" t="str">
        <f>Time!AB41</f>
        <v>Exécution</v>
      </c>
      <c r="AC4" s="11" t="str">
        <f>Time!AC41</f>
        <v>Exécution</v>
      </c>
      <c r="AD4" s="11" t="str">
        <f>Time!AD41</f>
        <v>Exécution</v>
      </c>
      <c r="AE4" s="11" t="str">
        <f>Time!AE41</f>
        <v>Exécution</v>
      </c>
      <c r="AF4" s="11" t="str">
        <f>Time!AF41</f>
        <v>Exécution</v>
      </c>
      <c r="AG4" s="11" t="str">
        <f>Time!AG41</f>
        <v>Exécution</v>
      </c>
      <c r="AH4" s="11" t="str">
        <f>Time!AH41</f>
        <v>Exécution</v>
      </c>
      <c r="AI4" s="11" t="str">
        <f>Time!AI41</f>
        <v>Exécution</v>
      </c>
      <c r="AJ4" s="11" t="str">
        <f>Time!AJ41</f>
        <v>Exécution</v>
      </c>
      <c r="AK4" s="11" t="str">
        <f>Time!AK41</f>
        <v>Exécution</v>
      </c>
      <c r="AL4" s="11" t="str">
        <f>Time!AL41</f>
        <v>Trajectoire</v>
      </c>
      <c r="AM4" s="11" t="str">
        <f>Time!AM41</f>
        <v>Trajectoire</v>
      </c>
      <c r="AN4" s="11" t="str">
        <f>Time!AN41</f>
        <v>Trajectoire</v>
      </c>
      <c r="AO4" s="11" t="str">
        <f>Time!AO41</f>
        <v>Trajectoire</v>
      </c>
      <c r="AP4" s="11" t="str">
        <f>Time!AP41</f>
        <v>Trajectoire</v>
      </c>
      <c r="AQ4" s="11" t="str">
        <f>Time!AQ41</f>
        <v>Trajectoire</v>
      </c>
      <c r="AR4" s="11" t="str">
        <f>Time!AR41</f>
        <v>Trajectoire</v>
      </c>
      <c r="AS4" s="11" t="str">
        <f>Time!AS41</f>
        <v>Trajectoire</v>
      </c>
      <c r="AT4" s="11" t="str">
        <f>Time!AT41</f>
        <v>Trajectoire</v>
      </c>
      <c r="AU4" s="11" t="str">
        <f>Time!AU41</f>
        <v>Trajectoire</v>
      </c>
      <c r="AV4" s="11" t="str">
        <f>Time!AV41</f>
        <v>Trajectoire</v>
      </c>
      <c r="AW4" s="11" t="str">
        <f>Time!AW41</f>
        <v>Trajectoire</v>
      </c>
      <c r="AX4" s="11" t="str">
        <f>Time!AX41</f>
        <v>Trajectoire</v>
      </c>
      <c r="AY4" s="11" t="str">
        <f>Time!AY41</f>
        <v>Trajectoire</v>
      </c>
      <c r="AZ4" s="11" t="str">
        <f>Time!AZ41</f>
        <v>Trajectoire</v>
      </c>
      <c r="BA4" s="11" t="str">
        <f>Time!BA41</f>
        <v>Trajectoire</v>
      </c>
      <c r="BB4" s="11" t="str">
        <f>Time!BB41</f>
        <v>Trajectoire</v>
      </c>
      <c r="BC4" s="11" t="str">
        <f>Time!BC41</f>
        <v>Trajectoire</v>
      </c>
      <c r="BD4" s="11" t="str">
        <f>Time!BD41</f>
        <v>Trajectoire</v>
      </c>
      <c r="BE4" s="11" t="str">
        <f>Time!BE41</f>
        <v>Trajectoire</v>
      </c>
      <c r="BF4" s="11" t="str">
        <f>Time!BF41</f>
        <v>Trajectoire</v>
      </c>
      <c r="BG4" s="11" t="str">
        <f>Time!BG41</f>
        <v>Trajectoire</v>
      </c>
      <c r="BH4" s="11" t="str">
        <f>Time!BH41</f>
        <v>Trajectoire</v>
      </c>
      <c r="BI4" s="11" t="str">
        <f>Time!BI41</f>
        <v>Trajectoire</v>
      </c>
    </row>
    <row r="5" spans="2:61" x14ac:dyDescent="0.35">
      <c r="N5" s="3">
        <f>Time!N54</f>
        <v>44196</v>
      </c>
      <c r="O5" s="3">
        <f>Time!O54</f>
        <v>44196</v>
      </c>
      <c r="P5" s="3">
        <f>Time!P54</f>
        <v>44196</v>
      </c>
      <c r="Q5" s="3">
        <f>Time!Q54</f>
        <v>44196</v>
      </c>
      <c r="R5" s="3">
        <f>Time!R54</f>
        <v>44196</v>
      </c>
      <c r="S5" s="3">
        <f>Time!S54</f>
        <v>44196</v>
      </c>
      <c r="T5" s="3">
        <f>Time!T54</f>
        <v>44196</v>
      </c>
      <c r="U5" s="3">
        <f>Time!U54</f>
        <v>44196</v>
      </c>
      <c r="V5" s="3">
        <f>Time!V54</f>
        <v>44196</v>
      </c>
      <c r="W5" s="3">
        <f>Time!W54</f>
        <v>44196</v>
      </c>
      <c r="X5" s="3">
        <f>Time!X54</f>
        <v>44196</v>
      </c>
      <c r="Y5" s="3">
        <f>Time!Y54</f>
        <v>44196</v>
      </c>
      <c r="Z5" s="3">
        <f>Time!Z54</f>
        <v>44561</v>
      </c>
      <c r="AA5" s="3">
        <f>Time!AA54</f>
        <v>44561</v>
      </c>
      <c r="AB5" s="3">
        <f>Time!AB54</f>
        <v>44561</v>
      </c>
      <c r="AC5" s="3">
        <f>Time!AC54</f>
        <v>44561</v>
      </c>
      <c r="AD5" s="3">
        <f>Time!AD54</f>
        <v>44561</v>
      </c>
      <c r="AE5" s="3">
        <f>Time!AE54</f>
        <v>44561</v>
      </c>
      <c r="AF5" s="3">
        <f>Time!AF54</f>
        <v>44561</v>
      </c>
      <c r="AG5" s="3">
        <f>Time!AG54</f>
        <v>44561</v>
      </c>
      <c r="AH5" s="3">
        <f>Time!AH54</f>
        <v>44561</v>
      </c>
      <c r="AI5" s="3">
        <f>Time!AI54</f>
        <v>44561</v>
      </c>
      <c r="AJ5" s="3">
        <f>Time!AJ54</f>
        <v>44561</v>
      </c>
      <c r="AK5" s="3">
        <f>Time!AK54</f>
        <v>44561</v>
      </c>
      <c r="AL5" s="3">
        <f>Time!AL54</f>
        <v>44926</v>
      </c>
      <c r="AM5" s="3">
        <f>Time!AM54</f>
        <v>44926</v>
      </c>
      <c r="AN5" s="3">
        <f>Time!AN54</f>
        <v>44926</v>
      </c>
      <c r="AO5" s="3">
        <f>Time!AO54</f>
        <v>44926</v>
      </c>
      <c r="AP5" s="3">
        <f>Time!AP54</f>
        <v>44926</v>
      </c>
      <c r="AQ5" s="3">
        <f>Time!AQ54</f>
        <v>44926</v>
      </c>
      <c r="AR5" s="3">
        <f>Time!AR54</f>
        <v>44926</v>
      </c>
      <c r="AS5" s="3">
        <f>Time!AS54</f>
        <v>44926</v>
      </c>
      <c r="AT5" s="3">
        <f>Time!AT54</f>
        <v>44926</v>
      </c>
      <c r="AU5" s="3">
        <f>Time!AU54</f>
        <v>44926</v>
      </c>
      <c r="AV5" s="3">
        <f>Time!AV54</f>
        <v>44926</v>
      </c>
      <c r="AW5" s="3">
        <f>Time!AW54</f>
        <v>44926</v>
      </c>
      <c r="AX5" s="3">
        <f>Time!AX54</f>
        <v>45291</v>
      </c>
      <c r="AY5" s="3">
        <f>Time!AY54</f>
        <v>45291</v>
      </c>
      <c r="AZ5" s="3">
        <f>Time!AZ54</f>
        <v>45291</v>
      </c>
      <c r="BA5" s="3">
        <f>Time!BA54</f>
        <v>45291</v>
      </c>
      <c r="BB5" s="3">
        <f>Time!BB54</f>
        <v>45291</v>
      </c>
      <c r="BC5" s="3">
        <f>Time!BC54</f>
        <v>45291</v>
      </c>
      <c r="BD5" s="3">
        <f>Time!BD54</f>
        <v>45291</v>
      </c>
      <c r="BE5" s="3">
        <f>Time!BE54</f>
        <v>45291</v>
      </c>
      <c r="BF5" s="3">
        <f>Time!BF54</f>
        <v>45291</v>
      </c>
      <c r="BG5" s="3">
        <f>Time!BG54</f>
        <v>45291</v>
      </c>
      <c r="BH5" s="3">
        <f>Time!BH54</f>
        <v>45291</v>
      </c>
      <c r="BI5" s="3">
        <f>Time!BI54</f>
        <v>45291</v>
      </c>
    </row>
    <row r="6" spans="2:61" s="2" customFormat="1" x14ac:dyDescent="0.35">
      <c r="I6" s="2" t="s">
        <v>0</v>
      </c>
      <c r="J6" s="2" t="s">
        <v>1</v>
      </c>
      <c r="K6" s="2" t="s">
        <v>2</v>
      </c>
    </row>
    <row r="8" spans="2:61" x14ac:dyDescent="0.35">
      <c r="E8" t="str">
        <f>Dépôts!E36</f>
        <v>Volumes-Dépôt</v>
      </c>
      <c r="J8" t="str">
        <f>Dépôts!J36</f>
        <v>Volume</v>
      </c>
      <c r="N8" s="41">
        <f>Dépôts!N36</f>
        <v>6320</v>
      </c>
      <c r="O8" s="41">
        <f>Dépôts!O36</f>
        <v>11443</v>
      </c>
      <c r="P8" s="41">
        <f>Dépôts!P36</f>
        <v>9961</v>
      </c>
      <c r="Q8" s="41">
        <f>Dépôts!Q36</f>
        <v>5157</v>
      </c>
      <c r="R8" s="41">
        <f>Dépôts!R36</f>
        <v>7758</v>
      </c>
      <c r="S8" s="41">
        <f>Dépôts!S36</f>
        <v>19366</v>
      </c>
      <c r="T8" s="41">
        <f>Dépôts!T36</f>
        <v>17473</v>
      </c>
      <c r="U8" s="41">
        <f>Dépôts!U36</f>
        <v>10690</v>
      </c>
      <c r="V8" s="41">
        <f>Dépôts!V36</f>
        <v>19315</v>
      </c>
      <c r="W8" s="41">
        <f>Dépôts!W36</f>
        <v>28065</v>
      </c>
      <c r="X8" s="41">
        <f>Dépôts!X36</f>
        <v>30651</v>
      </c>
      <c r="Y8" s="41">
        <f>Dépôts!Y36</f>
        <v>27939</v>
      </c>
      <c r="Z8" s="41">
        <f>Dépôts!Z36</f>
        <v>52269</v>
      </c>
      <c r="AA8" s="41">
        <f>Dépôts!AA36</f>
        <v>57486</v>
      </c>
      <c r="AB8" s="41">
        <f>Dépôts!AB36</f>
        <v>67267</v>
      </c>
      <c r="AC8" s="41">
        <f>Dépôts!AC36</f>
        <v>68625</v>
      </c>
      <c r="AD8" s="41">
        <f>Dépôts!AD36</f>
        <v>60334</v>
      </c>
      <c r="AE8" s="41">
        <f>Dépôts!AE36</f>
        <v>70423</v>
      </c>
      <c r="AF8" s="41">
        <f>Dépôts!AF36</f>
        <v>55455</v>
      </c>
      <c r="AG8" s="41">
        <f>Dépôts!AG36</f>
        <v>40687</v>
      </c>
      <c r="AH8" s="41">
        <f>Dépôts!AH36</f>
        <v>62423</v>
      </c>
      <c r="AI8" s="41">
        <f>Dépôts!AI36</f>
        <v>77015</v>
      </c>
      <c r="AJ8" s="41">
        <f>Dépôts!AJ36</f>
        <v>68409</v>
      </c>
      <c r="AK8" s="41">
        <f>Dépôts!AK36</f>
        <v>80621</v>
      </c>
      <c r="AL8" s="41">
        <f>Dépôts!AL36</f>
        <v>69086.403111506734</v>
      </c>
      <c r="AM8" s="41">
        <f>Dépôts!AM36</f>
        <v>77214.215242272243</v>
      </c>
      <c r="AN8" s="41">
        <f>Dépôts!AN36</f>
        <v>81278.12130765499</v>
      </c>
      <c r="AO8" s="41">
        <f>Dépôts!AO36</f>
        <v>81278.12130765499</v>
      </c>
      <c r="AP8" s="41">
        <f>Dépôts!AP36</f>
        <v>81278.12130765499</v>
      </c>
      <c r="AQ8" s="41">
        <f>Dépôts!AQ36</f>
        <v>77214.215242272243</v>
      </c>
      <c r="AR8" s="41">
        <f>Dépôts!AR36</f>
        <v>65022.497046123994</v>
      </c>
      <c r="AS8" s="41">
        <f>Dépôts!AS36</f>
        <v>48766.87278459299</v>
      </c>
      <c r="AT8" s="41">
        <f>Dépôts!AT36</f>
        <v>73150.309176889496</v>
      </c>
      <c r="AU8" s="41">
        <f>Dépôts!AU36</f>
        <v>81278.12130765499</v>
      </c>
      <c r="AV8" s="41">
        <f>Dépôts!AV36</f>
        <v>81278.12130765499</v>
      </c>
      <c r="AW8" s="41">
        <f>Dépôts!AW36</f>
        <v>89405.933438420499</v>
      </c>
      <c r="AX8" s="41">
        <f>Dépôts!AX36</f>
        <v>75995.043422657429</v>
      </c>
      <c r="AY8" s="41">
        <f>Dépôts!AY36</f>
        <v>84935.636766499476</v>
      </c>
      <c r="AZ8" s="41">
        <f>Dépôts!AZ36</f>
        <v>89405.933438420499</v>
      </c>
      <c r="BA8" s="41">
        <f>Dépôts!BA36</f>
        <v>89405.933438420499</v>
      </c>
      <c r="BB8" s="41">
        <f>Dépôts!BB36</f>
        <v>89405.933438420499</v>
      </c>
      <c r="BC8" s="41">
        <f>Dépôts!BC36</f>
        <v>84935.636766499476</v>
      </c>
      <c r="BD8" s="41">
        <f>Dépôts!BD36</f>
        <v>71524.746750736405</v>
      </c>
      <c r="BE8" s="41">
        <f>Dépôts!BE36</f>
        <v>53643.560063052297</v>
      </c>
      <c r="BF8" s="41">
        <f>Dépôts!BF36</f>
        <v>80465.340094578452</v>
      </c>
      <c r="BG8" s="41">
        <f>Dépôts!BG36</f>
        <v>89405.933438420499</v>
      </c>
      <c r="BH8" s="41">
        <f>Dépôts!BH36</f>
        <v>89405.933438420499</v>
      </c>
      <c r="BI8" s="41">
        <f>Dépôts!BI36</f>
        <v>98346.526782262561</v>
      </c>
    </row>
    <row r="9" spans="2:61" x14ac:dyDescent="0.35">
      <c r="E9" t="str">
        <f>Engagements!E214</f>
        <v>Volumes-Rejet de l'engagement-Projection</v>
      </c>
      <c r="J9" t="str">
        <f>Engagements!J214</f>
        <v>Volume</v>
      </c>
      <c r="N9" s="41">
        <f>Engagements!N214</f>
        <v>0</v>
      </c>
      <c r="O9" s="41">
        <f>Engagements!O214</f>
        <v>0</v>
      </c>
      <c r="P9" s="41">
        <f>Engagements!P214</f>
        <v>0</v>
      </c>
      <c r="Q9" s="41">
        <f>Engagements!Q214</f>
        <v>0</v>
      </c>
      <c r="R9" s="41">
        <f>Engagements!R214</f>
        <v>0</v>
      </c>
      <c r="S9" s="41">
        <f>Engagements!S214</f>
        <v>38</v>
      </c>
      <c r="T9" s="41">
        <f>Engagements!T214</f>
        <v>259</v>
      </c>
      <c r="U9" s="41">
        <f>Engagements!U214</f>
        <v>357</v>
      </c>
      <c r="V9" s="41">
        <f>Engagements!V214</f>
        <v>1196</v>
      </c>
      <c r="W9" s="41">
        <f>Engagements!W214</f>
        <v>4629</v>
      </c>
      <c r="X9" s="41">
        <f>Engagements!X214</f>
        <v>2287</v>
      </c>
      <c r="Y9" s="41">
        <f>Engagements!Y214</f>
        <v>2766</v>
      </c>
      <c r="Z9" s="41">
        <f>Engagements!Z214</f>
        <v>3246</v>
      </c>
      <c r="AA9" s="41">
        <f>Engagements!AA214</f>
        <v>4936</v>
      </c>
      <c r="AB9" s="41">
        <f>Engagements!AB214</f>
        <v>7071</v>
      </c>
      <c r="AC9" s="41">
        <f>Engagements!AC214</f>
        <v>7763</v>
      </c>
      <c r="AD9" s="41">
        <f>Engagements!AD214</f>
        <v>5182</v>
      </c>
      <c r="AE9" s="41">
        <f>Engagements!AE214</f>
        <v>6280</v>
      </c>
      <c r="AF9" s="41">
        <f>Engagements!AF214</f>
        <v>5842</v>
      </c>
      <c r="AG9" s="41">
        <f>Engagements!AG214</f>
        <v>6114</v>
      </c>
      <c r="AH9" s="41">
        <f>Engagements!AH214</f>
        <v>5310</v>
      </c>
      <c r="AI9" s="41">
        <f>Engagements!AI214</f>
        <v>7488</v>
      </c>
      <c r="AJ9" s="41">
        <f>Engagements!AJ214</f>
        <v>7460</v>
      </c>
      <c r="AK9" s="41">
        <f>Engagements!AK214</f>
        <v>7494</v>
      </c>
      <c r="AL9" s="41">
        <f>Engagements!AL214</f>
        <v>7263.5261838620472</v>
      </c>
      <c r="AM9" s="41">
        <f>Engagements!AM214</f>
        <v>7097.041850947362</v>
      </c>
      <c r="AN9" s="41">
        <f>Engagements!AN214</f>
        <v>8208.1415628436353</v>
      </c>
      <c r="AO9" s="41">
        <f>Engagements!AO214</f>
        <v>8060.7972031249592</v>
      </c>
      <c r="AP9" s="41">
        <f>Engagements!AP214</f>
        <v>8245.3066604505857</v>
      </c>
      <c r="AQ9" s="41">
        <f>Engagements!AQ214</f>
        <v>7764.1463165408877</v>
      </c>
      <c r="AR9" s="41">
        <f>Engagements!AR214</f>
        <v>7075.2181245623233</v>
      </c>
      <c r="AS9" s="41">
        <f>Engagements!AS214</f>
        <v>5598.4517628086624</v>
      </c>
      <c r="AT9" s="41">
        <f>Engagements!AT214</f>
        <v>6469.3899948996595</v>
      </c>
      <c r="AU9" s="41">
        <f>Engagements!AU214</f>
        <v>7733.8183971861145</v>
      </c>
      <c r="AV9" s="41">
        <f>Engagements!AV214</f>
        <v>7930.9927325538074</v>
      </c>
      <c r="AW9" s="41">
        <f>Engagements!AW214</f>
        <v>8750.3499663424718</v>
      </c>
      <c r="AX9" s="41">
        <f>Engagements!AX214</f>
        <v>8054.0961907320525</v>
      </c>
      <c r="AY9" s="41">
        <f>Engagements!AY214</f>
        <v>7816.4586629244413</v>
      </c>
      <c r="AZ9" s="41">
        <f>Engagements!AZ214</f>
        <v>9029.8904114941834</v>
      </c>
      <c r="BA9" s="41">
        <f>Engagements!BA214</f>
        <v>8866.9077319480966</v>
      </c>
      <c r="BB9" s="41">
        <f>Engagements!BB214</f>
        <v>9069.8378041409396</v>
      </c>
      <c r="BC9" s="41">
        <f>Engagements!BC214</f>
        <v>8540.5609506446508</v>
      </c>
      <c r="BD9" s="41">
        <f>Engagements!BD214</f>
        <v>7782.7399370242092</v>
      </c>
      <c r="BE9" s="41">
        <f>Engagements!BE214</f>
        <v>6158.2969390895341</v>
      </c>
      <c r="BF9" s="41">
        <f>Engagements!BF214</f>
        <v>7116.328994389627</v>
      </c>
      <c r="BG9" s="41">
        <f>Engagements!BG214</f>
        <v>8507.2002369047259</v>
      </c>
      <c r="BH9" s="41">
        <f>Engagements!BH214</f>
        <v>8724.0920058091906</v>
      </c>
      <c r="BI9" s="41">
        <f>Engagements!BI214</f>
        <v>9625.384962976721</v>
      </c>
    </row>
    <row r="10" spans="2:61" x14ac:dyDescent="0.35">
      <c r="E10" t="str">
        <f>Engagements!E213</f>
        <v>Volumes-Engagement-Projection</v>
      </c>
      <c r="J10" t="str">
        <f>Engagements!J213</f>
        <v>Volume</v>
      </c>
      <c r="N10" s="41">
        <f>Engagements!N213</f>
        <v>0</v>
      </c>
      <c r="O10" s="41">
        <f>Engagements!O213</f>
        <v>0</v>
      </c>
      <c r="P10" s="41">
        <f>Engagements!P213</f>
        <v>0</v>
      </c>
      <c r="Q10" s="41">
        <f>Engagements!Q213</f>
        <v>726</v>
      </c>
      <c r="R10" s="41">
        <f>Engagements!R213</f>
        <v>4807</v>
      </c>
      <c r="S10" s="41">
        <f>Engagements!S213</f>
        <v>7112</v>
      </c>
      <c r="T10" s="41">
        <f>Engagements!T213</f>
        <v>17956</v>
      </c>
      <c r="U10" s="41">
        <f>Engagements!U213</f>
        <v>27791</v>
      </c>
      <c r="V10" s="41">
        <f>Engagements!V213</f>
        <v>13787</v>
      </c>
      <c r="W10" s="41">
        <f>Engagements!W213</f>
        <v>14792</v>
      </c>
      <c r="X10" s="41">
        <f>Engagements!X213</f>
        <v>20452</v>
      </c>
      <c r="Y10" s="41">
        <f>Engagements!Y213</f>
        <v>31303</v>
      </c>
      <c r="Z10" s="41">
        <f>Engagements!Z213</f>
        <v>33518</v>
      </c>
      <c r="AA10" s="41">
        <f>Engagements!AA213</f>
        <v>39754</v>
      </c>
      <c r="AB10" s="41">
        <f>Engagements!AB213</f>
        <v>45141</v>
      </c>
      <c r="AC10" s="41">
        <f>Engagements!AC213</f>
        <v>57254</v>
      </c>
      <c r="AD10" s="41">
        <f>Engagements!AD213</f>
        <v>55077</v>
      </c>
      <c r="AE10" s="41">
        <f>Engagements!AE213</f>
        <v>71050</v>
      </c>
      <c r="AF10" s="41">
        <f>Engagements!AF213</f>
        <v>60529</v>
      </c>
      <c r="AG10" s="41">
        <f>Engagements!AG213</f>
        <v>51721</v>
      </c>
      <c r="AH10" s="41">
        <f>Engagements!AH213</f>
        <v>51153</v>
      </c>
      <c r="AI10" s="41">
        <f>Engagements!AI213</f>
        <v>63159</v>
      </c>
      <c r="AJ10" s="41">
        <f>Engagements!AJ213</f>
        <v>62431</v>
      </c>
      <c r="AK10" s="41">
        <f>Engagements!AK213</f>
        <v>70804</v>
      </c>
      <c r="AL10" s="41">
        <f>Engagements!AL213</f>
        <v>65371.735654758428</v>
      </c>
      <c r="AM10" s="41">
        <f>Engagements!AM213</f>
        <v>63873.376658526257</v>
      </c>
      <c r="AN10" s="41">
        <f>Engagements!AN213</f>
        <v>73873.274065592719</v>
      </c>
      <c r="AO10" s="41">
        <f>Engagements!AO213</f>
        <v>72547.17482812464</v>
      </c>
      <c r="AP10" s="41">
        <f>Engagements!AP213</f>
        <v>74207.759944055273</v>
      </c>
      <c r="AQ10" s="41">
        <f>Engagements!AQ213</f>
        <v>69877.316848867995</v>
      </c>
      <c r="AR10" s="41">
        <f>Engagements!AR213</f>
        <v>63676.963121060908</v>
      </c>
      <c r="AS10" s="41">
        <f>Engagements!AS213</f>
        <v>50386.06586527796</v>
      </c>
      <c r="AT10" s="41">
        <f>Engagements!AT213</f>
        <v>58224.509954096939</v>
      </c>
      <c r="AU10" s="41">
        <f>Engagements!AU213</f>
        <v>69604.36557467503</v>
      </c>
      <c r="AV10" s="41">
        <f>Engagements!AV213</f>
        <v>71378.934592984268</v>
      </c>
      <c r="AW10" s="41">
        <f>Engagements!AW213</f>
        <v>78753.149697082248</v>
      </c>
      <c r="AX10" s="41">
        <f>Engagements!AX213</f>
        <v>72486.86571658848</v>
      </c>
      <c r="AY10" s="41">
        <f>Engagements!AY213</f>
        <v>70348.127966319968</v>
      </c>
      <c r="AZ10" s="41">
        <f>Engagements!AZ213</f>
        <v>81269.01370344765</v>
      </c>
      <c r="BA10" s="41">
        <f>Engagements!BA213</f>
        <v>79802.169587532859</v>
      </c>
      <c r="BB10" s="41">
        <f>Engagements!BB213</f>
        <v>81628.540237268462</v>
      </c>
      <c r="BC10" s="41">
        <f>Engagements!BC213</f>
        <v>76865.048555801855</v>
      </c>
      <c r="BD10" s="41">
        <f>Engagements!BD213</f>
        <v>70044.659433217879</v>
      </c>
      <c r="BE10" s="41">
        <f>Engagements!BE213</f>
        <v>55424.672451805804</v>
      </c>
      <c r="BF10" s="41">
        <f>Engagements!BF213</f>
        <v>64046.96094950664</v>
      </c>
      <c r="BG10" s="41">
        <f>Engagements!BG213</f>
        <v>76564.802132142533</v>
      </c>
      <c r="BH10" s="41">
        <f>Engagements!BH213</f>
        <v>78516.828052282712</v>
      </c>
      <c r="BI10" s="41">
        <f>Engagements!BI213</f>
        <v>86628.464666790489</v>
      </c>
    </row>
    <row r="11" spans="2:61" x14ac:dyDescent="0.35"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</row>
    <row r="12" spans="2:61" x14ac:dyDescent="0.35">
      <c r="E12" t="str">
        <f>Engagements!E215</f>
        <v>Montant-Engagement-Projection</v>
      </c>
      <c r="J12" t="str">
        <f>Engagements!J215</f>
        <v>EUR</v>
      </c>
      <c r="N12" s="41">
        <f>Engagements!N215</f>
        <v>0</v>
      </c>
      <c r="O12" s="41">
        <f>Engagements!O215</f>
        <v>0</v>
      </c>
      <c r="P12" s="41">
        <f>Engagements!P215</f>
        <v>0</v>
      </c>
      <c r="Q12" s="41">
        <f>Engagements!Q215</f>
        <v>1695772.18</v>
      </c>
      <c r="R12" s="41">
        <f>Engagements!R215</f>
        <v>10857056.4</v>
      </c>
      <c r="S12" s="41">
        <f>Engagements!S215</f>
        <v>20903722.16</v>
      </c>
      <c r="T12" s="41">
        <f>Engagements!T215</f>
        <v>86869565.299999997</v>
      </c>
      <c r="U12" s="41">
        <f>Engagements!U215</f>
        <v>172653794.88999999</v>
      </c>
      <c r="V12" s="41">
        <f>Engagements!V215</f>
        <v>56745854.399999999</v>
      </c>
      <c r="W12" s="41">
        <f>Engagements!W215</f>
        <v>49226405.049999997</v>
      </c>
      <c r="X12" s="41">
        <f>Engagements!X215</f>
        <v>62967540.109999999</v>
      </c>
      <c r="Y12" s="41">
        <f>Engagements!Y215</f>
        <v>99522693.840000004</v>
      </c>
      <c r="Z12" s="41">
        <f>Engagements!Z215</f>
        <v>98951762.090000004</v>
      </c>
      <c r="AA12" s="41">
        <f>Engagements!AA215</f>
        <v>91501313.090000004</v>
      </c>
      <c r="AB12" s="41">
        <f>Engagements!AB215</f>
        <v>125765957.95</v>
      </c>
      <c r="AC12" s="41">
        <f>Engagements!AC215</f>
        <v>148151497.30000001</v>
      </c>
      <c r="AD12" s="41">
        <f>Engagements!AD215</f>
        <v>163744048.12</v>
      </c>
      <c r="AE12" s="41">
        <f>Engagements!AE215</f>
        <v>220443813.47999999</v>
      </c>
      <c r="AF12" s="41">
        <f>Engagements!AF215</f>
        <v>217255838.49000001</v>
      </c>
      <c r="AG12" s="41">
        <f>Engagements!AG215</f>
        <v>184361005.40000001</v>
      </c>
      <c r="AH12" s="41">
        <f>Engagements!AH215</f>
        <v>171496786</v>
      </c>
      <c r="AI12" s="41">
        <f>Engagements!AI215</f>
        <v>197482118.59999999</v>
      </c>
      <c r="AJ12" s="41">
        <f>Engagements!AJ215</f>
        <v>216834248.84999999</v>
      </c>
      <c r="AK12" s="41">
        <f>Engagements!AK215</f>
        <v>258729610.41999999</v>
      </c>
      <c r="AL12" s="41">
        <f>Engagements!AL215</f>
        <v>222016648.27472091</v>
      </c>
      <c r="AM12" s="41">
        <f>Engagements!AM215</f>
        <v>209481841.57260922</v>
      </c>
      <c r="AN12" s="41">
        <f>Engagements!AN215</f>
        <v>239973980.18285999</v>
      </c>
      <c r="AO12" s="41">
        <f>Engagements!AO215</f>
        <v>235400070.87507883</v>
      </c>
      <c r="AP12" s="41">
        <f>Engagements!AP215</f>
        <v>240777320.10095528</v>
      </c>
      <c r="AQ12" s="41">
        <f>Engagements!AQ215</f>
        <v>226726429.66375583</v>
      </c>
      <c r="AR12" s="41">
        <f>Engagements!AR215</f>
        <v>206608540.37346491</v>
      </c>
      <c r="AS12" s="41">
        <f>Engagements!AS215</f>
        <v>163484422.20276999</v>
      </c>
      <c r="AT12" s="41">
        <f>Engagements!AT215</f>
        <v>188917316.81009197</v>
      </c>
      <c r="AU12" s="41">
        <f>Engagements!AU215</f>
        <v>225840801.2880336</v>
      </c>
      <c r="AV12" s="41">
        <f>Engagements!AV215</f>
        <v>231598631.06964281</v>
      </c>
      <c r="AW12" s="41">
        <f>Engagements!AW215</f>
        <v>255525271.79439864</v>
      </c>
      <c r="AX12" s="41">
        <f>Engagements!AX215</f>
        <v>239474714.09349138</v>
      </c>
      <c r="AY12" s="41">
        <f>Engagements!AY215</f>
        <v>234488596.21133733</v>
      </c>
      <c r="AZ12" s="41">
        <f>Engagements!AZ215</f>
        <v>271522030.35538626</v>
      </c>
      <c r="BA12" s="41">
        <f>Engagements!BA215</f>
        <v>266693852.81543246</v>
      </c>
      <c r="BB12" s="41">
        <f>Engagements!BB215</f>
        <v>272800462.8139993</v>
      </c>
      <c r="BC12" s="41">
        <f>Engagements!BC215</f>
        <v>256881043.53524208</v>
      </c>
      <c r="BD12" s="41">
        <f>Engagements!BD215</f>
        <v>234087476.24016291</v>
      </c>
      <c r="BE12" s="41">
        <f>Engagements!BE215</f>
        <v>185227850.3557364</v>
      </c>
      <c r="BF12" s="41">
        <f>Engagements!BF215</f>
        <v>214043319.94583425</v>
      </c>
      <c r="BG12" s="41">
        <f>Engagements!BG215</f>
        <v>255877627.85934216</v>
      </c>
      <c r="BH12" s="41">
        <f>Engagements!BH215</f>
        <v>262401249.00190538</v>
      </c>
      <c r="BI12" s="41">
        <f>Engagements!BI215</f>
        <v>289510132.94305366</v>
      </c>
    </row>
    <row r="13" spans="2:61" x14ac:dyDescent="0.35">
      <c r="E13" t="str">
        <f>'Paiements Solde et retraits'!E326</f>
        <v>Montant-Retrait total-Projection</v>
      </c>
      <c r="J13" t="str">
        <f>'Paiements Solde et retraits'!J326</f>
        <v>EUR</v>
      </c>
      <c r="N13" s="41">
        <f>'Paiements Solde et retraits'!N326</f>
        <v>0</v>
      </c>
      <c r="O13" s="41">
        <f>'Paiements Solde et retraits'!O326</f>
        <v>0</v>
      </c>
      <c r="P13" s="41">
        <f>'Paiements Solde et retraits'!P326</f>
        <v>0</v>
      </c>
      <c r="Q13" s="41">
        <f>'Paiements Solde et retraits'!Q326</f>
        <v>0</v>
      </c>
      <c r="R13" s="41">
        <f>'Paiements Solde et retraits'!R326</f>
        <v>0</v>
      </c>
      <c r="S13" s="41">
        <f>'Paiements Solde et retraits'!S326</f>
        <v>0</v>
      </c>
      <c r="T13" s="41">
        <f>'Paiements Solde et retraits'!T326</f>
        <v>7069</v>
      </c>
      <c r="U13" s="41">
        <f>'Paiements Solde et retraits'!U326</f>
        <v>0</v>
      </c>
      <c r="V13" s="41">
        <f>'Paiements Solde et retraits'!V326</f>
        <v>0</v>
      </c>
      <c r="W13" s="41">
        <f>'Paiements Solde et retraits'!W326</f>
        <v>20051</v>
      </c>
      <c r="X13" s="41">
        <f>'Paiements Solde et retraits'!X326</f>
        <v>44008.75</v>
      </c>
      <c r="Y13" s="41">
        <f>'Paiements Solde et retraits'!Y326</f>
        <v>1930455.98</v>
      </c>
      <c r="Z13" s="41">
        <f>'Paiements Solde et retraits'!Z326</f>
        <v>105150.25</v>
      </c>
      <c r="AA13" s="41">
        <f>'Paiements Solde et retraits'!AA326</f>
        <v>970778.02</v>
      </c>
      <c r="AB13" s="41">
        <f>'Paiements Solde et retraits'!AB326</f>
        <v>412208.31</v>
      </c>
      <c r="AC13" s="41">
        <f>'Paiements Solde et retraits'!AC326</f>
        <v>1150063.3500000001</v>
      </c>
      <c r="AD13" s="41">
        <f>'Paiements Solde et retraits'!AD326</f>
        <v>620467.68000000005</v>
      </c>
      <c r="AE13" s="41">
        <f>'Paiements Solde et retraits'!AE326</f>
        <v>1976676.4000000001</v>
      </c>
      <c r="AF13" s="41">
        <f>'Paiements Solde et retraits'!AF326</f>
        <v>2431454.67</v>
      </c>
      <c r="AG13" s="41">
        <f>'Paiements Solde et retraits'!AG326</f>
        <v>3508259.18</v>
      </c>
      <c r="AH13" s="41">
        <f>'Paiements Solde et retraits'!AH326</f>
        <v>4170771.129999999</v>
      </c>
      <c r="AI13" s="41">
        <f>'Paiements Solde et retraits'!AI326</f>
        <v>5140150.7</v>
      </c>
      <c r="AJ13" s="41">
        <f>'Paiements Solde et retraits'!AJ326</f>
        <v>7935632.1799999997</v>
      </c>
      <c r="AK13" s="41">
        <f>'Paiements Solde et retraits'!AK326</f>
        <v>4311465.92</v>
      </c>
      <c r="AL13" s="41">
        <f>'Paiements Solde et retraits'!AL326</f>
        <v>6339595.4108435251</v>
      </c>
      <c r="AM13" s="41">
        <f>'Paiements Solde et retraits'!AM326</f>
        <v>5279907.7027921677</v>
      </c>
      <c r="AN13" s="41">
        <f>'Paiements Solde et retraits'!AN326</f>
        <v>5646007.2834848957</v>
      </c>
      <c r="AO13" s="41">
        <f>'Paiements Solde et retraits'!AO326</f>
        <v>5570441.1925550811</v>
      </c>
      <c r="AP13" s="41">
        <f>'Paiements Solde et retraits'!AP326</f>
        <v>6274196.8575250618</v>
      </c>
      <c r="AQ13" s="41">
        <f>'Paiements Solde et retraits'!AQ326</f>
        <v>6719295.2742275158</v>
      </c>
      <c r="AR13" s="41">
        <f>'Paiements Solde et retraits'!AR326</f>
        <v>7576630.6584213981</v>
      </c>
      <c r="AS13" s="41">
        <f>'Paiements Solde et retraits'!AS326</f>
        <v>7950265.0354131646</v>
      </c>
      <c r="AT13" s="41">
        <f>'Paiements Solde et retraits'!AT326</f>
        <v>8172610.2256146083</v>
      </c>
      <c r="AU13" s="41">
        <f>'Paiements Solde et retraits'!AU326</f>
        <v>9032280.2816271223</v>
      </c>
      <c r="AV13" s="41">
        <f>'Paiements Solde et retraits'!AV326</f>
        <v>9223547.4221260343</v>
      </c>
      <c r="AW13" s="41">
        <f>'Paiements Solde et retraits'!AW326</f>
        <v>10117341.669146176</v>
      </c>
      <c r="AX13" s="41">
        <f>'Paiements Solde et retraits'!AX326</f>
        <v>7793147.1474315217</v>
      </c>
      <c r="AY13" s="41">
        <f>'Paiements Solde et retraits'!AY326</f>
        <v>6312162.705310259</v>
      </c>
      <c r="AZ13" s="41">
        <f>'Paiements Solde et retraits'!AZ326</f>
        <v>6528270.8936346415</v>
      </c>
      <c r="BA13" s="41">
        <f>'Paiements Solde et retraits'!BA326</f>
        <v>6255681.5730495462</v>
      </c>
      <c r="BB13" s="41">
        <f>'Paiements Solde et retraits'!BB326</f>
        <v>6936776.1455683038</v>
      </c>
      <c r="BC13" s="41">
        <f>'Paiements Solde et retraits'!BC326</f>
        <v>7395223.8696027249</v>
      </c>
      <c r="BD13" s="41">
        <f>'Paiements Solde et retraits'!BD326</f>
        <v>8352683.9167759512</v>
      </c>
      <c r="BE13" s="41">
        <f>'Paiements Solde et retraits'!BE326</f>
        <v>8793707.5162502825</v>
      </c>
      <c r="BF13" s="41">
        <f>'Paiements Solde et retraits'!BF326</f>
        <v>9078953.7484260071</v>
      </c>
      <c r="BG13" s="41">
        <f>'Paiements Solde et retraits'!BG326</f>
        <v>10074809.634011021</v>
      </c>
      <c r="BH13" s="41">
        <f>'Paiements Solde et retraits'!BH326</f>
        <v>10331260.945145551</v>
      </c>
      <c r="BI13" s="41">
        <f>'Paiements Solde et retraits'!BI326</f>
        <v>11380682.607804123</v>
      </c>
    </row>
    <row r="14" spans="2:61" ht="15" thickBot="1" x14ac:dyDescent="0.4">
      <c r="E14" s="33" t="str">
        <f>'Paiements Solde et retraits'!E327</f>
        <v>Montant-Retrait partiel-Projection</v>
      </c>
      <c r="F14" s="33"/>
      <c r="G14" s="33"/>
      <c r="H14" s="33"/>
      <c r="I14" s="33"/>
      <c r="J14" s="33" t="str">
        <f>'Paiements Solde et retraits'!J327</f>
        <v>EUR</v>
      </c>
      <c r="K14" s="33"/>
      <c r="L14" s="33"/>
      <c r="M14" s="33"/>
      <c r="N14" s="96">
        <f>'Paiements Solde et retraits'!N327</f>
        <v>0</v>
      </c>
      <c r="O14" s="96">
        <f>'Paiements Solde et retraits'!O327</f>
        <v>0</v>
      </c>
      <c r="P14" s="96">
        <f>'Paiements Solde et retraits'!P327</f>
        <v>0</v>
      </c>
      <c r="Q14" s="96">
        <f>'Paiements Solde et retraits'!Q327</f>
        <v>0</v>
      </c>
      <c r="R14" s="96">
        <f>'Paiements Solde et retraits'!R327</f>
        <v>0</v>
      </c>
      <c r="S14" s="96">
        <f>'Paiements Solde et retraits'!S327</f>
        <v>0</v>
      </c>
      <c r="T14" s="96">
        <f>'Paiements Solde et retraits'!T327</f>
        <v>1616.5899999999983</v>
      </c>
      <c r="U14" s="96">
        <f>'Paiements Solde et retraits'!U327</f>
        <v>3628.9</v>
      </c>
      <c r="V14" s="96">
        <f>'Paiements Solde et retraits'!V327</f>
        <v>1197.6699999999992</v>
      </c>
      <c r="W14" s="96">
        <f>'Paiements Solde et retraits'!W327</f>
        <v>14896.850000000013</v>
      </c>
      <c r="X14" s="96">
        <f>'Paiements Solde et retraits'!X327</f>
        <v>185900.89999999988</v>
      </c>
      <c r="Y14" s="96">
        <f>'Paiements Solde et retraits'!Y327</f>
        <v>1332867.1100000001</v>
      </c>
      <c r="Z14" s="96">
        <f>'Paiements Solde et retraits'!Z327</f>
        <v>4958.4799999999959</v>
      </c>
      <c r="AA14" s="96">
        <f>'Paiements Solde et retraits'!AA327</f>
        <v>114005.79000000004</v>
      </c>
      <c r="AB14" s="96">
        <f>'Paiements Solde et retraits'!AB327</f>
        <v>256815.58000000007</v>
      </c>
      <c r="AC14" s="96">
        <f>'Paiements Solde et retraits'!AC327</f>
        <v>254368.01</v>
      </c>
      <c r="AD14" s="96">
        <f>'Paiements Solde et retraits'!AD327</f>
        <v>456301.45000000042</v>
      </c>
      <c r="AE14" s="96">
        <f>'Paiements Solde et retraits'!AE327</f>
        <v>588117.16999999946</v>
      </c>
      <c r="AF14" s="96">
        <f>'Paiements Solde et retraits'!AF327</f>
        <v>751919.37999999989</v>
      </c>
      <c r="AG14" s="96">
        <f>'Paiements Solde et retraits'!AG327</f>
        <v>1033504.3099999987</v>
      </c>
      <c r="AH14" s="96">
        <f>'Paiements Solde et retraits'!AH327</f>
        <v>1313177.8299999991</v>
      </c>
      <c r="AI14" s="96">
        <f>'Paiements Solde et retraits'!AI327</f>
        <v>1464815.6799999997</v>
      </c>
      <c r="AJ14" s="96">
        <f>'Paiements Solde et retraits'!AJ327</f>
        <v>783020.19</v>
      </c>
      <c r="AK14" s="96">
        <f>'Paiements Solde et retraits'!AK327</f>
        <v>2369978.5099999998</v>
      </c>
      <c r="AL14" s="96">
        <f>'Paiements Solde et retraits'!AL327</f>
        <v>2107915.4741054722</v>
      </c>
      <c r="AM14" s="96">
        <f>'Paiements Solde et retraits'!AM327</f>
        <v>1755569.311178396</v>
      </c>
      <c r="AN14" s="96">
        <f>'Paiements Solde et retraits'!AN327</f>
        <v>1877297.4217587279</v>
      </c>
      <c r="AO14" s="96">
        <f>'Paiements Solde et retraits'!AO327</f>
        <v>1852171.6965245651</v>
      </c>
      <c r="AP14" s="96">
        <f>'Paiements Solde et retraits'!AP327</f>
        <v>2086170.4551270835</v>
      </c>
      <c r="AQ14" s="96">
        <f>'Paiements Solde et retraits'!AQ327</f>
        <v>2234165.6786806495</v>
      </c>
      <c r="AR14" s="96">
        <f>'Paiements Solde et retraits'!AR327</f>
        <v>2519229.6939251148</v>
      </c>
      <c r="AS14" s="96">
        <f>'Paiements Solde et retraits'!AS327</f>
        <v>2643463.1242748769</v>
      </c>
      <c r="AT14" s="96">
        <f>'Paiements Solde et retraits'!AT327</f>
        <v>2717392.9000168573</v>
      </c>
      <c r="AU14" s="96">
        <f>'Paiements Solde et retraits'!AU327</f>
        <v>3003233.1936410181</v>
      </c>
      <c r="AV14" s="96">
        <f>'Paiements Solde et retraits'!AV327</f>
        <v>3066829.5178569062</v>
      </c>
      <c r="AW14" s="96">
        <f>'Paiements Solde et retraits'!AW327</f>
        <v>3364016.104991104</v>
      </c>
      <c r="AX14" s="96">
        <f>'Paiements Solde et retraits'!AX327</f>
        <v>2591221.4265209809</v>
      </c>
      <c r="AY14" s="96">
        <f>'Paiements Solde et retraits'!AY327</f>
        <v>2098794.0995156616</v>
      </c>
      <c r="AZ14" s="96">
        <f>'Paiements Solde et retraits'!AZ327</f>
        <v>2170650.0721335183</v>
      </c>
      <c r="BA14" s="96">
        <f>'Paiements Solde et retraits'!BA327</f>
        <v>2080014.1230389748</v>
      </c>
      <c r="BB14" s="96">
        <f>'Paiements Solde et retraits'!BB327</f>
        <v>2306478.0684014615</v>
      </c>
      <c r="BC14" s="96">
        <f>'Paiements Solde et retraits'!BC327</f>
        <v>2458911.9366429062</v>
      </c>
      <c r="BD14" s="96">
        <f>'Paiements Solde et retraits'!BD327</f>
        <v>2777267.4023280037</v>
      </c>
      <c r="BE14" s="96">
        <f>'Paiements Solde et retraits'!BE327</f>
        <v>2923907.7491532187</v>
      </c>
      <c r="BF14" s="96">
        <f>'Paiements Solde et retraits'!BF327</f>
        <v>3018752.1213516477</v>
      </c>
      <c r="BG14" s="96">
        <f>'Paiements Solde et retraits'!BG327</f>
        <v>3349874.2033086647</v>
      </c>
      <c r="BH14" s="96">
        <f>'Paiements Solde et retraits'!BH327</f>
        <v>3435144.264260896</v>
      </c>
      <c r="BI14" s="96">
        <f>'Paiements Solde et retraits'!BI327</f>
        <v>3784076.9670948712</v>
      </c>
    </row>
    <row r="15" spans="2:61" ht="15" thickTop="1" x14ac:dyDescent="0.35">
      <c r="E15" t="str">
        <f>Paramétrage_général!I39</f>
        <v>AE</v>
      </c>
      <c r="J15" t="s">
        <v>51</v>
      </c>
      <c r="N15" s="41">
        <f>N12-SUM(N13:N14)</f>
        <v>0</v>
      </c>
      <c r="O15" s="41">
        <f t="shared" ref="O15:BI15" si="0">O12-SUM(O13:O14)</f>
        <v>0</v>
      </c>
      <c r="P15" s="41">
        <f t="shared" si="0"/>
        <v>0</v>
      </c>
      <c r="Q15" s="41">
        <f t="shared" si="0"/>
        <v>1695772.18</v>
      </c>
      <c r="R15" s="41">
        <f t="shared" si="0"/>
        <v>10857056.4</v>
      </c>
      <c r="S15" s="41">
        <f t="shared" si="0"/>
        <v>20903722.16</v>
      </c>
      <c r="T15" s="41">
        <f t="shared" si="0"/>
        <v>86860879.709999993</v>
      </c>
      <c r="U15" s="41">
        <f t="shared" si="0"/>
        <v>172650165.98999998</v>
      </c>
      <c r="V15" s="41">
        <f t="shared" si="0"/>
        <v>56744656.729999997</v>
      </c>
      <c r="W15" s="41">
        <f t="shared" si="0"/>
        <v>49191457.199999996</v>
      </c>
      <c r="X15" s="41">
        <f t="shared" si="0"/>
        <v>62737630.460000001</v>
      </c>
      <c r="Y15" s="41">
        <f t="shared" si="0"/>
        <v>96259370.75</v>
      </c>
      <c r="Z15" s="41">
        <f t="shared" si="0"/>
        <v>98841653.359999999</v>
      </c>
      <c r="AA15" s="41">
        <f t="shared" si="0"/>
        <v>90416529.280000001</v>
      </c>
      <c r="AB15" s="41">
        <f t="shared" si="0"/>
        <v>125096934.06</v>
      </c>
      <c r="AC15" s="41">
        <f t="shared" si="0"/>
        <v>146747065.94</v>
      </c>
      <c r="AD15" s="41">
        <f t="shared" si="0"/>
        <v>162667278.99000001</v>
      </c>
      <c r="AE15" s="41">
        <f t="shared" si="0"/>
        <v>217879019.91</v>
      </c>
      <c r="AF15" s="41">
        <f t="shared" si="0"/>
        <v>214072464.44</v>
      </c>
      <c r="AG15" s="41">
        <f t="shared" si="0"/>
        <v>179819241.91</v>
      </c>
      <c r="AH15" s="41">
        <f t="shared" si="0"/>
        <v>166012837.03999999</v>
      </c>
      <c r="AI15" s="41">
        <f t="shared" si="0"/>
        <v>190877152.22</v>
      </c>
      <c r="AJ15" s="41">
        <f t="shared" si="0"/>
        <v>208115596.47999999</v>
      </c>
      <c r="AK15" s="41">
        <f t="shared" si="0"/>
        <v>252048165.98999998</v>
      </c>
      <c r="AL15" s="41">
        <f t="shared" si="0"/>
        <v>213569137.38977191</v>
      </c>
      <c r="AM15" s="41">
        <f t="shared" si="0"/>
        <v>202446364.55863866</v>
      </c>
      <c r="AN15" s="41">
        <f t="shared" si="0"/>
        <v>232450675.47761637</v>
      </c>
      <c r="AO15" s="41">
        <f t="shared" si="0"/>
        <v>227977457.98599917</v>
      </c>
      <c r="AP15" s="41">
        <f t="shared" si="0"/>
        <v>232416952.78830314</v>
      </c>
      <c r="AQ15" s="41">
        <f t="shared" si="0"/>
        <v>217772968.71084768</v>
      </c>
      <c r="AR15" s="41">
        <f t="shared" si="0"/>
        <v>196512680.0211184</v>
      </c>
      <c r="AS15" s="41">
        <f t="shared" si="0"/>
        <v>152890694.04308194</v>
      </c>
      <c r="AT15" s="41">
        <f t="shared" si="0"/>
        <v>178027313.68446052</v>
      </c>
      <c r="AU15" s="41">
        <f t="shared" si="0"/>
        <v>213805287.81276548</v>
      </c>
      <c r="AV15" s="41">
        <f t="shared" si="0"/>
        <v>219308254.12965986</v>
      </c>
      <c r="AW15" s="41">
        <f t="shared" si="0"/>
        <v>242043914.02026135</v>
      </c>
      <c r="AX15" s="41">
        <f t="shared" si="0"/>
        <v>229090345.51953888</v>
      </c>
      <c r="AY15" s="41">
        <f t="shared" si="0"/>
        <v>226077639.4065114</v>
      </c>
      <c r="AZ15" s="41">
        <f t="shared" si="0"/>
        <v>262823109.3896181</v>
      </c>
      <c r="BA15" s="41">
        <f t="shared" si="0"/>
        <v>258358157.11934394</v>
      </c>
      <c r="BB15" s="41">
        <f t="shared" si="0"/>
        <v>263557208.60002953</v>
      </c>
      <c r="BC15" s="41">
        <f t="shared" si="0"/>
        <v>247026907.72899646</v>
      </c>
      <c r="BD15" s="41">
        <f t="shared" si="0"/>
        <v>222957524.92105895</v>
      </c>
      <c r="BE15" s="41">
        <f t="shared" si="0"/>
        <v>173510235.0903329</v>
      </c>
      <c r="BF15" s="41">
        <f t="shared" si="0"/>
        <v>201945614.0760566</v>
      </c>
      <c r="BG15" s="41">
        <f t="shared" si="0"/>
        <v>242452944.02202249</v>
      </c>
      <c r="BH15" s="41">
        <f t="shared" si="0"/>
        <v>248634843.79249895</v>
      </c>
      <c r="BI15" s="41">
        <f t="shared" si="0"/>
        <v>274345373.36815464</v>
      </c>
    </row>
    <row r="16" spans="2:61" x14ac:dyDescent="0.35"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</row>
    <row r="17" spans="4:61" x14ac:dyDescent="0.35">
      <c r="E17" t="str">
        <f>'Demandes de solde'!E245</f>
        <v>Volumes-Demande de solde-Projection</v>
      </c>
      <c r="J17" t="str">
        <f>'Demandes de solde'!J245</f>
        <v>Volume</v>
      </c>
      <c r="N17" s="41">
        <f>'Demandes de solde'!N245</f>
        <v>0</v>
      </c>
      <c r="O17" s="41">
        <f>'Demandes de solde'!O245</f>
        <v>0</v>
      </c>
      <c r="P17" s="41">
        <f>'Demandes de solde'!P245</f>
        <v>0</v>
      </c>
      <c r="Q17" s="41">
        <f>'Demandes de solde'!Q245</f>
        <v>87</v>
      </c>
      <c r="R17" s="41">
        <f>'Demandes de solde'!R245</f>
        <v>636</v>
      </c>
      <c r="S17" s="41">
        <f>'Demandes de solde'!S245</f>
        <v>2269</v>
      </c>
      <c r="T17" s="41">
        <f>'Demandes de solde'!T245</f>
        <v>4269</v>
      </c>
      <c r="U17" s="41">
        <f>'Demandes de solde'!U245</f>
        <v>6469</v>
      </c>
      <c r="V17" s="41">
        <f>'Demandes de solde'!V245</f>
        <v>10749</v>
      </c>
      <c r="W17" s="41">
        <f>'Demandes de solde'!W245</f>
        <v>14183</v>
      </c>
      <c r="X17" s="41">
        <f>'Demandes de solde'!X245</f>
        <v>16574</v>
      </c>
      <c r="Y17" s="41">
        <f>'Demandes de solde'!Y245</f>
        <v>19960</v>
      </c>
      <c r="Z17" s="41">
        <f>'Demandes de solde'!Z245</f>
        <v>21697</v>
      </c>
      <c r="AA17" s="41">
        <f>'Demandes de solde'!AA245</f>
        <v>27179</v>
      </c>
      <c r="AB17" s="41">
        <f>'Demandes de solde'!AB245</f>
        <v>32553</v>
      </c>
      <c r="AC17" s="41">
        <f>'Demandes de solde'!AC245</f>
        <v>34544</v>
      </c>
      <c r="AD17" s="41">
        <f>'Demandes de solde'!AD245</f>
        <v>32781</v>
      </c>
      <c r="AE17" s="41">
        <f>'Demandes de solde'!AE245</f>
        <v>38664</v>
      </c>
      <c r="AF17" s="41">
        <f>'Demandes de solde'!AF245</f>
        <v>40773</v>
      </c>
      <c r="AG17" s="41">
        <f>'Demandes de solde'!AG245</f>
        <v>27624</v>
      </c>
      <c r="AH17" s="41">
        <f>'Demandes de solde'!AH245</f>
        <v>44997</v>
      </c>
      <c r="AI17" s="41">
        <f>'Demandes de solde'!AI245</f>
        <v>51424</v>
      </c>
      <c r="AJ17" s="41">
        <f>'Demandes de solde'!AJ245</f>
        <v>53131</v>
      </c>
      <c r="AK17" s="41">
        <f>'Demandes de solde'!AK245</f>
        <v>56324</v>
      </c>
      <c r="AL17" s="41">
        <f>'Demandes de solde'!AL245</f>
        <v>55779.354484422802</v>
      </c>
      <c r="AM17" s="41">
        <f>'Demandes de solde'!AM245</f>
        <v>52425.82824647989</v>
      </c>
      <c r="AN17" s="41">
        <f>'Demandes de solde'!AN245</f>
        <v>60235.743482396771</v>
      </c>
      <c r="AO17" s="41">
        <f>'Demandes de solde'!AO245</f>
        <v>59531.72975090504</v>
      </c>
      <c r="AP17" s="41">
        <f>'Demandes de solde'!AP245</f>
        <v>62473.721581154561</v>
      </c>
      <c r="AQ17" s="41">
        <f>'Demandes de solde'!AQ245</f>
        <v>60509.608006077935</v>
      </c>
      <c r="AR17" s="41">
        <f>'Demandes de solde'!AR245</f>
        <v>60763.115116330067</v>
      </c>
      <c r="AS17" s="41">
        <f>'Demandes de solde'!AS245</f>
        <v>56949.508506996957</v>
      </c>
      <c r="AT17" s="41">
        <f>'Demandes de solde'!AT245</f>
        <v>57053.136182929935</v>
      </c>
      <c r="AU17" s="41">
        <f>'Demandes de solde'!AU245</f>
        <v>61251.178951307833</v>
      </c>
      <c r="AV17" s="41">
        <f>'Demandes de solde'!AV245</f>
        <v>60402.402042979265</v>
      </c>
      <c r="AW17" s="41">
        <f>'Demandes de solde'!AW245</f>
        <v>64175.252174882356</v>
      </c>
      <c r="AX17" s="41">
        <f>'Demandes de solde'!AX245</f>
        <v>63005.515505017313</v>
      </c>
      <c r="AY17" s="41">
        <f>'Demandes de solde'!AY245</f>
        <v>58444.060974671265</v>
      </c>
      <c r="AZ17" s="41">
        <f>'Demandes de solde'!AZ245</f>
        <v>66515.865208060728</v>
      </c>
      <c r="BA17" s="41">
        <f>'Demandes de solde'!BA245</f>
        <v>65544.945076049407</v>
      </c>
      <c r="BB17" s="41">
        <f>'Demandes de solde'!BB245</f>
        <v>68579.424332022172</v>
      </c>
      <c r="BC17" s="41">
        <f>'Demandes de solde'!BC245</f>
        <v>66630.538624534631</v>
      </c>
      <c r="BD17" s="41">
        <f>'Demandes de solde'!BD245</f>
        <v>66973.324207001657</v>
      </c>
      <c r="BE17" s="41">
        <f>'Demandes de solde'!BE245</f>
        <v>62873.030008606853</v>
      </c>
      <c r="BF17" s="41">
        <f>'Demandes de solde'!BF245</f>
        <v>62902.09938989528</v>
      </c>
      <c r="BG17" s="41">
        <f>'Demandes de solde'!BG245</f>
        <v>67489.377899406871</v>
      </c>
      <c r="BH17" s="41">
        <f>'Demandes de solde'!BH245</f>
        <v>66481.718475194008</v>
      </c>
      <c r="BI17" s="41">
        <f>'Demandes de solde'!BI245</f>
        <v>70608.725113188964</v>
      </c>
    </row>
    <row r="18" spans="4:61" x14ac:dyDescent="0.35">
      <c r="E18" t="str">
        <f>'Paiements Solde et retraits'!E324</f>
        <v>Volume-Rejet paiement-Projection</v>
      </c>
      <c r="J18" t="str">
        <f>'Paiements Solde et retraits'!J324</f>
        <v>Volume</v>
      </c>
      <c r="N18" s="41">
        <f>'Paiements Solde et retraits'!N324</f>
        <v>0</v>
      </c>
      <c r="O18" s="41">
        <f>'Paiements Solde et retraits'!O324</f>
        <v>0</v>
      </c>
      <c r="P18" s="41">
        <f>'Paiements Solde et retraits'!P324</f>
        <v>0</v>
      </c>
      <c r="Q18" s="41">
        <f>'Paiements Solde et retraits'!Q324</f>
        <v>0</v>
      </c>
      <c r="R18" s="41">
        <f>'Paiements Solde et retraits'!R324</f>
        <v>0</v>
      </c>
      <c r="S18" s="41">
        <f>'Paiements Solde et retraits'!S324</f>
        <v>0</v>
      </c>
      <c r="T18" s="41">
        <f>'Paiements Solde et retraits'!T324</f>
        <v>2</v>
      </c>
      <c r="U18" s="41">
        <f>'Paiements Solde et retraits'!U324</f>
        <v>0</v>
      </c>
      <c r="V18" s="41">
        <f>'Paiements Solde et retraits'!V324</f>
        <v>0</v>
      </c>
      <c r="W18" s="41">
        <f>'Paiements Solde et retraits'!W324</f>
        <v>8</v>
      </c>
      <c r="X18" s="41">
        <f>'Paiements Solde et retraits'!X324</f>
        <v>11</v>
      </c>
      <c r="Y18" s="41">
        <f>'Paiements Solde et retraits'!Y324</f>
        <v>697</v>
      </c>
      <c r="Z18" s="41">
        <f>'Paiements Solde et retraits'!Z324</f>
        <v>839</v>
      </c>
      <c r="AA18" s="41">
        <f>'Paiements Solde et retraits'!AA324</f>
        <v>1108</v>
      </c>
      <c r="AB18" s="41">
        <f>'Paiements Solde et retraits'!AB324</f>
        <v>482</v>
      </c>
      <c r="AC18" s="41">
        <f>'Paiements Solde et retraits'!AC324</f>
        <v>1169</v>
      </c>
      <c r="AD18" s="41">
        <f>'Paiements Solde et retraits'!AD324</f>
        <v>651</v>
      </c>
      <c r="AE18" s="41">
        <f>'Paiements Solde et retraits'!AE324</f>
        <v>1158</v>
      </c>
      <c r="AF18" s="41">
        <f>'Paiements Solde et retraits'!AF324</f>
        <v>1274</v>
      </c>
      <c r="AG18" s="41">
        <f>'Paiements Solde et retraits'!AG324</f>
        <v>1794</v>
      </c>
      <c r="AH18" s="41">
        <f>'Paiements Solde et retraits'!AH324</f>
        <v>2191</v>
      </c>
      <c r="AI18" s="41">
        <f>'Paiements Solde et retraits'!AI324</f>
        <v>2652</v>
      </c>
      <c r="AJ18" s="41">
        <f>'Paiements Solde et retraits'!AJ324</f>
        <v>3615</v>
      </c>
      <c r="AK18" s="41">
        <f>'Paiements Solde et retraits'!AK324</f>
        <v>2039</v>
      </c>
      <c r="AL18" s="41">
        <f>'Paiements Solde et retraits'!AL324</f>
        <v>2677.6013766994683</v>
      </c>
      <c r="AM18" s="41">
        <f>'Paiements Solde et retraits'!AM324</f>
        <v>2493.5662556804714</v>
      </c>
      <c r="AN18" s="41">
        <f>'Paiements Solde et retraits'!AN324</f>
        <v>2878.3809542353079</v>
      </c>
      <c r="AO18" s="41">
        <f>'Paiements Solde et retraits'!AO324</f>
        <v>2857.6767011719307</v>
      </c>
      <c r="AP18" s="41">
        <f>'Paiements Solde et retraits'!AP324</f>
        <v>3033.3600821799996</v>
      </c>
      <c r="AQ18" s="41">
        <f>'Paiements Solde et retraits'!AQ324</f>
        <v>2971.5598116783863</v>
      </c>
      <c r="AR18" s="41">
        <f>'Paiements Solde et retraits'!AR324</f>
        <v>3073.5431796904959</v>
      </c>
      <c r="AS18" s="41">
        <f>'Paiements Solde et retraits'!AS324</f>
        <v>2999.4660195969532</v>
      </c>
      <c r="AT18" s="41">
        <f>'Paiements Solde et retraits'!AT324</f>
        <v>2883.386120906669</v>
      </c>
      <c r="AU18" s="41">
        <f>'Paiements Solde et retraits'!AU324</f>
        <v>3005.922011402708</v>
      </c>
      <c r="AV18" s="41">
        <f>'Paiements Solde et retraits'!AV324</f>
        <v>2932.370179059978</v>
      </c>
      <c r="AW18" s="41">
        <f>'Paiements Solde et retraits'!AW324</f>
        <v>3101.7959110236675</v>
      </c>
      <c r="AX18" s="41">
        <f>'Paiements Solde et retraits'!AX324</f>
        <v>3125.7642835612705</v>
      </c>
      <c r="AY18" s="41">
        <f>'Paiements Solde et retraits'!AY324</f>
        <v>2843.2625987411629</v>
      </c>
      <c r="AZ18" s="41">
        <f>'Paiements Solde et retraits'!AZ324</f>
        <v>3232.6662445466295</v>
      </c>
      <c r="BA18" s="41">
        <f>'Paiements Solde et retraits'!BA324</f>
        <v>3180.3463937360707</v>
      </c>
      <c r="BB18" s="41">
        <f>'Paiements Solde et retraits'!BB324</f>
        <v>3354.1950687878939</v>
      </c>
      <c r="BC18" s="41">
        <f>'Paiements Solde et retraits'!BC324</f>
        <v>3277.8611936236161</v>
      </c>
      <c r="BD18" s="41">
        <f>'Paiements Solde et retraits'!BD324</f>
        <v>3386.7298151713449</v>
      </c>
      <c r="BE18" s="41">
        <f>'Paiements Solde et retraits'!BE324</f>
        <v>3306.1339574405451</v>
      </c>
      <c r="BF18" s="41">
        <f>'Paiements Solde et retraits'!BF324</f>
        <v>3178.15866922333</v>
      </c>
      <c r="BG18" s="41">
        <f>'Paiements Solde et retraits'!BG324</f>
        <v>3313.2201012896812</v>
      </c>
      <c r="BH18" s="41">
        <f>'Paiements Solde et retraits'!BH324</f>
        <v>3230.701173641341</v>
      </c>
      <c r="BI18" s="41">
        <f>'Paiements Solde et retraits'!BI324</f>
        <v>3415.7156524499615</v>
      </c>
    </row>
    <row r="19" spans="4:61" x14ac:dyDescent="0.35">
      <c r="E19" t="str">
        <f>'Paiements Solde et retraits'!E322</f>
        <v>Volumes-Paiement du solde-Projection</v>
      </c>
      <c r="J19" t="str">
        <f>'Paiements Solde et retraits'!J322</f>
        <v>Volume</v>
      </c>
      <c r="N19" s="41">
        <f>'Paiements Solde et retraits'!N322</f>
        <v>0</v>
      </c>
      <c r="O19" s="41">
        <f>'Paiements Solde et retraits'!O322</f>
        <v>0</v>
      </c>
      <c r="P19" s="41">
        <f>'Paiements Solde et retraits'!P322</f>
        <v>0</v>
      </c>
      <c r="Q19" s="41">
        <f>'Paiements Solde et retraits'!Q322</f>
        <v>0</v>
      </c>
      <c r="R19" s="41">
        <f>'Paiements Solde et retraits'!R322</f>
        <v>21</v>
      </c>
      <c r="S19" s="41">
        <f>'Paiements Solde et retraits'!S322</f>
        <v>486</v>
      </c>
      <c r="T19" s="41">
        <f>'Paiements Solde et retraits'!T322</f>
        <v>1328</v>
      </c>
      <c r="U19" s="41">
        <f>'Paiements Solde et retraits'!U322</f>
        <v>1620</v>
      </c>
      <c r="V19" s="41">
        <f>'Paiements Solde et retraits'!V322</f>
        <v>2404</v>
      </c>
      <c r="W19" s="41">
        <f>'Paiements Solde et retraits'!W322</f>
        <v>3558</v>
      </c>
      <c r="X19" s="41">
        <f>'Paiements Solde et retraits'!X322</f>
        <v>18930</v>
      </c>
      <c r="Y19" s="41">
        <f>'Paiements Solde et retraits'!Y322</f>
        <v>24201</v>
      </c>
      <c r="Z19" s="41">
        <f>'Paiements Solde et retraits'!Z322</f>
        <v>11896</v>
      </c>
      <c r="AA19" s="41">
        <f>'Paiements Solde et retraits'!AA322</f>
        <v>18436</v>
      </c>
      <c r="AB19" s="41">
        <f>'Paiements Solde et retraits'!AB322</f>
        <v>26308</v>
      </c>
      <c r="AC19" s="41">
        <f>'Paiements Solde et retraits'!AC322</f>
        <v>25819</v>
      </c>
      <c r="AD19" s="41">
        <f>'Paiements Solde et retraits'!AD322</f>
        <v>25351</v>
      </c>
      <c r="AE19" s="41">
        <f>'Paiements Solde et retraits'!AE322</f>
        <v>32358</v>
      </c>
      <c r="AF19" s="41">
        <f>'Paiements Solde et retraits'!AF322</f>
        <v>36220</v>
      </c>
      <c r="AG19" s="41">
        <f>'Paiements Solde et retraits'!AG322</f>
        <v>37185</v>
      </c>
      <c r="AH19" s="41">
        <f>'Paiements Solde et retraits'!AH322</f>
        <v>39041</v>
      </c>
      <c r="AI19" s="41">
        <f>'Paiements Solde et retraits'!AI322</f>
        <v>36356</v>
      </c>
      <c r="AJ19" s="41">
        <f>'Paiements Solde et retraits'!AJ322</f>
        <v>33503</v>
      </c>
      <c r="AK19" s="41">
        <f>'Paiements Solde et retraits'!AK322</f>
        <v>41862</v>
      </c>
      <c r="AL19" s="41">
        <f>'Paiements Solde et retraits'!AL322</f>
        <v>50874.42615728989</v>
      </c>
      <c r="AM19" s="41">
        <f>'Paiements Solde et retraits'!AM322</f>
        <v>47377.758857928959</v>
      </c>
      <c r="AN19" s="41">
        <f>'Paiements Solde et retraits'!AN322</f>
        <v>54689.238130470832</v>
      </c>
      <c r="AO19" s="41">
        <f>'Paiements Solde et retraits'!AO322</f>
        <v>54295.857322266689</v>
      </c>
      <c r="AP19" s="41">
        <f>'Paiements Solde et retraits'!AP322</f>
        <v>57633.841561419991</v>
      </c>
      <c r="AQ19" s="41">
        <f>'Paiements Solde et retraits'!AQ322</f>
        <v>56459.636421889329</v>
      </c>
      <c r="AR19" s="41">
        <f>'Paiements Solde et retraits'!AR322</f>
        <v>58397.320414119422</v>
      </c>
      <c r="AS19" s="41">
        <f>'Paiements Solde et retraits'!AS322</f>
        <v>56989.854372342103</v>
      </c>
      <c r="AT19" s="41">
        <f>'Paiements Solde et retraits'!AT322</f>
        <v>54784.336297226713</v>
      </c>
      <c r="AU19" s="41">
        <f>'Paiements Solde et retraits'!AU322</f>
        <v>57112.51821665145</v>
      </c>
      <c r="AV19" s="41">
        <f>'Paiements Solde et retraits'!AV322</f>
        <v>55715.033402139583</v>
      </c>
      <c r="AW19" s="41">
        <f>'Paiements Solde et retraits'!AW322</f>
        <v>58934.122309449682</v>
      </c>
      <c r="AX19" s="41">
        <f>'Paiements Solde et retraits'!AX322</f>
        <v>59389.521387664136</v>
      </c>
      <c r="AY19" s="41">
        <f>'Paiements Solde et retraits'!AY322</f>
        <v>54021.9893760821</v>
      </c>
      <c r="AZ19" s="41">
        <f>'Paiements Solde et retraits'!AZ322</f>
        <v>61420.658646385957</v>
      </c>
      <c r="BA19" s="41">
        <f>'Paiements Solde et retraits'!BA322</f>
        <v>60426.58148098534</v>
      </c>
      <c r="BB19" s="41">
        <f>'Paiements Solde et retraits'!BB322</f>
        <v>63729.706306969987</v>
      </c>
      <c r="BC19" s="41">
        <f>'Paiements Solde et retraits'!BC322</f>
        <v>62279.362678848709</v>
      </c>
      <c r="BD19" s="41">
        <f>'Paiements Solde et retraits'!BD322</f>
        <v>64347.866488255546</v>
      </c>
      <c r="BE19" s="41">
        <f>'Paiements Solde et retraits'!BE322</f>
        <v>62816.545191370358</v>
      </c>
      <c r="BF19" s="41">
        <f>'Paiements Solde et retraits'!BF322</f>
        <v>60385.014715243255</v>
      </c>
      <c r="BG19" s="41">
        <f>'Paiements Solde et retraits'!BG322</f>
        <v>62951.181924503922</v>
      </c>
      <c r="BH19" s="41">
        <f>'Paiements Solde et retraits'!BH322</f>
        <v>61383.322299185478</v>
      </c>
      <c r="BI19" s="41">
        <f>'Paiements Solde et retraits'!BI322</f>
        <v>64898.597396549259</v>
      </c>
    </row>
    <row r="20" spans="4:61" x14ac:dyDescent="0.35">
      <c r="E20" t="str">
        <f>'Paiements Solde et retraits'!E325</f>
        <v>Volume-Retrait total-Projection</v>
      </c>
      <c r="J20" t="str">
        <f>'Paiements Solde et retraits'!J325</f>
        <v>Volume</v>
      </c>
      <c r="N20" s="41">
        <f>'Paiements Solde et retraits'!N325</f>
        <v>0</v>
      </c>
      <c r="O20" s="41">
        <f>'Paiements Solde et retraits'!O325</f>
        <v>0</v>
      </c>
      <c r="P20" s="41">
        <f>'Paiements Solde et retraits'!P325</f>
        <v>0</v>
      </c>
      <c r="Q20" s="41">
        <f>'Paiements Solde et retraits'!Q325</f>
        <v>0</v>
      </c>
      <c r="R20" s="41">
        <f>'Paiements Solde et retraits'!R325</f>
        <v>0</v>
      </c>
      <c r="S20" s="41">
        <f>'Paiements Solde et retraits'!S325</f>
        <v>0</v>
      </c>
      <c r="T20" s="41">
        <f>'Paiements Solde et retraits'!T325</f>
        <v>2</v>
      </c>
      <c r="U20" s="41">
        <f>'Paiements Solde et retraits'!U325</f>
        <v>0</v>
      </c>
      <c r="V20" s="41">
        <f>'Paiements Solde et retraits'!V325</f>
        <v>0</v>
      </c>
      <c r="W20" s="41">
        <f>'Paiements Solde et retraits'!W325</f>
        <v>8</v>
      </c>
      <c r="X20" s="41">
        <f>'Paiements Solde et retraits'!X325</f>
        <v>9</v>
      </c>
      <c r="Y20" s="41">
        <f>'Paiements Solde et retraits'!Y325</f>
        <v>713</v>
      </c>
      <c r="Z20" s="41">
        <f>'Paiements Solde et retraits'!Z325</f>
        <v>38</v>
      </c>
      <c r="AA20" s="41">
        <f>'Paiements Solde et retraits'!AA325</f>
        <v>422</v>
      </c>
      <c r="AB20" s="41">
        <f>'Paiements Solde et retraits'!AB325</f>
        <v>136</v>
      </c>
      <c r="AC20" s="41">
        <f>'Paiements Solde et retraits'!AC325</f>
        <v>598</v>
      </c>
      <c r="AD20" s="41">
        <f>'Paiements Solde et retraits'!AD325</f>
        <v>383</v>
      </c>
      <c r="AE20" s="41">
        <f>'Paiements Solde et retraits'!AE325</f>
        <v>952</v>
      </c>
      <c r="AF20" s="41">
        <f>'Paiements Solde et retraits'!AF325</f>
        <v>1055</v>
      </c>
      <c r="AG20" s="41">
        <f>'Paiements Solde et retraits'!AG325</f>
        <v>1537</v>
      </c>
      <c r="AH20" s="41">
        <f>'Paiements Solde et retraits'!AH325</f>
        <v>1814</v>
      </c>
      <c r="AI20" s="41">
        <f>'Paiements Solde et retraits'!AI325</f>
        <v>2403</v>
      </c>
      <c r="AJ20" s="41">
        <f>'Paiements Solde et retraits'!AJ325</f>
        <v>3307</v>
      </c>
      <c r="AK20" s="41">
        <f>'Paiements Solde et retraits'!AK325</f>
        <v>1661</v>
      </c>
      <c r="AL20" s="41">
        <f>'Paiements Solde et retraits'!AL325</f>
        <v>2067.7840138730535</v>
      </c>
      <c r="AM20" s="41">
        <f>'Paiements Solde et retraits'!AM325</f>
        <v>1696.7625295295354</v>
      </c>
      <c r="AN20" s="41">
        <f>'Paiements Solde et retraits'!AN325</f>
        <v>1776.3978889520376</v>
      </c>
      <c r="AO20" s="41">
        <f>'Paiements Solde et retraits'!AO325</f>
        <v>1716.8962675943537</v>
      </c>
      <c r="AP20" s="41">
        <f>'Paiements Solde et retraits'!AP325</f>
        <v>1910.5390285739729</v>
      </c>
      <c r="AQ20" s="41">
        <f>'Paiements Solde et retraits'!AQ325</f>
        <v>2037.1065492857722</v>
      </c>
      <c r="AR20" s="41">
        <f>'Paiements Solde et retraits'!AR325</f>
        <v>2298.2703679867564</v>
      </c>
      <c r="AS20" s="41">
        <f>'Paiements Solde et retraits'!AS325</f>
        <v>2416.4405470790507</v>
      </c>
      <c r="AT20" s="41">
        <f>'Paiements Solde et retraits'!AT325</f>
        <v>2491.1069929357591</v>
      </c>
      <c r="AU20" s="41">
        <f>'Paiements Solde et retraits'!AU325</f>
        <v>2760.3757048188586</v>
      </c>
      <c r="AV20" s="41">
        <f>'Paiements Solde et retraits'!AV325</f>
        <v>2827.1467071905681</v>
      </c>
      <c r="AW20" s="41">
        <f>'Paiements Solde et retraits'!AW325</f>
        <v>3111.0134693924292</v>
      </c>
      <c r="AX20" s="41">
        <f>'Paiements Solde et retraits'!AX325</f>
        <v>2396.3600729081259</v>
      </c>
      <c r="AY20" s="41">
        <f>'Paiements Solde et retraits'!AY325</f>
        <v>1939.6939098739695</v>
      </c>
      <c r="AZ20" s="41">
        <f>'Paiements Solde et retraits'!AZ325</f>
        <v>2001.4011412184725</v>
      </c>
      <c r="BA20" s="41">
        <f>'Paiements Solde et retraits'!BA325</f>
        <v>1911.356422787971</v>
      </c>
      <c r="BB20" s="41">
        <f>'Paiements Solde et retraits'!BB325</f>
        <v>2112.2634995197</v>
      </c>
      <c r="BC20" s="41">
        <f>'Paiements Solde et retraits'!BC325</f>
        <v>2245.7246459847684</v>
      </c>
      <c r="BD20" s="41">
        <f>'Paiements Solde et retraits'!BD325</f>
        <v>2531.1944940377762</v>
      </c>
      <c r="BE20" s="41">
        <f>'Paiements Solde et retraits'!BE325</f>
        <v>2660.4995699037199</v>
      </c>
      <c r="BF20" s="41">
        <f>'Paiements Solde et retraits'!BF325</f>
        <v>2742.2325660992947</v>
      </c>
      <c r="BG20" s="41">
        <f>'Paiements Solde et retraits'!BG325</f>
        <v>3038.2218482988169</v>
      </c>
      <c r="BH20" s="41">
        <f>'Paiements Solde et retraits'!BH325</f>
        <v>3111.3380564340082</v>
      </c>
      <c r="BI20" s="41">
        <f>'Paiements Solde et retraits'!BI325</f>
        <v>3423.366615956078</v>
      </c>
    </row>
    <row r="21" spans="4:61" x14ac:dyDescent="0.35"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</row>
    <row r="22" spans="4:61" x14ac:dyDescent="0.35">
      <c r="E22" t="str">
        <f>'Paiements Solde et retraits'!E323</f>
        <v>Montant-Paiement du solde-Projection</v>
      </c>
      <c r="J22" t="str">
        <f>'Paiements Solde et retraits'!J323</f>
        <v>EUR</v>
      </c>
      <c r="N22" s="41">
        <f>'Paiements Solde et retraits'!N323</f>
        <v>0</v>
      </c>
      <c r="O22" s="41">
        <f>'Paiements Solde et retraits'!O323</f>
        <v>0</v>
      </c>
      <c r="P22" s="41">
        <f>'Paiements Solde et retraits'!P323</f>
        <v>0</v>
      </c>
      <c r="Q22" s="41">
        <f>'Paiements Solde et retraits'!Q323</f>
        <v>0</v>
      </c>
      <c r="R22" s="41">
        <f>'Paiements Solde et retraits'!R323</f>
        <v>44685</v>
      </c>
      <c r="S22" s="41">
        <f>'Paiements Solde et retraits'!S323</f>
        <v>988666</v>
      </c>
      <c r="T22" s="41">
        <f>'Paiements Solde et retraits'!T323</f>
        <v>2666424.33</v>
      </c>
      <c r="U22" s="41">
        <f>'Paiements Solde et retraits'!U323</f>
        <v>4061805.18</v>
      </c>
      <c r="V22" s="41">
        <f>'Paiements Solde et retraits'!V323</f>
        <v>5735487.3700000001</v>
      </c>
      <c r="W22" s="41">
        <f>'Paiements Solde et retraits'!W323</f>
        <v>8219430.8699999992</v>
      </c>
      <c r="X22" s="41">
        <f>'Paiements Solde et retraits'!X323</f>
        <v>54109248.850000001</v>
      </c>
      <c r="Y22" s="41">
        <f>'Paiements Solde et retraits'!Y323</f>
        <v>89012201.930000007</v>
      </c>
      <c r="Z22" s="41">
        <f>'Paiements Solde et retraits'!Z323</f>
        <v>55583454.609999999</v>
      </c>
      <c r="AA22" s="41">
        <f>'Paiements Solde et retraits'!AA323</f>
        <v>61614261.5</v>
      </c>
      <c r="AB22" s="41">
        <f>'Paiements Solde et retraits'!AB323</f>
        <v>77492797.739999995</v>
      </c>
      <c r="AC22" s="41">
        <f>'Paiements Solde et retraits'!AC323</f>
        <v>74397889.829999998</v>
      </c>
      <c r="AD22" s="41">
        <f>'Paiements Solde et retraits'!AD323</f>
        <v>66504607.289999999</v>
      </c>
      <c r="AE22" s="41">
        <f>'Paiements Solde et retraits'!AE323</f>
        <v>75983810.540000007</v>
      </c>
      <c r="AF22" s="41">
        <f>'Paiements Solde et retraits'!AF323</f>
        <v>100634064.84</v>
      </c>
      <c r="AG22" s="41">
        <f>'Paiements Solde et retraits'!AG323</f>
        <v>107300199.77</v>
      </c>
      <c r="AH22" s="41">
        <f>'Paiements Solde et retraits'!AH323</f>
        <v>117185658.33</v>
      </c>
      <c r="AI22" s="41">
        <f>'Paiements Solde et retraits'!AI323</f>
        <v>107755481.53</v>
      </c>
      <c r="AJ22" s="41">
        <f>'Paiements Solde et retraits'!AJ323</f>
        <v>100754852.08</v>
      </c>
      <c r="AK22" s="41">
        <f>'Paiements Solde et retraits'!AK323</f>
        <v>124269933.77</v>
      </c>
      <c r="AL22" s="41">
        <f>'Paiements Solde et retraits'!AL323</f>
        <v>159067071.4600448</v>
      </c>
      <c r="AM22" s="41">
        <f>'Paiements Solde et retraits'!AM323</f>
        <v>150516959.90326425</v>
      </c>
      <c r="AN22" s="41">
        <f>'Paiements Solde et retraits'!AN323</f>
        <v>176579138.47087181</v>
      </c>
      <c r="AO22" s="41">
        <f>'Paiements Solde et retraits'!AO323</f>
        <v>177571990.04623222</v>
      </c>
      <c r="AP22" s="41">
        <f>'Paiements Solde et retraits'!AP323</f>
        <v>189777565.71407464</v>
      </c>
      <c r="AQ22" s="41">
        <f>'Paiements Solde et retraits'!AQ323</f>
        <v>186364225.63462418</v>
      </c>
      <c r="AR22" s="41">
        <f>'Paiements Solde et retraits'!AR323</f>
        <v>192597256.44384262</v>
      </c>
      <c r="AS22" s="41">
        <f>'Paiements Solde et retraits'!AS323</f>
        <v>187580852.90264377</v>
      </c>
      <c r="AT22" s="41">
        <f>'Paiements Solde et retraits'!AT323</f>
        <v>179814063.48618349</v>
      </c>
      <c r="AU22" s="41">
        <f>'Paiements Solde et retraits'!AU323</f>
        <v>186952417.19965738</v>
      </c>
      <c r="AV22" s="41">
        <f>'Paiements Solde et retraits'!AV323</f>
        <v>181829669.68999392</v>
      </c>
      <c r="AW22" s="41">
        <f>'Paiements Solde et retraits'!AW323</f>
        <v>191713006.78743351</v>
      </c>
      <c r="AX22" s="41">
        <f>'Paiements Solde et retraits'!AX323</f>
        <v>193203266.05465394</v>
      </c>
      <c r="AY22" s="41">
        <f>'Paiements Solde et retraits'!AY323</f>
        <v>175983685.93713325</v>
      </c>
      <c r="AZ22" s="41">
        <f>'Paiements Solde et retraits'!AZ323</f>
        <v>200552300.28743276</v>
      </c>
      <c r="BA22" s="41">
        <f>'Paiements Solde et retraits'!BA323</f>
        <v>197843680.90923622</v>
      </c>
      <c r="BB22" s="41">
        <f>'Paiements Solde et retraits'!BB323</f>
        <v>209237113.72183108</v>
      </c>
      <c r="BC22" s="41">
        <f>'Paiements Solde et retraits'!BC323</f>
        <v>204985449.97613019</v>
      </c>
      <c r="BD22" s="41">
        <f>'Paiements Solde et retraits'!BD323</f>
        <v>212242793.264671</v>
      </c>
      <c r="BE22" s="41">
        <f>'Paiements Solde et retraits'!BE323</f>
        <v>207554743.2470682</v>
      </c>
      <c r="BF22" s="41">
        <f>'Paiements Solde et retraits'!BF323</f>
        <v>199867534.14435929</v>
      </c>
      <c r="BG22" s="41">
        <f>'Paiements Solde et retraits'!BG323</f>
        <v>208701568.69994476</v>
      </c>
      <c r="BH22" s="41">
        <f>'Paiements Solde et retraits'!BH323</f>
        <v>203790546.0678497</v>
      </c>
      <c r="BI22" s="41">
        <f>'Paiements Solde et retraits'!BI323</f>
        <v>215724170.03626588</v>
      </c>
    </row>
    <row r="23" spans="4:61" ht="15" thickBot="1" x14ac:dyDescent="0.4">
      <c r="E23" s="33" t="str">
        <f>Avances!E215</f>
        <v>Montant-Paiement de l'avance-Projection</v>
      </c>
      <c r="F23" s="33"/>
      <c r="G23" s="33"/>
      <c r="H23" s="33"/>
      <c r="I23" s="33"/>
      <c r="J23" s="33" t="str">
        <f>Avances!J215</f>
        <v>EUR</v>
      </c>
      <c r="K23" s="33"/>
      <c r="L23" s="33"/>
      <c r="M23" s="33"/>
      <c r="N23" s="96">
        <f>Avances!N215</f>
        <v>0</v>
      </c>
      <c r="O23" s="96">
        <f>Avances!O215</f>
        <v>0</v>
      </c>
      <c r="P23" s="96">
        <f>Avances!P215</f>
        <v>0</v>
      </c>
      <c r="Q23" s="96">
        <f>Avances!Q215</f>
        <v>0</v>
      </c>
      <c r="R23" s="96">
        <f>Avances!R215</f>
        <v>0</v>
      </c>
      <c r="S23" s="96">
        <f>Avances!S215</f>
        <v>0</v>
      </c>
      <c r="T23" s="96">
        <f>Avances!T215</f>
        <v>0</v>
      </c>
      <c r="U23" s="96">
        <f>Avances!U215</f>
        <v>14559.87</v>
      </c>
      <c r="V23" s="96">
        <f>Avances!V215</f>
        <v>148309.84</v>
      </c>
      <c r="W23" s="96">
        <f>Avances!W215</f>
        <v>890807.46</v>
      </c>
      <c r="X23" s="96">
        <f>Avances!X215</f>
        <v>234430.93</v>
      </c>
      <c r="Y23" s="96">
        <f>Avances!Y215</f>
        <v>2315794.2000000002</v>
      </c>
      <c r="Z23" s="96">
        <f>Avances!Z215</f>
        <v>2375652.29</v>
      </c>
      <c r="AA23" s="96">
        <f>Avances!AA215</f>
        <v>1888569.45</v>
      </c>
      <c r="AB23" s="96">
        <f>Avances!AB215</f>
        <v>1044032.1399999999</v>
      </c>
      <c r="AC23" s="96">
        <f>Avances!AC215</f>
        <v>1134493.48</v>
      </c>
      <c r="AD23" s="96">
        <f>Avances!AD215</f>
        <v>1147931.47</v>
      </c>
      <c r="AE23" s="96">
        <f>Avances!AE215</f>
        <v>838255.64</v>
      </c>
      <c r="AF23" s="96">
        <f>Avances!AF215</f>
        <v>1314362.21</v>
      </c>
      <c r="AG23" s="96">
        <f>Avances!AG215</f>
        <v>1063650.3399999999</v>
      </c>
      <c r="AH23" s="96">
        <f>Avances!AH215</f>
        <v>1326775.6399999999</v>
      </c>
      <c r="AI23" s="96">
        <f>Avances!AI215</f>
        <v>1348086.03</v>
      </c>
      <c r="AJ23" s="96">
        <f>Avances!AJ215</f>
        <v>967246.41</v>
      </c>
      <c r="AK23" s="96">
        <f>Avances!AK215</f>
        <v>1934359.77</v>
      </c>
      <c r="AL23" s="96">
        <f>Avances!AL215</f>
        <v>773979.87319071963</v>
      </c>
      <c r="AM23" s="96">
        <f>Avances!AM215</f>
        <v>816924.97757205111</v>
      </c>
      <c r="AN23" s="96">
        <f>Avances!AN215</f>
        <v>768033.22710850392</v>
      </c>
      <c r="AO23" s="96">
        <f>Avances!AO215</f>
        <v>746334.52180678945</v>
      </c>
      <c r="AP23" s="96">
        <f>Avances!AP215</f>
        <v>842746.0689498398</v>
      </c>
      <c r="AQ23" s="96">
        <f>Avances!AQ215</f>
        <v>805399.78939779801</v>
      </c>
      <c r="AR23" s="96">
        <f>Avances!AR215</f>
        <v>830195.09692507039</v>
      </c>
      <c r="AS23" s="96">
        <f>Avances!AS215</f>
        <v>788216.52635939815</v>
      </c>
      <c r="AT23" s="96">
        <f>Avances!AT215</f>
        <v>686097.17838237528</v>
      </c>
      <c r="AU23" s="96">
        <f>Avances!AU215</f>
        <v>576376.55074755475</v>
      </c>
      <c r="AV23" s="96">
        <f>Avances!AV215</f>
        <v>653625.88523822324</v>
      </c>
      <c r="AW23" s="96">
        <f>Avances!AW215</f>
        <v>780114.72573726426</v>
      </c>
      <c r="AX23" s="96">
        <f>Avances!AX215</f>
        <v>820280.43500156479</v>
      </c>
      <c r="AY23" s="96">
        <f>Avances!AY215</f>
        <v>813610.07326757628</v>
      </c>
      <c r="AZ23" s="96">
        <f>Avances!AZ215</f>
        <v>825948.44466856192</v>
      </c>
      <c r="BA23" s="96">
        <f>Avances!BA215</f>
        <v>834688.39944637311</v>
      </c>
      <c r="BB23" s="96">
        <f>Avances!BB215</f>
        <v>953070.52620964602</v>
      </c>
      <c r="BC23" s="96">
        <f>Avances!BC215</f>
        <v>912429.67286190216</v>
      </c>
      <c r="BD23" s="96">
        <f>Avances!BD215</f>
        <v>940608.11207834224</v>
      </c>
      <c r="BE23" s="96">
        <f>Avances!BE215</f>
        <v>893049.29074344435</v>
      </c>
      <c r="BF23" s="96">
        <f>Avances!BF215</f>
        <v>777348.10294065916</v>
      </c>
      <c r="BG23" s="96">
        <f>Avances!BG215</f>
        <v>653034.63199660252</v>
      </c>
      <c r="BH23" s="96">
        <f>Avances!BH215</f>
        <v>740558.1279749067</v>
      </c>
      <c r="BI23" s="96">
        <f>Avances!BI215</f>
        <v>883869.98426032066</v>
      </c>
    </row>
    <row r="24" spans="4:61" ht="15" thickTop="1" x14ac:dyDescent="0.35">
      <c r="E24" t="str">
        <f>Paramétrage_général!I40</f>
        <v>CP</v>
      </c>
      <c r="J24" t="s">
        <v>51</v>
      </c>
      <c r="N24" s="41">
        <f>N22+N23</f>
        <v>0</v>
      </c>
      <c r="O24" s="41">
        <f t="shared" ref="O24:BI24" si="1">O22+O23</f>
        <v>0</v>
      </c>
      <c r="P24" s="41">
        <f t="shared" si="1"/>
        <v>0</v>
      </c>
      <c r="Q24" s="41">
        <f t="shared" si="1"/>
        <v>0</v>
      </c>
      <c r="R24" s="41">
        <f t="shared" si="1"/>
        <v>44685</v>
      </c>
      <c r="S24" s="41">
        <f t="shared" si="1"/>
        <v>988666</v>
      </c>
      <c r="T24" s="41">
        <f t="shared" si="1"/>
        <v>2666424.33</v>
      </c>
      <c r="U24" s="41">
        <f t="shared" si="1"/>
        <v>4076365.0500000003</v>
      </c>
      <c r="V24" s="41">
        <f t="shared" si="1"/>
        <v>5883797.21</v>
      </c>
      <c r="W24" s="41">
        <f t="shared" si="1"/>
        <v>9110238.3299999982</v>
      </c>
      <c r="X24" s="41">
        <f t="shared" si="1"/>
        <v>54343679.780000001</v>
      </c>
      <c r="Y24" s="41">
        <f t="shared" si="1"/>
        <v>91327996.13000001</v>
      </c>
      <c r="Z24" s="41">
        <f t="shared" si="1"/>
        <v>57959106.899999999</v>
      </c>
      <c r="AA24" s="41">
        <f t="shared" si="1"/>
        <v>63502830.950000003</v>
      </c>
      <c r="AB24" s="41">
        <f t="shared" si="1"/>
        <v>78536829.879999995</v>
      </c>
      <c r="AC24" s="41">
        <f t="shared" si="1"/>
        <v>75532383.310000002</v>
      </c>
      <c r="AD24" s="41">
        <f t="shared" si="1"/>
        <v>67652538.760000005</v>
      </c>
      <c r="AE24" s="41">
        <f t="shared" si="1"/>
        <v>76822066.180000007</v>
      </c>
      <c r="AF24" s="41">
        <f t="shared" si="1"/>
        <v>101948427.05</v>
      </c>
      <c r="AG24" s="41">
        <f t="shared" si="1"/>
        <v>108363850.11</v>
      </c>
      <c r="AH24" s="41">
        <f t="shared" si="1"/>
        <v>118512433.97</v>
      </c>
      <c r="AI24" s="41">
        <f t="shared" si="1"/>
        <v>109103567.56</v>
      </c>
      <c r="AJ24" s="41">
        <f t="shared" si="1"/>
        <v>101722098.48999999</v>
      </c>
      <c r="AK24" s="41">
        <f t="shared" si="1"/>
        <v>126204293.53999999</v>
      </c>
      <c r="AL24" s="41">
        <f t="shared" si="1"/>
        <v>159841051.33323553</v>
      </c>
      <c r="AM24" s="41">
        <f t="shared" si="1"/>
        <v>151333884.88083631</v>
      </c>
      <c r="AN24" s="41">
        <f t="shared" si="1"/>
        <v>177347171.69798031</v>
      </c>
      <c r="AO24" s="41">
        <f t="shared" si="1"/>
        <v>178318324.568039</v>
      </c>
      <c r="AP24" s="41">
        <f t="shared" si="1"/>
        <v>190620311.78302449</v>
      </c>
      <c r="AQ24" s="41">
        <f t="shared" si="1"/>
        <v>187169625.42402199</v>
      </c>
      <c r="AR24" s="41">
        <f t="shared" si="1"/>
        <v>193427451.5407677</v>
      </c>
      <c r="AS24" s="41">
        <f t="shared" si="1"/>
        <v>188369069.42900318</v>
      </c>
      <c r="AT24" s="41">
        <f t="shared" si="1"/>
        <v>180500160.66456586</v>
      </c>
      <c r="AU24" s="41">
        <f t="shared" si="1"/>
        <v>187528793.75040492</v>
      </c>
      <c r="AV24" s="41">
        <f t="shared" si="1"/>
        <v>182483295.57523215</v>
      </c>
      <c r="AW24" s="41">
        <f t="shared" si="1"/>
        <v>192493121.51317078</v>
      </c>
      <c r="AX24" s="41">
        <f t="shared" si="1"/>
        <v>194023546.48965549</v>
      </c>
      <c r="AY24" s="41">
        <f t="shared" si="1"/>
        <v>176797296.01040083</v>
      </c>
      <c r="AZ24" s="41">
        <f t="shared" si="1"/>
        <v>201378248.73210132</v>
      </c>
      <c r="BA24" s="41">
        <f t="shared" si="1"/>
        <v>198678369.30868259</v>
      </c>
      <c r="BB24" s="41">
        <f t="shared" si="1"/>
        <v>210190184.24804074</v>
      </c>
      <c r="BC24" s="41">
        <f t="shared" si="1"/>
        <v>205897879.64899209</v>
      </c>
      <c r="BD24" s="41">
        <f t="shared" si="1"/>
        <v>213183401.37674934</v>
      </c>
      <c r="BE24" s="41">
        <f t="shared" si="1"/>
        <v>208447792.53781164</v>
      </c>
      <c r="BF24" s="41">
        <f t="shared" si="1"/>
        <v>200644882.24729994</v>
      </c>
      <c r="BG24" s="41">
        <f t="shared" si="1"/>
        <v>209354603.33194137</v>
      </c>
      <c r="BH24" s="41">
        <f t="shared" si="1"/>
        <v>204531104.19582459</v>
      </c>
      <c r="BI24" s="41">
        <f t="shared" si="1"/>
        <v>216608040.0205262</v>
      </c>
    </row>
    <row r="26" spans="4:61" hidden="1" outlineLevel="1" x14ac:dyDescent="0.35"/>
    <row r="27" spans="4:61" hidden="1" outlineLevel="1" x14ac:dyDescent="0.35">
      <c r="E27" s="1" t="s">
        <v>181</v>
      </c>
    </row>
    <row r="28" spans="4:61" hidden="1" outlineLevel="1" x14ac:dyDescent="0.35">
      <c r="E28" t="s">
        <v>184</v>
      </c>
      <c r="J28" t="s">
        <v>187</v>
      </c>
      <c r="M28" s="1">
        <f t="shared" ref="M28:M30" si="2">SUM(N28:BI28)</f>
        <v>0</v>
      </c>
      <c r="N28">
        <f>((SUM($N8:N8)-SUM($N10:N10))&lt;0)*1</f>
        <v>0</v>
      </c>
      <c r="O28">
        <f>((SUM($N8:O8)-SUM($N10:O10))&lt;0)*1</f>
        <v>0</v>
      </c>
      <c r="P28">
        <f>((SUM($N8:P8)-SUM($N10:P10))&lt;0)*1</f>
        <v>0</v>
      </c>
      <c r="Q28">
        <f>((SUM($N8:Q8)-SUM($N10:Q10))&lt;0)*1</f>
        <v>0</v>
      </c>
      <c r="R28">
        <f>((SUM($N8:R8)-SUM($N10:R10))&lt;0)*1</f>
        <v>0</v>
      </c>
      <c r="S28">
        <f>((SUM($N8:S8)-SUM($N10:S10))&lt;0)*1</f>
        <v>0</v>
      </c>
      <c r="T28">
        <f>((SUM($N8:T8)-SUM($N10:T10))&lt;0)*1</f>
        <v>0</v>
      </c>
      <c r="U28">
        <f>((SUM($N8:U8)-SUM($N10:U10))&lt;0)*1</f>
        <v>0</v>
      </c>
      <c r="V28">
        <f>((SUM($N8:V8)-SUM($N10:V10))&lt;0)*1</f>
        <v>0</v>
      </c>
      <c r="W28">
        <f>((SUM($N8:W8)-SUM($N10:W10))&lt;0)*1</f>
        <v>0</v>
      </c>
      <c r="X28">
        <f>((SUM($N8:X8)-SUM($N10:X10))&lt;0)*1</f>
        <v>0</v>
      </c>
      <c r="Y28">
        <f>((SUM($N8:Y8)-SUM($N10:Y10))&lt;0)*1</f>
        <v>0</v>
      </c>
      <c r="Z28">
        <f>((SUM($N8:Z8)-SUM($N10:Z10))&lt;0)*1</f>
        <v>0</v>
      </c>
      <c r="AA28">
        <f>((SUM($N8:AA8)-SUM($N10:AA10))&lt;0)*1</f>
        <v>0</v>
      </c>
      <c r="AB28">
        <f>((SUM($N8:AB8)-SUM($N10:AB10))&lt;0)*1</f>
        <v>0</v>
      </c>
      <c r="AC28">
        <f>((SUM($N8:AC8)-SUM($N10:AC10))&lt;0)*1</f>
        <v>0</v>
      </c>
      <c r="AD28">
        <f>((SUM($N8:AD8)-SUM($N10:AD10))&lt;0)*1</f>
        <v>0</v>
      </c>
      <c r="AE28">
        <f>((SUM($N8:AE8)-SUM($N10:AE10))&lt;0)*1</f>
        <v>0</v>
      </c>
      <c r="AF28">
        <f>((SUM($N8:AF8)-SUM($N10:AF10))&lt;0)*1</f>
        <v>0</v>
      </c>
      <c r="AG28">
        <f>((SUM($N8:AG8)-SUM($N10:AG10))&lt;0)*1</f>
        <v>0</v>
      </c>
      <c r="AH28">
        <f>((SUM($N8:AH8)-SUM($N10:AH10))&lt;0)*1</f>
        <v>0</v>
      </c>
      <c r="AI28">
        <f>((SUM($N8:AI8)-SUM($N10:AI10))&lt;0)*1</f>
        <v>0</v>
      </c>
      <c r="AJ28">
        <f>((SUM($N8:AJ8)-SUM($N10:AJ10))&lt;0)*1</f>
        <v>0</v>
      </c>
      <c r="AK28">
        <f>((SUM($N8:AK8)-SUM($N10:AK10))&lt;0)*1</f>
        <v>0</v>
      </c>
      <c r="AL28">
        <f>((SUM($N8:AL8)-SUM($N10:AL10))&lt;0)*1</f>
        <v>0</v>
      </c>
      <c r="AM28">
        <f>((SUM($N8:AM8)-SUM($N10:AM10))&lt;0)*1</f>
        <v>0</v>
      </c>
      <c r="AN28">
        <f>((SUM($N8:AN8)-SUM($N10:AN10))&lt;0)*1</f>
        <v>0</v>
      </c>
      <c r="AO28">
        <f>((SUM($N8:AO8)-SUM($N10:AO10))&lt;0)*1</f>
        <v>0</v>
      </c>
      <c r="AP28">
        <f>((SUM($N8:AP8)-SUM($N10:AP10))&lt;0)*1</f>
        <v>0</v>
      </c>
      <c r="AQ28">
        <f>((SUM($N8:AQ8)-SUM($N10:AQ10))&lt;0)*1</f>
        <v>0</v>
      </c>
      <c r="AR28">
        <f>((SUM($N8:AR8)-SUM($N10:AR10))&lt;0)*1</f>
        <v>0</v>
      </c>
      <c r="AS28">
        <f>((SUM($N8:AS8)-SUM($N10:AS10))&lt;0)*1</f>
        <v>0</v>
      </c>
      <c r="AT28">
        <f>((SUM($N8:AT8)-SUM($N10:AT10))&lt;0)*1</f>
        <v>0</v>
      </c>
      <c r="AU28">
        <f>((SUM($N8:AU8)-SUM($N10:AU10))&lt;0)*1</f>
        <v>0</v>
      </c>
      <c r="AV28">
        <f>((SUM($N8:AV8)-SUM($N10:AV10))&lt;0)*1</f>
        <v>0</v>
      </c>
      <c r="AW28">
        <f>((SUM($N8:AW8)-SUM($N10:AW10))&lt;0)*1</f>
        <v>0</v>
      </c>
      <c r="AX28">
        <f>((SUM($N8:AX8)-SUM($N10:AX10))&lt;0)*1</f>
        <v>0</v>
      </c>
      <c r="AY28">
        <f>((SUM($N8:AY8)-SUM($N10:AY10))&lt;0)*1</f>
        <v>0</v>
      </c>
      <c r="AZ28">
        <f>((SUM($N8:AZ8)-SUM($N10:AZ10))&lt;0)*1</f>
        <v>0</v>
      </c>
      <c r="BA28">
        <f>((SUM($N8:BA8)-SUM($N10:BA10))&lt;0)*1</f>
        <v>0</v>
      </c>
      <c r="BB28">
        <f>((SUM($N8:BB8)-SUM($N10:BB10))&lt;0)*1</f>
        <v>0</v>
      </c>
      <c r="BC28">
        <f>((SUM($N8:BC8)-SUM($N10:BC10))&lt;0)*1</f>
        <v>0</v>
      </c>
      <c r="BD28">
        <f>((SUM($N8:BD8)-SUM($N10:BD10))&lt;0)*1</f>
        <v>0</v>
      </c>
      <c r="BE28">
        <f>((SUM($N8:BE8)-SUM($N10:BE10))&lt;0)*1</f>
        <v>0</v>
      </c>
      <c r="BF28">
        <f>((SUM($N8:BF8)-SUM($N10:BF10))&lt;0)*1</f>
        <v>0</v>
      </c>
      <c r="BG28">
        <f>((SUM($N8:BG8)-SUM($N10:BG10))&lt;0)*1</f>
        <v>0</v>
      </c>
      <c r="BH28">
        <f>((SUM($N8:BH8)-SUM($N10:BH10))&lt;0)*1</f>
        <v>0</v>
      </c>
      <c r="BI28">
        <f>((SUM($N8:BI8)-SUM($N10:BI10))&lt;0)*1</f>
        <v>0</v>
      </c>
    </row>
    <row r="29" spans="4:61" hidden="1" outlineLevel="1" x14ac:dyDescent="0.35">
      <c r="E29" t="s">
        <v>185</v>
      </c>
      <c r="J29" t="s">
        <v>187</v>
      </c>
      <c r="M29" s="1">
        <f t="shared" si="2"/>
        <v>0</v>
      </c>
      <c r="N29">
        <f>((SUM($N10:N10)-SUM($N17:N17))&lt;0)*1</f>
        <v>0</v>
      </c>
      <c r="O29">
        <f>((SUM($N10:O10)-SUM($N17:O17))&lt;0)*1</f>
        <v>0</v>
      </c>
      <c r="P29">
        <f>((SUM($N10:P10)-SUM($N17:P17))&lt;0)*1</f>
        <v>0</v>
      </c>
      <c r="Q29">
        <f>((SUM($N10:Q10)-SUM($N17:Q17))&lt;0)*1</f>
        <v>0</v>
      </c>
      <c r="R29">
        <f>((SUM($N10:R10)-SUM($N17:R17))&lt;0)*1</f>
        <v>0</v>
      </c>
      <c r="S29">
        <f>((SUM($N10:S10)-SUM($N17:S17))&lt;0)*1</f>
        <v>0</v>
      </c>
      <c r="T29">
        <f>((SUM($N10:T10)-SUM($N17:T17))&lt;0)*1</f>
        <v>0</v>
      </c>
      <c r="U29">
        <f>((SUM($N10:U10)-SUM($N17:U17))&lt;0)*1</f>
        <v>0</v>
      </c>
      <c r="V29">
        <f>((SUM($N10:V10)-SUM($N17:V17))&lt;0)*1</f>
        <v>0</v>
      </c>
      <c r="W29">
        <f>((SUM($N10:W10)-SUM($N17:W17))&lt;0)*1</f>
        <v>0</v>
      </c>
      <c r="X29">
        <f>((SUM($N10:X10)-SUM($N17:X17))&lt;0)*1</f>
        <v>0</v>
      </c>
      <c r="Y29">
        <f>((SUM($N10:Y10)-SUM($N17:Y17))&lt;0)*1</f>
        <v>0</v>
      </c>
      <c r="Z29">
        <f>((SUM($N10:Z10)-SUM($N17:Z17))&lt;0)*1</f>
        <v>0</v>
      </c>
      <c r="AA29">
        <f>((SUM($N10:AA10)-SUM($N17:AA17))&lt;0)*1</f>
        <v>0</v>
      </c>
      <c r="AB29">
        <f>((SUM($N10:AB10)-SUM($N17:AB17))&lt;0)*1</f>
        <v>0</v>
      </c>
      <c r="AC29">
        <f>((SUM($N10:AC10)-SUM($N17:AC17))&lt;0)*1</f>
        <v>0</v>
      </c>
      <c r="AD29">
        <f>((SUM($N10:AD10)-SUM($N17:AD17))&lt;0)*1</f>
        <v>0</v>
      </c>
      <c r="AE29">
        <f>((SUM($N10:AE10)-SUM($N17:AE17))&lt;0)*1</f>
        <v>0</v>
      </c>
      <c r="AF29">
        <f>((SUM($N10:AF10)-SUM($N17:AF17))&lt;0)*1</f>
        <v>0</v>
      </c>
      <c r="AG29">
        <f>((SUM($N10:AG10)-SUM($N17:AG17))&lt;0)*1</f>
        <v>0</v>
      </c>
      <c r="AH29">
        <f>((SUM($N10:AH10)-SUM($N17:AH17))&lt;0)*1</f>
        <v>0</v>
      </c>
      <c r="AI29">
        <f>((SUM($N10:AI10)-SUM($N17:AI17))&lt;0)*1</f>
        <v>0</v>
      </c>
      <c r="AJ29">
        <f>((SUM($N10:AJ10)-SUM($N17:AJ17))&lt;0)*1</f>
        <v>0</v>
      </c>
      <c r="AK29">
        <f>((SUM($N10:AK10)-SUM($N17:AK17))&lt;0)*1</f>
        <v>0</v>
      </c>
      <c r="AL29">
        <f>((SUM($N10:AL10)-SUM($N17:AL17))&lt;0)*1</f>
        <v>0</v>
      </c>
      <c r="AM29">
        <f>((SUM($N10:AM10)-SUM($N17:AM17))&lt;0)*1</f>
        <v>0</v>
      </c>
      <c r="AN29">
        <f>((SUM($N10:AN10)-SUM($N17:AN17))&lt;0)*1</f>
        <v>0</v>
      </c>
      <c r="AO29">
        <f>((SUM($N10:AO10)-SUM($N17:AO17))&lt;0)*1</f>
        <v>0</v>
      </c>
      <c r="AP29">
        <f>((SUM($N10:AP10)-SUM($N17:AP17))&lt;0)*1</f>
        <v>0</v>
      </c>
      <c r="AQ29">
        <f>((SUM($N10:AQ10)-SUM($N17:AQ17))&lt;0)*1</f>
        <v>0</v>
      </c>
      <c r="AR29">
        <f>((SUM($N10:AR10)-SUM($N17:AR17))&lt;0)*1</f>
        <v>0</v>
      </c>
      <c r="AS29">
        <f>((SUM($N10:AS10)-SUM($N17:AS17))&lt;0)*1</f>
        <v>0</v>
      </c>
      <c r="AT29">
        <f>((SUM($N10:AT10)-SUM($N17:AT17))&lt;0)*1</f>
        <v>0</v>
      </c>
      <c r="AU29">
        <f>((SUM($N10:AU10)-SUM($N17:AU17))&lt;0)*1</f>
        <v>0</v>
      </c>
      <c r="AV29">
        <f>((SUM($N10:AV10)-SUM($N17:AV17))&lt;0)*1</f>
        <v>0</v>
      </c>
      <c r="AW29">
        <f>((SUM($N10:AW10)-SUM($N17:AW17))&lt;0)*1</f>
        <v>0</v>
      </c>
      <c r="AX29">
        <f>((SUM($N10:AX10)-SUM($N17:AX17))&lt;0)*1</f>
        <v>0</v>
      </c>
      <c r="AY29">
        <f>((SUM($N10:AY10)-SUM($N17:AY17))&lt;0)*1</f>
        <v>0</v>
      </c>
      <c r="AZ29">
        <f>((SUM($N10:AZ10)-SUM($N17:AZ17))&lt;0)*1</f>
        <v>0</v>
      </c>
      <c r="BA29">
        <f>((SUM($N10:BA10)-SUM($N17:BA17))&lt;0)*1</f>
        <v>0</v>
      </c>
      <c r="BB29">
        <f>((SUM($N10:BB10)-SUM($N17:BB17))&lt;0)*1</f>
        <v>0</v>
      </c>
      <c r="BC29">
        <f>((SUM($N10:BC10)-SUM($N17:BC17))&lt;0)*1</f>
        <v>0</v>
      </c>
      <c r="BD29">
        <f>((SUM($N10:BD10)-SUM($N17:BD17))&lt;0)*1</f>
        <v>0</v>
      </c>
      <c r="BE29">
        <f>((SUM($N10:BE10)-SUM($N17:BE17))&lt;0)*1</f>
        <v>0</v>
      </c>
      <c r="BF29">
        <f>((SUM($N10:BF10)-SUM($N17:BF17))&lt;0)*1</f>
        <v>0</v>
      </c>
      <c r="BG29">
        <f>((SUM($N10:BG10)-SUM($N17:BG17))&lt;0)*1</f>
        <v>0</v>
      </c>
      <c r="BH29">
        <f>((SUM($N10:BH10)-SUM($N17:BH17))&lt;0)*1</f>
        <v>0</v>
      </c>
      <c r="BI29">
        <f>((SUM($N10:BI10)-SUM($N17:BI17))&lt;0)*1</f>
        <v>0</v>
      </c>
    </row>
    <row r="30" spans="4:61" hidden="1" outlineLevel="1" x14ac:dyDescent="0.35">
      <c r="E30" t="s">
        <v>186</v>
      </c>
      <c r="J30" t="s">
        <v>187</v>
      </c>
      <c r="M30" s="1">
        <f t="shared" si="2"/>
        <v>0</v>
      </c>
      <c r="N30">
        <f>((SUM($N17:N17)-SUM($N19:N19))&lt;0)*1</f>
        <v>0</v>
      </c>
      <c r="O30">
        <f>((SUM($N17:O17)-SUM($N19:O19))&lt;0)*1</f>
        <v>0</v>
      </c>
      <c r="P30">
        <f>((SUM($N17:P17)-SUM($N19:P19))&lt;0)*1</f>
        <v>0</v>
      </c>
      <c r="Q30">
        <f>((SUM($N17:Q17)-SUM($N19:Q19))&lt;0)*1</f>
        <v>0</v>
      </c>
      <c r="R30">
        <f>((SUM($N17:R17)-SUM($N19:R19))&lt;0)*1</f>
        <v>0</v>
      </c>
      <c r="S30">
        <f>((SUM($N17:S17)-SUM($N19:S19))&lt;0)*1</f>
        <v>0</v>
      </c>
      <c r="T30">
        <f>((SUM($N17:T17)-SUM($N19:T19))&lt;0)*1</f>
        <v>0</v>
      </c>
      <c r="U30">
        <f>((SUM($N17:U17)-SUM($N19:U19))&lt;0)*1</f>
        <v>0</v>
      </c>
      <c r="V30">
        <f>((SUM($N17:V17)-SUM($N19:V19))&lt;0)*1</f>
        <v>0</v>
      </c>
      <c r="W30">
        <f>((SUM($N17:W17)-SUM($N19:W19))&lt;0)*1</f>
        <v>0</v>
      </c>
      <c r="X30">
        <f>((SUM($N17:X17)-SUM($N19:X19))&lt;0)*1</f>
        <v>0</v>
      </c>
      <c r="Y30">
        <f>((SUM($N17:Y17)-SUM($N19:Y19))&lt;0)*1</f>
        <v>0</v>
      </c>
      <c r="Z30">
        <f>((SUM($N17:Z17)-SUM($N19:Z19))&lt;0)*1</f>
        <v>0</v>
      </c>
      <c r="AA30">
        <f>((SUM($N17:AA17)-SUM($N19:AA19))&lt;0)*1</f>
        <v>0</v>
      </c>
      <c r="AB30">
        <f>((SUM($N17:AB17)-SUM($N19:AB19))&lt;0)*1</f>
        <v>0</v>
      </c>
      <c r="AC30">
        <f>((SUM($N17:AC17)-SUM($N19:AC19))&lt;0)*1</f>
        <v>0</v>
      </c>
      <c r="AD30">
        <f>((SUM($N17:AD17)-SUM($N19:AD19))&lt;0)*1</f>
        <v>0</v>
      </c>
      <c r="AE30">
        <f>((SUM($N17:AE17)-SUM($N19:AE19))&lt;0)*1</f>
        <v>0</v>
      </c>
      <c r="AF30">
        <f>((SUM($N17:AF17)-SUM($N19:AF19))&lt;0)*1</f>
        <v>0</v>
      </c>
      <c r="AG30">
        <f>((SUM($N17:AG17)-SUM($N19:AG19))&lt;0)*1</f>
        <v>0</v>
      </c>
      <c r="AH30">
        <f>((SUM($N17:AH17)-SUM($N19:AH19))&lt;0)*1</f>
        <v>0</v>
      </c>
      <c r="AI30">
        <f>((SUM($N17:AI17)-SUM($N19:AI19))&lt;0)*1</f>
        <v>0</v>
      </c>
      <c r="AJ30">
        <f>((SUM($N17:AJ17)-SUM($N19:AJ19))&lt;0)*1</f>
        <v>0</v>
      </c>
      <c r="AK30">
        <f>((SUM($N17:AK17)-SUM($N19:AK19))&lt;0)*1</f>
        <v>0</v>
      </c>
      <c r="AL30">
        <f>((SUM($N17:AL17)-SUM($N19:AL19))&lt;0)*1</f>
        <v>0</v>
      </c>
      <c r="AM30">
        <f>((SUM($N17:AM17)-SUM($N19:AM19))&lt;0)*1</f>
        <v>0</v>
      </c>
      <c r="AN30">
        <f>((SUM($N17:AN17)-SUM($N19:AN19))&lt;0)*1</f>
        <v>0</v>
      </c>
      <c r="AO30">
        <f>((SUM($N17:AO17)-SUM($N19:AO19))&lt;0)*1</f>
        <v>0</v>
      </c>
      <c r="AP30">
        <f>((SUM($N17:AP17)-SUM($N19:AP19))&lt;0)*1</f>
        <v>0</v>
      </c>
      <c r="AQ30">
        <f>((SUM($N17:AQ17)-SUM($N19:AQ19))&lt;0)*1</f>
        <v>0</v>
      </c>
      <c r="AR30">
        <f>((SUM($N17:AR17)-SUM($N19:AR19))&lt;0)*1</f>
        <v>0</v>
      </c>
      <c r="AS30">
        <f>((SUM($N17:AS17)-SUM($N19:AS19))&lt;0)*1</f>
        <v>0</v>
      </c>
      <c r="AT30">
        <f>((SUM($N17:AT17)-SUM($N19:AT19))&lt;0)*1</f>
        <v>0</v>
      </c>
      <c r="AU30">
        <f>((SUM($N17:AU17)-SUM($N19:AU19))&lt;0)*1</f>
        <v>0</v>
      </c>
      <c r="AV30">
        <f>((SUM($N17:AV17)-SUM($N19:AV19))&lt;0)*1</f>
        <v>0</v>
      </c>
      <c r="AW30">
        <f>((SUM($N17:AW17)-SUM($N19:AW19))&lt;0)*1</f>
        <v>0</v>
      </c>
      <c r="AX30">
        <f>((SUM($N17:AX17)-SUM($N19:AX19))&lt;0)*1</f>
        <v>0</v>
      </c>
      <c r="AY30">
        <f>((SUM($N17:AY17)-SUM($N19:AY19))&lt;0)*1</f>
        <v>0</v>
      </c>
      <c r="AZ30">
        <f>((SUM($N17:AZ17)-SUM($N19:AZ19))&lt;0)*1</f>
        <v>0</v>
      </c>
      <c r="BA30">
        <f>((SUM($N17:BA17)-SUM($N19:BA19))&lt;0)*1</f>
        <v>0</v>
      </c>
      <c r="BB30">
        <f>((SUM($N17:BB17)-SUM($N19:BB19))&lt;0)*1</f>
        <v>0</v>
      </c>
      <c r="BC30">
        <f>((SUM($N17:BC17)-SUM($N19:BC19))&lt;0)*1</f>
        <v>0</v>
      </c>
      <c r="BD30">
        <f>((SUM($N17:BD17)-SUM($N19:BD19))&lt;0)*1</f>
        <v>0</v>
      </c>
      <c r="BE30">
        <f>((SUM($N17:BE17)-SUM($N19:BE19))&lt;0)*1</f>
        <v>0</v>
      </c>
      <c r="BF30">
        <f>((SUM($N17:BF17)-SUM($N19:BF19))&lt;0)*1</f>
        <v>0</v>
      </c>
      <c r="BG30">
        <f>((SUM($N17:BG17)-SUM($N19:BG19))&lt;0)*1</f>
        <v>0</v>
      </c>
      <c r="BH30">
        <f>((SUM($N17:BH17)-SUM($N19:BH19))&lt;0)*1</f>
        <v>0</v>
      </c>
      <c r="BI30">
        <f>((SUM($N17:BI17)-SUM($N19:BI19))&lt;0)*1</f>
        <v>0</v>
      </c>
    </row>
    <row r="31" spans="4:61" collapsed="1" x14ac:dyDescent="0.35"/>
    <row r="32" spans="4:61" x14ac:dyDescent="0.35">
      <c r="D32" s="1" t="s">
        <v>25</v>
      </c>
    </row>
    <row r="33" spans="14:46" x14ac:dyDescent="0.35"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</row>
    <row r="34" spans="14:46" x14ac:dyDescent="0.35"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</row>
  </sheetData>
  <sheetProtection algorithmName="SHA-512" hashValue="iM2htYtfFnIgSpP5zRM4VjMV6fQV3wAQTxF6A1OhOpZRLJReWvRToASexLYxw/J3uqp0Jq+M/YP0k2eTIp+jVw==" saltValue="P+qQ93GWwqXa6OUCQYNiVg==" spinCount="100000" sheet="1" objects="1" scenarios="1"/>
  <conditionalFormatting sqref="G2">
    <cfRule type="cellIs" dxfId="23" priority="6" operator="greaterThan">
      <formula>0</formula>
    </cfRule>
    <cfRule type="cellIs" dxfId="22" priority="7" operator="equal">
      <formula>0</formula>
    </cfRule>
  </conditionalFormatting>
  <conditionalFormatting sqref="G1">
    <cfRule type="cellIs" dxfId="21" priority="4" operator="greaterThan">
      <formula>0</formula>
    </cfRule>
    <cfRule type="cellIs" dxfId="20" priority="5" operator="equal">
      <formula>0</formula>
    </cfRule>
  </conditionalFormatting>
  <conditionalFormatting sqref="M28:M30">
    <cfRule type="cellIs" dxfId="19" priority="2" operator="greaterThan">
      <formula>0</formula>
    </cfRule>
    <cfRule type="cellIs" dxfId="18" priority="3" operator="equal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4F561069-FBFD-4593-B4F2-08325F19C536}">
            <xm:f>Paramétrage_général!$I$20</xm:f>
            <x14:dxf>
              <font>
                <b/>
                <i val="0"/>
                <color theme="0"/>
              </font>
              <fill>
                <patternFill>
                  <bgColor rgb="FF002060"/>
                </patternFill>
              </fill>
            </x14:dxf>
          </x14:cfRule>
          <xm:sqref>N4:BI4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CBA9E5"/>
  </sheetPr>
  <dimension ref="B1:BI107"/>
  <sheetViews>
    <sheetView zoomScale="70" zoomScaleNormal="70" workbookViewId="0">
      <pane xSplit="10" ySplit="6" topLeftCell="N46" activePane="bottomRight" state="frozen"/>
      <selection activeCell="G33" sqref="G33"/>
      <selection pane="topRight" activeCell="G33" sqref="G33"/>
      <selection pane="bottomLeft" activeCell="G33" sqref="G33"/>
      <selection pane="bottomRight" activeCell="N4" sqref="N4:BI4"/>
    </sheetView>
  </sheetViews>
  <sheetFormatPr baseColWidth="10" defaultRowHeight="14.5" x14ac:dyDescent="0.35"/>
  <cols>
    <col min="1" max="4" width="2.6328125" customWidth="1"/>
    <col min="14" max="17" width="13.36328125" bestFit="1" customWidth="1"/>
    <col min="18" max="18" width="13.6328125" bestFit="1" customWidth="1"/>
    <col min="19" max="25" width="14.90625" bestFit="1" customWidth="1"/>
    <col min="26" max="34" width="13.36328125" bestFit="1" customWidth="1"/>
    <col min="35" max="61" width="14.90625" bestFit="1" customWidth="1"/>
  </cols>
  <sheetData>
    <row r="1" spans="2:61" s="6" customFormat="1" x14ac:dyDescent="0.35">
      <c r="B1" s="9" t="str">
        <f ca="1">RIGHT(CELL("nomfichier",A1),LEN(CELL("nomfichier",A1))-FIND("]",CELL("nomfichier",A1),1))</f>
        <v>Graphiques</v>
      </c>
      <c r="F1" s="54" t="str">
        <f>Controles!F1</f>
        <v>Erreurs</v>
      </c>
      <c r="G1">
        <f>Controles!G1</f>
        <v>0</v>
      </c>
    </row>
    <row r="2" spans="2:61" x14ac:dyDescent="0.35">
      <c r="F2" s="55" t="str">
        <f>Controles!F2</f>
        <v>Alertes</v>
      </c>
      <c r="G2">
        <f>Controles!G2</f>
        <v>0</v>
      </c>
    </row>
    <row r="3" spans="2:61" x14ac:dyDescent="0.35">
      <c r="N3" s="3">
        <f>Time!N20</f>
        <v>43861</v>
      </c>
      <c r="O3" s="3">
        <f>Time!O20</f>
        <v>43890</v>
      </c>
      <c r="P3" s="3">
        <f>Time!P20</f>
        <v>43921</v>
      </c>
      <c r="Q3" s="3">
        <f>Time!Q20</f>
        <v>43951</v>
      </c>
      <c r="R3" s="3">
        <f>Time!R20</f>
        <v>43982</v>
      </c>
      <c r="S3" s="3">
        <f>Time!S20</f>
        <v>44012</v>
      </c>
      <c r="T3" s="3">
        <f>Time!T20</f>
        <v>44043</v>
      </c>
      <c r="U3" s="3">
        <f>Time!U20</f>
        <v>44074</v>
      </c>
      <c r="V3" s="3">
        <f>Time!V20</f>
        <v>44104</v>
      </c>
      <c r="W3" s="3">
        <f>Time!W20</f>
        <v>44135</v>
      </c>
      <c r="X3" s="3">
        <f>Time!X20</f>
        <v>44165</v>
      </c>
      <c r="Y3" s="3">
        <f>Time!Y20</f>
        <v>44196</v>
      </c>
      <c r="Z3" s="3">
        <f>Time!Z20</f>
        <v>44227</v>
      </c>
      <c r="AA3" s="3">
        <f>Time!AA20</f>
        <v>44255</v>
      </c>
      <c r="AB3" s="3">
        <f>Time!AB20</f>
        <v>44286</v>
      </c>
      <c r="AC3" s="3">
        <f>Time!AC20</f>
        <v>44316</v>
      </c>
      <c r="AD3" s="3">
        <f>Time!AD20</f>
        <v>44347</v>
      </c>
      <c r="AE3" s="3">
        <f>Time!AE20</f>
        <v>44377</v>
      </c>
      <c r="AF3" s="3">
        <f>Time!AF20</f>
        <v>44408</v>
      </c>
      <c r="AG3" s="3">
        <f>Time!AG20</f>
        <v>44439</v>
      </c>
      <c r="AH3" s="3">
        <f>Time!AH20</f>
        <v>44469</v>
      </c>
      <c r="AI3" s="3">
        <f>Time!AI20</f>
        <v>44500</v>
      </c>
      <c r="AJ3" s="3">
        <f>Time!AJ20</f>
        <v>44530</v>
      </c>
      <c r="AK3" s="3">
        <f>Time!AK20</f>
        <v>44561</v>
      </c>
      <c r="AL3" s="3">
        <f>Time!AL20</f>
        <v>44592</v>
      </c>
      <c r="AM3" s="3">
        <f>Time!AM20</f>
        <v>44620</v>
      </c>
      <c r="AN3" s="3">
        <f>Time!AN20</f>
        <v>44651</v>
      </c>
      <c r="AO3" s="3">
        <f>Time!AO20</f>
        <v>44681</v>
      </c>
      <c r="AP3" s="3">
        <f>Time!AP20</f>
        <v>44712</v>
      </c>
      <c r="AQ3" s="3">
        <f>Time!AQ20</f>
        <v>44742</v>
      </c>
      <c r="AR3" s="3">
        <f>Time!AR20</f>
        <v>44773</v>
      </c>
      <c r="AS3" s="3">
        <f>Time!AS20</f>
        <v>44804</v>
      </c>
      <c r="AT3" s="3">
        <f>Time!AT20</f>
        <v>44834</v>
      </c>
      <c r="AU3" s="3">
        <f>Time!AU20</f>
        <v>44865</v>
      </c>
      <c r="AV3" s="3">
        <f>Time!AV20</f>
        <v>44895</v>
      </c>
      <c r="AW3" s="3">
        <f>Time!AW20</f>
        <v>44926</v>
      </c>
      <c r="AX3" s="3">
        <f>Time!AX20</f>
        <v>44957</v>
      </c>
      <c r="AY3" s="3">
        <f>Time!AY20</f>
        <v>44985</v>
      </c>
      <c r="AZ3" s="3">
        <f>Time!AZ20</f>
        <v>45016</v>
      </c>
      <c r="BA3" s="3">
        <f>Time!BA20</f>
        <v>45046</v>
      </c>
      <c r="BB3" s="3">
        <f>Time!BB20</f>
        <v>45077</v>
      </c>
      <c r="BC3" s="3">
        <f>Time!BC20</f>
        <v>45107</v>
      </c>
      <c r="BD3" s="3">
        <f>Time!BD20</f>
        <v>45138</v>
      </c>
      <c r="BE3" s="3">
        <f>Time!BE20</f>
        <v>45169</v>
      </c>
      <c r="BF3" s="3">
        <f>Time!BF20</f>
        <v>45199</v>
      </c>
      <c r="BG3" s="3">
        <f>Time!BG20</f>
        <v>45230</v>
      </c>
      <c r="BH3" s="3">
        <f>Time!BH20</f>
        <v>45260</v>
      </c>
      <c r="BI3" s="3">
        <f>Time!BI20</f>
        <v>45291</v>
      </c>
    </row>
    <row r="4" spans="2:61" x14ac:dyDescent="0.35">
      <c r="N4" t="str">
        <f>Time!N41</f>
        <v>Exécution</v>
      </c>
      <c r="O4" t="str">
        <f>Time!O41</f>
        <v>Exécution</v>
      </c>
      <c r="P4" t="str">
        <f>Time!P41</f>
        <v>Exécution</v>
      </c>
      <c r="Q4" t="str">
        <f>Time!Q41</f>
        <v>Exécution</v>
      </c>
      <c r="R4" t="str">
        <f>Time!R41</f>
        <v>Exécution</v>
      </c>
      <c r="S4" s="11" t="str">
        <f>Time!S41</f>
        <v>Exécution</v>
      </c>
      <c r="T4" s="11" t="str">
        <f>Time!T41</f>
        <v>Exécution</v>
      </c>
      <c r="U4" s="11" t="str">
        <f>Time!U41</f>
        <v>Exécution</v>
      </c>
      <c r="V4" s="11" t="str">
        <f>Time!V41</f>
        <v>Exécution</v>
      </c>
      <c r="W4" s="11" t="str">
        <f>Time!W41</f>
        <v>Exécution</v>
      </c>
      <c r="X4" s="11" t="str">
        <f>Time!X41</f>
        <v>Exécution</v>
      </c>
      <c r="Y4" s="11" t="str">
        <f>Time!Y41</f>
        <v>Exécution</v>
      </c>
      <c r="Z4" s="11" t="str">
        <f>Time!Z41</f>
        <v>Exécution</v>
      </c>
      <c r="AA4" s="11" t="str">
        <f>Time!AA41</f>
        <v>Exécution</v>
      </c>
      <c r="AB4" s="11" t="str">
        <f>Time!AB41</f>
        <v>Exécution</v>
      </c>
      <c r="AC4" s="11" t="str">
        <f>Time!AC41</f>
        <v>Exécution</v>
      </c>
      <c r="AD4" s="11" t="str">
        <f>Time!AD41</f>
        <v>Exécution</v>
      </c>
      <c r="AE4" s="11" t="str">
        <f>Time!AE41</f>
        <v>Exécution</v>
      </c>
      <c r="AF4" s="11" t="str">
        <f>Time!AF41</f>
        <v>Exécution</v>
      </c>
      <c r="AG4" s="11" t="str">
        <f>Time!AG41</f>
        <v>Exécution</v>
      </c>
      <c r="AH4" s="11" t="str">
        <f>Time!AH41</f>
        <v>Exécution</v>
      </c>
      <c r="AI4" s="11" t="str">
        <f>Time!AI41</f>
        <v>Exécution</v>
      </c>
      <c r="AJ4" s="11" t="str">
        <f>Time!AJ41</f>
        <v>Exécution</v>
      </c>
      <c r="AK4" s="11" t="str">
        <f>Time!AK41</f>
        <v>Exécution</v>
      </c>
      <c r="AL4" s="11" t="str">
        <f>Time!AL41</f>
        <v>Trajectoire</v>
      </c>
      <c r="AM4" s="11" t="str">
        <f>Time!AM41</f>
        <v>Trajectoire</v>
      </c>
      <c r="AN4" s="11" t="str">
        <f>Time!AN41</f>
        <v>Trajectoire</v>
      </c>
      <c r="AO4" s="11" t="str">
        <f>Time!AO41</f>
        <v>Trajectoire</v>
      </c>
      <c r="AP4" s="11" t="str">
        <f>Time!AP41</f>
        <v>Trajectoire</v>
      </c>
      <c r="AQ4" s="11" t="str">
        <f>Time!AQ41</f>
        <v>Trajectoire</v>
      </c>
      <c r="AR4" s="11" t="str">
        <f>Time!AR41</f>
        <v>Trajectoire</v>
      </c>
      <c r="AS4" s="11" t="str">
        <f>Time!AS41</f>
        <v>Trajectoire</v>
      </c>
      <c r="AT4" s="11" t="str">
        <f>Time!AT41</f>
        <v>Trajectoire</v>
      </c>
      <c r="AU4" s="11" t="str">
        <f>Time!AU41</f>
        <v>Trajectoire</v>
      </c>
      <c r="AV4" s="11" t="str">
        <f>Time!AV41</f>
        <v>Trajectoire</v>
      </c>
      <c r="AW4" s="11" t="str">
        <f>Time!AW41</f>
        <v>Trajectoire</v>
      </c>
      <c r="AX4" s="11" t="str">
        <f>Time!AX41</f>
        <v>Trajectoire</v>
      </c>
      <c r="AY4" s="11" t="str">
        <f>Time!AY41</f>
        <v>Trajectoire</v>
      </c>
      <c r="AZ4" s="11" t="str">
        <f>Time!AZ41</f>
        <v>Trajectoire</v>
      </c>
      <c r="BA4" s="11" t="str">
        <f>Time!BA41</f>
        <v>Trajectoire</v>
      </c>
      <c r="BB4" s="11" t="str">
        <f>Time!BB41</f>
        <v>Trajectoire</v>
      </c>
      <c r="BC4" s="11" t="str">
        <f>Time!BC41</f>
        <v>Trajectoire</v>
      </c>
      <c r="BD4" s="11" t="str">
        <f>Time!BD41</f>
        <v>Trajectoire</v>
      </c>
      <c r="BE4" s="11" t="str">
        <f>Time!BE41</f>
        <v>Trajectoire</v>
      </c>
      <c r="BF4" s="11" t="str">
        <f>Time!BF41</f>
        <v>Trajectoire</v>
      </c>
      <c r="BG4" s="11" t="str">
        <f>Time!BG41</f>
        <v>Trajectoire</v>
      </c>
      <c r="BH4" s="11" t="str">
        <f>Time!BH41</f>
        <v>Trajectoire</v>
      </c>
      <c r="BI4" s="11" t="str">
        <f>Time!BI41</f>
        <v>Trajectoire</v>
      </c>
    </row>
    <row r="5" spans="2:61" x14ac:dyDescent="0.35">
      <c r="N5" s="3">
        <f>Time!N54</f>
        <v>44196</v>
      </c>
      <c r="O5" s="3">
        <f>Time!O54</f>
        <v>44196</v>
      </c>
      <c r="P5" s="3">
        <f>Time!P54</f>
        <v>44196</v>
      </c>
      <c r="Q5" s="3">
        <f>Time!Q54</f>
        <v>44196</v>
      </c>
      <c r="R5" s="3">
        <f>Time!R54</f>
        <v>44196</v>
      </c>
      <c r="S5" s="3">
        <f>Time!S54</f>
        <v>44196</v>
      </c>
      <c r="T5" s="3">
        <f>Time!T54</f>
        <v>44196</v>
      </c>
      <c r="U5" s="3">
        <f>Time!U54</f>
        <v>44196</v>
      </c>
      <c r="V5" s="3">
        <f>Time!V54</f>
        <v>44196</v>
      </c>
      <c r="W5" s="3">
        <f>Time!W54</f>
        <v>44196</v>
      </c>
      <c r="X5" s="3">
        <f>Time!X54</f>
        <v>44196</v>
      </c>
      <c r="Y5" s="3">
        <f>Time!Y54</f>
        <v>44196</v>
      </c>
      <c r="Z5" s="3">
        <f>Time!Z54</f>
        <v>44561</v>
      </c>
      <c r="AA5" s="3">
        <f>Time!AA54</f>
        <v>44561</v>
      </c>
      <c r="AB5" s="3">
        <f>Time!AB54</f>
        <v>44561</v>
      </c>
      <c r="AC5" s="3">
        <f>Time!AC54</f>
        <v>44561</v>
      </c>
      <c r="AD5" s="3">
        <f>Time!AD54</f>
        <v>44561</v>
      </c>
      <c r="AE5" s="3">
        <f>Time!AE54</f>
        <v>44561</v>
      </c>
      <c r="AF5" s="3">
        <f>Time!AF54</f>
        <v>44561</v>
      </c>
      <c r="AG5" s="3">
        <f>Time!AG54</f>
        <v>44561</v>
      </c>
      <c r="AH5" s="3">
        <f>Time!AH54</f>
        <v>44561</v>
      </c>
      <c r="AI5" s="3">
        <f>Time!AI54</f>
        <v>44561</v>
      </c>
      <c r="AJ5" s="3">
        <f>Time!AJ54</f>
        <v>44561</v>
      </c>
      <c r="AK5" s="3">
        <f>Time!AK54</f>
        <v>44561</v>
      </c>
      <c r="AL5" s="3">
        <f>Time!AL54</f>
        <v>44926</v>
      </c>
      <c r="AM5" s="3">
        <f>Time!AM54</f>
        <v>44926</v>
      </c>
      <c r="AN5" s="3">
        <f>Time!AN54</f>
        <v>44926</v>
      </c>
      <c r="AO5" s="3">
        <f>Time!AO54</f>
        <v>44926</v>
      </c>
      <c r="AP5" s="3">
        <f>Time!AP54</f>
        <v>44926</v>
      </c>
      <c r="AQ5" s="3">
        <f>Time!AQ54</f>
        <v>44926</v>
      </c>
      <c r="AR5" s="3">
        <f>Time!AR54</f>
        <v>44926</v>
      </c>
      <c r="AS5" s="3">
        <f>Time!AS54</f>
        <v>44926</v>
      </c>
      <c r="AT5" s="3">
        <f>Time!AT54</f>
        <v>44926</v>
      </c>
      <c r="AU5" s="3">
        <f>Time!AU54</f>
        <v>44926</v>
      </c>
      <c r="AV5" s="3">
        <f>Time!AV54</f>
        <v>44926</v>
      </c>
      <c r="AW5" s="3">
        <f>Time!AW54</f>
        <v>44926</v>
      </c>
      <c r="AX5" s="3">
        <f>Time!AX54</f>
        <v>45291</v>
      </c>
      <c r="AY5" s="3">
        <f>Time!AY54</f>
        <v>45291</v>
      </c>
      <c r="AZ5" s="3">
        <f>Time!AZ54</f>
        <v>45291</v>
      </c>
      <c r="BA5" s="3">
        <f>Time!BA54</f>
        <v>45291</v>
      </c>
      <c r="BB5" s="3">
        <f>Time!BB54</f>
        <v>45291</v>
      </c>
      <c r="BC5" s="3">
        <f>Time!BC54</f>
        <v>45291</v>
      </c>
      <c r="BD5" s="3">
        <f>Time!BD54</f>
        <v>45291</v>
      </c>
      <c r="BE5" s="3">
        <f>Time!BE54</f>
        <v>45291</v>
      </c>
      <c r="BF5" s="3">
        <f>Time!BF54</f>
        <v>45291</v>
      </c>
      <c r="BG5" s="3">
        <f>Time!BG54</f>
        <v>45291</v>
      </c>
      <c r="BH5" s="3">
        <f>Time!BH54</f>
        <v>45291</v>
      </c>
      <c r="BI5" s="3">
        <f>Time!BI54</f>
        <v>45291</v>
      </c>
    </row>
    <row r="6" spans="2:61" s="2" customFormat="1" x14ac:dyDescent="0.35">
      <c r="I6" s="2" t="s">
        <v>0</v>
      </c>
      <c r="J6" s="2" t="s">
        <v>1</v>
      </c>
      <c r="K6" s="2" t="s">
        <v>2</v>
      </c>
    </row>
    <row r="8" spans="2:61" s="36" customFormat="1" x14ac:dyDescent="0.35">
      <c r="D8" s="38" t="s">
        <v>134</v>
      </c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</row>
    <row r="9" spans="2:61" s="36" customFormat="1" x14ac:dyDescent="0.35"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</row>
    <row r="10" spans="2:61" s="36" customFormat="1" x14ac:dyDescent="0.35">
      <c r="E10" s="36" t="str">
        <f>Paramétrage_général!E11</f>
        <v>Date de début de projection</v>
      </c>
      <c r="I10" s="42">
        <f>Paramétrage_général!I11</f>
        <v>44562</v>
      </c>
      <c r="J10" s="36" t="str">
        <f>Paramétrage_général!J11</f>
        <v>date</v>
      </c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</row>
    <row r="11" spans="2:61" s="36" customFormat="1" x14ac:dyDescent="0.35"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</row>
    <row r="12" spans="2:61" s="36" customFormat="1" x14ac:dyDescent="0.35">
      <c r="E12" s="36" t="str">
        <f>Paramétrage_général!I25</f>
        <v>Dépôt</v>
      </c>
      <c r="J12" s="36" t="str">
        <f>Consolidation!J8</f>
        <v>Volume</v>
      </c>
      <c r="N12" s="53">
        <f>Consolidation!N8</f>
        <v>6320</v>
      </c>
      <c r="O12" s="53">
        <f>Consolidation!O8</f>
        <v>11443</v>
      </c>
      <c r="P12" s="53">
        <f>Consolidation!P8</f>
        <v>9961</v>
      </c>
      <c r="Q12" s="53">
        <f>Consolidation!Q8</f>
        <v>5157</v>
      </c>
      <c r="R12" s="53">
        <f>Consolidation!R8</f>
        <v>7758</v>
      </c>
      <c r="S12" s="53">
        <f>Consolidation!S8</f>
        <v>19366</v>
      </c>
      <c r="T12" s="53">
        <f>Consolidation!T8</f>
        <v>17473</v>
      </c>
      <c r="U12" s="53">
        <f>Consolidation!U8</f>
        <v>10690</v>
      </c>
      <c r="V12" s="53">
        <f>Consolidation!V8</f>
        <v>19315</v>
      </c>
      <c r="W12" s="53">
        <f>Consolidation!W8</f>
        <v>28065</v>
      </c>
      <c r="X12" s="53">
        <f>Consolidation!X8</f>
        <v>30651</v>
      </c>
      <c r="Y12" s="53">
        <f>Consolidation!Y8</f>
        <v>27939</v>
      </c>
      <c r="Z12" s="53">
        <f>Consolidation!Z8</f>
        <v>52269</v>
      </c>
      <c r="AA12" s="53">
        <f>Consolidation!AA8</f>
        <v>57486</v>
      </c>
      <c r="AB12" s="53">
        <f>Consolidation!AB8</f>
        <v>67267</v>
      </c>
      <c r="AC12" s="53">
        <f>Consolidation!AC8</f>
        <v>68625</v>
      </c>
      <c r="AD12" s="53">
        <f>Consolidation!AD8</f>
        <v>60334</v>
      </c>
      <c r="AE12" s="53">
        <f>Consolidation!AE8</f>
        <v>70423</v>
      </c>
      <c r="AF12" s="53">
        <f>Consolidation!AF8</f>
        <v>55455</v>
      </c>
      <c r="AG12" s="53">
        <f>Consolidation!AG8</f>
        <v>40687</v>
      </c>
      <c r="AH12" s="53">
        <f>Consolidation!AH8</f>
        <v>62423</v>
      </c>
      <c r="AI12" s="53">
        <f>Consolidation!AI8</f>
        <v>77015</v>
      </c>
      <c r="AJ12" s="53">
        <f>Consolidation!AJ8</f>
        <v>68409</v>
      </c>
      <c r="AK12" s="53">
        <f>Consolidation!AK8</f>
        <v>80621</v>
      </c>
      <c r="AL12" s="53">
        <f>Consolidation!AL8</f>
        <v>69086.403111506734</v>
      </c>
      <c r="AM12" s="53">
        <f>Consolidation!AM8</f>
        <v>77214.215242272243</v>
      </c>
      <c r="AN12" s="53">
        <f>Consolidation!AN8</f>
        <v>81278.12130765499</v>
      </c>
      <c r="AO12" s="53">
        <f>Consolidation!AO8</f>
        <v>81278.12130765499</v>
      </c>
      <c r="AP12" s="53">
        <f>Consolidation!AP8</f>
        <v>81278.12130765499</v>
      </c>
      <c r="AQ12" s="53">
        <f>Consolidation!AQ8</f>
        <v>77214.215242272243</v>
      </c>
      <c r="AR12" s="53">
        <f>Consolidation!AR8</f>
        <v>65022.497046123994</v>
      </c>
      <c r="AS12" s="53">
        <f>Consolidation!AS8</f>
        <v>48766.87278459299</v>
      </c>
      <c r="AT12" s="53">
        <f>Consolidation!AT8</f>
        <v>73150.309176889496</v>
      </c>
      <c r="AU12" s="53">
        <f>Consolidation!AU8</f>
        <v>81278.12130765499</v>
      </c>
      <c r="AV12" s="53">
        <f>Consolidation!AV8</f>
        <v>81278.12130765499</v>
      </c>
      <c r="AW12" s="53">
        <f>Consolidation!AW8</f>
        <v>89405.933438420499</v>
      </c>
      <c r="AX12" s="53">
        <f>Consolidation!AX8</f>
        <v>75995.043422657429</v>
      </c>
      <c r="AY12" s="53">
        <f>Consolidation!AY8</f>
        <v>84935.636766499476</v>
      </c>
      <c r="AZ12" s="53">
        <f>Consolidation!AZ8</f>
        <v>89405.933438420499</v>
      </c>
      <c r="BA12" s="53">
        <f>Consolidation!BA8</f>
        <v>89405.933438420499</v>
      </c>
      <c r="BB12" s="53">
        <f>Consolidation!BB8</f>
        <v>89405.933438420499</v>
      </c>
      <c r="BC12" s="53">
        <f>Consolidation!BC8</f>
        <v>84935.636766499476</v>
      </c>
      <c r="BD12" s="53">
        <f>Consolidation!BD8</f>
        <v>71524.746750736405</v>
      </c>
      <c r="BE12" s="53">
        <f>Consolidation!BE8</f>
        <v>53643.560063052297</v>
      </c>
      <c r="BF12" s="53">
        <f>Consolidation!BF8</f>
        <v>80465.340094578452</v>
      </c>
      <c r="BG12" s="53">
        <f>Consolidation!BG8</f>
        <v>89405.933438420499</v>
      </c>
      <c r="BH12" s="53">
        <f>Consolidation!BH8</f>
        <v>89405.933438420499</v>
      </c>
      <c r="BI12" s="53">
        <f>Consolidation!BI8</f>
        <v>98346.526782262561</v>
      </c>
    </row>
    <row r="13" spans="2:61" s="36" customFormat="1" x14ac:dyDescent="0.35">
      <c r="E13" s="36" t="str">
        <f>Paramétrage_général!I26</f>
        <v>Engagement</v>
      </c>
      <c r="J13" s="36" t="str">
        <f>Consolidation!J10</f>
        <v>Volume</v>
      </c>
      <c r="N13" s="53">
        <f>Consolidation!N10</f>
        <v>0</v>
      </c>
      <c r="O13" s="53">
        <f>Consolidation!O10</f>
        <v>0</v>
      </c>
      <c r="P13" s="53">
        <f>Consolidation!P10</f>
        <v>0</v>
      </c>
      <c r="Q13" s="53">
        <f>Consolidation!Q10</f>
        <v>726</v>
      </c>
      <c r="R13" s="53">
        <f>Consolidation!R10</f>
        <v>4807</v>
      </c>
      <c r="S13" s="53">
        <f>Consolidation!S10</f>
        <v>7112</v>
      </c>
      <c r="T13" s="53">
        <f>Consolidation!T10</f>
        <v>17956</v>
      </c>
      <c r="U13" s="53">
        <f>Consolidation!U10</f>
        <v>27791</v>
      </c>
      <c r="V13" s="53">
        <f>Consolidation!V10</f>
        <v>13787</v>
      </c>
      <c r="W13" s="53">
        <f>Consolidation!W10</f>
        <v>14792</v>
      </c>
      <c r="X13" s="53">
        <f>Consolidation!X10</f>
        <v>20452</v>
      </c>
      <c r="Y13" s="53">
        <f>Consolidation!Y10</f>
        <v>31303</v>
      </c>
      <c r="Z13" s="53">
        <f>Consolidation!Z10</f>
        <v>33518</v>
      </c>
      <c r="AA13" s="53">
        <f>Consolidation!AA10</f>
        <v>39754</v>
      </c>
      <c r="AB13" s="53">
        <f>Consolidation!AB10</f>
        <v>45141</v>
      </c>
      <c r="AC13" s="53">
        <f>Consolidation!AC10</f>
        <v>57254</v>
      </c>
      <c r="AD13" s="53">
        <f>Consolidation!AD10</f>
        <v>55077</v>
      </c>
      <c r="AE13" s="53">
        <f>Consolidation!AE10</f>
        <v>71050</v>
      </c>
      <c r="AF13" s="53">
        <f>Consolidation!AF10</f>
        <v>60529</v>
      </c>
      <c r="AG13" s="53">
        <f>Consolidation!AG10</f>
        <v>51721</v>
      </c>
      <c r="AH13" s="53">
        <f>Consolidation!AH10</f>
        <v>51153</v>
      </c>
      <c r="AI13" s="53">
        <f>Consolidation!AI10</f>
        <v>63159</v>
      </c>
      <c r="AJ13" s="53">
        <f>Consolidation!AJ10</f>
        <v>62431</v>
      </c>
      <c r="AK13" s="53">
        <f>Consolidation!AK10</f>
        <v>70804</v>
      </c>
      <c r="AL13" s="53">
        <f>Consolidation!AL10</f>
        <v>65371.735654758428</v>
      </c>
      <c r="AM13" s="53">
        <f>Consolidation!AM10</f>
        <v>63873.376658526257</v>
      </c>
      <c r="AN13" s="53">
        <f>Consolidation!AN10</f>
        <v>73873.274065592719</v>
      </c>
      <c r="AO13" s="53">
        <f>Consolidation!AO10</f>
        <v>72547.17482812464</v>
      </c>
      <c r="AP13" s="53">
        <f>Consolidation!AP10</f>
        <v>74207.759944055273</v>
      </c>
      <c r="AQ13" s="53">
        <f>Consolidation!AQ10</f>
        <v>69877.316848867995</v>
      </c>
      <c r="AR13" s="53">
        <f>Consolidation!AR10</f>
        <v>63676.963121060908</v>
      </c>
      <c r="AS13" s="53">
        <f>Consolidation!AS10</f>
        <v>50386.06586527796</v>
      </c>
      <c r="AT13" s="53">
        <f>Consolidation!AT10</f>
        <v>58224.509954096939</v>
      </c>
      <c r="AU13" s="53">
        <f>Consolidation!AU10</f>
        <v>69604.36557467503</v>
      </c>
      <c r="AV13" s="53">
        <f>Consolidation!AV10</f>
        <v>71378.934592984268</v>
      </c>
      <c r="AW13" s="53">
        <f>Consolidation!AW10</f>
        <v>78753.149697082248</v>
      </c>
      <c r="AX13" s="53">
        <f>Consolidation!AX10</f>
        <v>72486.86571658848</v>
      </c>
      <c r="AY13" s="53">
        <f>Consolidation!AY10</f>
        <v>70348.127966319968</v>
      </c>
      <c r="AZ13" s="53">
        <f>Consolidation!AZ10</f>
        <v>81269.01370344765</v>
      </c>
      <c r="BA13" s="53">
        <f>Consolidation!BA10</f>
        <v>79802.169587532859</v>
      </c>
      <c r="BB13" s="53">
        <f>Consolidation!BB10</f>
        <v>81628.540237268462</v>
      </c>
      <c r="BC13" s="53">
        <f>Consolidation!BC10</f>
        <v>76865.048555801855</v>
      </c>
      <c r="BD13" s="53">
        <f>Consolidation!BD10</f>
        <v>70044.659433217879</v>
      </c>
      <c r="BE13" s="53">
        <f>Consolidation!BE10</f>
        <v>55424.672451805804</v>
      </c>
      <c r="BF13" s="53">
        <f>Consolidation!BF10</f>
        <v>64046.96094950664</v>
      </c>
      <c r="BG13" s="53">
        <f>Consolidation!BG10</f>
        <v>76564.802132142533</v>
      </c>
      <c r="BH13" s="53">
        <f>Consolidation!BH10</f>
        <v>78516.828052282712</v>
      </c>
      <c r="BI13" s="53">
        <f>Consolidation!BI10</f>
        <v>86628.464666790489</v>
      </c>
    </row>
    <row r="14" spans="2:61" s="36" customFormat="1" x14ac:dyDescent="0.35">
      <c r="E14" s="36" t="str">
        <f>Paramétrage_général!I31</f>
        <v>Demande de solde</v>
      </c>
      <c r="J14" s="36" t="str">
        <f>Consolidation!J17</f>
        <v>Volume</v>
      </c>
      <c r="N14" s="53">
        <f>Consolidation!N17</f>
        <v>0</v>
      </c>
      <c r="O14" s="53">
        <f>Consolidation!O17</f>
        <v>0</v>
      </c>
      <c r="P14" s="53">
        <f>Consolidation!P17</f>
        <v>0</v>
      </c>
      <c r="Q14" s="53">
        <f>Consolidation!Q17</f>
        <v>87</v>
      </c>
      <c r="R14" s="53">
        <f>Consolidation!R17</f>
        <v>636</v>
      </c>
      <c r="S14" s="53">
        <f>Consolidation!S17</f>
        <v>2269</v>
      </c>
      <c r="T14" s="53">
        <f>Consolidation!T17</f>
        <v>4269</v>
      </c>
      <c r="U14" s="53">
        <f>Consolidation!U17</f>
        <v>6469</v>
      </c>
      <c r="V14" s="53">
        <f>Consolidation!V17</f>
        <v>10749</v>
      </c>
      <c r="W14" s="53">
        <f>Consolidation!W17</f>
        <v>14183</v>
      </c>
      <c r="X14" s="53">
        <f>Consolidation!X17</f>
        <v>16574</v>
      </c>
      <c r="Y14" s="53">
        <f>Consolidation!Y17</f>
        <v>19960</v>
      </c>
      <c r="Z14" s="53">
        <f>Consolidation!Z17</f>
        <v>21697</v>
      </c>
      <c r="AA14" s="53">
        <f>Consolidation!AA17</f>
        <v>27179</v>
      </c>
      <c r="AB14" s="53">
        <f>Consolidation!AB17</f>
        <v>32553</v>
      </c>
      <c r="AC14" s="53">
        <f>Consolidation!AC17</f>
        <v>34544</v>
      </c>
      <c r="AD14" s="53">
        <f>Consolidation!AD17</f>
        <v>32781</v>
      </c>
      <c r="AE14" s="53">
        <f>Consolidation!AE17</f>
        <v>38664</v>
      </c>
      <c r="AF14" s="53">
        <f>Consolidation!AF17</f>
        <v>40773</v>
      </c>
      <c r="AG14" s="53">
        <f>Consolidation!AG17</f>
        <v>27624</v>
      </c>
      <c r="AH14" s="53">
        <f>Consolidation!AH17</f>
        <v>44997</v>
      </c>
      <c r="AI14" s="53">
        <f>Consolidation!AI17</f>
        <v>51424</v>
      </c>
      <c r="AJ14" s="53">
        <f>Consolidation!AJ17</f>
        <v>53131</v>
      </c>
      <c r="AK14" s="53">
        <f>Consolidation!AK17</f>
        <v>56324</v>
      </c>
      <c r="AL14" s="53">
        <f>Consolidation!AL17</f>
        <v>55779.354484422802</v>
      </c>
      <c r="AM14" s="53">
        <f>Consolidation!AM17</f>
        <v>52425.82824647989</v>
      </c>
      <c r="AN14" s="53">
        <f>Consolidation!AN17</f>
        <v>60235.743482396771</v>
      </c>
      <c r="AO14" s="53">
        <f>Consolidation!AO17</f>
        <v>59531.72975090504</v>
      </c>
      <c r="AP14" s="53">
        <f>Consolidation!AP17</f>
        <v>62473.721581154561</v>
      </c>
      <c r="AQ14" s="53">
        <f>Consolidation!AQ17</f>
        <v>60509.608006077935</v>
      </c>
      <c r="AR14" s="53">
        <f>Consolidation!AR17</f>
        <v>60763.115116330067</v>
      </c>
      <c r="AS14" s="53">
        <f>Consolidation!AS17</f>
        <v>56949.508506996957</v>
      </c>
      <c r="AT14" s="53">
        <f>Consolidation!AT17</f>
        <v>57053.136182929935</v>
      </c>
      <c r="AU14" s="53">
        <f>Consolidation!AU17</f>
        <v>61251.178951307833</v>
      </c>
      <c r="AV14" s="53">
        <f>Consolidation!AV17</f>
        <v>60402.402042979265</v>
      </c>
      <c r="AW14" s="53">
        <f>Consolidation!AW17</f>
        <v>64175.252174882356</v>
      </c>
      <c r="AX14" s="53">
        <f>Consolidation!AX17</f>
        <v>63005.515505017313</v>
      </c>
      <c r="AY14" s="53">
        <f>Consolidation!AY17</f>
        <v>58444.060974671265</v>
      </c>
      <c r="AZ14" s="53">
        <f>Consolidation!AZ17</f>
        <v>66515.865208060728</v>
      </c>
      <c r="BA14" s="53">
        <f>Consolidation!BA17</f>
        <v>65544.945076049407</v>
      </c>
      <c r="BB14" s="53">
        <f>Consolidation!BB17</f>
        <v>68579.424332022172</v>
      </c>
      <c r="BC14" s="53">
        <f>Consolidation!BC17</f>
        <v>66630.538624534631</v>
      </c>
      <c r="BD14" s="53">
        <f>Consolidation!BD17</f>
        <v>66973.324207001657</v>
      </c>
      <c r="BE14" s="53">
        <f>Consolidation!BE17</f>
        <v>62873.030008606853</v>
      </c>
      <c r="BF14" s="53">
        <f>Consolidation!BF17</f>
        <v>62902.09938989528</v>
      </c>
      <c r="BG14" s="53">
        <f>Consolidation!BG17</f>
        <v>67489.377899406871</v>
      </c>
      <c r="BH14" s="53">
        <f>Consolidation!BH17</f>
        <v>66481.718475194008</v>
      </c>
      <c r="BI14" s="53">
        <f>Consolidation!BI17</f>
        <v>70608.725113188964</v>
      </c>
    </row>
    <row r="15" spans="2:61" s="36" customFormat="1" x14ac:dyDescent="0.35">
      <c r="E15" s="36" t="str">
        <f>Paramétrage_général!I32</f>
        <v>Paiement du solde</v>
      </c>
      <c r="J15" s="36" t="str">
        <f>Consolidation!J19</f>
        <v>Volume</v>
      </c>
      <c r="N15" s="53">
        <f>Consolidation!N19</f>
        <v>0</v>
      </c>
      <c r="O15" s="53">
        <f>Consolidation!O19</f>
        <v>0</v>
      </c>
      <c r="P15" s="53">
        <f>Consolidation!P19</f>
        <v>0</v>
      </c>
      <c r="Q15" s="53">
        <f>Consolidation!Q19</f>
        <v>0</v>
      </c>
      <c r="R15" s="53">
        <f>Consolidation!R19</f>
        <v>21</v>
      </c>
      <c r="S15" s="53">
        <f>Consolidation!S19</f>
        <v>486</v>
      </c>
      <c r="T15" s="53">
        <f>Consolidation!T19</f>
        <v>1328</v>
      </c>
      <c r="U15" s="53">
        <f>Consolidation!U19</f>
        <v>1620</v>
      </c>
      <c r="V15" s="53">
        <f>Consolidation!V19</f>
        <v>2404</v>
      </c>
      <c r="W15" s="53">
        <f>Consolidation!W19</f>
        <v>3558</v>
      </c>
      <c r="X15" s="53">
        <f>Consolidation!X19</f>
        <v>18930</v>
      </c>
      <c r="Y15" s="53">
        <f>Consolidation!Y19</f>
        <v>24201</v>
      </c>
      <c r="Z15" s="53">
        <f>Consolidation!Z19</f>
        <v>11896</v>
      </c>
      <c r="AA15" s="53">
        <f>Consolidation!AA19</f>
        <v>18436</v>
      </c>
      <c r="AB15" s="53">
        <f>Consolidation!AB19</f>
        <v>26308</v>
      </c>
      <c r="AC15" s="53">
        <f>Consolidation!AC19</f>
        <v>25819</v>
      </c>
      <c r="AD15" s="53">
        <f>Consolidation!AD19</f>
        <v>25351</v>
      </c>
      <c r="AE15" s="53">
        <f>Consolidation!AE19</f>
        <v>32358</v>
      </c>
      <c r="AF15" s="53">
        <f>Consolidation!AF19</f>
        <v>36220</v>
      </c>
      <c r="AG15" s="53">
        <f>Consolidation!AG19</f>
        <v>37185</v>
      </c>
      <c r="AH15" s="53">
        <f>Consolidation!AH19</f>
        <v>39041</v>
      </c>
      <c r="AI15" s="53">
        <f>Consolidation!AI19</f>
        <v>36356</v>
      </c>
      <c r="AJ15" s="53">
        <f>Consolidation!AJ19</f>
        <v>33503</v>
      </c>
      <c r="AK15" s="53">
        <f>Consolidation!AK19</f>
        <v>41862</v>
      </c>
      <c r="AL15" s="53">
        <f>Consolidation!AL19</f>
        <v>50874.42615728989</v>
      </c>
      <c r="AM15" s="53">
        <f>Consolidation!AM19</f>
        <v>47377.758857928959</v>
      </c>
      <c r="AN15" s="53">
        <f>Consolidation!AN19</f>
        <v>54689.238130470832</v>
      </c>
      <c r="AO15" s="53">
        <f>Consolidation!AO19</f>
        <v>54295.857322266689</v>
      </c>
      <c r="AP15" s="53">
        <f>Consolidation!AP19</f>
        <v>57633.841561419991</v>
      </c>
      <c r="AQ15" s="53">
        <f>Consolidation!AQ19</f>
        <v>56459.636421889329</v>
      </c>
      <c r="AR15" s="53">
        <f>Consolidation!AR19</f>
        <v>58397.320414119422</v>
      </c>
      <c r="AS15" s="53">
        <f>Consolidation!AS19</f>
        <v>56989.854372342103</v>
      </c>
      <c r="AT15" s="53">
        <f>Consolidation!AT19</f>
        <v>54784.336297226713</v>
      </c>
      <c r="AU15" s="53">
        <f>Consolidation!AU19</f>
        <v>57112.51821665145</v>
      </c>
      <c r="AV15" s="53">
        <f>Consolidation!AV19</f>
        <v>55715.033402139583</v>
      </c>
      <c r="AW15" s="53">
        <f>Consolidation!AW19</f>
        <v>58934.122309449682</v>
      </c>
      <c r="AX15" s="53">
        <f>Consolidation!AX19</f>
        <v>59389.521387664136</v>
      </c>
      <c r="AY15" s="53">
        <f>Consolidation!AY19</f>
        <v>54021.9893760821</v>
      </c>
      <c r="AZ15" s="53">
        <f>Consolidation!AZ19</f>
        <v>61420.658646385957</v>
      </c>
      <c r="BA15" s="53">
        <f>Consolidation!BA19</f>
        <v>60426.58148098534</v>
      </c>
      <c r="BB15" s="53">
        <f>Consolidation!BB19</f>
        <v>63729.706306969987</v>
      </c>
      <c r="BC15" s="53">
        <f>Consolidation!BC19</f>
        <v>62279.362678848709</v>
      </c>
      <c r="BD15" s="53">
        <f>Consolidation!BD19</f>
        <v>64347.866488255546</v>
      </c>
      <c r="BE15" s="53">
        <f>Consolidation!BE19</f>
        <v>62816.545191370358</v>
      </c>
      <c r="BF15" s="53">
        <f>Consolidation!BF19</f>
        <v>60385.014715243255</v>
      </c>
      <c r="BG15" s="53">
        <f>Consolidation!BG19</f>
        <v>62951.181924503922</v>
      </c>
      <c r="BH15" s="53">
        <f>Consolidation!BH19</f>
        <v>61383.322299185478</v>
      </c>
      <c r="BI15" s="53">
        <f>Consolidation!BI19</f>
        <v>64898.597396549259</v>
      </c>
    </row>
    <row r="16" spans="2:61" s="36" customFormat="1" x14ac:dyDescent="0.35"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</row>
    <row r="17" spans="4:61" s="36" customFormat="1" x14ac:dyDescent="0.35"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</row>
    <row r="18" spans="4:61" s="36" customFormat="1" x14ac:dyDescent="0.35">
      <c r="E18" s="43" t="s">
        <v>12</v>
      </c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</row>
    <row r="19" spans="4:61" s="36" customFormat="1" x14ac:dyDescent="0.35">
      <c r="E19" s="36" t="str">
        <f>E12</f>
        <v>Dépôt</v>
      </c>
      <c r="J19" s="36" t="str">
        <f>J12</f>
        <v>Volume</v>
      </c>
      <c r="N19" s="53">
        <f>IF(N$3&lt;$I$10,N12,#N/A)</f>
        <v>6320</v>
      </c>
      <c r="O19" s="53">
        <f t="shared" ref="O19:BI19" si="0">IF(O$3&lt;$I$10,O12,#N/A)</f>
        <v>11443</v>
      </c>
      <c r="P19" s="53">
        <f t="shared" si="0"/>
        <v>9961</v>
      </c>
      <c r="Q19" s="53">
        <f t="shared" si="0"/>
        <v>5157</v>
      </c>
      <c r="R19" s="53">
        <f t="shared" si="0"/>
        <v>7758</v>
      </c>
      <c r="S19" s="53">
        <f t="shared" si="0"/>
        <v>19366</v>
      </c>
      <c r="T19" s="53">
        <f t="shared" si="0"/>
        <v>17473</v>
      </c>
      <c r="U19" s="53">
        <f t="shared" si="0"/>
        <v>10690</v>
      </c>
      <c r="V19" s="53">
        <f t="shared" si="0"/>
        <v>19315</v>
      </c>
      <c r="W19" s="53">
        <f t="shared" si="0"/>
        <v>28065</v>
      </c>
      <c r="X19" s="53">
        <f t="shared" si="0"/>
        <v>30651</v>
      </c>
      <c r="Y19" s="53">
        <f t="shared" si="0"/>
        <v>27939</v>
      </c>
      <c r="Z19" s="53">
        <f t="shared" si="0"/>
        <v>52269</v>
      </c>
      <c r="AA19" s="53">
        <f t="shared" si="0"/>
        <v>57486</v>
      </c>
      <c r="AB19" s="53">
        <f t="shared" si="0"/>
        <v>67267</v>
      </c>
      <c r="AC19" s="53">
        <f t="shared" si="0"/>
        <v>68625</v>
      </c>
      <c r="AD19" s="53">
        <f t="shared" si="0"/>
        <v>60334</v>
      </c>
      <c r="AE19" s="53">
        <f t="shared" si="0"/>
        <v>70423</v>
      </c>
      <c r="AF19" s="53">
        <f t="shared" si="0"/>
        <v>55455</v>
      </c>
      <c r="AG19" s="53">
        <f t="shared" si="0"/>
        <v>40687</v>
      </c>
      <c r="AH19" s="53">
        <f t="shared" si="0"/>
        <v>62423</v>
      </c>
      <c r="AI19" s="53">
        <f t="shared" si="0"/>
        <v>77015</v>
      </c>
      <c r="AJ19" s="53">
        <f t="shared" si="0"/>
        <v>68409</v>
      </c>
      <c r="AK19" s="53">
        <f t="shared" si="0"/>
        <v>80621</v>
      </c>
      <c r="AL19" s="53" t="e">
        <f t="shared" si="0"/>
        <v>#N/A</v>
      </c>
      <c r="AM19" s="53" t="e">
        <f t="shared" si="0"/>
        <v>#N/A</v>
      </c>
      <c r="AN19" s="53" t="e">
        <f t="shared" si="0"/>
        <v>#N/A</v>
      </c>
      <c r="AO19" s="53" t="e">
        <f t="shared" si="0"/>
        <v>#N/A</v>
      </c>
      <c r="AP19" s="53" t="e">
        <f t="shared" si="0"/>
        <v>#N/A</v>
      </c>
      <c r="AQ19" s="53" t="e">
        <f t="shared" si="0"/>
        <v>#N/A</v>
      </c>
      <c r="AR19" s="53" t="e">
        <f t="shared" si="0"/>
        <v>#N/A</v>
      </c>
      <c r="AS19" s="53" t="e">
        <f t="shared" si="0"/>
        <v>#N/A</v>
      </c>
      <c r="AT19" s="53" t="e">
        <f t="shared" si="0"/>
        <v>#N/A</v>
      </c>
      <c r="AU19" s="53" t="e">
        <f t="shared" si="0"/>
        <v>#N/A</v>
      </c>
      <c r="AV19" s="53" t="e">
        <f t="shared" si="0"/>
        <v>#N/A</v>
      </c>
      <c r="AW19" s="53" t="e">
        <f t="shared" si="0"/>
        <v>#N/A</v>
      </c>
      <c r="AX19" s="53" t="e">
        <f t="shared" si="0"/>
        <v>#N/A</v>
      </c>
      <c r="AY19" s="53" t="e">
        <f t="shared" si="0"/>
        <v>#N/A</v>
      </c>
      <c r="AZ19" s="53" t="e">
        <f t="shared" si="0"/>
        <v>#N/A</v>
      </c>
      <c r="BA19" s="53" t="e">
        <f t="shared" si="0"/>
        <v>#N/A</v>
      </c>
      <c r="BB19" s="53" t="e">
        <f t="shared" si="0"/>
        <v>#N/A</v>
      </c>
      <c r="BC19" s="53" t="e">
        <f t="shared" si="0"/>
        <v>#N/A</v>
      </c>
      <c r="BD19" s="53" t="e">
        <f t="shared" si="0"/>
        <v>#N/A</v>
      </c>
      <c r="BE19" s="53" t="e">
        <f t="shared" si="0"/>
        <v>#N/A</v>
      </c>
      <c r="BF19" s="53" t="e">
        <f t="shared" si="0"/>
        <v>#N/A</v>
      </c>
      <c r="BG19" s="53" t="e">
        <f t="shared" si="0"/>
        <v>#N/A</v>
      </c>
      <c r="BH19" s="53" t="e">
        <f t="shared" si="0"/>
        <v>#N/A</v>
      </c>
      <c r="BI19" s="53" t="e">
        <f t="shared" si="0"/>
        <v>#N/A</v>
      </c>
    </row>
    <row r="20" spans="4:61" s="36" customFormat="1" x14ac:dyDescent="0.35">
      <c r="E20" s="36" t="str">
        <f t="shared" ref="E20:E22" si="1">E13</f>
        <v>Engagement</v>
      </c>
      <c r="J20" s="36" t="str">
        <f t="shared" ref="J20:J22" si="2">J13</f>
        <v>Volume</v>
      </c>
      <c r="N20" s="53">
        <f t="shared" ref="N20:BI20" si="3">IF(N$3&lt;$I$10,N13,#N/A)</f>
        <v>0</v>
      </c>
      <c r="O20" s="53">
        <f t="shared" si="3"/>
        <v>0</v>
      </c>
      <c r="P20" s="53">
        <f t="shared" si="3"/>
        <v>0</v>
      </c>
      <c r="Q20" s="53">
        <f t="shared" si="3"/>
        <v>726</v>
      </c>
      <c r="R20" s="53">
        <f t="shared" si="3"/>
        <v>4807</v>
      </c>
      <c r="S20" s="53">
        <f t="shared" si="3"/>
        <v>7112</v>
      </c>
      <c r="T20" s="53">
        <f t="shared" si="3"/>
        <v>17956</v>
      </c>
      <c r="U20" s="53">
        <f t="shared" si="3"/>
        <v>27791</v>
      </c>
      <c r="V20" s="53">
        <f t="shared" si="3"/>
        <v>13787</v>
      </c>
      <c r="W20" s="53">
        <f t="shared" si="3"/>
        <v>14792</v>
      </c>
      <c r="X20" s="53">
        <f t="shared" si="3"/>
        <v>20452</v>
      </c>
      <c r="Y20" s="53">
        <f t="shared" si="3"/>
        <v>31303</v>
      </c>
      <c r="Z20" s="53">
        <f t="shared" si="3"/>
        <v>33518</v>
      </c>
      <c r="AA20" s="53">
        <f t="shared" si="3"/>
        <v>39754</v>
      </c>
      <c r="AB20" s="53">
        <f t="shared" si="3"/>
        <v>45141</v>
      </c>
      <c r="AC20" s="53">
        <f t="shared" si="3"/>
        <v>57254</v>
      </c>
      <c r="AD20" s="53">
        <f t="shared" si="3"/>
        <v>55077</v>
      </c>
      <c r="AE20" s="53">
        <f t="shared" si="3"/>
        <v>71050</v>
      </c>
      <c r="AF20" s="53">
        <f t="shared" si="3"/>
        <v>60529</v>
      </c>
      <c r="AG20" s="53">
        <f t="shared" si="3"/>
        <v>51721</v>
      </c>
      <c r="AH20" s="53">
        <f t="shared" si="3"/>
        <v>51153</v>
      </c>
      <c r="AI20" s="53">
        <f t="shared" si="3"/>
        <v>63159</v>
      </c>
      <c r="AJ20" s="53">
        <f t="shared" si="3"/>
        <v>62431</v>
      </c>
      <c r="AK20" s="53">
        <f t="shared" si="3"/>
        <v>70804</v>
      </c>
      <c r="AL20" s="53" t="e">
        <f t="shared" si="3"/>
        <v>#N/A</v>
      </c>
      <c r="AM20" s="53" t="e">
        <f t="shared" si="3"/>
        <v>#N/A</v>
      </c>
      <c r="AN20" s="53" t="e">
        <f t="shared" si="3"/>
        <v>#N/A</v>
      </c>
      <c r="AO20" s="53" t="e">
        <f t="shared" si="3"/>
        <v>#N/A</v>
      </c>
      <c r="AP20" s="53" t="e">
        <f t="shared" si="3"/>
        <v>#N/A</v>
      </c>
      <c r="AQ20" s="53" t="e">
        <f t="shared" si="3"/>
        <v>#N/A</v>
      </c>
      <c r="AR20" s="53" t="e">
        <f t="shared" si="3"/>
        <v>#N/A</v>
      </c>
      <c r="AS20" s="53" t="e">
        <f t="shared" si="3"/>
        <v>#N/A</v>
      </c>
      <c r="AT20" s="53" t="e">
        <f t="shared" si="3"/>
        <v>#N/A</v>
      </c>
      <c r="AU20" s="53" t="e">
        <f t="shared" si="3"/>
        <v>#N/A</v>
      </c>
      <c r="AV20" s="53" t="e">
        <f t="shared" si="3"/>
        <v>#N/A</v>
      </c>
      <c r="AW20" s="53" t="e">
        <f t="shared" si="3"/>
        <v>#N/A</v>
      </c>
      <c r="AX20" s="53" t="e">
        <f t="shared" si="3"/>
        <v>#N/A</v>
      </c>
      <c r="AY20" s="53" t="e">
        <f t="shared" si="3"/>
        <v>#N/A</v>
      </c>
      <c r="AZ20" s="53" t="e">
        <f t="shared" si="3"/>
        <v>#N/A</v>
      </c>
      <c r="BA20" s="53" t="e">
        <f t="shared" si="3"/>
        <v>#N/A</v>
      </c>
      <c r="BB20" s="53" t="e">
        <f t="shared" si="3"/>
        <v>#N/A</v>
      </c>
      <c r="BC20" s="53" t="e">
        <f t="shared" si="3"/>
        <v>#N/A</v>
      </c>
      <c r="BD20" s="53" t="e">
        <f t="shared" si="3"/>
        <v>#N/A</v>
      </c>
      <c r="BE20" s="53" t="e">
        <f t="shared" si="3"/>
        <v>#N/A</v>
      </c>
      <c r="BF20" s="53" t="e">
        <f t="shared" si="3"/>
        <v>#N/A</v>
      </c>
      <c r="BG20" s="53" t="e">
        <f t="shared" si="3"/>
        <v>#N/A</v>
      </c>
      <c r="BH20" s="53" t="e">
        <f t="shared" si="3"/>
        <v>#N/A</v>
      </c>
      <c r="BI20" s="53" t="e">
        <f t="shared" si="3"/>
        <v>#N/A</v>
      </c>
    </row>
    <row r="21" spans="4:61" s="36" customFormat="1" x14ac:dyDescent="0.35">
      <c r="E21" s="36" t="str">
        <f t="shared" si="1"/>
        <v>Demande de solde</v>
      </c>
      <c r="J21" s="36" t="str">
        <f t="shared" si="2"/>
        <v>Volume</v>
      </c>
      <c r="N21" s="53">
        <f t="shared" ref="N21:BI21" si="4">IF(N$3&lt;$I$10,N14,#N/A)</f>
        <v>0</v>
      </c>
      <c r="O21" s="53">
        <f t="shared" si="4"/>
        <v>0</v>
      </c>
      <c r="P21" s="53">
        <f t="shared" si="4"/>
        <v>0</v>
      </c>
      <c r="Q21" s="53">
        <f t="shared" si="4"/>
        <v>87</v>
      </c>
      <c r="R21" s="53">
        <f t="shared" si="4"/>
        <v>636</v>
      </c>
      <c r="S21" s="53">
        <f t="shared" si="4"/>
        <v>2269</v>
      </c>
      <c r="T21" s="53">
        <f t="shared" si="4"/>
        <v>4269</v>
      </c>
      <c r="U21" s="53">
        <f t="shared" si="4"/>
        <v>6469</v>
      </c>
      <c r="V21" s="53">
        <f t="shared" si="4"/>
        <v>10749</v>
      </c>
      <c r="W21" s="53">
        <f t="shared" si="4"/>
        <v>14183</v>
      </c>
      <c r="X21" s="53">
        <f t="shared" si="4"/>
        <v>16574</v>
      </c>
      <c r="Y21" s="53">
        <f t="shared" si="4"/>
        <v>19960</v>
      </c>
      <c r="Z21" s="53">
        <f t="shared" si="4"/>
        <v>21697</v>
      </c>
      <c r="AA21" s="53">
        <f t="shared" si="4"/>
        <v>27179</v>
      </c>
      <c r="AB21" s="53">
        <f t="shared" si="4"/>
        <v>32553</v>
      </c>
      <c r="AC21" s="53">
        <f t="shared" si="4"/>
        <v>34544</v>
      </c>
      <c r="AD21" s="53">
        <f t="shared" si="4"/>
        <v>32781</v>
      </c>
      <c r="AE21" s="53">
        <f t="shared" si="4"/>
        <v>38664</v>
      </c>
      <c r="AF21" s="53">
        <f t="shared" si="4"/>
        <v>40773</v>
      </c>
      <c r="AG21" s="53">
        <f t="shared" si="4"/>
        <v>27624</v>
      </c>
      <c r="AH21" s="53">
        <f t="shared" si="4"/>
        <v>44997</v>
      </c>
      <c r="AI21" s="53">
        <f t="shared" si="4"/>
        <v>51424</v>
      </c>
      <c r="AJ21" s="53">
        <f t="shared" si="4"/>
        <v>53131</v>
      </c>
      <c r="AK21" s="53">
        <f t="shared" si="4"/>
        <v>56324</v>
      </c>
      <c r="AL21" s="53" t="e">
        <f t="shared" si="4"/>
        <v>#N/A</v>
      </c>
      <c r="AM21" s="53" t="e">
        <f t="shared" si="4"/>
        <v>#N/A</v>
      </c>
      <c r="AN21" s="53" t="e">
        <f t="shared" si="4"/>
        <v>#N/A</v>
      </c>
      <c r="AO21" s="53" t="e">
        <f t="shared" si="4"/>
        <v>#N/A</v>
      </c>
      <c r="AP21" s="53" t="e">
        <f t="shared" si="4"/>
        <v>#N/A</v>
      </c>
      <c r="AQ21" s="53" t="e">
        <f t="shared" si="4"/>
        <v>#N/A</v>
      </c>
      <c r="AR21" s="53" t="e">
        <f t="shared" si="4"/>
        <v>#N/A</v>
      </c>
      <c r="AS21" s="53" t="e">
        <f t="shared" si="4"/>
        <v>#N/A</v>
      </c>
      <c r="AT21" s="53" t="e">
        <f t="shared" si="4"/>
        <v>#N/A</v>
      </c>
      <c r="AU21" s="53" t="e">
        <f t="shared" si="4"/>
        <v>#N/A</v>
      </c>
      <c r="AV21" s="53" t="e">
        <f t="shared" si="4"/>
        <v>#N/A</v>
      </c>
      <c r="AW21" s="53" t="e">
        <f t="shared" si="4"/>
        <v>#N/A</v>
      </c>
      <c r="AX21" s="53" t="e">
        <f t="shared" si="4"/>
        <v>#N/A</v>
      </c>
      <c r="AY21" s="53" t="e">
        <f t="shared" si="4"/>
        <v>#N/A</v>
      </c>
      <c r="AZ21" s="53" t="e">
        <f t="shared" si="4"/>
        <v>#N/A</v>
      </c>
      <c r="BA21" s="53" t="e">
        <f t="shared" si="4"/>
        <v>#N/A</v>
      </c>
      <c r="BB21" s="53" t="e">
        <f t="shared" si="4"/>
        <v>#N/A</v>
      </c>
      <c r="BC21" s="53" t="e">
        <f t="shared" si="4"/>
        <v>#N/A</v>
      </c>
      <c r="BD21" s="53" t="e">
        <f t="shared" si="4"/>
        <v>#N/A</v>
      </c>
      <c r="BE21" s="53" t="e">
        <f t="shared" si="4"/>
        <v>#N/A</v>
      </c>
      <c r="BF21" s="53" t="e">
        <f t="shared" si="4"/>
        <v>#N/A</v>
      </c>
      <c r="BG21" s="53" t="e">
        <f t="shared" si="4"/>
        <v>#N/A</v>
      </c>
      <c r="BH21" s="53" t="e">
        <f t="shared" si="4"/>
        <v>#N/A</v>
      </c>
      <c r="BI21" s="53" t="e">
        <f t="shared" si="4"/>
        <v>#N/A</v>
      </c>
    </row>
    <row r="22" spans="4:61" s="36" customFormat="1" x14ac:dyDescent="0.35">
      <c r="E22" s="36" t="str">
        <f t="shared" si="1"/>
        <v>Paiement du solde</v>
      </c>
      <c r="J22" s="36" t="str">
        <f t="shared" si="2"/>
        <v>Volume</v>
      </c>
      <c r="N22" s="53">
        <f t="shared" ref="N22:BI22" si="5">IF(N$3&lt;$I$10,N15,#N/A)</f>
        <v>0</v>
      </c>
      <c r="O22" s="53">
        <f t="shared" si="5"/>
        <v>0</v>
      </c>
      <c r="P22" s="53">
        <f t="shared" si="5"/>
        <v>0</v>
      </c>
      <c r="Q22" s="53">
        <f t="shared" si="5"/>
        <v>0</v>
      </c>
      <c r="R22" s="53">
        <f t="shared" si="5"/>
        <v>21</v>
      </c>
      <c r="S22" s="53">
        <f t="shared" si="5"/>
        <v>486</v>
      </c>
      <c r="T22" s="53">
        <f t="shared" si="5"/>
        <v>1328</v>
      </c>
      <c r="U22" s="53">
        <f t="shared" si="5"/>
        <v>1620</v>
      </c>
      <c r="V22" s="53">
        <f t="shared" si="5"/>
        <v>2404</v>
      </c>
      <c r="W22" s="53">
        <f t="shared" si="5"/>
        <v>3558</v>
      </c>
      <c r="X22" s="53">
        <f t="shared" si="5"/>
        <v>18930</v>
      </c>
      <c r="Y22" s="53">
        <f t="shared" si="5"/>
        <v>24201</v>
      </c>
      <c r="Z22" s="53">
        <f t="shared" si="5"/>
        <v>11896</v>
      </c>
      <c r="AA22" s="53">
        <f t="shared" si="5"/>
        <v>18436</v>
      </c>
      <c r="AB22" s="53">
        <f t="shared" si="5"/>
        <v>26308</v>
      </c>
      <c r="AC22" s="53">
        <f t="shared" si="5"/>
        <v>25819</v>
      </c>
      <c r="AD22" s="53">
        <f t="shared" si="5"/>
        <v>25351</v>
      </c>
      <c r="AE22" s="53">
        <f t="shared" si="5"/>
        <v>32358</v>
      </c>
      <c r="AF22" s="53">
        <f t="shared" si="5"/>
        <v>36220</v>
      </c>
      <c r="AG22" s="53">
        <f t="shared" si="5"/>
        <v>37185</v>
      </c>
      <c r="AH22" s="53">
        <f t="shared" si="5"/>
        <v>39041</v>
      </c>
      <c r="AI22" s="53">
        <f t="shared" si="5"/>
        <v>36356</v>
      </c>
      <c r="AJ22" s="53">
        <f t="shared" si="5"/>
        <v>33503</v>
      </c>
      <c r="AK22" s="53">
        <f t="shared" si="5"/>
        <v>41862</v>
      </c>
      <c r="AL22" s="53" t="e">
        <f t="shared" si="5"/>
        <v>#N/A</v>
      </c>
      <c r="AM22" s="53" t="e">
        <f t="shared" si="5"/>
        <v>#N/A</v>
      </c>
      <c r="AN22" s="53" t="e">
        <f t="shared" si="5"/>
        <v>#N/A</v>
      </c>
      <c r="AO22" s="53" t="e">
        <f t="shared" si="5"/>
        <v>#N/A</v>
      </c>
      <c r="AP22" s="53" t="e">
        <f t="shared" si="5"/>
        <v>#N/A</v>
      </c>
      <c r="AQ22" s="53" t="e">
        <f t="shared" si="5"/>
        <v>#N/A</v>
      </c>
      <c r="AR22" s="53" t="e">
        <f t="shared" si="5"/>
        <v>#N/A</v>
      </c>
      <c r="AS22" s="53" t="e">
        <f t="shared" si="5"/>
        <v>#N/A</v>
      </c>
      <c r="AT22" s="53" t="e">
        <f t="shared" si="5"/>
        <v>#N/A</v>
      </c>
      <c r="AU22" s="53" t="e">
        <f t="shared" si="5"/>
        <v>#N/A</v>
      </c>
      <c r="AV22" s="53" t="e">
        <f t="shared" si="5"/>
        <v>#N/A</v>
      </c>
      <c r="AW22" s="53" t="e">
        <f t="shared" si="5"/>
        <v>#N/A</v>
      </c>
      <c r="AX22" s="53" t="e">
        <f t="shared" si="5"/>
        <v>#N/A</v>
      </c>
      <c r="AY22" s="53" t="e">
        <f t="shared" si="5"/>
        <v>#N/A</v>
      </c>
      <c r="AZ22" s="53" t="e">
        <f t="shared" si="5"/>
        <v>#N/A</v>
      </c>
      <c r="BA22" s="53" t="e">
        <f t="shared" si="5"/>
        <v>#N/A</v>
      </c>
      <c r="BB22" s="53" t="e">
        <f t="shared" si="5"/>
        <v>#N/A</v>
      </c>
      <c r="BC22" s="53" t="e">
        <f t="shared" si="5"/>
        <v>#N/A</v>
      </c>
      <c r="BD22" s="53" t="e">
        <f t="shared" si="5"/>
        <v>#N/A</v>
      </c>
      <c r="BE22" s="53" t="e">
        <f t="shared" si="5"/>
        <v>#N/A</v>
      </c>
      <c r="BF22" s="53" t="e">
        <f t="shared" si="5"/>
        <v>#N/A</v>
      </c>
      <c r="BG22" s="53" t="e">
        <f t="shared" si="5"/>
        <v>#N/A</v>
      </c>
      <c r="BH22" s="53" t="e">
        <f t="shared" si="5"/>
        <v>#N/A</v>
      </c>
      <c r="BI22" s="53" t="e">
        <f t="shared" si="5"/>
        <v>#N/A</v>
      </c>
    </row>
    <row r="23" spans="4:61" s="36" customFormat="1" x14ac:dyDescent="0.35"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</row>
    <row r="24" spans="4:61" s="36" customFormat="1" x14ac:dyDescent="0.35">
      <c r="E24" s="43" t="s">
        <v>13</v>
      </c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</row>
    <row r="25" spans="4:61" s="36" customFormat="1" x14ac:dyDescent="0.35">
      <c r="E25" s="36" t="str">
        <f>E12</f>
        <v>Dépôt</v>
      </c>
      <c r="J25" s="36" t="str">
        <f>J12</f>
        <v>Volume</v>
      </c>
      <c r="N25" s="53" t="e">
        <f>IF(N$3&gt;=$I$10-1,N12,#N/A)</f>
        <v>#N/A</v>
      </c>
      <c r="O25" s="53" t="e">
        <f t="shared" ref="O25:BI25" si="6">IF(O$3&gt;=$I$10-1,O12,#N/A)</f>
        <v>#N/A</v>
      </c>
      <c r="P25" s="53" t="e">
        <f t="shared" si="6"/>
        <v>#N/A</v>
      </c>
      <c r="Q25" s="53" t="e">
        <f t="shared" si="6"/>
        <v>#N/A</v>
      </c>
      <c r="R25" s="53" t="e">
        <f t="shared" si="6"/>
        <v>#N/A</v>
      </c>
      <c r="S25" s="53" t="e">
        <f t="shared" si="6"/>
        <v>#N/A</v>
      </c>
      <c r="T25" s="53" t="e">
        <f t="shared" si="6"/>
        <v>#N/A</v>
      </c>
      <c r="U25" s="53" t="e">
        <f t="shared" si="6"/>
        <v>#N/A</v>
      </c>
      <c r="V25" s="53" t="e">
        <f t="shared" si="6"/>
        <v>#N/A</v>
      </c>
      <c r="W25" s="53" t="e">
        <f t="shared" si="6"/>
        <v>#N/A</v>
      </c>
      <c r="X25" s="53" t="e">
        <f t="shared" si="6"/>
        <v>#N/A</v>
      </c>
      <c r="Y25" s="53" t="e">
        <f t="shared" si="6"/>
        <v>#N/A</v>
      </c>
      <c r="Z25" s="53" t="e">
        <f t="shared" si="6"/>
        <v>#N/A</v>
      </c>
      <c r="AA25" s="53" t="e">
        <f t="shared" si="6"/>
        <v>#N/A</v>
      </c>
      <c r="AB25" s="53" t="e">
        <f t="shared" si="6"/>
        <v>#N/A</v>
      </c>
      <c r="AC25" s="53" t="e">
        <f t="shared" si="6"/>
        <v>#N/A</v>
      </c>
      <c r="AD25" s="53" t="e">
        <f t="shared" si="6"/>
        <v>#N/A</v>
      </c>
      <c r="AE25" s="53" t="e">
        <f t="shared" si="6"/>
        <v>#N/A</v>
      </c>
      <c r="AF25" s="53" t="e">
        <f t="shared" si="6"/>
        <v>#N/A</v>
      </c>
      <c r="AG25" s="53" t="e">
        <f t="shared" si="6"/>
        <v>#N/A</v>
      </c>
      <c r="AH25" s="53" t="e">
        <f t="shared" si="6"/>
        <v>#N/A</v>
      </c>
      <c r="AI25" s="53" t="e">
        <f t="shared" si="6"/>
        <v>#N/A</v>
      </c>
      <c r="AJ25" s="53" t="e">
        <f t="shared" si="6"/>
        <v>#N/A</v>
      </c>
      <c r="AK25" s="53">
        <f t="shared" si="6"/>
        <v>80621</v>
      </c>
      <c r="AL25" s="53">
        <f t="shared" si="6"/>
        <v>69086.403111506734</v>
      </c>
      <c r="AM25" s="53">
        <f t="shared" si="6"/>
        <v>77214.215242272243</v>
      </c>
      <c r="AN25" s="53">
        <f t="shared" si="6"/>
        <v>81278.12130765499</v>
      </c>
      <c r="AO25" s="53">
        <f t="shared" si="6"/>
        <v>81278.12130765499</v>
      </c>
      <c r="AP25" s="53">
        <f t="shared" si="6"/>
        <v>81278.12130765499</v>
      </c>
      <c r="AQ25" s="53">
        <f t="shared" si="6"/>
        <v>77214.215242272243</v>
      </c>
      <c r="AR25" s="53">
        <f t="shared" si="6"/>
        <v>65022.497046123994</v>
      </c>
      <c r="AS25" s="53">
        <f t="shared" si="6"/>
        <v>48766.87278459299</v>
      </c>
      <c r="AT25" s="53">
        <f t="shared" si="6"/>
        <v>73150.309176889496</v>
      </c>
      <c r="AU25" s="53">
        <f t="shared" si="6"/>
        <v>81278.12130765499</v>
      </c>
      <c r="AV25" s="53">
        <f t="shared" si="6"/>
        <v>81278.12130765499</v>
      </c>
      <c r="AW25" s="53">
        <f t="shared" si="6"/>
        <v>89405.933438420499</v>
      </c>
      <c r="AX25" s="53">
        <f t="shared" si="6"/>
        <v>75995.043422657429</v>
      </c>
      <c r="AY25" s="53">
        <f t="shared" si="6"/>
        <v>84935.636766499476</v>
      </c>
      <c r="AZ25" s="53">
        <f t="shared" si="6"/>
        <v>89405.933438420499</v>
      </c>
      <c r="BA25" s="53">
        <f t="shared" si="6"/>
        <v>89405.933438420499</v>
      </c>
      <c r="BB25" s="53">
        <f t="shared" si="6"/>
        <v>89405.933438420499</v>
      </c>
      <c r="BC25" s="53">
        <f t="shared" si="6"/>
        <v>84935.636766499476</v>
      </c>
      <c r="BD25" s="53">
        <f t="shared" si="6"/>
        <v>71524.746750736405</v>
      </c>
      <c r="BE25" s="53">
        <f t="shared" si="6"/>
        <v>53643.560063052297</v>
      </c>
      <c r="BF25" s="53">
        <f t="shared" si="6"/>
        <v>80465.340094578452</v>
      </c>
      <c r="BG25" s="53">
        <f t="shared" si="6"/>
        <v>89405.933438420499</v>
      </c>
      <c r="BH25" s="53">
        <f t="shared" si="6"/>
        <v>89405.933438420499</v>
      </c>
      <c r="BI25" s="53">
        <f t="shared" si="6"/>
        <v>98346.526782262561</v>
      </c>
    </row>
    <row r="26" spans="4:61" s="36" customFormat="1" x14ac:dyDescent="0.35">
      <c r="E26" s="36" t="str">
        <f t="shared" ref="E26:E28" si="7">E13</f>
        <v>Engagement</v>
      </c>
      <c r="J26" s="36" t="str">
        <f t="shared" ref="J26:J28" si="8">J13</f>
        <v>Volume</v>
      </c>
      <c r="N26" s="53" t="e">
        <f t="shared" ref="N26:BI26" si="9">IF(N$3&gt;=$I$10-1,N13,#N/A)</f>
        <v>#N/A</v>
      </c>
      <c r="O26" s="53" t="e">
        <f t="shared" si="9"/>
        <v>#N/A</v>
      </c>
      <c r="P26" s="53" t="e">
        <f t="shared" si="9"/>
        <v>#N/A</v>
      </c>
      <c r="Q26" s="53" t="e">
        <f t="shared" si="9"/>
        <v>#N/A</v>
      </c>
      <c r="R26" s="53" t="e">
        <f t="shared" si="9"/>
        <v>#N/A</v>
      </c>
      <c r="S26" s="53" t="e">
        <f t="shared" si="9"/>
        <v>#N/A</v>
      </c>
      <c r="T26" s="53" t="e">
        <f t="shared" si="9"/>
        <v>#N/A</v>
      </c>
      <c r="U26" s="53" t="e">
        <f t="shared" si="9"/>
        <v>#N/A</v>
      </c>
      <c r="V26" s="53" t="e">
        <f t="shared" si="9"/>
        <v>#N/A</v>
      </c>
      <c r="W26" s="53" t="e">
        <f t="shared" si="9"/>
        <v>#N/A</v>
      </c>
      <c r="X26" s="53" t="e">
        <f t="shared" si="9"/>
        <v>#N/A</v>
      </c>
      <c r="Y26" s="53" t="e">
        <f t="shared" si="9"/>
        <v>#N/A</v>
      </c>
      <c r="Z26" s="53" t="e">
        <f t="shared" si="9"/>
        <v>#N/A</v>
      </c>
      <c r="AA26" s="53" t="e">
        <f t="shared" si="9"/>
        <v>#N/A</v>
      </c>
      <c r="AB26" s="53" t="e">
        <f t="shared" si="9"/>
        <v>#N/A</v>
      </c>
      <c r="AC26" s="53" t="e">
        <f t="shared" si="9"/>
        <v>#N/A</v>
      </c>
      <c r="AD26" s="53" t="e">
        <f t="shared" si="9"/>
        <v>#N/A</v>
      </c>
      <c r="AE26" s="53" t="e">
        <f t="shared" si="9"/>
        <v>#N/A</v>
      </c>
      <c r="AF26" s="53" t="e">
        <f t="shared" si="9"/>
        <v>#N/A</v>
      </c>
      <c r="AG26" s="53" t="e">
        <f t="shared" si="9"/>
        <v>#N/A</v>
      </c>
      <c r="AH26" s="53" t="e">
        <f t="shared" si="9"/>
        <v>#N/A</v>
      </c>
      <c r="AI26" s="53" t="e">
        <f t="shared" si="9"/>
        <v>#N/A</v>
      </c>
      <c r="AJ26" s="53" t="e">
        <f t="shared" si="9"/>
        <v>#N/A</v>
      </c>
      <c r="AK26" s="53">
        <f t="shared" si="9"/>
        <v>70804</v>
      </c>
      <c r="AL26" s="53">
        <f t="shared" si="9"/>
        <v>65371.735654758428</v>
      </c>
      <c r="AM26" s="53">
        <f t="shared" si="9"/>
        <v>63873.376658526257</v>
      </c>
      <c r="AN26" s="53">
        <f t="shared" si="9"/>
        <v>73873.274065592719</v>
      </c>
      <c r="AO26" s="53">
        <f t="shared" si="9"/>
        <v>72547.17482812464</v>
      </c>
      <c r="AP26" s="53">
        <f t="shared" si="9"/>
        <v>74207.759944055273</v>
      </c>
      <c r="AQ26" s="53">
        <f t="shared" si="9"/>
        <v>69877.316848867995</v>
      </c>
      <c r="AR26" s="53">
        <f t="shared" si="9"/>
        <v>63676.963121060908</v>
      </c>
      <c r="AS26" s="53">
        <f t="shared" si="9"/>
        <v>50386.06586527796</v>
      </c>
      <c r="AT26" s="53">
        <f t="shared" si="9"/>
        <v>58224.509954096939</v>
      </c>
      <c r="AU26" s="53">
        <f t="shared" si="9"/>
        <v>69604.36557467503</v>
      </c>
      <c r="AV26" s="53">
        <f t="shared" si="9"/>
        <v>71378.934592984268</v>
      </c>
      <c r="AW26" s="53">
        <f t="shared" si="9"/>
        <v>78753.149697082248</v>
      </c>
      <c r="AX26" s="53">
        <f t="shared" si="9"/>
        <v>72486.86571658848</v>
      </c>
      <c r="AY26" s="53">
        <f t="shared" si="9"/>
        <v>70348.127966319968</v>
      </c>
      <c r="AZ26" s="53">
        <f t="shared" si="9"/>
        <v>81269.01370344765</v>
      </c>
      <c r="BA26" s="53">
        <f t="shared" si="9"/>
        <v>79802.169587532859</v>
      </c>
      <c r="BB26" s="53">
        <f t="shared" si="9"/>
        <v>81628.540237268462</v>
      </c>
      <c r="BC26" s="53">
        <f t="shared" si="9"/>
        <v>76865.048555801855</v>
      </c>
      <c r="BD26" s="53">
        <f t="shared" si="9"/>
        <v>70044.659433217879</v>
      </c>
      <c r="BE26" s="53">
        <f t="shared" si="9"/>
        <v>55424.672451805804</v>
      </c>
      <c r="BF26" s="53">
        <f t="shared" si="9"/>
        <v>64046.96094950664</v>
      </c>
      <c r="BG26" s="53">
        <f t="shared" si="9"/>
        <v>76564.802132142533</v>
      </c>
      <c r="BH26" s="53">
        <f t="shared" si="9"/>
        <v>78516.828052282712</v>
      </c>
      <c r="BI26" s="53">
        <f t="shared" si="9"/>
        <v>86628.464666790489</v>
      </c>
    </row>
    <row r="27" spans="4:61" s="36" customFormat="1" x14ac:dyDescent="0.35">
      <c r="E27" s="36" t="str">
        <f t="shared" si="7"/>
        <v>Demande de solde</v>
      </c>
      <c r="J27" s="36" t="str">
        <f t="shared" si="8"/>
        <v>Volume</v>
      </c>
      <c r="N27" s="53" t="e">
        <f t="shared" ref="N27:BI27" si="10">IF(N$3&gt;=$I$10-1,N14,#N/A)</f>
        <v>#N/A</v>
      </c>
      <c r="O27" s="53" t="e">
        <f t="shared" si="10"/>
        <v>#N/A</v>
      </c>
      <c r="P27" s="53" t="e">
        <f t="shared" si="10"/>
        <v>#N/A</v>
      </c>
      <c r="Q27" s="53" t="e">
        <f t="shared" si="10"/>
        <v>#N/A</v>
      </c>
      <c r="R27" s="53" t="e">
        <f t="shared" si="10"/>
        <v>#N/A</v>
      </c>
      <c r="S27" s="53" t="e">
        <f t="shared" si="10"/>
        <v>#N/A</v>
      </c>
      <c r="T27" s="53" t="e">
        <f t="shared" si="10"/>
        <v>#N/A</v>
      </c>
      <c r="U27" s="53" t="e">
        <f t="shared" si="10"/>
        <v>#N/A</v>
      </c>
      <c r="V27" s="53" t="e">
        <f t="shared" si="10"/>
        <v>#N/A</v>
      </c>
      <c r="W27" s="53" t="e">
        <f t="shared" si="10"/>
        <v>#N/A</v>
      </c>
      <c r="X27" s="53" t="e">
        <f t="shared" si="10"/>
        <v>#N/A</v>
      </c>
      <c r="Y27" s="53" t="e">
        <f t="shared" si="10"/>
        <v>#N/A</v>
      </c>
      <c r="Z27" s="53" t="e">
        <f t="shared" si="10"/>
        <v>#N/A</v>
      </c>
      <c r="AA27" s="53" t="e">
        <f t="shared" si="10"/>
        <v>#N/A</v>
      </c>
      <c r="AB27" s="53" t="e">
        <f t="shared" si="10"/>
        <v>#N/A</v>
      </c>
      <c r="AC27" s="53" t="e">
        <f t="shared" si="10"/>
        <v>#N/A</v>
      </c>
      <c r="AD27" s="53" t="e">
        <f t="shared" si="10"/>
        <v>#N/A</v>
      </c>
      <c r="AE27" s="53" t="e">
        <f t="shared" si="10"/>
        <v>#N/A</v>
      </c>
      <c r="AF27" s="53" t="e">
        <f t="shared" si="10"/>
        <v>#N/A</v>
      </c>
      <c r="AG27" s="53" t="e">
        <f t="shared" si="10"/>
        <v>#N/A</v>
      </c>
      <c r="AH27" s="53" t="e">
        <f t="shared" si="10"/>
        <v>#N/A</v>
      </c>
      <c r="AI27" s="53" t="e">
        <f t="shared" si="10"/>
        <v>#N/A</v>
      </c>
      <c r="AJ27" s="53" t="e">
        <f t="shared" si="10"/>
        <v>#N/A</v>
      </c>
      <c r="AK27" s="53">
        <f t="shared" si="10"/>
        <v>56324</v>
      </c>
      <c r="AL27" s="53">
        <f t="shared" si="10"/>
        <v>55779.354484422802</v>
      </c>
      <c r="AM27" s="53">
        <f t="shared" si="10"/>
        <v>52425.82824647989</v>
      </c>
      <c r="AN27" s="53">
        <f t="shared" si="10"/>
        <v>60235.743482396771</v>
      </c>
      <c r="AO27" s="53">
        <f t="shared" si="10"/>
        <v>59531.72975090504</v>
      </c>
      <c r="AP27" s="53">
        <f t="shared" si="10"/>
        <v>62473.721581154561</v>
      </c>
      <c r="AQ27" s="53">
        <f t="shared" si="10"/>
        <v>60509.608006077935</v>
      </c>
      <c r="AR27" s="53">
        <f t="shared" si="10"/>
        <v>60763.115116330067</v>
      </c>
      <c r="AS27" s="53">
        <f t="shared" si="10"/>
        <v>56949.508506996957</v>
      </c>
      <c r="AT27" s="53">
        <f t="shared" si="10"/>
        <v>57053.136182929935</v>
      </c>
      <c r="AU27" s="53">
        <f t="shared" si="10"/>
        <v>61251.178951307833</v>
      </c>
      <c r="AV27" s="53">
        <f t="shared" si="10"/>
        <v>60402.402042979265</v>
      </c>
      <c r="AW27" s="53">
        <f t="shared" si="10"/>
        <v>64175.252174882356</v>
      </c>
      <c r="AX27" s="53">
        <f t="shared" si="10"/>
        <v>63005.515505017313</v>
      </c>
      <c r="AY27" s="53">
        <f t="shared" si="10"/>
        <v>58444.060974671265</v>
      </c>
      <c r="AZ27" s="53">
        <f t="shared" si="10"/>
        <v>66515.865208060728</v>
      </c>
      <c r="BA27" s="53">
        <f t="shared" si="10"/>
        <v>65544.945076049407</v>
      </c>
      <c r="BB27" s="53">
        <f t="shared" si="10"/>
        <v>68579.424332022172</v>
      </c>
      <c r="BC27" s="53">
        <f t="shared" si="10"/>
        <v>66630.538624534631</v>
      </c>
      <c r="BD27" s="53">
        <f t="shared" si="10"/>
        <v>66973.324207001657</v>
      </c>
      <c r="BE27" s="53">
        <f t="shared" si="10"/>
        <v>62873.030008606853</v>
      </c>
      <c r="BF27" s="53">
        <f t="shared" si="10"/>
        <v>62902.09938989528</v>
      </c>
      <c r="BG27" s="53">
        <f t="shared" si="10"/>
        <v>67489.377899406871</v>
      </c>
      <c r="BH27" s="53">
        <f t="shared" si="10"/>
        <v>66481.718475194008</v>
      </c>
      <c r="BI27" s="53">
        <f t="shared" si="10"/>
        <v>70608.725113188964</v>
      </c>
    </row>
    <row r="28" spans="4:61" s="36" customFormat="1" x14ac:dyDescent="0.35">
      <c r="E28" s="36" t="str">
        <f t="shared" si="7"/>
        <v>Paiement du solde</v>
      </c>
      <c r="J28" s="36" t="str">
        <f t="shared" si="8"/>
        <v>Volume</v>
      </c>
      <c r="N28" s="53" t="e">
        <f t="shared" ref="N28:BI28" si="11">IF(N$3&gt;=$I$10-1,N15,#N/A)</f>
        <v>#N/A</v>
      </c>
      <c r="O28" s="53" t="e">
        <f t="shared" si="11"/>
        <v>#N/A</v>
      </c>
      <c r="P28" s="53" t="e">
        <f t="shared" si="11"/>
        <v>#N/A</v>
      </c>
      <c r="Q28" s="53" t="e">
        <f t="shared" si="11"/>
        <v>#N/A</v>
      </c>
      <c r="R28" s="53" t="e">
        <f t="shared" si="11"/>
        <v>#N/A</v>
      </c>
      <c r="S28" s="53" t="e">
        <f t="shared" si="11"/>
        <v>#N/A</v>
      </c>
      <c r="T28" s="53" t="e">
        <f t="shared" si="11"/>
        <v>#N/A</v>
      </c>
      <c r="U28" s="53" t="e">
        <f t="shared" si="11"/>
        <v>#N/A</v>
      </c>
      <c r="V28" s="53" t="e">
        <f t="shared" si="11"/>
        <v>#N/A</v>
      </c>
      <c r="W28" s="53" t="e">
        <f t="shared" si="11"/>
        <v>#N/A</v>
      </c>
      <c r="X28" s="53" t="e">
        <f t="shared" si="11"/>
        <v>#N/A</v>
      </c>
      <c r="Y28" s="53" t="e">
        <f t="shared" si="11"/>
        <v>#N/A</v>
      </c>
      <c r="Z28" s="53" t="e">
        <f t="shared" si="11"/>
        <v>#N/A</v>
      </c>
      <c r="AA28" s="53" t="e">
        <f t="shared" si="11"/>
        <v>#N/A</v>
      </c>
      <c r="AB28" s="53" t="e">
        <f t="shared" si="11"/>
        <v>#N/A</v>
      </c>
      <c r="AC28" s="53" t="e">
        <f t="shared" si="11"/>
        <v>#N/A</v>
      </c>
      <c r="AD28" s="53" t="e">
        <f t="shared" si="11"/>
        <v>#N/A</v>
      </c>
      <c r="AE28" s="53" t="e">
        <f t="shared" si="11"/>
        <v>#N/A</v>
      </c>
      <c r="AF28" s="53" t="e">
        <f t="shared" si="11"/>
        <v>#N/A</v>
      </c>
      <c r="AG28" s="53" t="e">
        <f t="shared" si="11"/>
        <v>#N/A</v>
      </c>
      <c r="AH28" s="53" t="e">
        <f t="shared" si="11"/>
        <v>#N/A</v>
      </c>
      <c r="AI28" s="53" t="e">
        <f t="shared" si="11"/>
        <v>#N/A</v>
      </c>
      <c r="AJ28" s="53" t="e">
        <f t="shared" si="11"/>
        <v>#N/A</v>
      </c>
      <c r="AK28" s="53">
        <f t="shared" si="11"/>
        <v>41862</v>
      </c>
      <c r="AL28" s="53">
        <f t="shared" si="11"/>
        <v>50874.42615728989</v>
      </c>
      <c r="AM28" s="53">
        <f t="shared" si="11"/>
        <v>47377.758857928959</v>
      </c>
      <c r="AN28" s="53">
        <f t="shared" si="11"/>
        <v>54689.238130470832</v>
      </c>
      <c r="AO28" s="53">
        <f t="shared" si="11"/>
        <v>54295.857322266689</v>
      </c>
      <c r="AP28" s="53">
        <f t="shared" si="11"/>
        <v>57633.841561419991</v>
      </c>
      <c r="AQ28" s="53">
        <f t="shared" si="11"/>
        <v>56459.636421889329</v>
      </c>
      <c r="AR28" s="53">
        <f t="shared" si="11"/>
        <v>58397.320414119422</v>
      </c>
      <c r="AS28" s="53">
        <f t="shared" si="11"/>
        <v>56989.854372342103</v>
      </c>
      <c r="AT28" s="53">
        <f t="shared" si="11"/>
        <v>54784.336297226713</v>
      </c>
      <c r="AU28" s="53">
        <f t="shared" si="11"/>
        <v>57112.51821665145</v>
      </c>
      <c r="AV28" s="53">
        <f t="shared" si="11"/>
        <v>55715.033402139583</v>
      </c>
      <c r="AW28" s="53">
        <f t="shared" si="11"/>
        <v>58934.122309449682</v>
      </c>
      <c r="AX28" s="53">
        <f t="shared" si="11"/>
        <v>59389.521387664136</v>
      </c>
      <c r="AY28" s="53">
        <f t="shared" si="11"/>
        <v>54021.9893760821</v>
      </c>
      <c r="AZ28" s="53">
        <f t="shared" si="11"/>
        <v>61420.658646385957</v>
      </c>
      <c r="BA28" s="53">
        <f t="shared" si="11"/>
        <v>60426.58148098534</v>
      </c>
      <c r="BB28" s="53">
        <f t="shared" si="11"/>
        <v>63729.706306969987</v>
      </c>
      <c r="BC28" s="53">
        <f t="shared" si="11"/>
        <v>62279.362678848709</v>
      </c>
      <c r="BD28" s="53">
        <f t="shared" si="11"/>
        <v>64347.866488255546</v>
      </c>
      <c r="BE28" s="53">
        <f t="shared" si="11"/>
        <v>62816.545191370358</v>
      </c>
      <c r="BF28" s="53">
        <f t="shared" si="11"/>
        <v>60385.014715243255</v>
      </c>
      <c r="BG28" s="53">
        <f t="shared" si="11"/>
        <v>62951.181924503922</v>
      </c>
      <c r="BH28" s="53">
        <f t="shared" si="11"/>
        <v>61383.322299185478</v>
      </c>
      <c r="BI28" s="53">
        <f t="shared" si="11"/>
        <v>64898.597396549259</v>
      </c>
    </row>
    <row r="29" spans="4:61" s="36" customFormat="1" x14ac:dyDescent="0.35"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</row>
    <row r="30" spans="4:61" s="36" customFormat="1" x14ac:dyDescent="0.35">
      <c r="D30" s="38" t="s">
        <v>144</v>
      </c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</row>
    <row r="31" spans="4:61" s="36" customFormat="1" x14ac:dyDescent="0.35"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</row>
    <row r="32" spans="4:61" s="36" customFormat="1" x14ac:dyDescent="0.35">
      <c r="E32" s="36" t="str">
        <f>Paramétrage_général!E11</f>
        <v>Date de début de projection</v>
      </c>
      <c r="I32" s="42">
        <f>Paramétrage_général!I11</f>
        <v>44562</v>
      </c>
      <c r="J32" s="36" t="str">
        <f>Paramétrage_général!J11</f>
        <v>date</v>
      </c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</row>
    <row r="33" spans="4:61" s="36" customFormat="1" x14ac:dyDescent="0.35"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</row>
    <row r="34" spans="4:61" s="36" customFormat="1" x14ac:dyDescent="0.35">
      <c r="E34" s="36" t="str">
        <f>Consolidation!E15</f>
        <v>AE</v>
      </c>
      <c r="J34" s="36" t="str">
        <f>Consolidation!J15</f>
        <v>EUR</v>
      </c>
      <c r="N34" s="53">
        <f>Consolidation!N15</f>
        <v>0</v>
      </c>
      <c r="O34" s="53">
        <f>Consolidation!O15</f>
        <v>0</v>
      </c>
      <c r="P34" s="53">
        <f>Consolidation!P15</f>
        <v>0</v>
      </c>
      <c r="Q34" s="53">
        <f>Consolidation!Q15</f>
        <v>1695772.18</v>
      </c>
      <c r="R34" s="53">
        <f>Consolidation!R15</f>
        <v>10857056.4</v>
      </c>
      <c r="S34" s="53">
        <f>Consolidation!S15</f>
        <v>20903722.16</v>
      </c>
      <c r="T34" s="53">
        <f>Consolidation!T15</f>
        <v>86860879.709999993</v>
      </c>
      <c r="U34" s="53">
        <f>Consolidation!U15</f>
        <v>172650165.98999998</v>
      </c>
      <c r="V34" s="53">
        <f>Consolidation!V15</f>
        <v>56744656.729999997</v>
      </c>
      <c r="W34" s="53">
        <f>Consolidation!W15</f>
        <v>49191457.199999996</v>
      </c>
      <c r="X34" s="53">
        <f>Consolidation!X15</f>
        <v>62737630.460000001</v>
      </c>
      <c r="Y34" s="53">
        <f>Consolidation!Y15</f>
        <v>96259370.75</v>
      </c>
      <c r="Z34" s="53">
        <f>Consolidation!Z15</f>
        <v>98841653.359999999</v>
      </c>
      <c r="AA34" s="53">
        <f>Consolidation!AA15</f>
        <v>90416529.280000001</v>
      </c>
      <c r="AB34" s="53">
        <f>Consolidation!AB15</f>
        <v>125096934.06</v>
      </c>
      <c r="AC34" s="53">
        <f>Consolidation!AC15</f>
        <v>146747065.94</v>
      </c>
      <c r="AD34" s="53">
        <f>Consolidation!AD15</f>
        <v>162667278.99000001</v>
      </c>
      <c r="AE34" s="53">
        <f>Consolidation!AE15</f>
        <v>217879019.91</v>
      </c>
      <c r="AF34" s="53">
        <f>Consolidation!AF15</f>
        <v>214072464.44</v>
      </c>
      <c r="AG34" s="53">
        <f>Consolidation!AG15</f>
        <v>179819241.91</v>
      </c>
      <c r="AH34" s="53">
        <f>Consolidation!AH15</f>
        <v>166012837.03999999</v>
      </c>
      <c r="AI34" s="53">
        <f>Consolidation!AI15</f>
        <v>190877152.22</v>
      </c>
      <c r="AJ34" s="53">
        <f>Consolidation!AJ15</f>
        <v>208115596.47999999</v>
      </c>
      <c r="AK34" s="53">
        <f>Consolidation!AK15</f>
        <v>252048165.98999998</v>
      </c>
      <c r="AL34" s="53">
        <f>Consolidation!AL15</f>
        <v>213569137.38977191</v>
      </c>
      <c r="AM34" s="53">
        <f>Consolidation!AM15</f>
        <v>202446364.55863866</v>
      </c>
      <c r="AN34" s="53">
        <f>Consolidation!AN15</f>
        <v>232450675.47761637</v>
      </c>
      <c r="AO34" s="53">
        <f>Consolidation!AO15</f>
        <v>227977457.98599917</v>
      </c>
      <c r="AP34" s="53">
        <f>Consolidation!AP15</f>
        <v>232416952.78830314</v>
      </c>
      <c r="AQ34" s="53">
        <f>Consolidation!AQ15</f>
        <v>217772968.71084768</v>
      </c>
      <c r="AR34" s="53">
        <f>Consolidation!AR15</f>
        <v>196512680.0211184</v>
      </c>
      <c r="AS34" s="53">
        <f>Consolidation!AS15</f>
        <v>152890694.04308194</v>
      </c>
      <c r="AT34" s="53">
        <f>Consolidation!AT15</f>
        <v>178027313.68446052</v>
      </c>
      <c r="AU34" s="53">
        <f>Consolidation!AU15</f>
        <v>213805287.81276548</v>
      </c>
      <c r="AV34" s="53">
        <f>Consolidation!AV15</f>
        <v>219308254.12965986</v>
      </c>
      <c r="AW34" s="53">
        <f>Consolidation!AW15</f>
        <v>242043914.02026135</v>
      </c>
      <c r="AX34" s="53">
        <f>Consolidation!AX15</f>
        <v>229090345.51953888</v>
      </c>
      <c r="AY34" s="53">
        <f>Consolidation!AY15</f>
        <v>226077639.4065114</v>
      </c>
      <c r="AZ34" s="53">
        <f>Consolidation!AZ15</f>
        <v>262823109.3896181</v>
      </c>
      <c r="BA34" s="53">
        <f>Consolidation!BA15</f>
        <v>258358157.11934394</v>
      </c>
      <c r="BB34" s="53">
        <f>Consolidation!BB15</f>
        <v>263557208.60002953</v>
      </c>
      <c r="BC34" s="53">
        <f>Consolidation!BC15</f>
        <v>247026907.72899646</v>
      </c>
      <c r="BD34" s="53">
        <f>Consolidation!BD15</f>
        <v>222957524.92105895</v>
      </c>
      <c r="BE34" s="53">
        <f>Consolidation!BE15</f>
        <v>173510235.0903329</v>
      </c>
      <c r="BF34" s="53">
        <f>Consolidation!BF15</f>
        <v>201945614.0760566</v>
      </c>
      <c r="BG34" s="53">
        <f>Consolidation!BG15</f>
        <v>242452944.02202249</v>
      </c>
      <c r="BH34" s="53">
        <f>Consolidation!BH15</f>
        <v>248634843.79249895</v>
      </c>
      <c r="BI34" s="53">
        <f>Consolidation!BI15</f>
        <v>274345373.36815464</v>
      </c>
    </row>
    <row r="35" spans="4:61" s="36" customFormat="1" x14ac:dyDescent="0.35">
      <c r="E35" s="36" t="str">
        <f>Consolidation!E24</f>
        <v>CP</v>
      </c>
      <c r="J35" s="36" t="str">
        <f>Consolidation!J24</f>
        <v>EUR</v>
      </c>
      <c r="N35" s="53">
        <f>Consolidation!N24</f>
        <v>0</v>
      </c>
      <c r="O35" s="53">
        <f>Consolidation!O24</f>
        <v>0</v>
      </c>
      <c r="P35" s="53">
        <f>Consolidation!P24</f>
        <v>0</v>
      </c>
      <c r="Q35" s="53">
        <f>Consolidation!Q24</f>
        <v>0</v>
      </c>
      <c r="R35" s="53">
        <f>Consolidation!R24</f>
        <v>44685</v>
      </c>
      <c r="S35" s="53">
        <f>Consolidation!S24</f>
        <v>988666</v>
      </c>
      <c r="T35" s="53">
        <f>Consolidation!T24</f>
        <v>2666424.33</v>
      </c>
      <c r="U35" s="53">
        <f>Consolidation!U24</f>
        <v>4076365.0500000003</v>
      </c>
      <c r="V35" s="53">
        <f>Consolidation!V24</f>
        <v>5883797.21</v>
      </c>
      <c r="W35" s="53">
        <f>Consolidation!W24</f>
        <v>9110238.3299999982</v>
      </c>
      <c r="X35" s="53">
        <f>Consolidation!X24</f>
        <v>54343679.780000001</v>
      </c>
      <c r="Y35" s="53">
        <f>Consolidation!Y24</f>
        <v>91327996.13000001</v>
      </c>
      <c r="Z35" s="53">
        <f>Consolidation!Z24</f>
        <v>57959106.899999999</v>
      </c>
      <c r="AA35" s="53">
        <f>Consolidation!AA24</f>
        <v>63502830.950000003</v>
      </c>
      <c r="AB35" s="53">
        <f>Consolidation!AB24</f>
        <v>78536829.879999995</v>
      </c>
      <c r="AC35" s="53">
        <f>Consolidation!AC24</f>
        <v>75532383.310000002</v>
      </c>
      <c r="AD35" s="53">
        <f>Consolidation!AD24</f>
        <v>67652538.760000005</v>
      </c>
      <c r="AE35" s="53">
        <f>Consolidation!AE24</f>
        <v>76822066.180000007</v>
      </c>
      <c r="AF35" s="53">
        <f>Consolidation!AF24</f>
        <v>101948427.05</v>
      </c>
      <c r="AG35" s="53">
        <f>Consolidation!AG24</f>
        <v>108363850.11</v>
      </c>
      <c r="AH35" s="53">
        <f>Consolidation!AH24</f>
        <v>118512433.97</v>
      </c>
      <c r="AI35" s="53">
        <f>Consolidation!AI24</f>
        <v>109103567.56</v>
      </c>
      <c r="AJ35" s="53">
        <f>Consolidation!AJ24</f>
        <v>101722098.48999999</v>
      </c>
      <c r="AK35" s="53">
        <f>Consolidation!AK24</f>
        <v>126204293.53999999</v>
      </c>
      <c r="AL35" s="53">
        <f>Consolidation!AL24</f>
        <v>159841051.33323553</v>
      </c>
      <c r="AM35" s="53">
        <f>Consolidation!AM24</f>
        <v>151333884.88083631</v>
      </c>
      <c r="AN35" s="53">
        <f>Consolidation!AN24</f>
        <v>177347171.69798031</v>
      </c>
      <c r="AO35" s="53">
        <f>Consolidation!AO24</f>
        <v>178318324.568039</v>
      </c>
      <c r="AP35" s="53">
        <f>Consolidation!AP24</f>
        <v>190620311.78302449</v>
      </c>
      <c r="AQ35" s="53">
        <f>Consolidation!AQ24</f>
        <v>187169625.42402199</v>
      </c>
      <c r="AR35" s="53">
        <f>Consolidation!AR24</f>
        <v>193427451.5407677</v>
      </c>
      <c r="AS35" s="53">
        <f>Consolidation!AS24</f>
        <v>188369069.42900318</v>
      </c>
      <c r="AT35" s="53">
        <f>Consolidation!AT24</f>
        <v>180500160.66456586</v>
      </c>
      <c r="AU35" s="53">
        <f>Consolidation!AU24</f>
        <v>187528793.75040492</v>
      </c>
      <c r="AV35" s="53">
        <f>Consolidation!AV24</f>
        <v>182483295.57523215</v>
      </c>
      <c r="AW35" s="53">
        <f>Consolidation!AW24</f>
        <v>192493121.51317078</v>
      </c>
      <c r="AX35" s="53">
        <f>Consolidation!AX24</f>
        <v>194023546.48965549</v>
      </c>
      <c r="AY35" s="53">
        <f>Consolidation!AY24</f>
        <v>176797296.01040083</v>
      </c>
      <c r="AZ35" s="53">
        <f>Consolidation!AZ24</f>
        <v>201378248.73210132</v>
      </c>
      <c r="BA35" s="53">
        <f>Consolidation!BA24</f>
        <v>198678369.30868259</v>
      </c>
      <c r="BB35" s="53">
        <f>Consolidation!BB24</f>
        <v>210190184.24804074</v>
      </c>
      <c r="BC35" s="53">
        <f>Consolidation!BC24</f>
        <v>205897879.64899209</v>
      </c>
      <c r="BD35" s="53">
        <f>Consolidation!BD24</f>
        <v>213183401.37674934</v>
      </c>
      <c r="BE35" s="53">
        <f>Consolidation!BE24</f>
        <v>208447792.53781164</v>
      </c>
      <c r="BF35" s="53">
        <f>Consolidation!BF24</f>
        <v>200644882.24729994</v>
      </c>
      <c r="BG35" s="53">
        <f>Consolidation!BG24</f>
        <v>209354603.33194137</v>
      </c>
      <c r="BH35" s="53">
        <f>Consolidation!BH24</f>
        <v>204531104.19582459</v>
      </c>
      <c r="BI35" s="53">
        <f>Consolidation!BI24</f>
        <v>216608040.0205262</v>
      </c>
    </row>
    <row r="36" spans="4:61" s="36" customFormat="1" x14ac:dyDescent="0.35"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</row>
    <row r="37" spans="4:61" s="36" customFormat="1" x14ac:dyDescent="0.35"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</row>
    <row r="38" spans="4:61" s="36" customFormat="1" x14ac:dyDescent="0.35">
      <c r="E38" s="43" t="s">
        <v>12</v>
      </c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</row>
    <row r="39" spans="4:61" s="36" customFormat="1" x14ac:dyDescent="0.35">
      <c r="E39" s="36" t="str">
        <f>E34</f>
        <v>AE</v>
      </c>
      <c r="J39" s="36" t="str">
        <f>J34</f>
        <v>EUR</v>
      </c>
      <c r="N39" s="53">
        <f t="shared" ref="N39:BI39" si="12">IF(N$3&lt;$I$10,N34,#N/A)</f>
        <v>0</v>
      </c>
      <c r="O39" s="53">
        <f t="shared" si="12"/>
        <v>0</v>
      </c>
      <c r="P39" s="53">
        <f t="shared" si="12"/>
        <v>0</v>
      </c>
      <c r="Q39" s="53">
        <f t="shared" si="12"/>
        <v>1695772.18</v>
      </c>
      <c r="R39" s="53">
        <f t="shared" si="12"/>
        <v>10857056.4</v>
      </c>
      <c r="S39" s="53">
        <f t="shared" si="12"/>
        <v>20903722.16</v>
      </c>
      <c r="T39" s="53">
        <f t="shared" si="12"/>
        <v>86860879.709999993</v>
      </c>
      <c r="U39" s="53">
        <f t="shared" si="12"/>
        <v>172650165.98999998</v>
      </c>
      <c r="V39" s="53">
        <f t="shared" si="12"/>
        <v>56744656.729999997</v>
      </c>
      <c r="W39" s="53">
        <f t="shared" si="12"/>
        <v>49191457.199999996</v>
      </c>
      <c r="X39" s="53">
        <f t="shared" si="12"/>
        <v>62737630.460000001</v>
      </c>
      <c r="Y39" s="53">
        <f t="shared" si="12"/>
        <v>96259370.75</v>
      </c>
      <c r="Z39" s="53">
        <f t="shared" si="12"/>
        <v>98841653.359999999</v>
      </c>
      <c r="AA39" s="53">
        <f t="shared" si="12"/>
        <v>90416529.280000001</v>
      </c>
      <c r="AB39" s="53">
        <f t="shared" si="12"/>
        <v>125096934.06</v>
      </c>
      <c r="AC39" s="53">
        <f t="shared" si="12"/>
        <v>146747065.94</v>
      </c>
      <c r="AD39" s="53">
        <f t="shared" si="12"/>
        <v>162667278.99000001</v>
      </c>
      <c r="AE39" s="53">
        <f t="shared" si="12"/>
        <v>217879019.91</v>
      </c>
      <c r="AF39" s="53">
        <f t="shared" si="12"/>
        <v>214072464.44</v>
      </c>
      <c r="AG39" s="53">
        <f t="shared" si="12"/>
        <v>179819241.91</v>
      </c>
      <c r="AH39" s="53">
        <f t="shared" si="12"/>
        <v>166012837.03999999</v>
      </c>
      <c r="AI39" s="53">
        <f t="shared" si="12"/>
        <v>190877152.22</v>
      </c>
      <c r="AJ39" s="53">
        <f t="shared" si="12"/>
        <v>208115596.47999999</v>
      </c>
      <c r="AK39" s="53">
        <f t="shared" si="12"/>
        <v>252048165.98999998</v>
      </c>
      <c r="AL39" s="53" t="e">
        <f t="shared" si="12"/>
        <v>#N/A</v>
      </c>
      <c r="AM39" s="53" t="e">
        <f t="shared" si="12"/>
        <v>#N/A</v>
      </c>
      <c r="AN39" s="53" t="e">
        <f t="shared" si="12"/>
        <v>#N/A</v>
      </c>
      <c r="AO39" s="53" t="e">
        <f t="shared" si="12"/>
        <v>#N/A</v>
      </c>
      <c r="AP39" s="53" t="e">
        <f t="shared" si="12"/>
        <v>#N/A</v>
      </c>
      <c r="AQ39" s="53" t="e">
        <f t="shared" si="12"/>
        <v>#N/A</v>
      </c>
      <c r="AR39" s="53" t="e">
        <f t="shared" si="12"/>
        <v>#N/A</v>
      </c>
      <c r="AS39" s="53" t="e">
        <f t="shared" si="12"/>
        <v>#N/A</v>
      </c>
      <c r="AT39" s="53" t="e">
        <f t="shared" si="12"/>
        <v>#N/A</v>
      </c>
      <c r="AU39" s="53" t="e">
        <f t="shared" si="12"/>
        <v>#N/A</v>
      </c>
      <c r="AV39" s="53" t="e">
        <f t="shared" si="12"/>
        <v>#N/A</v>
      </c>
      <c r="AW39" s="53" t="e">
        <f t="shared" si="12"/>
        <v>#N/A</v>
      </c>
      <c r="AX39" s="53" t="e">
        <f t="shared" si="12"/>
        <v>#N/A</v>
      </c>
      <c r="AY39" s="53" t="e">
        <f t="shared" si="12"/>
        <v>#N/A</v>
      </c>
      <c r="AZ39" s="53" t="e">
        <f t="shared" si="12"/>
        <v>#N/A</v>
      </c>
      <c r="BA39" s="53" t="e">
        <f t="shared" si="12"/>
        <v>#N/A</v>
      </c>
      <c r="BB39" s="53" t="e">
        <f t="shared" si="12"/>
        <v>#N/A</v>
      </c>
      <c r="BC39" s="53" t="e">
        <f t="shared" si="12"/>
        <v>#N/A</v>
      </c>
      <c r="BD39" s="53" t="e">
        <f t="shared" si="12"/>
        <v>#N/A</v>
      </c>
      <c r="BE39" s="53" t="e">
        <f t="shared" si="12"/>
        <v>#N/A</v>
      </c>
      <c r="BF39" s="53" t="e">
        <f t="shared" si="12"/>
        <v>#N/A</v>
      </c>
      <c r="BG39" s="53" t="e">
        <f t="shared" si="12"/>
        <v>#N/A</v>
      </c>
      <c r="BH39" s="53" t="e">
        <f t="shared" si="12"/>
        <v>#N/A</v>
      </c>
      <c r="BI39" s="53" t="e">
        <f t="shared" si="12"/>
        <v>#N/A</v>
      </c>
    </row>
    <row r="40" spans="4:61" s="36" customFormat="1" x14ac:dyDescent="0.35">
      <c r="E40" s="36" t="str">
        <f>E35</f>
        <v>CP</v>
      </c>
      <c r="J40" s="36" t="str">
        <f>J35</f>
        <v>EUR</v>
      </c>
      <c r="N40" s="53">
        <f t="shared" ref="N40:BI40" si="13">IF(N$3&lt;$I$10,N35,#N/A)</f>
        <v>0</v>
      </c>
      <c r="O40" s="53">
        <f t="shared" si="13"/>
        <v>0</v>
      </c>
      <c r="P40" s="53">
        <f t="shared" si="13"/>
        <v>0</v>
      </c>
      <c r="Q40" s="53">
        <f t="shared" si="13"/>
        <v>0</v>
      </c>
      <c r="R40" s="53">
        <f t="shared" si="13"/>
        <v>44685</v>
      </c>
      <c r="S40" s="53">
        <f t="shared" si="13"/>
        <v>988666</v>
      </c>
      <c r="T40" s="53">
        <f t="shared" si="13"/>
        <v>2666424.33</v>
      </c>
      <c r="U40" s="53">
        <f t="shared" si="13"/>
        <v>4076365.0500000003</v>
      </c>
      <c r="V40" s="53">
        <f t="shared" si="13"/>
        <v>5883797.21</v>
      </c>
      <c r="W40" s="53">
        <f t="shared" si="13"/>
        <v>9110238.3299999982</v>
      </c>
      <c r="X40" s="53">
        <f t="shared" si="13"/>
        <v>54343679.780000001</v>
      </c>
      <c r="Y40" s="53">
        <f t="shared" si="13"/>
        <v>91327996.13000001</v>
      </c>
      <c r="Z40" s="53">
        <f t="shared" si="13"/>
        <v>57959106.899999999</v>
      </c>
      <c r="AA40" s="53">
        <f t="shared" si="13"/>
        <v>63502830.950000003</v>
      </c>
      <c r="AB40" s="53">
        <f t="shared" si="13"/>
        <v>78536829.879999995</v>
      </c>
      <c r="AC40" s="53">
        <f t="shared" si="13"/>
        <v>75532383.310000002</v>
      </c>
      <c r="AD40" s="53">
        <f t="shared" si="13"/>
        <v>67652538.760000005</v>
      </c>
      <c r="AE40" s="53">
        <f t="shared" si="13"/>
        <v>76822066.180000007</v>
      </c>
      <c r="AF40" s="53">
        <f t="shared" si="13"/>
        <v>101948427.05</v>
      </c>
      <c r="AG40" s="53">
        <f t="shared" si="13"/>
        <v>108363850.11</v>
      </c>
      <c r="AH40" s="53">
        <f t="shared" si="13"/>
        <v>118512433.97</v>
      </c>
      <c r="AI40" s="53">
        <f t="shared" si="13"/>
        <v>109103567.56</v>
      </c>
      <c r="AJ40" s="53">
        <f t="shared" si="13"/>
        <v>101722098.48999999</v>
      </c>
      <c r="AK40" s="53">
        <f t="shared" si="13"/>
        <v>126204293.53999999</v>
      </c>
      <c r="AL40" s="53" t="e">
        <f t="shared" si="13"/>
        <v>#N/A</v>
      </c>
      <c r="AM40" s="53" t="e">
        <f t="shared" si="13"/>
        <v>#N/A</v>
      </c>
      <c r="AN40" s="53" t="e">
        <f t="shared" si="13"/>
        <v>#N/A</v>
      </c>
      <c r="AO40" s="53" t="e">
        <f t="shared" si="13"/>
        <v>#N/A</v>
      </c>
      <c r="AP40" s="53" t="e">
        <f t="shared" si="13"/>
        <v>#N/A</v>
      </c>
      <c r="AQ40" s="53" t="e">
        <f t="shared" si="13"/>
        <v>#N/A</v>
      </c>
      <c r="AR40" s="53" t="e">
        <f t="shared" si="13"/>
        <v>#N/A</v>
      </c>
      <c r="AS40" s="53" t="e">
        <f t="shared" si="13"/>
        <v>#N/A</v>
      </c>
      <c r="AT40" s="53" t="e">
        <f t="shared" si="13"/>
        <v>#N/A</v>
      </c>
      <c r="AU40" s="53" t="e">
        <f t="shared" si="13"/>
        <v>#N/A</v>
      </c>
      <c r="AV40" s="53" t="e">
        <f t="shared" si="13"/>
        <v>#N/A</v>
      </c>
      <c r="AW40" s="53" t="e">
        <f t="shared" si="13"/>
        <v>#N/A</v>
      </c>
      <c r="AX40" s="53" t="e">
        <f t="shared" si="13"/>
        <v>#N/A</v>
      </c>
      <c r="AY40" s="53" t="e">
        <f t="shared" si="13"/>
        <v>#N/A</v>
      </c>
      <c r="AZ40" s="53" t="e">
        <f t="shared" si="13"/>
        <v>#N/A</v>
      </c>
      <c r="BA40" s="53" t="e">
        <f t="shared" si="13"/>
        <v>#N/A</v>
      </c>
      <c r="BB40" s="53" t="e">
        <f t="shared" si="13"/>
        <v>#N/A</v>
      </c>
      <c r="BC40" s="53" t="e">
        <f t="shared" si="13"/>
        <v>#N/A</v>
      </c>
      <c r="BD40" s="53" t="e">
        <f t="shared" si="13"/>
        <v>#N/A</v>
      </c>
      <c r="BE40" s="53" t="e">
        <f t="shared" si="13"/>
        <v>#N/A</v>
      </c>
      <c r="BF40" s="53" t="e">
        <f t="shared" si="13"/>
        <v>#N/A</v>
      </c>
      <c r="BG40" s="53" t="e">
        <f t="shared" si="13"/>
        <v>#N/A</v>
      </c>
      <c r="BH40" s="53" t="e">
        <f t="shared" si="13"/>
        <v>#N/A</v>
      </c>
      <c r="BI40" s="53" t="e">
        <f t="shared" si="13"/>
        <v>#N/A</v>
      </c>
    </row>
    <row r="41" spans="4:61" s="36" customFormat="1" x14ac:dyDescent="0.35"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</row>
    <row r="42" spans="4:61" s="36" customFormat="1" x14ac:dyDescent="0.35">
      <c r="E42" s="43" t="s">
        <v>13</v>
      </c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</row>
    <row r="43" spans="4:61" s="36" customFormat="1" x14ac:dyDescent="0.35">
      <c r="E43" s="36" t="str">
        <f>E34</f>
        <v>AE</v>
      </c>
      <c r="J43" s="36" t="str">
        <f>J34</f>
        <v>EUR</v>
      </c>
      <c r="N43" s="53" t="e">
        <f t="shared" ref="N43:BI43" si="14">IF(N$3&gt;=$I$10-1,N34,#N/A)</f>
        <v>#N/A</v>
      </c>
      <c r="O43" s="53" t="e">
        <f t="shared" si="14"/>
        <v>#N/A</v>
      </c>
      <c r="P43" s="53" t="e">
        <f t="shared" si="14"/>
        <v>#N/A</v>
      </c>
      <c r="Q43" s="53" t="e">
        <f t="shared" si="14"/>
        <v>#N/A</v>
      </c>
      <c r="R43" s="53" t="e">
        <f t="shared" si="14"/>
        <v>#N/A</v>
      </c>
      <c r="S43" s="53" t="e">
        <f t="shared" si="14"/>
        <v>#N/A</v>
      </c>
      <c r="T43" s="53" t="e">
        <f t="shared" si="14"/>
        <v>#N/A</v>
      </c>
      <c r="U43" s="53" t="e">
        <f t="shared" si="14"/>
        <v>#N/A</v>
      </c>
      <c r="V43" s="53" t="e">
        <f t="shared" si="14"/>
        <v>#N/A</v>
      </c>
      <c r="W43" s="53" t="e">
        <f t="shared" si="14"/>
        <v>#N/A</v>
      </c>
      <c r="X43" s="53" t="e">
        <f t="shared" si="14"/>
        <v>#N/A</v>
      </c>
      <c r="Y43" s="53" t="e">
        <f t="shared" si="14"/>
        <v>#N/A</v>
      </c>
      <c r="Z43" s="53" t="e">
        <f t="shared" si="14"/>
        <v>#N/A</v>
      </c>
      <c r="AA43" s="53" t="e">
        <f t="shared" si="14"/>
        <v>#N/A</v>
      </c>
      <c r="AB43" s="53" t="e">
        <f t="shared" si="14"/>
        <v>#N/A</v>
      </c>
      <c r="AC43" s="53" t="e">
        <f t="shared" si="14"/>
        <v>#N/A</v>
      </c>
      <c r="AD43" s="53" t="e">
        <f t="shared" si="14"/>
        <v>#N/A</v>
      </c>
      <c r="AE43" s="53" t="e">
        <f t="shared" si="14"/>
        <v>#N/A</v>
      </c>
      <c r="AF43" s="53" t="e">
        <f t="shared" si="14"/>
        <v>#N/A</v>
      </c>
      <c r="AG43" s="53" t="e">
        <f t="shared" si="14"/>
        <v>#N/A</v>
      </c>
      <c r="AH43" s="53" t="e">
        <f t="shared" si="14"/>
        <v>#N/A</v>
      </c>
      <c r="AI43" s="53" t="e">
        <f t="shared" si="14"/>
        <v>#N/A</v>
      </c>
      <c r="AJ43" s="53" t="e">
        <f t="shared" si="14"/>
        <v>#N/A</v>
      </c>
      <c r="AK43" s="53">
        <f t="shared" si="14"/>
        <v>252048165.98999998</v>
      </c>
      <c r="AL43" s="53">
        <f t="shared" si="14"/>
        <v>213569137.38977191</v>
      </c>
      <c r="AM43" s="53">
        <f t="shared" si="14"/>
        <v>202446364.55863866</v>
      </c>
      <c r="AN43" s="53">
        <f t="shared" si="14"/>
        <v>232450675.47761637</v>
      </c>
      <c r="AO43" s="53">
        <f t="shared" si="14"/>
        <v>227977457.98599917</v>
      </c>
      <c r="AP43" s="53">
        <f t="shared" si="14"/>
        <v>232416952.78830314</v>
      </c>
      <c r="AQ43" s="53">
        <f t="shared" si="14"/>
        <v>217772968.71084768</v>
      </c>
      <c r="AR43" s="53">
        <f t="shared" si="14"/>
        <v>196512680.0211184</v>
      </c>
      <c r="AS43" s="53">
        <f t="shared" si="14"/>
        <v>152890694.04308194</v>
      </c>
      <c r="AT43" s="53">
        <f t="shared" si="14"/>
        <v>178027313.68446052</v>
      </c>
      <c r="AU43" s="53">
        <f t="shared" si="14"/>
        <v>213805287.81276548</v>
      </c>
      <c r="AV43" s="53">
        <f t="shared" si="14"/>
        <v>219308254.12965986</v>
      </c>
      <c r="AW43" s="53">
        <f t="shared" si="14"/>
        <v>242043914.02026135</v>
      </c>
      <c r="AX43" s="53">
        <f t="shared" si="14"/>
        <v>229090345.51953888</v>
      </c>
      <c r="AY43" s="53">
        <f t="shared" si="14"/>
        <v>226077639.4065114</v>
      </c>
      <c r="AZ43" s="53">
        <f t="shared" si="14"/>
        <v>262823109.3896181</v>
      </c>
      <c r="BA43" s="53">
        <f t="shared" si="14"/>
        <v>258358157.11934394</v>
      </c>
      <c r="BB43" s="53">
        <f t="shared" si="14"/>
        <v>263557208.60002953</v>
      </c>
      <c r="BC43" s="53">
        <f t="shared" si="14"/>
        <v>247026907.72899646</v>
      </c>
      <c r="BD43" s="53">
        <f t="shared" si="14"/>
        <v>222957524.92105895</v>
      </c>
      <c r="BE43" s="53">
        <f t="shared" si="14"/>
        <v>173510235.0903329</v>
      </c>
      <c r="BF43" s="53">
        <f t="shared" si="14"/>
        <v>201945614.0760566</v>
      </c>
      <c r="BG43" s="53">
        <f t="shared" si="14"/>
        <v>242452944.02202249</v>
      </c>
      <c r="BH43" s="53">
        <f t="shared" si="14"/>
        <v>248634843.79249895</v>
      </c>
      <c r="BI43" s="53">
        <f t="shared" si="14"/>
        <v>274345373.36815464</v>
      </c>
    </row>
    <row r="44" spans="4:61" s="36" customFormat="1" x14ac:dyDescent="0.35">
      <c r="E44" s="36" t="str">
        <f>E35</f>
        <v>CP</v>
      </c>
      <c r="J44" s="36" t="str">
        <f>J35</f>
        <v>EUR</v>
      </c>
      <c r="N44" s="53" t="e">
        <f t="shared" ref="N44:BI44" si="15">IF(N$3&gt;=$I$10-1,N35,#N/A)</f>
        <v>#N/A</v>
      </c>
      <c r="O44" s="53" t="e">
        <f t="shared" si="15"/>
        <v>#N/A</v>
      </c>
      <c r="P44" s="53" t="e">
        <f t="shared" si="15"/>
        <v>#N/A</v>
      </c>
      <c r="Q44" s="53" t="e">
        <f t="shared" si="15"/>
        <v>#N/A</v>
      </c>
      <c r="R44" s="53" t="e">
        <f t="shared" si="15"/>
        <v>#N/A</v>
      </c>
      <c r="S44" s="53" t="e">
        <f t="shared" si="15"/>
        <v>#N/A</v>
      </c>
      <c r="T44" s="53" t="e">
        <f t="shared" si="15"/>
        <v>#N/A</v>
      </c>
      <c r="U44" s="53" t="e">
        <f t="shared" si="15"/>
        <v>#N/A</v>
      </c>
      <c r="V44" s="53" t="e">
        <f t="shared" si="15"/>
        <v>#N/A</v>
      </c>
      <c r="W44" s="53" t="e">
        <f t="shared" si="15"/>
        <v>#N/A</v>
      </c>
      <c r="X44" s="53" t="e">
        <f t="shared" si="15"/>
        <v>#N/A</v>
      </c>
      <c r="Y44" s="53" t="e">
        <f t="shared" si="15"/>
        <v>#N/A</v>
      </c>
      <c r="Z44" s="53" t="e">
        <f t="shared" si="15"/>
        <v>#N/A</v>
      </c>
      <c r="AA44" s="53" t="e">
        <f t="shared" si="15"/>
        <v>#N/A</v>
      </c>
      <c r="AB44" s="53" t="e">
        <f t="shared" si="15"/>
        <v>#N/A</v>
      </c>
      <c r="AC44" s="53" t="e">
        <f t="shared" si="15"/>
        <v>#N/A</v>
      </c>
      <c r="AD44" s="53" t="e">
        <f t="shared" si="15"/>
        <v>#N/A</v>
      </c>
      <c r="AE44" s="53" t="e">
        <f t="shared" si="15"/>
        <v>#N/A</v>
      </c>
      <c r="AF44" s="53" t="e">
        <f t="shared" si="15"/>
        <v>#N/A</v>
      </c>
      <c r="AG44" s="53" t="e">
        <f t="shared" si="15"/>
        <v>#N/A</v>
      </c>
      <c r="AH44" s="53" t="e">
        <f t="shared" si="15"/>
        <v>#N/A</v>
      </c>
      <c r="AI44" s="53" t="e">
        <f t="shared" si="15"/>
        <v>#N/A</v>
      </c>
      <c r="AJ44" s="53" t="e">
        <f t="shared" si="15"/>
        <v>#N/A</v>
      </c>
      <c r="AK44" s="53">
        <f t="shared" si="15"/>
        <v>126204293.53999999</v>
      </c>
      <c r="AL44" s="53">
        <f t="shared" si="15"/>
        <v>159841051.33323553</v>
      </c>
      <c r="AM44" s="53">
        <f t="shared" si="15"/>
        <v>151333884.88083631</v>
      </c>
      <c r="AN44" s="53">
        <f t="shared" si="15"/>
        <v>177347171.69798031</v>
      </c>
      <c r="AO44" s="53">
        <f t="shared" si="15"/>
        <v>178318324.568039</v>
      </c>
      <c r="AP44" s="53">
        <f t="shared" si="15"/>
        <v>190620311.78302449</v>
      </c>
      <c r="AQ44" s="53">
        <f t="shared" si="15"/>
        <v>187169625.42402199</v>
      </c>
      <c r="AR44" s="53">
        <f t="shared" si="15"/>
        <v>193427451.5407677</v>
      </c>
      <c r="AS44" s="53">
        <f t="shared" si="15"/>
        <v>188369069.42900318</v>
      </c>
      <c r="AT44" s="53">
        <f t="shared" si="15"/>
        <v>180500160.66456586</v>
      </c>
      <c r="AU44" s="53">
        <f t="shared" si="15"/>
        <v>187528793.75040492</v>
      </c>
      <c r="AV44" s="53">
        <f t="shared" si="15"/>
        <v>182483295.57523215</v>
      </c>
      <c r="AW44" s="53">
        <f t="shared" si="15"/>
        <v>192493121.51317078</v>
      </c>
      <c r="AX44" s="53">
        <f t="shared" si="15"/>
        <v>194023546.48965549</v>
      </c>
      <c r="AY44" s="53">
        <f t="shared" si="15"/>
        <v>176797296.01040083</v>
      </c>
      <c r="AZ44" s="53">
        <f t="shared" si="15"/>
        <v>201378248.73210132</v>
      </c>
      <c r="BA44" s="53">
        <f t="shared" si="15"/>
        <v>198678369.30868259</v>
      </c>
      <c r="BB44" s="53">
        <f t="shared" si="15"/>
        <v>210190184.24804074</v>
      </c>
      <c r="BC44" s="53">
        <f t="shared" si="15"/>
        <v>205897879.64899209</v>
      </c>
      <c r="BD44" s="53">
        <f t="shared" si="15"/>
        <v>213183401.37674934</v>
      </c>
      <c r="BE44" s="53">
        <f t="shared" si="15"/>
        <v>208447792.53781164</v>
      </c>
      <c r="BF44" s="53">
        <f t="shared" si="15"/>
        <v>200644882.24729994</v>
      </c>
      <c r="BG44" s="53">
        <f t="shared" si="15"/>
        <v>209354603.33194137</v>
      </c>
      <c r="BH44" s="53">
        <f t="shared" si="15"/>
        <v>204531104.19582459</v>
      </c>
      <c r="BI44" s="53">
        <f t="shared" si="15"/>
        <v>216608040.0205262</v>
      </c>
    </row>
    <row r="45" spans="4:61" s="36" customFormat="1" x14ac:dyDescent="0.35"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</row>
    <row r="46" spans="4:61" s="36" customFormat="1" x14ac:dyDescent="0.35">
      <c r="D46" s="38" t="s">
        <v>150</v>
      </c>
    </row>
    <row r="47" spans="4:61" s="36" customFormat="1" x14ac:dyDescent="0.35"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</row>
    <row r="48" spans="4:61" s="36" customFormat="1" x14ac:dyDescent="0.35">
      <c r="E48" s="36" t="str">
        <f>Paramétrage_général!E$11</f>
        <v>Date de début de projection</v>
      </c>
      <c r="I48" s="42">
        <f>Paramétrage_général!I$11</f>
        <v>44562</v>
      </c>
      <c r="J48" s="36" t="str">
        <f>Paramétrage_général!J$11</f>
        <v>date</v>
      </c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</row>
    <row r="49" spans="5:61" s="36" customFormat="1" x14ac:dyDescent="0.35">
      <c r="E49" s="36" t="str">
        <f>Time!E$64</f>
        <v>Année en cours-fin de période</v>
      </c>
      <c r="I49" s="42"/>
      <c r="J49" s="36" t="str">
        <f>Time!J$64</f>
        <v>date</v>
      </c>
      <c r="N49" s="42">
        <f>Time!N$64</f>
        <v>44592</v>
      </c>
      <c r="O49" s="42">
        <f>Time!O$64</f>
        <v>44620</v>
      </c>
      <c r="P49" s="42">
        <f>Time!P$64</f>
        <v>44651</v>
      </c>
      <c r="Q49" s="42">
        <f>Time!Q$64</f>
        <v>44681</v>
      </c>
      <c r="R49" s="42">
        <f>Time!R$64</f>
        <v>44712</v>
      </c>
      <c r="S49" s="42">
        <f>Time!S$64</f>
        <v>44742</v>
      </c>
      <c r="T49" s="42">
        <f>Time!T$64</f>
        <v>44773</v>
      </c>
      <c r="U49" s="42">
        <f>Time!U$64</f>
        <v>44804</v>
      </c>
      <c r="V49" s="42">
        <f>Time!V$64</f>
        <v>44834</v>
      </c>
      <c r="W49" s="42">
        <f>Time!W$64</f>
        <v>44865</v>
      </c>
      <c r="X49" s="42">
        <f>Time!X$64</f>
        <v>44895</v>
      </c>
      <c r="Y49" s="42">
        <f>Time!Y$64</f>
        <v>44926</v>
      </c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</row>
    <row r="50" spans="5:61" s="36" customFormat="1" x14ac:dyDescent="0.35">
      <c r="E50" s="36" t="str">
        <f>E19</f>
        <v>Dépôt</v>
      </c>
      <c r="J50" s="36" t="str">
        <f>J19</f>
        <v>Volume</v>
      </c>
      <c r="N50" s="53">
        <f>'Tableau de bord'!G72</f>
        <v>69086.403111506734</v>
      </c>
      <c r="O50" s="53">
        <f>'Tableau de bord'!H72</f>
        <v>146300.61835377896</v>
      </c>
      <c r="P50" s="53">
        <f>'Tableau de bord'!I72</f>
        <v>227578.73966143397</v>
      </c>
      <c r="Q50" s="53">
        <f>'Tableau de bord'!J72</f>
        <v>308856.86096908897</v>
      </c>
      <c r="R50" s="53">
        <f>'Tableau de bord'!K72</f>
        <v>390134.98227674398</v>
      </c>
      <c r="S50" s="53">
        <f>'Tableau de bord'!L72</f>
        <v>467349.19751901622</v>
      </c>
      <c r="T50" s="53">
        <f>'Tableau de bord'!M72</f>
        <v>532371.69456514018</v>
      </c>
      <c r="U50" s="53">
        <f>'Tableau de bord'!N72</f>
        <v>581138.5673497332</v>
      </c>
      <c r="V50" s="53">
        <f>'Tableau de bord'!O72</f>
        <v>654288.87652662268</v>
      </c>
      <c r="W50" s="53">
        <f>'Tableau de bord'!P72</f>
        <v>735566.99783427769</v>
      </c>
      <c r="X50" s="53">
        <f>'Tableau de bord'!Q72</f>
        <v>816845.11914193269</v>
      </c>
      <c r="Y50" s="53">
        <f>'Tableau de bord'!R72</f>
        <v>906251.05258035322</v>
      </c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</row>
    <row r="51" spans="5:61" s="36" customFormat="1" x14ac:dyDescent="0.35">
      <c r="E51" s="36" t="str">
        <f t="shared" ref="E51:E53" si="16">E20</f>
        <v>Engagement</v>
      </c>
      <c r="J51" s="36" t="str">
        <f t="shared" ref="J51:J53" si="17">J20</f>
        <v>Volume</v>
      </c>
      <c r="N51" s="53">
        <f>'Tableau de bord'!G73</f>
        <v>65371.735654758428</v>
      </c>
      <c r="O51" s="53">
        <f>'Tableau de bord'!H73</f>
        <v>129245.11231328468</v>
      </c>
      <c r="P51" s="53">
        <f>'Tableau de bord'!I73</f>
        <v>203118.38637887739</v>
      </c>
      <c r="Q51" s="53">
        <f>'Tableau de bord'!J73</f>
        <v>275665.56120700203</v>
      </c>
      <c r="R51" s="53">
        <f>'Tableau de bord'!K73</f>
        <v>349873.32115105732</v>
      </c>
      <c r="S51" s="53">
        <f>'Tableau de bord'!L73</f>
        <v>419750.6379999253</v>
      </c>
      <c r="T51" s="53">
        <f>'Tableau de bord'!M73</f>
        <v>483427.60112098622</v>
      </c>
      <c r="U51" s="53">
        <f>'Tableau de bord'!N73</f>
        <v>533813.66698626417</v>
      </c>
      <c r="V51" s="53">
        <f>'Tableau de bord'!O73</f>
        <v>592038.17694036115</v>
      </c>
      <c r="W51" s="53">
        <f>'Tableau de bord'!P73</f>
        <v>661642.54251503618</v>
      </c>
      <c r="X51" s="53">
        <f>'Tableau de bord'!Q73</f>
        <v>733021.47710802045</v>
      </c>
      <c r="Y51" s="53">
        <f>'Tableau de bord'!R73</f>
        <v>811774.62680510269</v>
      </c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</row>
    <row r="52" spans="5:61" s="36" customFormat="1" x14ac:dyDescent="0.35">
      <c r="E52" s="36" t="str">
        <f t="shared" si="16"/>
        <v>Demande de solde</v>
      </c>
      <c r="J52" s="36" t="str">
        <f t="shared" si="17"/>
        <v>Volume</v>
      </c>
      <c r="N52" s="53">
        <f>'Tableau de bord'!G74</f>
        <v>55779.354484422802</v>
      </c>
      <c r="O52" s="53">
        <f>'Tableau de bord'!H74</f>
        <v>108205.18273090268</v>
      </c>
      <c r="P52" s="53">
        <f>'Tableau de bord'!I74</f>
        <v>168440.92621329945</v>
      </c>
      <c r="Q52" s="53">
        <f>'Tableau de bord'!J74</f>
        <v>227972.65596420449</v>
      </c>
      <c r="R52" s="53">
        <f>'Tableau de bord'!K74</f>
        <v>290446.37754535908</v>
      </c>
      <c r="S52" s="53">
        <f>'Tableau de bord'!L74</f>
        <v>350955.98555143701</v>
      </c>
      <c r="T52" s="53">
        <f>'Tableau de bord'!M74</f>
        <v>411719.10066776711</v>
      </c>
      <c r="U52" s="53">
        <f>'Tableau de bord'!N74</f>
        <v>468668.60917476407</v>
      </c>
      <c r="V52" s="53">
        <f>'Tableau de bord'!O74</f>
        <v>525721.74535769399</v>
      </c>
      <c r="W52" s="53">
        <f>'Tableau de bord'!P74</f>
        <v>586972.92430900177</v>
      </c>
      <c r="X52" s="53">
        <f>'Tableau de bord'!Q74</f>
        <v>647375.32635198103</v>
      </c>
      <c r="Y52" s="53">
        <f>'Tableau de bord'!R74</f>
        <v>711550.57852686336</v>
      </c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</row>
    <row r="53" spans="5:61" s="36" customFormat="1" x14ac:dyDescent="0.35">
      <c r="E53" s="36" t="str">
        <f t="shared" si="16"/>
        <v>Paiement du solde</v>
      </c>
      <c r="J53" s="36" t="str">
        <f t="shared" si="17"/>
        <v>Volume</v>
      </c>
      <c r="N53" s="53">
        <f>'Tableau de bord'!G75</f>
        <v>50874.42615728989</v>
      </c>
      <c r="O53" s="53">
        <f>'Tableau de bord'!H75</f>
        <v>98252.185015218856</v>
      </c>
      <c r="P53" s="53">
        <f>'Tableau de bord'!I75</f>
        <v>152941.42314568968</v>
      </c>
      <c r="Q53" s="53">
        <f>'Tableau de bord'!J75</f>
        <v>207237.28046795639</v>
      </c>
      <c r="R53" s="53">
        <f>'Tableau de bord'!K75</f>
        <v>264871.12202937639</v>
      </c>
      <c r="S53" s="53">
        <f>'Tableau de bord'!L75</f>
        <v>321330.75845126575</v>
      </c>
      <c r="T53" s="53">
        <f>'Tableau de bord'!M75</f>
        <v>379728.07886538515</v>
      </c>
      <c r="U53" s="53">
        <f>'Tableau de bord'!N75</f>
        <v>436717.93323772727</v>
      </c>
      <c r="V53" s="53">
        <f>'Tableau de bord'!O75</f>
        <v>491502.26953495399</v>
      </c>
      <c r="W53" s="53">
        <f>'Tableau de bord'!P75</f>
        <v>548614.78775160538</v>
      </c>
      <c r="X53" s="53">
        <f>'Tableau de bord'!Q75</f>
        <v>604329.82115374494</v>
      </c>
      <c r="Y53" s="53">
        <f>'Tableau de bord'!R75</f>
        <v>663263.94346319465</v>
      </c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</row>
    <row r="54" spans="5:61" s="36" customFormat="1" x14ac:dyDescent="0.35"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</row>
    <row r="55" spans="5:61" s="36" customFormat="1" x14ac:dyDescent="0.35">
      <c r="E55" s="43" t="s">
        <v>12</v>
      </c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</row>
    <row r="56" spans="5:61" s="36" customFormat="1" x14ac:dyDescent="0.35">
      <c r="E56" s="36" t="str">
        <f>E19</f>
        <v>Dépôt</v>
      </c>
      <c r="J56" s="36" t="str">
        <f>J19</f>
        <v>Volume</v>
      </c>
      <c r="N56" s="53" t="e">
        <f>IF(N$49&lt;$I$48,N50,#N/A)</f>
        <v>#N/A</v>
      </c>
      <c r="O56" s="53" t="e">
        <f t="shared" ref="O56:Y56" si="18">IF(O$49&lt;$I$48,O50,#N/A)</f>
        <v>#N/A</v>
      </c>
      <c r="P56" s="53" t="e">
        <f t="shared" si="18"/>
        <v>#N/A</v>
      </c>
      <c r="Q56" s="53" t="e">
        <f t="shared" si="18"/>
        <v>#N/A</v>
      </c>
      <c r="R56" s="53" t="e">
        <f t="shared" si="18"/>
        <v>#N/A</v>
      </c>
      <c r="S56" s="53" t="e">
        <f t="shared" si="18"/>
        <v>#N/A</v>
      </c>
      <c r="T56" s="53" t="e">
        <f t="shared" si="18"/>
        <v>#N/A</v>
      </c>
      <c r="U56" s="53" t="e">
        <f t="shared" si="18"/>
        <v>#N/A</v>
      </c>
      <c r="V56" s="53" t="e">
        <f t="shared" si="18"/>
        <v>#N/A</v>
      </c>
      <c r="W56" s="53" t="e">
        <f t="shared" si="18"/>
        <v>#N/A</v>
      </c>
      <c r="X56" s="53" t="e">
        <f t="shared" si="18"/>
        <v>#N/A</v>
      </c>
      <c r="Y56" s="53" t="e">
        <f t="shared" si="18"/>
        <v>#N/A</v>
      </c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</row>
    <row r="57" spans="5:61" s="36" customFormat="1" x14ac:dyDescent="0.35">
      <c r="E57" s="36" t="str">
        <f t="shared" ref="E57:E59" si="19">E20</f>
        <v>Engagement</v>
      </c>
      <c r="J57" s="36" t="str">
        <f t="shared" ref="J57:J59" si="20">J20</f>
        <v>Volume</v>
      </c>
      <c r="N57" s="53" t="e">
        <f t="shared" ref="N57:Y57" si="21">IF(N$49&lt;$I$48,N51,#N/A)</f>
        <v>#N/A</v>
      </c>
      <c r="O57" s="53" t="e">
        <f t="shared" si="21"/>
        <v>#N/A</v>
      </c>
      <c r="P57" s="53" t="e">
        <f t="shared" si="21"/>
        <v>#N/A</v>
      </c>
      <c r="Q57" s="53" t="e">
        <f t="shared" si="21"/>
        <v>#N/A</v>
      </c>
      <c r="R57" s="53" t="e">
        <f t="shared" si="21"/>
        <v>#N/A</v>
      </c>
      <c r="S57" s="53" t="e">
        <f t="shared" si="21"/>
        <v>#N/A</v>
      </c>
      <c r="T57" s="53" t="e">
        <f t="shared" si="21"/>
        <v>#N/A</v>
      </c>
      <c r="U57" s="53" t="e">
        <f t="shared" si="21"/>
        <v>#N/A</v>
      </c>
      <c r="V57" s="53" t="e">
        <f t="shared" si="21"/>
        <v>#N/A</v>
      </c>
      <c r="W57" s="53" t="e">
        <f t="shared" si="21"/>
        <v>#N/A</v>
      </c>
      <c r="X57" s="53" t="e">
        <f t="shared" si="21"/>
        <v>#N/A</v>
      </c>
      <c r="Y57" s="53" t="e">
        <f t="shared" si="21"/>
        <v>#N/A</v>
      </c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</row>
    <row r="58" spans="5:61" s="36" customFormat="1" x14ac:dyDescent="0.35">
      <c r="E58" s="36" t="str">
        <f t="shared" si="19"/>
        <v>Demande de solde</v>
      </c>
      <c r="J58" s="36" t="str">
        <f t="shared" si="20"/>
        <v>Volume</v>
      </c>
      <c r="N58" s="53" t="e">
        <f t="shared" ref="N58:Y58" si="22">IF(N$49&lt;$I$48,N52,#N/A)</f>
        <v>#N/A</v>
      </c>
      <c r="O58" s="53" t="e">
        <f t="shared" si="22"/>
        <v>#N/A</v>
      </c>
      <c r="P58" s="53" t="e">
        <f t="shared" si="22"/>
        <v>#N/A</v>
      </c>
      <c r="Q58" s="53" t="e">
        <f t="shared" si="22"/>
        <v>#N/A</v>
      </c>
      <c r="R58" s="53" t="e">
        <f t="shared" si="22"/>
        <v>#N/A</v>
      </c>
      <c r="S58" s="53" t="e">
        <f t="shared" si="22"/>
        <v>#N/A</v>
      </c>
      <c r="T58" s="53" t="e">
        <f t="shared" si="22"/>
        <v>#N/A</v>
      </c>
      <c r="U58" s="53" t="e">
        <f t="shared" si="22"/>
        <v>#N/A</v>
      </c>
      <c r="V58" s="53" t="e">
        <f t="shared" si="22"/>
        <v>#N/A</v>
      </c>
      <c r="W58" s="53" t="e">
        <f t="shared" si="22"/>
        <v>#N/A</v>
      </c>
      <c r="X58" s="53" t="e">
        <f t="shared" si="22"/>
        <v>#N/A</v>
      </c>
      <c r="Y58" s="53" t="e">
        <f t="shared" si="22"/>
        <v>#N/A</v>
      </c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</row>
    <row r="59" spans="5:61" s="36" customFormat="1" x14ac:dyDescent="0.35">
      <c r="E59" s="36" t="str">
        <f t="shared" si="19"/>
        <v>Paiement du solde</v>
      </c>
      <c r="J59" s="36" t="str">
        <f t="shared" si="20"/>
        <v>Volume</v>
      </c>
      <c r="N59" s="53" t="e">
        <f t="shared" ref="N59:Y59" si="23">IF(N$49&lt;$I$48,N53,#N/A)</f>
        <v>#N/A</v>
      </c>
      <c r="O59" s="53" t="e">
        <f t="shared" si="23"/>
        <v>#N/A</v>
      </c>
      <c r="P59" s="53" t="e">
        <f t="shared" si="23"/>
        <v>#N/A</v>
      </c>
      <c r="Q59" s="53" t="e">
        <f t="shared" si="23"/>
        <v>#N/A</v>
      </c>
      <c r="R59" s="53" t="e">
        <f t="shared" si="23"/>
        <v>#N/A</v>
      </c>
      <c r="S59" s="53" t="e">
        <f t="shared" si="23"/>
        <v>#N/A</v>
      </c>
      <c r="T59" s="53" t="e">
        <f t="shared" si="23"/>
        <v>#N/A</v>
      </c>
      <c r="U59" s="53" t="e">
        <f t="shared" si="23"/>
        <v>#N/A</v>
      </c>
      <c r="V59" s="53" t="e">
        <f t="shared" si="23"/>
        <v>#N/A</v>
      </c>
      <c r="W59" s="53" t="e">
        <f t="shared" si="23"/>
        <v>#N/A</v>
      </c>
      <c r="X59" s="53" t="e">
        <f t="shared" si="23"/>
        <v>#N/A</v>
      </c>
      <c r="Y59" s="53" t="e">
        <f t="shared" si="23"/>
        <v>#N/A</v>
      </c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</row>
    <row r="60" spans="5:61" s="36" customFormat="1" x14ac:dyDescent="0.35"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</row>
    <row r="61" spans="5:61" s="36" customFormat="1" x14ac:dyDescent="0.35">
      <c r="E61" s="43" t="s">
        <v>13</v>
      </c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</row>
    <row r="62" spans="5:61" s="36" customFormat="1" x14ac:dyDescent="0.35">
      <c r="E62" s="36" t="str">
        <f>E25</f>
        <v>Dépôt</v>
      </c>
      <c r="J62" s="36" t="str">
        <f>J25</f>
        <v>Volume</v>
      </c>
      <c r="N62" s="53">
        <f>IF(N$49&gt;=$I$48-1,N50,#N/A)</f>
        <v>69086.403111506734</v>
      </c>
      <c r="O62" s="53">
        <f t="shared" ref="O62:Y62" si="24">IF(O$49&gt;=$I$48-1,O50,#N/A)</f>
        <v>146300.61835377896</v>
      </c>
      <c r="P62" s="53">
        <f t="shared" si="24"/>
        <v>227578.73966143397</v>
      </c>
      <c r="Q62" s="53">
        <f t="shared" si="24"/>
        <v>308856.86096908897</v>
      </c>
      <c r="R62" s="53">
        <f t="shared" si="24"/>
        <v>390134.98227674398</v>
      </c>
      <c r="S62" s="53">
        <f t="shared" si="24"/>
        <v>467349.19751901622</v>
      </c>
      <c r="T62" s="53">
        <f t="shared" si="24"/>
        <v>532371.69456514018</v>
      </c>
      <c r="U62" s="53">
        <f t="shared" si="24"/>
        <v>581138.5673497332</v>
      </c>
      <c r="V62" s="53">
        <f t="shared" si="24"/>
        <v>654288.87652662268</v>
      </c>
      <c r="W62" s="53">
        <f t="shared" si="24"/>
        <v>735566.99783427769</v>
      </c>
      <c r="X62" s="53">
        <f t="shared" si="24"/>
        <v>816845.11914193269</v>
      </c>
      <c r="Y62" s="53">
        <f t="shared" si="24"/>
        <v>906251.05258035322</v>
      </c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</row>
    <row r="63" spans="5:61" s="36" customFormat="1" x14ac:dyDescent="0.35">
      <c r="E63" s="36" t="str">
        <f t="shared" ref="E63:E65" si="25">E26</f>
        <v>Engagement</v>
      </c>
      <c r="J63" s="36" t="str">
        <f t="shared" ref="J63:J65" si="26">J26</f>
        <v>Volume</v>
      </c>
      <c r="N63" s="53">
        <f t="shared" ref="N63:Y63" si="27">IF(N$49&gt;=$I$48-1,N51,#N/A)</f>
        <v>65371.735654758428</v>
      </c>
      <c r="O63" s="53">
        <f t="shared" si="27"/>
        <v>129245.11231328468</v>
      </c>
      <c r="P63" s="53">
        <f t="shared" si="27"/>
        <v>203118.38637887739</v>
      </c>
      <c r="Q63" s="53">
        <f t="shared" si="27"/>
        <v>275665.56120700203</v>
      </c>
      <c r="R63" s="53">
        <f t="shared" si="27"/>
        <v>349873.32115105732</v>
      </c>
      <c r="S63" s="53">
        <f t="shared" si="27"/>
        <v>419750.6379999253</v>
      </c>
      <c r="T63" s="53">
        <f t="shared" si="27"/>
        <v>483427.60112098622</v>
      </c>
      <c r="U63" s="53">
        <f t="shared" si="27"/>
        <v>533813.66698626417</v>
      </c>
      <c r="V63" s="53">
        <f t="shared" si="27"/>
        <v>592038.17694036115</v>
      </c>
      <c r="W63" s="53">
        <f t="shared" si="27"/>
        <v>661642.54251503618</v>
      </c>
      <c r="X63" s="53">
        <f t="shared" si="27"/>
        <v>733021.47710802045</v>
      </c>
      <c r="Y63" s="53">
        <f t="shared" si="27"/>
        <v>811774.62680510269</v>
      </c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</row>
    <row r="64" spans="5:61" s="36" customFormat="1" x14ac:dyDescent="0.35">
      <c r="E64" s="36" t="str">
        <f t="shared" si="25"/>
        <v>Demande de solde</v>
      </c>
      <c r="J64" s="36" t="str">
        <f t="shared" si="26"/>
        <v>Volume</v>
      </c>
      <c r="N64" s="53">
        <f t="shared" ref="N64:Y64" si="28">IF(N$49&gt;=$I$48-1,N52,#N/A)</f>
        <v>55779.354484422802</v>
      </c>
      <c r="O64" s="53">
        <f t="shared" si="28"/>
        <v>108205.18273090268</v>
      </c>
      <c r="P64" s="53">
        <f t="shared" si="28"/>
        <v>168440.92621329945</v>
      </c>
      <c r="Q64" s="53">
        <f t="shared" si="28"/>
        <v>227972.65596420449</v>
      </c>
      <c r="R64" s="53">
        <f t="shared" si="28"/>
        <v>290446.37754535908</v>
      </c>
      <c r="S64" s="53">
        <f t="shared" si="28"/>
        <v>350955.98555143701</v>
      </c>
      <c r="T64" s="53">
        <f t="shared" si="28"/>
        <v>411719.10066776711</v>
      </c>
      <c r="U64" s="53">
        <f t="shared" si="28"/>
        <v>468668.60917476407</v>
      </c>
      <c r="V64" s="53">
        <f t="shared" si="28"/>
        <v>525721.74535769399</v>
      </c>
      <c r="W64" s="53">
        <f t="shared" si="28"/>
        <v>586972.92430900177</v>
      </c>
      <c r="X64" s="53">
        <f t="shared" si="28"/>
        <v>647375.32635198103</v>
      </c>
      <c r="Y64" s="53">
        <f t="shared" si="28"/>
        <v>711550.57852686336</v>
      </c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</row>
    <row r="65" spans="4:61" s="36" customFormat="1" x14ac:dyDescent="0.35">
      <c r="E65" s="36" t="str">
        <f t="shared" si="25"/>
        <v>Paiement du solde</v>
      </c>
      <c r="J65" s="36" t="str">
        <f t="shared" si="26"/>
        <v>Volume</v>
      </c>
      <c r="N65" s="53">
        <f t="shared" ref="N65:Y65" si="29">IF(N$49&gt;=$I$48-1,N53,#N/A)</f>
        <v>50874.42615728989</v>
      </c>
      <c r="O65" s="53">
        <f t="shared" si="29"/>
        <v>98252.185015218856</v>
      </c>
      <c r="P65" s="53">
        <f t="shared" si="29"/>
        <v>152941.42314568968</v>
      </c>
      <c r="Q65" s="53">
        <f t="shared" si="29"/>
        <v>207237.28046795639</v>
      </c>
      <c r="R65" s="53">
        <f t="shared" si="29"/>
        <v>264871.12202937639</v>
      </c>
      <c r="S65" s="53">
        <f t="shared" si="29"/>
        <v>321330.75845126575</v>
      </c>
      <c r="T65" s="53">
        <f t="shared" si="29"/>
        <v>379728.07886538515</v>
      </c>
      <c r="U65" s="53">
        <f t="shared" si="29"/>
        <v>436717.93323772727</v>
      </c>
      <c r="V65" s="53">
        <f t="shared" si="29"/>
        <v>491502.26953495399</v>
      </c>
      <c r="W65" s="53">
        <f t="shared" si="29"/>
        <v>548614.78775160538</v>
      </c>
      <c r="X65" s="53">
        <f t="shared" si="29"/>
        <v>604329.82115374494</v>
      </c>
      <c r="Y65" s="53">
        <f t="shared" si="29"/>
        <v>663263.94346319465</v>
      </c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</row>
    <row r="66" spans="4:61" s="36" customFormat="1" x14ac:dyDescent="0.35"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</row>
    <row r="67" spans="4:61" s="36" customFormat="1" x14ac:dyDescent="0.35">
      <c r="D67" s="38" t="s">
        <v>155</v>
      </c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</row>
    <row r="68" spans="4:61" s="36" customFormat="1" x14ac:dyDescent="0.35"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</row>
    <row r="69" spans="4:61" s="36" customFormat="1" x14ac:dyDescent="0.35">
      <c r="E69" s="36" t="str">
        <f>Time!E$64</f>
        <v>Année en cours-fin de période</v>
      </c>
      <c r="I69" s="42"/>
      <c r="J69" s="36" t="str">
        <f>Time!J$64</f>
        <v>date</v>
      </c>
      <c r="N69" s="42">
        <f>Time!N$64</f>
        <v>44592</v>
      </c>
      <c r="O69" s="42">
        <f>Time!O$64</f>
        <v>44620</v>
      </c>
      <c r="P69" s="42">
        <f>Time!P$64</f>
        <v>44651</v>
      </c>
      <c r="Q69" s="42">
        <f>Time!Q$64</f>
        <v>44681</v>
      </c>
      <c r="R69" s="42">
        <f>Time!R$64</f>
        <v>44712</v>
      </c>
      <c r="S69" s="42">
        <f>Time!S$64</f>
        <v>44742</v>
      </c>
      <c r="T69" s="42">
        <f>Time!T$64</f>
        <v>44773</v>
      </c>
      <c r="U69" s="42">
        <f>Time!U$64</f>
        <v>44804</v>
      </c>
      <c r="V69" s="42">
        <f>Time!V$64</f>
        <v>44834</v>
      </c>
      <c r="W69" s="42">
        <f>Time!W$64</f>
        <v>44865</v>
      </c>
      <c r="X69" s="42">
        <f>Time!X$64</f>
        <v>44895</v>
      </c>
      <c r="Y69" s="42">
        <f>Time!Y$64</f>
        <v>44926</v>
      </c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</row>
    <row r="70" spans="4:61" s="36" customFormat="1" x14ac:dyDescent="0.35">
      <c r="E70" s="36" t="str">
        <f>E34</f>
        <v>AE</v>
      </c>
      <c r="J70" s="36" t="str">
        <f>J34</f>
        <v>EUR</v>
      </c>
      <c r="N70" s="53">
        <f>'Tableau de bord'!G79</f>
        <v>213569137.38977191</v>
      </c>
      <c r="O70" s="53">
        <f>'Tableau de bord'!H79</f>
        <v>416015501.94841057</v>
      </c>
      <c r="P70" s="53">
        <f>'Tableau de bord'!I79</f>
        <v>648466177.42602694</v>
      </c>
      <c r="Q70" s="53">
        <f>'Tableau de bord'!J79</f>
        <v>876443635.41202617</v>
      </c>
      <c r="R70" s="53">
        <f>'Tableau de bord'!K79</f>
        <v>1108860588.2003293</v>
      </c>
      <c r="S70" s="53">
        <f>'Tableau de bord'!L79</f>
        <v>1326633556.9111769</v>
      </c>
      <c r="T70" s="53">
        <f>'Tableau de bord'!M79</f>
        <v>1523146236.9322953</v>
      </c>
      <c r="U70" s="53">
        <f>'Tableau de bord'!N79</f>
        <v>1676036930.9753773</v>
      </c>
      <c r="V70" s="53">
        <f>'Tableau de bord'!O79</f>
        <v>1854064244.6598377</v>
      </c>
      <c r="W70" s="53">
        <f>'Tableau de bord'!P79</f>
        <v>2067869532.4726033</v>
      </c>
      <c r="X70" s="53">
        <f>'Tableau de bord'!Q79</f>
        <v>2287177786.602263</v>
      </c>
      <c r="Y70" s="53">
        <f>'Tableau de bord'!R79</f>
        <v>2529221700.6225243</v>
      </c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</row>
    <row r="71" spans="4:61" s="36" customFormat="1" x14ac:dyDescent="0.35">
      <c r="E71" s="36" t="str">
        <f>E35</f>
        <v>CP</v>
      </c>
      <c r="J71" s="36" t="str">
        <f>J35</f>
        <v>EUR</v>
      </c>
      <c r="N71" s="53">
        <f>'Tableau de bord'!G80</f>
        <v>159841051.33323553</v>
      </c>
      <c r="O71" s="53">
        <f>'Tableau de bord'!H80</f>
        <v>311174936.21407187</v>
      </c>
      <c r="P71" s="53">
        <f>'Tableau de bord'!I80</f>
        <v>488522107.91205215</v>
      </c>
      <c r="Q71" s="53">
        <f>'Tableau de bord'!J80</f>
        <v>666840432.48009109</v>
      </c>
      <c r="R71" s="53">
        <f>'Tableau de bord'!K80</f>
        <v>857460744.26311564</v>
      </c>
      <c r="S71" s="53">
        <f>'Tableau de bord'!L80</f>
        <v>1044630369.6871376</v>
      </c>
      <c r="T71" s="53">
        <f>'Tableau de bord'!M80</f>
        <v>1238057821.2279053</v>
      </c>
      <c r="U71" s="53">
        <f>'Tableau de bord'!N80</f>
        <v>1426426890.6569085</v>
      </c>
      <c r="V71" s="53">
        <f>'Tableau de bord'!O80</f>
        <v>1606927051.3214743</v>
      </c>
      <c r="W71" s="53">
        <f>'Tableau de bord'!P80</f>
        <v>1794455845.0718791</v>
      </c>
      <c r="X71" s="53">
        <f>'Tableau de bord'!Q80</f>
        <v>1976939140.6471114</v>
      </c>
      <c r="Y71" s="53">
        <f>'Tableau de bord'!R80</f>
        <v>2169432262.1602821</v>
      </c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</row>
    <row r="72" spans="4:61" s="36" customFormat="1" x14ac:dyDescent="0.35"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</row>
    <row r="73" spans="4:61" s="36" customFormat="1" x14ac:dyDescent="0.35">
      <c r="E73" s="43" t="s">
        <v>12</v>
      </c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</row>
    <row r="74" spans="4:61" s="36" customFormat="1" x14ac:dyDescent="0.35">
      <c r="E74" s="53" t="str">
        <f>E39</f>
        <v>AE</v>
      </c>
      <c r="J74" s="36" t="str">
        <f>J39</f>
        <v>EUR</v>
      </c>
      <c r="N74" s="53" t="e">
        <f>IF(N$69&lt;$I$48,N70,#N/A)</f>
        <v>#N/A</v>
      </c>
      <c r="O74" s="53" t="e">
        <f t="shared" ref="O74:Y75" si="30">IF(O$69&lt;$I$48,O70,#N/A)</f>
        <v>#N/A</v>
      </c>
      <c r="P74" s="53" t="e">
        <f t="shared" si="30"/>
        <v>#N/A</v>
      </c>
      <c r="Q74" s="53" t="e">
        <f t="shared" si="30"/>
        <v>#N/A</v>
      </c>
      <c r="R74" s="53" t="e">
        <f t="shared" si="30"/>
        <v>#N/A</v>
      </c>
      <c r="S74" s="53" t="e">
        <f t="shared" si="30"/>
        <v>#N/A</v>
      </c>
      <c r="T74" s="53" t="e">
        <f t="shared" si="30"/>
        <v>#N/A</v>
      </c>
      <c r="U74" s="53" t="e">
        <f t="shared" si="30"/>
        <v>#N/A</v>
      </c>
      <c r="V74" s="53" t="e">
        <f t="shared" si="30"/>
        <v>#N/A</v>
      </c>
      <c r="W74" s="53" t="e">
        <f t="shared" si="30"/>
        <v>#N/A</v>
      </c>
      <c r="X74" s="53" t="e">
        <f t="shared" si="30"/>
        <v>#N/A</v>
      </c>
      <c r="Y74" s="53" t="e">
        <f t="shared" si="30"/>
        <v>#N/A</v>
      </c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</row>
    <row r="75" spans="4:61" s="36" customFormat="1" x14ac:dyDescent="0.35">
      <c r="E75" s="53" t="str">
        <f>E40</f>
        <v>CP</v>
      </c>
      <c r="J75" s="36" t="str">
        <f>J40</f>
        <v>EUR</v>
      </c>
      <c r="N75" s="53" t="e">
        <f>IF(N$69&lt;$I$48,N71,#N/A)</f>
        <v>#N/A</v>
      </c>
      <c r="O75" s="53" t="e">
        <f t="shared" si="30"/>
        <v>#N/A</v>
      </c>
      <c r="P75" s="53" t="e">
        <f t="shared" si="30"/>
        <v>#N/A</v>
      </c>
      <c r="Q75" s="53" t="e">
        <f t="shared" si="30"/>
        <v>#N/A</v>
      </c>
      <c r="R75" s="53" t="e">
        <f t="shared" si="30"/>
        <v>#N/A</v>
      </c>
      <c r="S75" s="53" t="e">
        <f t="shared" si="30"/>
        <v>#N/A</v>
      </c>
      <c r="T75" s="53" t="e">
        <f t="shared" si="30"/>
        <v>#N/A</v>
      </c>
      <c r="U75" s="53" t="e">
        <f t="shared" si="30"/>
        <v>#N/A</v>
      </c>
      <c r="V75" s="53" t="e">
        <f t="shared" si="30"/>
        <v>#N/A</v>
      </c>
      <c r="W75" s="53" t="e">
        <f t="shared" si="30"/>
        <v>#N/A</v>
      </c>
      <c r="X75" s="53" t="e">
        <f t="shared" si="30"/>
        <v>#N/A</v>
      </c>
      <c r="Y75" s="53" t="e">
        <f t="shared" si="30"/>
        <v>#N/A</v>
      </c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4:61" s="36" customFormat="1" x14ac:dyDescent="0.35"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</row>
    <row r="77" spans="4:61" s="36" customFormat="1" x14ac:dyDescent="0.35">
      <c r="E77" s="43" t="s">
        <v>13</v>
      </c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</row>
    <row r="78" spans="4:61" x14ac:dyDescent="0.35">
      <c r="E78" s="53" t="str">
        <f>E43</f>
        <v>AE</v>
      </c>
      <c r="J78" s="36" t="str">
        <f>J43</f>
        <v>EUR</v>
      </c>
      <c r="N78" s="53">
        <f>IF(N$69&gt;=$I$48-1,N70,#N/A)</f>
        <v>213569137.38977191</v>
      </c>
      <c r="O78" s="41">
        <f t="shared" ref="O78:Y78" si="31">IF(O$69&gt;=$I$48-1,O70,#N/A)</f>
        <v>416015501.94841057</v>
      </c>
      <c r="P78" s="41">
        <f t="shared" si="31"/>
        <v>648466177.42602694</v>
      </c>
      <c r="Q78" s="41">
        <f t="shared" si="31"/>
        <v>876443635.41202617</v>
      </c>
      <c r="R78" s="41">
        <f t="shared" si="31"/>
        <v>1108860588.2003293</v>
      </c>
      <c r="S78" s="41">
        <f t="shared" si="31"/>
        <v>1326633556.9111769</v>
      </c>
      <c r="T78" s="41">
        <f t="shared" si="31"/>
        <v>1523146236.9322953</v>
      </c>
      <c r="U78" s="41">
        <f t="shared" si="31"/>
        <v>1676036930.9753773</v>
      </c>
      <c r="V78" s="41">
        <f t="shared" si="31"/>
        <v>1854064244.6598377</v>
      </c>
      <c r="W78" s="41">
        <f t="shared" si="31"/>
        <v>2067869532.4726033</v>
      </c>
      <c r="X78" s="41">
        <f t="shared" si="31"/>
        <v>2287177786.602263</v>
      </c>
      <c r="Y78" s="41">
        <f t="shared" si="31"/>
        <v>2529221700.6225243</v>
      </c>
    </row>
    <row r="79" spans="4:61" x14ac:dyDescent="0.35">
      <c r="E79" s="53" t="str">
        <f>E44</f>
        <v>CP</v>
      </c>
      <c r="J79" s="36" t="str">
        <f>J44</f>
        <v>EUR</v>
      </c>
      <c r="N79" s="41">
        <f t="shared" ref="N79:Y79" si="32">IF(N$69&gt;=$I$48-1,N71,#N/A)</f>
        <v>159841051.33323553</v>
      </c>
      <c r="O79" s="41">
        <f t="shared" si="32"/>
        <v>311174936.21407187</v>
      </c>
      <c r="P79" s="41">
        <f t="shared" si="32"/>
        <v>488522107.91205215</v>
      </c>
      <c r="Q79" s="41">
        <f t="shared" si="32"/>
        <v>666840432.48009109</v>
      </c>
      <c r="R79" s="41">
        <f t="shared" si="32"/>
        <v>857460744.26311564</v>
      </c>
      <c r="S79" s="41">
        <f t="shared" si="32"/>
        <v>1044630369.6871376</v>
      </c>
      <c r="T79" s="41">
        <f t="shared" si="32"/>
        <v>1238057821.2279053</v>
      </c>
      <c r="U79" s="41">
        <f t="shared" si="32"/>
        <v>1426426890.6569085</v>
      </c>
      <c r="V79" s="41">
        <f t="shared" si="32"/>
        <v>1606927051.3214743</v>
      </c>
      <c r="W79" s="41">
        <f t="shared" si="32"/>
        <v>1794455845.0718791</v>
      </c>
      <c r="X79" s="41">
        <f t="shared" si="32"/>
        <v>1976939140.6471114</v>
      </c>
      <c r="Y79" s="41">
        <f t="shared" si="32"/>
        <v>2169432262.1602821</v>
      </c>
    </row>
    <row r="81" spans="4:25" x14ac:dyDescent="0.35">
      <c r="D81" s="38" t="s">
        <v>172</v>
      </c>
    </row>
    <row r="82" spans="4:25" x14ac:dyDescent="0.35">
      <c r="D82" s="38"/>
    </row>
    <row r="83" spans="4:25" x14ac:dyDescent="0.35">
      <c r="D83" s="38"/>
      <c r="E83" s="36" t="str">
        <f>Time!E$64</f>
        <v>Année en cours-fin de période</v>
      </c>
      <c r="F83" s="36"/>
      <c r="G83" s="36"/>
      <c r="H83" s="36"/>
      <c r="I83" s="42"/>
      <c r="J83" s="36" t="str">
        <f>Time!J$64</f>
        <v>date</v>
      </c>
      <c r="K83" s="36"/>
      <c r="L83" s="36"/>
      <c r="M83" s="36"/>
      <c r="N83" s="42">
        <f>Time!N$64</f>
        <v>44592</v>
      </c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42">
        <f>Time!Y$64</f>
        <v>44926</v>
      </c>
    </row>
    <row r="84" spans="4:25" x14ac:dyDescent="0.35">
      <c r="D84" s="38"/>
      <c r="E84" t="s">
        <v>173</v>
      </c>
      <c r="J84" t="s">
        <v>50</v>
      </c>
      <c r="N84" s="41">
        <f>INDEX(Stocks!$N$14:$BI$14,1,MATCH(N$83,Stocks!$N$3:$BI$3,0))</f>
        <v>65568.141272886234</v>
      </c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41">
        <f>INDEX(Stocks!$N$14:$BI$14,1,MATCH(Y$83,Stocks!$N$3:$BI$3,0))</f>
        <v>73396.245019127949</v>
      </c>
    </row>
    <row r="85" spans="4:25" x14ac:dyDescent="0.35">
      <c r="D85" s="38"/>
      <c r="E85" t="s">
        <v>174</v>
      </c>
      <c r="J85" t="s">
        <v>50</v>
      </c>
      <c r="N85" s="41">
        <f>INDEX(Stocks!$N$22:$BI$22,1,MATCH(N$83,Stocks!$N$3:$BI$3,0))</f>
        <v>102541.32695043345</v>
      </c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41">
        <f>INDEX(Stocks!$N$22:$BI$22,1,MATCH(Y$83,Stocks!$N$3:$BI$3,0))</f>
        <v>113692.00646034272</v>
      </c>
    </row>
    <row r="87" spans="4:25" x14ac:dyDescent="0.35">
      <c r="D87" s="1" t="s">
        <v>206</v>
      </c>
    </row>
    <row r="89" spans="4:25" x14ac:dyDescent="0.35">
      <c r="E89" s="36" t="str">
        <f>Time!E$64</f>
        <v>Année en cours-fin de période</v>
      </c>
      <c r="F89" s="36"/>
      <c r="G89" s="36"/>
      <c r="H89" s="36"/>
      <c r="I89" s="42"/>
      <c r="J89" s="36" t="str">
        <f>Time!J$64</f>
        <v>date</v>
      </c>
      <c r="K89" s="36"/>
      <c r="L89" s="36"/>
      <c r="M89" s="36"/>
      <c r="N89" s="42">
        <f>Time!N$64</f>
        <v>44592</v>
      </c>
      <c r="O89" s="42">
        <f>Time!O$64</f>
        <v>44620</v>
      </c>
      <c r="P89" s="42">
        <f>Time!P$64</f>
        <v>44651</v>
      </c>
      <c r="Q89" s="42">
        <f>Time!Q$64</f>
        <v>44681</v>
      </c>
      <c r="R89" s="42">
        <f>Time!R$64</f>
        <v>44712</v>
      </c>
      <c r="S89" s="42">
        <f>Time!S$64</f>
        <v>44742</v>
      </c>
      <c r="T89" s="42">
        <f>Time!T$64</f>
        <v>44773</v>
      </c>
      <c r="U89" s="42">
        <f>Time!U$64</f>
        <v>44804</v>
      </c>
      <c r="V89" s="42">
        <f>Time!V$64</f>
        <v>44834</v>
      </c>
      <c r="W89" s="42">
        <f>Time!W$64</f>
        <v>44865</v>
      </c>
      <c r="X89" s="42">
        <f>Time!X$64</f>
        <v>44895</v>
      </c>
      <c r="Y89" s="42">
        <f>Time!Y$64</f>
        <v>44926</v>
      </c>
    </row>
    <row r="90" spans="4:25" x14ac:dyDescent="0.35">
      <c r="E90" t="s">
        <v>200</v>
      </c>
      <c r="J90" t="s">
        <v>50</v>
      </c>
      <c r="N90" s="41">
        <f>SUMIFS(Consolidation!$N$9:$BI$9,Consolidation!$N$3:$BI$3,"&gt;="&amp;$N$89,Consolidation!$N$3:$BI$3,"&lt;="&amp;N$89)</f>
        <v>7263.5261838620472</v>
      </c>
      <c r="O90" s="41">
        <f>SUMIFS(Consolidation!$N$9:$BI$9,Consolidation!$N$3:$BI$3,"&gt;="&amp;$N$89,Consolidation!$N$3:$BI$3,"&lt;="&amp;O$89)</f>
        <v>14360.56803480941</v>
      </c>
      <c r="P90" s="41">
        <f>SUMIFS(Consolidation!$N$9:$BI$9,Consolidation!$N$3:$BI$3,"&gt;="&amp;$N$89,Consolidation!$N$3:$BI$3,"&lt;="&amp;P$89)</f>
        <v>22568.709597653047</v>
      </c>
      <c r="Q90" s="41">
        <f>SUMIFS(Consolidation!$N$9:$BI$9,Consolidation!$N$3:$BI$3,"&gt;="&amp;$N$89,Consolidation!$N$3:$BI$3,"&lt;="&amp;Q$89)</f>
        <v>30629.506800778006</v>
      </c>
      <c r="R90" s="41">
        <f>SUMIFS(Consolidation!$N$9:$BI$9,Consolidation!$N$3:$BI$3,"&gt;="&amp;$N$89,Consolidation!$N$3:$BI$3,"&lt;="&amp;R$89)</f>
        <v>38874.813461228594</v>
      </c>
      <c r="S90" s="41">
        <f>SUMIFS(Consolidation!$N$9:$BI$9,Consolidation!$N$3:$BI$3,"&gt;="&amp;$N$89,Consolidation!$N$3:$BI$3,"&lt;="&amp;S$89)</f>
        <v>46638.95977776948</v>
      </c>
      <c r="T90" s="41">
        <f>SUMIFS(Consolidation!$N$9:$BI$9,Consolidation!$N$3:$BI$3,"&gt;="&amp;$N$89,Consolidation!$N$3:$BI$3,"&lt;="&amp;T$89)</f>
        <v>53714.177902331801</v>
      </c>
      <c r="U90" s="41">
        <f>SUMIFS(Consolidation!$N$9:$BI$9,Consolidation!$N$3:$BI$3,"&gt;="&amp;$N$89,Consolidation!$N$3:$BI$3,"&lt;="&amp;U$89)</f>
        <v>59312.629665140463</v>
      </c>
      <c r="V90" s="41">
        <f>SUMIFS(Consolidation!$N$9:$BI$9,Consolidation!$N$3:$BI$3,"&gt;="&amp;$N$89,Consolidation!$N$3:$BI$3,"&lt;="&amp;V$89)</f>
        <v>65782.019660040125</v>
      </c>
      <c r="W90" s="41">
        <f>SUMIFS(Consolidation!$N$9:$BI$9,Consolidation!$N$3:$BI$3,"&gt;="&amp;$N$89,Consolidation!$N$3:$BI$3,"&lt;="&amp;W$89)</f>
        <v>73515.838057226239</v>
      </c>
      <c r="X90" s="41">
        <f>SUMIFS(Consolidation!$N$9:$BI$9,Consolidation!$N$3:$BI$3,"&gt;="&amp;$N$89,Consolidation!$N$3:$BI$3,"&lt;="&amp;X$89)</f>
        <v>81446.830789780041</v>
      </c>
      <c r="Y90" s="41">
        <f>SUMIFS(Consolidation!$N$9:$BI$9,Consolidation!$N$3:$BI$3,"&gt;="&amp;$N$89,Consolidation!$N$3:$BI$3,"&lt;="&amp;Y$89)</f>
        <v>90197.180756122514</v>
      </c>
    </row>
    <row r="91" spans="4:25" x14ac:dyDescent="0.35">
      <c r="E91" t="s">
        <v>201</v>
      </c>
      <c r="J91" t="s">
        <v>50</v>
      </c>
      <c r="N91" s="41">
        <f>SUMIFS(Consolidation!$N$18:$BI$18,Consolidation!$N$3:$BI$3,"&gt;="&amp;$N$89,Consolidation!$N$3:$BI$3,"&lt;="&amp;N$89)</f>
        <v>2677.6013766994683</v>
      </c>
      <c r="O91" s="41">
        <f>SUMIFS(Consolidation!$N$18:$BI$18,Consolidation!$N$3:$BI$3,"&gt;="&amp;$N$89,Consolidation!$N$3:$BI$3,"&lt;="&amp;O$89)</f>
        <v>5171.1676323799402</v>
      </c>
      <c r="P91" s="41">
        <f>SUMIFS(Consolidation!$N$18:$BI$18,Consolidation!$N$3:$BI$3,"&gt;="&amp;$N$89,Consolidation!$N$3:$BI$3,"&lt;="&amp;P$89)</f>
        <v>8049.5485866152485</v>
      </c>
      <c r="Q91" s="41">
        <f>SUMIFS(Consolidation!$N$18:$BI$18,Consolidation!$N$3:$BI$3,"&gt;="&amp;$N$89,Consolidation!$N$3:$BI$3,"&lt;="&amp;Q$89)</f>
        <v>10907.22528778718</v>
      </c>
      <c r="R91" s="41">
        <f>SUMIFS(Consolidation!$N$18:$BI$18,Consolidation!$N$3:$BI$3,"&gt;="&amp;$N$89,Consolidation!$N$3:$BI$3,"&lt;="&amp;R$89)</f>
        <v>13940.585369967179</v>
      </c>
      <c r="S91" s="41">
        <f>SUMIFS(Consolidation!$N$18:$BI$18,Consolidation!$N$3:$BI$3,"&gt;="&amp;$N$89,Consolidation!$N$3:$BI$3,"&lt;="&amp;S$89)</f>
        <v>16912.145181645566</v>
      </c>
      <c r="T91" s="41">
        <f>SUMIFS(Consolidation!$N$18:$BI$18,Consolidation!$N$3:$BI$3,"&gt;="&amp;$N$89,Consolidation!$N$3:$BI$3,"&lt;="&amp;T$89)</f>
        <v>19985.688361336062</v>
      </c>
      <c r="U91" s="41">
        <f>SUMIFS(Consolidation!$N$18:$BI$18,Consolidation!$N$3:$BI$3,"&gt;="&amp;$N$89,Consolidation!$N$3:$BI$3,"&lt;="&amp;U$89)</f>
        <v>22985.154380933014</v>
      </c>
      <c r="V91" s="41">
        <f>SUMIFS(Consolidation!$N$18:$BI$18,Consolidation!$N$3:$BI$3,"&gt;="&amp;$N$89,Consolidation!$N$3:$BI$3,"&lt;="&amp;V$89)</f>
        <v>25868.540501839685</v>
      </c>
      <c r="W91" s="41">
        <f>SUMIFS(Consolidation!$N$18:$BI$18,Consolidation!$N$3:$BI$3,"&gt;="&amp;$N$89,Consolidation!$N$3:$BI$3,"&lt;="&amp;W$89)</f>
        <v>28874.462513242393</v>
      </c>
      <c r="X91" s="41">
        <f>SUMIFS(Consolidation!$N$18:$BI$18,Consolidation!$N$3:$BI$3,"&gt;="&amp;$N$89,Consolidation!$N$3:$BI$3,"&lt;="&amp;X$89)</f>
        <v>31806.832692302371</v>
      </c>
      <c r="Y91" s="41">
        <f>SUMIFS(Consolidation!$N$18:$BI$18,Consolidation!$N$3:$BI$3,"&gt;="&amp;$N$89,Consolidation!$N$3:$BI$3,"&lt;="&amp;Y$89)</f>
        <v>34908.62860332604</v>
      </c>
    </row>
    <row r="92" spans="4:25" x14ac:dyDescent="0.35">
      <c r="E92" t="s">
        <v>202</v>
      </c>
      <c r="J92" t="s">
        <v>50</v>
      </c>
      <c r="N92" s="16">
        <f>SUMIFS(Consolidation!$N$20:$BI$20,Consolidation!$N$3:$BI$3,"&gt;="&amp;$N$89,Consolidation!$N$3:$BI$3,"&lt;="&amp;N$89)</f>
        <v>2067.7840138730535</v>
      </c>
      <c r="O92" s="16">
        <f>SUMIFS(Consolidation!$N$20:$BI$20,Consolidation!$N$3:$BI$3,"&gt;="&amp;$N$89,Consolidation!$N$3:$BI$3,"&lt;="&amp;O$89)</f>
        <v>3764.5465434025891</v>
      </c>
      <c r="P92" s="16">
        <f>SUMIFS(Consolidation!$N$20:$BI$20,Consolidation!$N$3:$BI$3,"&gt;="&amp;$N$89,Consolidation!$N$3:$BI$3,"&lt;="&amp;P$89)</f>
        <v>5540.9444323546268</v>
      </c>
      <c r="Q92" s="16">
        <f>SUMIFS(Consolidation!$N$20:$BI$20,Consolidation!$N$3:$BI$3,"&gt;="&amp;$N$89,Consolidation!$N$3:$BI$3,"&lt;="&amp;Q$89)</f>
        <v>7257.8406999489807</v>
      </c>
      <c r="R92" s="16">
        <f>SUMIFS(Consolidation!$N$20:$BI$20,Consolidation!$N$3:$BI$3,"&gt;="&amp;$N$89,Consolidation!$N$3:$BI$3,"&lt;="&amp;R$89)</f>
        <v>9168.3797285229539</v>
      </c>
      <c r="S92" s="16">
        <f>SUMIFS(Consolidation!$N$20:$BI$20,Consolidation!$N$3:$BI$3,"&gt;="&amp;$N$89,Consolidation!$N$3:$BI$3,"&lt;="&amp;S$89)</f>
        <v>11205.486277808726</v>
      </c>
      <c r="T92" s="16">
        <f>SUMIFS(Consolidation!$N$20:$BI$20,Consolidation!$N$3:$BI$3,"&gt;="&amp;$N$89,Consolidation!$N$3:$BI$3,"&lt;="&amp;T$89)</f>
        <v>13503.756645795482</v>
      </c>
      <c r="U92" s="16">
        <f>SUMIFS(Consolidation!$N$20:$BI$20,Consolidation!$N$3:$BI$3,"&gt;="&amp;$N$89,Consolidation!$N$3:$BI$3,"&lt;="&amp;U$89)</f>
        <v>15920.197192874533</v>
      </c>
      <c r="V92" s="16">
        <f>SUMIFS(Consolidation!$N$20:$BI$20,Consolidation!$N$3:$BI$3,"&gt;="&amp;$N$89,Consolidation!$N$3:$BI$3,"&lt;="&amp;V$89)</f>
        <v>18411.304185810292</v>
      </c>
      <c r="W92" s="16">
        <f>SUMIFS(Consolidation!$N$20:$BI$20,Consolidation!$N$3:$BI$3,"&gt;="&amp;$N$89,Consolidation!$N$3:$BI$3,"&lt;="&amp;W$89)</f>
        <v>21171.679890629151</v>
      </c>
      <c r="X92" s="16">
        <f>SUMIFS(Consolidation!$N$20:$BI$20,Consolidation!$N$3:$BI$3,"&gt;="&amp;$N$89,Consolidation!$N$3:$BI$3,"&lt;="&amp;X$89)</f>
        <v>23998.82659781972</v>
      </c>
      <c r="Y92" s="16">
        <f>SUMIFS(Consolidation!$N$20:$BI$20,Consolidation!$N$3:$BI$3,"&gt;="&amp;$N$89,Consolidation!$N$3:$BI$3,"&lt;="&amp;Y$89)</f>
        <v>27109.84006721215</v>
      </c>
    </row>
    <row r="93" spans="4:25" x14ac:dyDescent="0.35">
      <c r="E93" t="s">
        <v>203</v>
      </c>
      <c r="J93" t="s">
        <v>51</v>
      </c>
      <c r="N93" s="41">
        <f>SUMIFS(Consolidation!$N$13:$BI$13,Consolidation!$N$3:$BI$3,"&gt;="&amp;$N$89,Consolidation!$N$3:$BI$3,"&lt;="&amp;N$89)</f>
        <v>6339595.4108435251</v>
      </c>
      <c r="O93" s="41">
        <f>SUMIFS(Consolidation!$N$13:$BI$13,Consolidation!$N$3:$BI$3,"&gt;="&amp;$N$89,Consolidation!$N$3:$BI$3,"&lt;="&amp;O$89)</f>
        <v>11619503.113635693</v>
      </c>
      <c r="P93" s="41">
        <f>SUMIFS(Consolidation!$N$13:$BI$13,Consolidation!$N$3:$BI$3,"&gt;="&amp;$N$89,Consolidation!$N$3:$BI$3,"&lt;="&amp;P$89)</f>
        <v>17265510.397120588</v>
      </c>
      <c r="Q93" s="41">
        <f>SUMIFS(Consolidation!$N$13:$BI$13,Consolidation!$N$3:$BI$3,"&gt;="&amp;$N$89,Consolidation!$N$3:$BI$3,"&lt;="&amp;Q$89)</f>
        <v>22835951.589675669</v>
      </c>
      <c r="R93" s="41">
        <f>SUMIFS(Consolidation!$N$13:$BI$13,Consolidation!$N$3:$BI$3,"&gt;="&amp;$N$89,Consolidation!$N$3:$BI$3,"&lt;="&amp;R$89)</f>
        <v>29110148.44720073</v>
      </c>
      <c r="S93" s="41">
        <f>SUMIFS(Consolidation!$N$13:$BI$13,Consolidation!$N$3:$BI$3,"&gt;="&amp;$N$89,Consolidation!$N$3:$BI$3,"&lt;="&amp;S$89)</f>
        <v>35829443.721428245</v>
      </c>
      <c r="T93" s="41">
        <f>SUMIFS(Consolidation!$N$13:$BI$13,Consolidation!$N$3:$BI$3,"&gt;="&amp;$N$89,Consolidation!$N$3:$BI$3,"&lt;="&amp;T$89)</f>
        <v>43406074.379849643</v>
      </c>
      <c r="U93" s="41">
        <f>SUMIFS(Consolidation!$N$13:$BI$13,Consolidation!$N$3:$BI$3,"&gt;="&amp;$N$89,Consolidation!$N$3:$BI$3,"&lt;="&amp;U$89)</f>
        <v>51356339.415262803</v>
      </c>
      <c r="V93" s="41">
        <f>SUMIFS(Consolidation!$N$13:$BI$13,Consolidation!$N$3:$BI$3,"&gt;="&amp;$N$89,Consolidation!$N$3:$BI$3,"&lt;="&amp;V$89)</f>
        <v>59528949.640877411</v>
      </c>
      <c r="W93" s="41">
        <f>SUMIFS(Consolidation!$N$13:$BI$13,Consolidation!$N$3:$BI$3,"&gt;="&amp;$N$89,Consolidation!$N$3:$BI$3,"&lt;="&amp;W$89)</f>
        <v>68561229.922504529</v>
      </c>
      <c r="X93" s="41">
        <f>SUMIFS(Consolidation!$N$13:$BI$13,Consolidation!$N$3:$BI$3,"&gt;="&amp;$N$89,Consolidation!$N$3:$BI$3,"&lt;="&amp;X$89)</f>
        <v>77784777.344630569</v>
      </c>
      <c r="Y93" s="41">
        <f>SUMIFS(Consolidation!$N$13:$BI$13,Consolidation!$N$3:$BI$3,"&gt;="&amp;$N$89,Consolidation!$N$3:$BI$3,"&lt;="&amp;Y$89)</f>
        <v>87902119.013776749</v>
      </c>
    </row>
    <row r="94" spans="4:25" x14ac:dyDescent="0.35">
      <c r="E94" t="s">
        <v>204</v>
      </c>
      <c r="J94" t="s">
        <v>51</v>
      </c>
      <c r="N94" s="41">
        <f>SUMIFS(Consolidation!$N$14:$BI$14,Consolidation!$N$3:$BI$3,"&gt;="&amp;$N$89,Consolidation!$N$3:$BI$3,"&lt;="&amp;N$89)</f>
        <v>2107915.4741054722</v>
      </c>
      <c r="O94" s="41">
        <f>SUMIFS(Consolidation!$N$14:$BI$14,Consolidation!$N$3:$BI$3,"&gt;="&amp;$N$89,Consolidation!$N$3:$BI$3,"&lt;="&amp;O$89)</f>
        <v>3863484.7852838682</v>
      </c>
      <c r="P94" s="41">
        <f>SUMIFS(Consolidation!$N$14:$BI$14,Consolidation!$N$3:$BI$3,"&gt;="&amp;$N$89,Consolidation!$N$3:$BI$3,"&lt;="&amp;P$89)</f>
        <v>5740782.2070425963</v>
      </c>
      <c r="Q94" s="41">
        <f>SUMIFS(Consolidation!$N$14:$BI$14,Consolidation!$N$3:$BI$3,"&gt;="&amp;$N$89,Consolidation!$N$3:$BI$3,"&lt;="&amp;Q$89)</f>
        <v>7592953.9035671614</v>
      </c>
      <c r="R94" s="41">
        <f>SUMIFS(Consolidation!$N$14:$BI$14,Consolidation!$N$3:$BI$3,"&gt;="&amp;$N$89,Consolidation!$N$3:$BI$3,"&lt;="&amp;R$89)</f>
        <v>9679124.3586942442</v>
      </c>
      <c r="S94" s="41">
        <f>SUMIFS(Consolidation!$N$14:$BI$14,Consolidation!$N$3:$BI$3,"&gt;="&amp;$N$89,Consolidation!$N$3:$BI$3,"&lt;="&amp;S$89)</f>
        <v>11913290.037374893</v>
      </c>
      <c r="T94" s="41">
        <f>SUMIFS(Consolidation!$N$14:$BI$14,Consolidation!$N$3:$BI$3,"&gt;="&amp;$N$89,Consolidation!$N$3:$BI$3,"&lt;="&amp;T$89)</f>
        <v>14432519.731300008</v>
      </c>
      <c r="U94" s="41">
        <f>SUMIFS(Consolidation!$N$14:$BI$14,Consolidation!$N$3:$BI$3,"&gt;="&amp;$N$89,Consolidation!$N$3:$BI$3,"&lt;="&amp;U$89)</f>
        <v>17075982.855574884</v>
      </c>
      <c r="V94" s="41">
        <f>SUMIFS(Consolidation!$N$14:$BI$14,Consolidation!$N$3:$BI$3,"&gt;="&amp;$N$89,Consolidation!$N$3:$BI$3,"&lt;="&amp;V$89)</f>
        <v>19793375.755591743</v>
      </c>
      <c r="W94" s="41">
        <f>SUMIFS(Consolidation!$N$14:$BI$14,Consolidation!$N$3:$BI$3,"&gt;="&amp;$N$89,Consolidation!$N$3:$BI$3,"&lt;="&amp;W$89)</f>
        <v>22796608.949232761</v>
      </c>
      <c r="X94" s="41">
        <f>SUMIFS(Consolidation!$N$14:$BI$14,Consolidation!$N$3:$BI$3,"&gt;="&amp;$N$89,Consolidation!$N$3:$BI$3,"&lt;="&amp;X$89)</f>
        <v>25863438.467089668</v>
      </c>
      <c r="Y94" s="41">
        <f>SUMIFS(Consolidation!$N$14:$BI$14,Consolidation!$N$3:$BI$3,"&gt;="&amp;$N$89,Consolidation!$N$3:$BI$3,"&lt;="&amp;Y$89)</f>
        <v>29227454.572080772</v>
      </c>
    </row>
    <row r="96" spans="4:25" x14ac:dyDescent="0.35">
      <c r="E96" s="12" t="s">
        <v>205</v>
      </c>
    </row>
    <row r="97" spans="4:46" x14ac:dyDescent="0.35">
      <c r="E97" t="s">
        <v>200</v>
      </c>
      <c r="J97" t="str">
        <f>INDEX(J$90:J$94,MATCH($E$97,$E$90:$E$94,0))</f>
        <v>Volume</v>
      </c>
      <c r="N97" s="16">
        <f t="shared" ref="N97:Y97" si="33">INDEX(N$90:N$94,MATCH($E$97,$E$90:$E$94,0))</f>
        <v>7263.5261838620472</v>
      </c>
      <c r="O97" s="16">
        <f t="shared" si="33"/>
        <v>14360.56803480941</v>
      </c>
      <c r="P97" s="16">
        <f t="shared" si="33"/>
        <v>22568.709597653047</v>
      </c>
      <c r="Q97" s="16">
        <f t="shared" si="33"/>
        <v>30629.506800778006</v>
      </c>
      <c r="R97" s="16">
        <f t="shared" si="33"/>
        <v>38874.813461228594</v>
      </c>
      <c r="S97" s="16">
        <f t="shared" si="33"/>
        <v>46638.95977776948</v>
      </c>
      <c r="T97" s="16">
        <f t="shared" si="33"/>
        <v>53714.177902331801</v>
      </c>
      <c r="U97" s="16">
        <f t="shared" si="33"/>
        <v>59312.629665140463</v>
      </c>
      <c r="V97" s="16">
        <f t="shared" si="33"/>
        <v>65782.019660040125</v>
      </c>
      <c r="W97" s="16">
        <f t="shared" si="33"/>
        <v>73515.838057226239</v>
      </c>
      <c r="X97" s="16">
        <f t="shared" si="33"/>
        <v>81446.830789780041</v>
      </c>
      <c r="Y97" s="16">
        <f t="shared" si="33"/>
        <v>90197.180756122514</v>
      </c>
    </row>
    <row r="99" spans="4:46" x14ac:dyDescent="0.35">
      <c r="E99" s="36" t="str">
        <f>Paramétrage_général!E$11</f>
        <v>Date de début de projection</v>
      </c>
      <c r="F99" s="36"/>
      <c r="G99" s="36"/>
      <c r="H99" s="36"/>
      <c r="I99" s="42">
        <f>Paramétrage_général!I$11</f>
        <v>44562</v>
      </c>
      <c r="J99" s="36" t="str">
        <f>Paramétrage_général!J$11</f>
        <v>date</v>
      </c>
    </row>
    <row r="100" spans="4:46" x14ac:dyDescent="0.35">
      <c r="E100" t="s">
        <v>12</v>
      </c>
      <c r="J100" t="str">
        <f>J97</f>
        <v>Volume</v>
      </c>
      <c r="N100" s="41" t="e">
        <f>IF(N$89&lt;$I$99,N$97,#N/A)</f>
        <v>#N/A</v>
      </c>
      <c r="O100" s="41" t="e">
        <f t="shared" ref="O100:Y100" si="34">IF(O$89&lt;$I$99,O$97,#N/A)</f>
        <v>#N/A</v>
      </c>
      <c r="P100" s="41" t="e">
        <f t="shared" si="34"/>
        <v>#N/A</v>
      </c>
      <c r="Q100" s="41" t="e">
        <f t="shared" si="34"/>
        <v>#N/A</v>
      </c>
      <c r="R100" s="41" t="e">
        <f t="shared" si="34"/>
        <v>#N/A</v>
      </c>
      <c r="S100" s="41" t="e">
        <f t="shared" si="34"/>
        <v>#N/A</v>
      </c>
      <c r="T100" s="41" t="e">
        <f t="shared" si="34"/>
        <v>#N/A</v>
      </c>
      <c r="U100" s="41" t="e">
        <f t="shared" si="34"/>
        <v>#N/A</v>
      </c>
      <c r="V100" s="41" t="e">
        <f t="shared" si="34"/>
        <v>#N/A</v>
      </c>
      <c r="W100" s="41" t="e">
        <f t="shared" si="34"/>
        <v>#N/A</v>
      </c>
      <c r="X100" s="41" t="e">
        <f t="shared" si="34"/>
        <v>#N/A</v>
      </c>
      <c r="Y100" s="41" t="e">
        <f t="shared" si="34"/>
        <v>#N/A</v>
      </c>
    </row>
    <row r="101" spans="4:46" x14ac:dyDescent="0.35">
      <c r="E101" t="s">
        <v>207</v>
      </c>
      <c r="J101" t="str">
        <f>J97</f>
        <v>Volume</v>
      </c>
      <c r="N101" s="41">
        <f>IF(N$89&gt;=$I$99-1,N$97,#N/A)</f>
        <v>7263.5261838620472</v>
      </c>
      <c r="O101" s="41">
        <f t="shared" ref="O101:Y101" si="35">IF(O$89&gt;=$I$99-1,O$97,#N/A)</f>
        <v>14360.56803480941</v>
      </c>
      <c r="P101" s="41">
        <f t="shared" si="35"/>
        <v>22568.709597653047</v>
      </c>
      <c r="Q101" s="41">
        <f t="shared" si="35"/>
        <v>30629.506800778006</v>
      </c>
      <c r="R101" s="41">
        <f t="shared" si="35"/>
        <v>38874.813461228594</v>
      </c>
      <c r="S101" s="41">
        <f t="shared" si="35"/>
        <v>46638.95977776948</v>
      </c>
      <c r="T101" s="41">
        <f t="shared" si="35"/>
        <v>53714.177902331801</v>
      </c>
      <c r="U101" s="41">
        <f t="shared" si="35"/>
        <v>59312.629665140463</v>
      </c>
      <c r="V101" s="41">
        <f t="shared" si="35"/>
        <v>65782.019660040125</v>
      </c>
      <c r="W101" s="41">
        <f t="shared" si="35"/>
        <v>73515.838057226239</v>
      </c>
      <c r="X101" s="41">
        <f t="shared" si="35"/>
        <v>81446.830789780041</v>
      </c>
      <c r="Y101" s="41">
        <f t="shared" si="35"/>
        <v>90197.180756122514</v>
      </c>
    </row>
    <row r="105" spans="4:46" x14ac:dyDescent="0.35">
      <c r="D105" s="1" t="s">
        <v>25</v>
      </c>
    </row>
    <row r="106" spans="4:46" x14ac:dyDescent="0.35"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</row>
    <row r="107" spans="4:46" x14ac:dyDescent="0.35"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</row>
  </sheetData>
  <sheetProtection algorithmName="SHA-512" hashValue="tPbEbWh1si0duEiBs5zMjwCLcv9oBpuFQP8LOGzDT4co9QZnmrFZy5JW8Zs7fKzZI6b3nm1OWGokB3bv9GOfig==" saltValue="rXE9EtCuQ1/D9Kg7Iu/eLw==" spinCount="100000" sheet="1" objects="1" scenarios="1"/>
  <conditionalFormatting sqref="G2">
    <cfRule type="cellIs" dxfId="17" priority="4" operator="greaterThan">
      <formula>0</formula>
    </cfRule>
    <cfRule type="cellIs" dxfId="16" priority="5" operator="equal">
      <formula>0</formula>
    </cfRule>
  </conditionalFormatting>
  <conditionalFormatting sqref="G1">
    <cfRule type="cellIs" dxfId="15" priority="2" operator="greaterThan">
      <formula>0</formula>
    </cfRule>
    <cfRule type="cellIs" dxfId="14" priority="3" operator="equal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5F374AEC-6432-4C5C-B43A-E132C017BDBA}">
            <xm:f>Paramétrage_général!$I$20</xm:f>
            <x14:dxf>
              <font>
                <b/>
                <i val="0"/>
                <color theme="0"/>
              </font>
              <fill>
                <patternFill>
                  <bgColor rgb="FF002060"/>
                </patternFill>
              </fill>
            </x14:dxf>
          </x14:cfRule>
          <xm:sqref>N4:BI4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15</vt:i4>
      </vt:variant>
    </vt:vector>
  </HeadingPairs>
  <TitlesOfParts>
    <vt:vector size="15" baseType="lpstr">
      <vt:lpstr>Guide</vt:lpstr>
      <vt:lpstr>Paramétrage_général</vt:lpstr>
      <vt:lpstr>Données_historiques</vt:lpstr>
      <vt:lpstr>Hypothèses_trajectoire</vt:lpstr>
      <vt:lpstr>Tableau de bord</vt:lpstr>
      <vt:lpstr>Controles</vt:lpstr>
      <vt:lpstr>Time</vt:lpstr>
      <vt:lpstr>Dépôts</vt:lpstr>
      <vt:lpstr>Engagements</vt:lpstr>
      <vt:lpstr>Avances</vt:lpstr>
      <vt:lpstr>Demandes de solde</vt:lpstr>
      <vt:lpstr>Paiements Solde et retraits</vt:lpstr>
      <vt:lpstr>Stocks</vt:lpstr>
      <vt:lpstr>Consolidation</vt:lpstr>
      <vt:lpstr>Graphiques</vt:lpstr>
    </vt:vector>
  </TitlesOfParts>
  <Company>ANAH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Adrien PROUX</dc:creator>
  <cp:lastModifiedBy>Adrien PROUX</cp:lastModifiedBy>
  <dcterms:created xsi:type="dcterms:W3CDTF">2022-09-30T09:13:52Z</dcterms:created>
  <dcterms:modified xsi:type="dcterms:W3CDTF">2022-10-05T07:44:34Z</dcterms:modified>
</cp:coreProperties>
</file>